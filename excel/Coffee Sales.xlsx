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260dafa43546506/Documents/SS DA coffee sales/"/>
    </mc:Choice>
  </mc:AlternateContent>
  <xr:revisionPtr revIDLastSave="204" documentId="8_{213CB03A-A562-42F0-8AAA-3C011883AA65}" xr6:coauthVersionLast="47" xr6:coauthVersionMax="47" xr10:uidLastSave="{FAD2F2F4-54C8-47F8-8696-38D8C71599D6}"/>
  <bookViews>
    <workbookView xWindow="-110" yWindow="-110" windowWidth="19420" windowHeight="10300" firstSheet="2" activeTab="2" xr2:uid="{58FDE633-3E44-484A-8FB9-C0DF520A420C}"/>
  </bookViews>
  <sheets>
    <sheet name="Raw Data" sheetId="2" r:id="rId1"/>
    <sheet name="Transform Data" sheetId="3" r:id="rId2"/>
    <sheet name="Dashboard" sheetId="19" r:id="rId3"/>
    <sheet name="Pivot KPI" sheetId="8" r:id="rId4"/>
    <sheet name="Pivot Repeat" sheetId="13" r:id="rId5"/>
    <sheet name="Pivot Product" sheetId="14" r:id="rId6"/>
    <sheet name="Pivot Time" sheetId="15" r:id="rId7"/>
    <sheet name="Pivot Payment" sheetId="16" r:id="rId8"/>
  </sheets>
  <definedNames>
    <definedName name="ExternalData_1" localSheetId="0" hidden="1">'Raw Data'!$A$1:$F$3637</definedName>
    <definedName name="ExternalData_2" localSheetId="1" hidden="1">'Transform Data'!$A$1:$F$3637</definedName>
    <definedName name="Slicer_Coffee_Name">#N/A</definedName>
    <definedName name="Slicer_Months__Date1">#N/A</definedName>
    <definedName name="Slicer_Payment_Method1">#N/A</definedName>
  </definedNames>
  <calcPr calcId="191028"/>
  <pivotCaches>
    <pivotCache cacheId="4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6" l="1"/>
  <c r="F5" i="16" s="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3457" i="3"/>
  <c r="H3458" i="3"/>
  <c r="H3459" i="3"/>
  <c r="H3460" i="3"/>
  <c r="H3461" i="3"/>
  <c r="H3462" i="3"/>
  <c r="H3463" i="3"/>
  <c r="H3464" i="3"/>
  <c r="H3465" i="3"/>
  <c r="H3466" i="3"/>
  <c r="H3467" i="3"/>
  <c r="H3468" i="3"/>
  <c r="H3469" i="3"/>
  <c r="H3470" i="3"/>
  <c r="H3471" i="3"/>
  <c r="H3472" i="3"/>
  <c r="H3473" i="3"/>
  <c r="H3474" i="3"/>
  <c r="H3475" i="3"/>
  <c r="H3476" i="3"/>
  <c r="H3477" i="3"/>
  <c r="H3478" i="3"/>
  <c r="H3479" i="3"/>
  <c r="H3480" i="3"/>
  <c r="H3481" i="3"/>
  <c r="H3482" i="3"/>
  <c r="H3483" i="3"/>
  <c r="H3484" i="3"/>
  <c r="H3485" i="3"/>
  <c r="H3486" i="3"/>
  <c r="H3487" i="3"/>
  <c r="H3488" i="3"/>
  <c r="H3489" i="3"/>
  <c r="H3490" i="3"/>
  <c r="H3491" i="3"/>
  <c r="H3492" i="3"/>
  <c r="H3493" i="3"/>
  <c r="H3494" i="3"/>
  <c r="H3495" i="3"/>
  <c r="H3496" i="3"/>
  <c r="H3497" i="3"/>
  <c r="H3498" i="3"/>
  <c r="H3499" i="3"/>
  <c r="H3500" i="3"/>
  <c r="H3501" i="3"/>
  <c r="H3502" i="3"/>
  <c r="H3503" i="3"/>
  <c r="H3504" i="3"/>
  <c r="H3505" i="3"/>
  <c r="H3506" i="3"/>
  <c r="H3507" i="3"/>
  <c r="H3508" i="3"/>
  <c r="H3509" i="3"/>
  <c r="H3510" i="3"/>
  <c r="H3511" i="3"/>
  <c r="H3512" i="3"/>
  <c r="H3513" i="3"/>
  <c r="H3514" i="3"/>
  <c r="H3515" i="3"/>
  <c r="H3516" i="3"/>
  <c r="H3517" i="3"/>
  <c r="H3518" i="3"/>
  <c r="H3519" i="3"/>
  <c r="H3520" i="3"/>
  <c r="H3521" i="3"/>
  <c r="H3522" i="3"/>
  <c r="H3523" i="3"/>
  <c r="H3524" i="3"/>
  <c r="H3525" i="3"/>
  <c r="H3526" i="3"/>
  <c r="H3527" i="3"/>
  <c r="H3528" i="3"/>
  <c r="H3529" i="3"/>
  <c r="H3530" i="3"/>
  <c r="H3531" i="3"/>
  <c r="H3532" i="3"/>
  <c r="H3533" i="3"/>
  <c r="H3534" i="3"/>
  <c r="H3535" i="3"/>
  <c r="H3536" i="3"/>
  <c r="H3537" i="3"/>
  <c r="H3538" i="3"/>
  <c r="H3539" i="3"/>
  <c r="H3540" i="3"/>
  <c r="H3541" i="3"/>
  <c r="H3542" i="3"/>
  <c r="H3543" i="3"/>
  <c r="H3544" i="3"/>
  <c r="H3545" i="3"/>
  <c r="H3546" i="3"/>
  <c r="H3547" i="3"/>
  <c r="H3548" i="3"/>
  <c r="H3549" i="3"/>
  <c r="H3550" i="3"/>
  <c r="H3551" i="3"/>
  <c r="H3552" i="3"/>
  <c r="H3553" i="3"/>
  <c r="H3554" i="3"/>
  <c r="H3555" i="3"/>
  <c r="H3556" i="3"/>
  <c r="H3557" i="3"/>
  <c r="H3558" i="3"/>
  <c r="H3559" i="3"/>
  <c r="H3560" i="3"/>
  <c r="H3561" i="3"/>
  <c r="H3562" i="3"/>
  <c r="H3563" i="3"/>
  <c r="H3564" i="3"/>
  <c r="H3565" i="3"/>
  <c r="H3566" i="3"/>
  <c r="H3567" i="3"/>
  <c r="H3568" i="3"/>
  <c r="H3569" i="3"/>
  <c r="H3570" i="3"/>
  <c r="H3571" i="3"/>
  <c r="H3572" i="3"/>
  <c r="H3573" i="3"/>
  <c r="H3574" i="3"/>
  <c r="H3575" i="3"/>
  <c r="H3576" i="3"/>
  <c r="H3577" i="3"/>
  <c r="H3578" i="3"/>
  <c r="H3579" i="3"/>
  <c r="H3580" i="3"/>
  <c r="H3581" i="3"/>
  <c r="H3582" i="3"/>
  <c r="H3583" i="3"/>
  <c r="H3584" i="3"/>
  <c r="H3585" i="3"/>
  <c r="H3586" i="3"/>
  <c r="H3587" i="3"/>
  <c r="H3588" i="3"/>
  <c r="H3589" i="3"/>
  <c r="H3590" i="3"/>
  <c r="H3591" i="3"/>
  <c r="H3592" i="3"/>
  <c r="H3593" i="3"/>
  <c r="H3594" i="3"/>
  <c r="H3595" i="3"/>
  <c r="H3596" i="3"/>
  <c r="H3597" i="3"/>
  <c r="H3598" i="3"/>
  <c r="H3599" i="3"/>
  <c r="H3600" i="3"/>
  <c r="H3601" i="3"/>
  <c r="H3602" i="3"/>
  <c r="H3603" i="3"/>
  <c r="H3604" i="3"/>
  <c r="H3605" i="3"/>
  <c r="H3606" i="3"/>
  <c r="H3607" i="3"/>
  <c r="H3608" i="3"/>
  <c r="H3609" i="3"/>
  <c r="H3610" i="3"/>
  <c r="H3611" i="3"/>
  <c r="H3612" i="3"/>
  <c r="H3613" i="3"/>
  <c r="H3614" i="3"/>
  <c r="H3615" i="3"/>
  <c r="H3616" i="3"/>
  <c r="H3617" i="3"/>
  <c r="H3618" i="3"/>
  <c r="H3619" i="3"/>
  <c r="H3620" i="3"/>
  <c r="H3621" i="3"/>
  <c r="H3622" i="3"/>
  <c r="H3623" i="3"/>
  <c r="H3624" i="3"/>
  <c r="H3625" i="3"/>
  <c r="H3626" i="3"/>
  <c r="H3627" i="3"/>
  <c r="H3628" i="3"/>
  <c r="H3629" i="3"/>
  <c r="H3630" i="3"/>
  <c r="H3631" i="3"/>
  <c r="H3632" i="3"/>
  <c r="H3633" i="3"/>
  <c r="H3634" i="3"/>
  <c r="H3635" i="3"/>
  <c r="H3636" i="3"/>
  <c r="H3637"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I2002" i="3"/>
  <c r="I2003" i="3"/>
  <c r="I2004" i="3"/>
  <c r="I2005" i="3"/>
  <c r="I2006" i="3"/>
  <c r="I2007" i="3"/>
  <c r="I2008" i="3"/>
  <c r="I2009" i="3"/>
  <c r="I2010" i="3"/>
  <c r="I2011" i="3"/>
  <c r="I2012" i="3"/>
  <c r="I2013" i="3"/>
  <c r="I2014" i="3"/>
  <c r="I2015" i="3"/>
  <c r="I2016" i="3"/>
  <c r="I2017" i="3"/>
  <c r="I2018" i="3"/>
  <c r="I2019" i="3"/>
  <c r="I2020" i="3"/>
  <c r="I2021" i="3"/>
  <c r="I2022" i="3"/>
  <c r="I2023" i="3"/>
  <c r="I2024" i="3"/>
  <c r="I2025" i="3"/>
  <c r="I2026" i="3"/>
  <c r="I2027" i="3"/>
  <c r="I2028" i="3"/>
  <c r="I2029" i="3"/>
  <c r="I2030" i="3"/>
  <c r="I2031" i="3"/>
  <c r="I2032" i="3"/>
  <c r="I2033" i="3"/>
  <c r="I2034" i="3"/>
  <c r="I2035" i="3"/>
  <c r="I2036" i="3"/>
  <c r="I2037" i="3"/>
  <c r="I2038" i="3"/>
  <c r="I2039" i="3"/>
  <c r="I2040" i="3"/>
  <c r="I2041" i="3"/>
  <c r="I2042" i="3"/>
  <c r="I2043" i="3"/>
  <c r="I2044" i="3"/>
  <c r="I2045" i="3"/>
  <c r="I2046" i="3"/>
  <c r="I2047" i="3"/>
  <c r="I2048" i="3"/>
  <c r="I2049" i="3"/>
  <c r="I2050" i="3"/>
  <c r="I2051" i="3"/>
  <c r="I2052" i="3"/>
  <c r="I2053" i="3"/>
  <c r="I2054" i="3"/>
  <c r="I2055" i="3"/>
  <c r="I2056" i="3"/>
  <c r="I2057" i="3"/>
  <c r="I2058" i="3"/>
  <c r="I2059" i="3"/>
  <c r="I2060" i="3"/>
  <c r="I2061" i="3"/>
  <c r="I2062" i="3"/>
  <c r="I2063" i="3"/>
  <c r="I2064" i="3"/>
  <c r="I2065" i="3"/>
  <c r="I2066" i="3"/>
  <c r="I2067" i="3"/>
  <c r="I2068" i="3"/>
  <c r="I2069" i="3"/>
  <c r="I2070" i="3"/>
  <c r="I2071" i="3"/>
  <c r="I2072" i="3"/>
  <c r="I2073" i="3"/>
  <c r="I2074" i="3"/>
  <c r="I2075" i="3"/>
  <c r="I2076" i="3"/>
  <c r="I2077" i="3"/>
  <c r="I2078" i="3"/>
  <c r="I2079" i="3"/>
  <c r="I2080" i="3"/>
  <c r="I2081" i="3"/>
  <c r="I2082" i="3"/>
  <c r="I2083" i="3"/>
  <c r="I2084" i="3"/>
  <c r="I2085" i="3"/>
  <c r="I2086" i="3"/>
  <c r="I2087" i="3"/>
  <c r="I2088" i="3"/>
  <c r="I2089" i="3"/>
  <c r="I2090" i="3"/>
  <c r="I2091" i="3"/>
  <c r="I2092" i="3"/>
  <c r="I2093" i="3"/>
  <c r="I2094" i="3"/>
  <c r="I2095" i="3"/>
  <c r="I2096" i="3"/>
  <c r="I2097" i="3"/>
  <c r="I2098" i="3"/>
  <c r="I2099" i="3"/>
  <c r="I2100" i="3"/>
  <c r="I2101" i="3"/>
  <c r="I2102" i="3"/>
  <c r="I2103" i="3"/>
  <c r="I2104" i="3"/>
  <c r="I2105" i="3"/>
  <c r="I2106" i="3"/>
  <c r="I2107" i="3"/>
  <c r="I2108" i="3"/>
  <c r="I2109" i="3"/>
  <c r="I2110" i="3"/>
  <c r="I2111" i="3"/>
  <c r="I2112" i="3"/>
  <c r="I2113" i="3"/>
  <c r="I2114" i="3"/>
  <c r="I2115" i="3"/>
  <c r="I2116" i="3"/>
  <c r="I2117" i="3"/>
  <c r="I2118" i="3"/>
  <c r="I2119" i="3"/>
  <c r="I2120" i="3"/>
  <c r="I2121" i="3"/>
  <c r="I2122" i="3"/>
  <c r="I2123" i="3"/>
  <c r="I2124" i="3"/>
  <c r="I2125" i="3"/>
  <c r="I2126" i="3"/>
  <c r="I2127" i="3"/>
  <c r="I2128" i="3"/>
  <c r="I2129" i="3"/>
  <c r="I2130" i="3"/>
  <c r="I2131" i="3"/>
  <c r="I2132" i="3"/>
  <c r="I2133" i="3"/>
  <c r="I2134" i="3"/>
  <c r="I2135" i="3"/>
  <c r="I2136" i="3"/>
  <c r="I2137" i="3"/>
  <c r="I2138" i="3"/>
  <c r="I2139" i="3"/>
  <c r="I2140" i="3"/>
  <c r="I2141" i="3"/>
  <c r="I2142" i="3"/>
  <c r="I2143" i="3"/>
  <c r="I2144" i="3"/>
  <c r="I2145" i="3"/>
  <c r="I2146" i="3"/>
  <c r="I2147" i="3"/>
  <c r="I2148" i="3"/>
  <c r="I2149" i="3"/>
  <c r="I2150" i="3"/>
  <c r="I2151" i="3"/>
  <c r="I2152" i="3"/>
  <c r="I2153" i="3"/>
  <c r="I2154" i="3"/>
  <c r="I2155" i="3"/>
  <c r="I2156" i="3"/>
  <c r="I2157" i="3"/>
  <c r="I2158" i="3"/>
  <c r="I2159" i="3"/>
  <c r="I2160" i="3"/>
  <c r="I2161" i="3"/>
  <c r="I2162" i="3"/>
  <c r="I2163" i="3"/>
  <c r="I2164" i="3"/>
  <c r="I2165" i="3"/>
  <c r="I2166" i="3"/>
  <c r="I2167" i="3"/>
  <c r="I2168" i="3"/>
  <c r="I2169" i="3"/>
  <c r="I2170" i="3"/>
  <c r="I2171" i="3"/>
  <c r="I2172" i="3"/>
  <c r="I2173" i="3"/>
  <c r="I2174" i="3"/>
  <c r="I2175" i="3"/>
  <c r="I2176" i="3"/>
  <c r="I2177" i="3"/>
  <c r="I2178" i="3"/>
  <c r="I2179" i="3"/>
  <c r="I2180" i="3"/>
  <c r="I2181" i="3"/>
  <c r="I2182" i="3"/>
  <c r="I2183" i="3"/>
  <c r="I2184" i="3"/>
  <c r="I2185" i="3"/>
  <c r="I2186" i="3"/>
  <c r="I2187" i="3"/>
  <c r="I2188" i="3"/>
  <c r="I2189" i="3"/>
  <c r="I2190" i="3"/>
  <c r="I2191" i="3"/>
  <c r="I2192" i="3"/>
  <c r="I2193" i="3"/>
  <c r="I2194" i="3"/>
  <c r="I2195" i="3"/>
  <c r="I2196" i="3"/>
  <c r="I2197" i="3"/>
  <c r="I2198" i="3"/>
  <c r="I2199" i="3"/>
  <c r="I2200" i="3"/>
  <c r="I2201" i="3"/>
  <c r="I2202" i="3"/>
  <c r="I2203" i="3"/>
  <c r="I2204" i="3"/>
  <c r="I2205" i="3"/>
  <c r="I2206" i="3"/>
  <c r="I2207" i="3"/>
  <c r="I2208" i="3"/>
  <c r="I2209" i="3"/>
  <c r="I2210" i="3"/>
  <c r="I2211" i="3"/>
  <c r="I2212" i="3"/>
  <c r="I2213" i="3"/>
  <c r="I2214" i="3"/>
  <c r="I2215" i="3"/>
  <c r="I2216" i="3"/>
  <c r="I2217" i="3"/>
  <c r="I2218" i="3"/>
  <c r="I2219" i="3"/>
  <c r="I2220" i="3"/>
  <c r="I2221" i="3"/>
  <c r="I2222" i="3"/>
  <c r="I2223" i="3"/>
  <c r="I2224" i="3"/>
  <c r="I2225" i="3"/>
  <c r="I2226" i="3"/>
  <c r="I2227" i="3"/>
  <c r="I2228" i="3"/>
  <c r="I2229" i="3"/>
  <c r="I2230" i="3"/>
  <c r="I2231" i="3"/>
  <c r="I2232" i="3"/>
  <c r="I2233" i="3"/>
  <c r="I2234" i="3"/>
  <c r="I2235" i="3"/>
  <c r="I2236" i="3"/>
  <c r="I2237" i="3"/>
  <c r="I2238" i="3"/>
  <c r="I2239" i="3"/>
  <c r="I2240" i="3"/>
  <c r="I2241" i="3"/>
  <c r="I2242" i="3"/>
  <c r="I2243" i="3"/>
  <c r="I2244" i="3"/>
  <c r="I2245" i="3"/>
  <c r="I2246" i="3"/>
  <c r="I2247" i="3"/>
  <c r="I2248" i="3"/>
  <c r="I2249" i="3"/>
  <c r="I2250" i="3"/>
  <c r="I2251" i="3"/>
  <c r="I2252" i="3"/>
  <c r="I2253" i="3"/>
  <c r="I2254" i="3"/>
  <c r="I2255" i="3"/>
  <c r="I2256" i="3"/>
  <c r="I2257" i="3"/>
  <c r="I2258" i="3"/>
  <c r="I2259" i="3"/>
  <c r="I2260" i="3"/>
  <c r="I2261" i="3"/>
  <c r="I2262" i="3"/>
  <c r="I2263" i="3"/>
  <c r="I2264" i="3"/>
  <c r="I2265" i="3"/>
  <c r="I2266" i="3"/>
  <c r="I2267" i="3"/>
  <c r="I2268" i="3"/>
  <c r="I2269" i="3"/>
  <c r="I2270" i="3"/>
  <c r="I2271" i="3"/>
  <c r="I2272" i="3"/>
  <c r="I2273" i="3"/>
  <c r="I2274" i="3"/>
  <c r="I2275" i="3"/>
  <c r="I2276" i="3"/>
  <c r="I2277" i="3"/>
  <c r="I2278" i="3"/>
  <c r="I2279" i="3"/>
  <c r="I2280" i="3"/>
  <c r="I2281" i="3"/>
  <c r="I2282" i="3"/>
  <c r="I2283" i="3"/>
  <c r="I2284" i="3"/>
  <c r="I2285" i="3"/>
  <c r="I2286" i="3"/>
  <c r="I2287" i="3"/>
  <c r="I2288" i="3"/>
  <c r="I2289" i="3"/>
  <c r="I2290" i="3"/>
  <c r="I2291" i="3"/>
  <c r="I2292" i="3"/>
  <c r="I2293" i="3"/>
  <c r="I2294" i="3"/>
  <c r="I2295" i="3"/>
  <c r="I2296" i="3"/>
  <c r="I2297" i="3"/>
  <c r="I2298" i="3"/>
  <c r="I2299" i="3"/>
  <c r="I2300" i="3"/>
  <c r="I2301" i="3"/>
  <c r="I2302" i="3"/>
  <c r="I2303" i="3"/>
  <c r="I2304" i="3"/>
  <c r="I2305" i="3"/>
  <c r="I2306" i="3"/>
  <c r="I2307" i="3"/>
  <c r="I2308" i="3"/>
  <c r="I2309" i="3"/>
  <c r="I2310" i="3"/>
  <c r="I2311" i="3"/>
  <c r="I2312" i="3"/>
  <c r="I2313" i="3"/>
  <c r="I2314" i="3"/>
  <c r="I2315" i="3"/>
  <c r="I2316" i="3"/>
  <c r="I2317" i="3"/>
  <c r="I2318" i="3"/>
  <c r="I2319" i="3"/>
  <c r="I2320" i="3"/>
  <c r="I2321" i="3"/>
  <c r="I2322" i="3"/>
  <c r="I2323" i="3"/>
  <c r="I2324" i="3"/>
  <c r="I2325" i="3"/>
  <c r="I2326" i="3"/>
  <c r="I2327" i="3"/>
  <c r="I2328" i="3"/>
  <c r="I2329" i="3"/>
  <c r="I2330" i="3"/>
  <c r="I2331" i="3"/>
  <c r="I2332" i="3"/>
  <c r="I2333" i="3"/>
  <c r="I2334" i="3"/>
  <c r="I2335" i="3"/>
  <c r="I2336" i="3"/>
  <c r="I2337" i="3"/>
  <c r="I2338" i="3"/>
  <c r="I2339" i="3"/>
  <c r="I2340" i="3"/>
  <c r="I2341" i="3"/>
  <c r="I2342" i="3"/>
  <c r="I2343" i="3"/>
  <c r="I2344" i="3"/>
  <c r="I2345" i="3"/>
  <c r="I2346" i="3"/>
  <c r="I2347" i="3"/>
  <c r="I2348" i="3"/>
  <c r="I2349" i="3"/>
  <c r="I2350" i="3"/>
  <c r="I2351" i="3"/>
  <c r="I2352" i="3"/>
  <c r="I2353" i="3"/>
  <c r="I2354" i="3"/>
  <c r="I2355" i="3"/>
  <c r="I2356" i="3"/>
  <c r="I2357" i="3"/>
  <c r="I2358" i="3"/>
  <c r="I2359" i="3"/>
  <c r="I2360" i="3"/>
  <c r="I2361" i="3"/>
  <c r="I2362" i="3"/>
  <c r="I2363" i="3"/>
  <c r="I2364" i="3"/>
  <c r="I2365" i="3"/>
  <c r="I2366" i="3"/>
  <c r="I2367" i="3"/>
  <c r="I2368" i="3"/>
  <c r="I2369" i="3"/>
  <c r="I2370" i="3"/>
  <c r="I2371" i="3"/>
  <c r="I2372" i="3"/>
  <c r="I2373" i="3"/>
  <c r="I2374" i="3"/>
  <c r="I2375" i="3"/>
  <c r="I2376" i="3"/>
  <c r="I2377" i="3"/>
  <c r="I2378" i="3"/>
  <c r="I2379" i="3"/>
  <c r="I2380" i="3"/>
  <c r="I2381" i="3"/>
  <c r="I2382" i="3"/>
  <c r="I2383" i="3"/>
  <c r="I2384" i="3"/>
  <c r="I2385" i="3"/>
  <c r="I2386" i="3"/>
  <c r="I2387" i="3"/>
  <c r="I2388" i="3"/>
  <c r="I2389" i="3"/>
  <c r="I2390" i="3"/>
  <c r="I2391" i="3"/>
  <c r="I2392" i="3"/>
  <c r="I2393" i="3"/>
  <c r="I2394" i="3"/>
  <c r="I2395" i="3"/>
  <c r="I2396" i="3"/>
  <c r="I2397" i="3"/>
  <c r="I2398" i="3"/>
  <c r="I2399" i="3"/>
  <c r="I2400" i="3"/>
  <c r="I2401" i="3"/>
  <c r="I2402" i="3"/>
  <c r="I2403" i="3"/>
  <c r="I2404" i="3"/>
  <c r="I2405" i="3"/>
  <c r="I2406" i="3"/>
  <c r="I2407" i="3"/>
  <c r="I2408" i="3"/>
  <c r="I2409" i="3"/>
  <c r="I2410" i="3"/>
  <c r="I2411" i="3"/>
  <c r="I2412" i="3"/>
  <c r="I2413" i="3"/>
  <c r="I2414" i="3"/>
  <c r="I2415" i="3"/>
  <c r="I2416" i="3"/>
  <c r="I2417" i="3"/>
  <c r="I2418" i="3"/>
  <c r="I2419" i="3"/>
  <c r="I2420" i="3"/>
  <c r="I2421" i="3"/>
  <c r="I2422" i="3"/>
  <c r="I2423" i="3"/>
  <c r="I2424" i="3"/>
  <c r="I2425" i="3"/>
  <c r="I2426" i="3"/>
  <c r="I2427" i="3"/>
  <c r="I2428" i="3"/>
  <c r="I2429" i="3"/>
  <c r="I2430" i="3"/>
  <c r="I2431" i="3"/>
  <c r="I2432" i="3"/>
  <c r="I2433" i="3"/>
  <c r="I2434" i="3"/>
  <c r="I2435" i="3"/>
  <c r="I2436" i="3"/>
  <c r="I2437" i="3"/>
  <c r="I2438" i="3"/>
  <c r="I2439" i="3"/>
  <c r="I2440" i="3"/>
  <c r="I2441" i="3"/>
  <c r="I2442" i="3"/>
  <c r="I2443" i="3"/>
  <c r="I2444" i="3"/>
  <c r="I2445" i="3"/>
  <c r="I2446" i="3"/>
  <c r="I2447" i="3"/>
  <c r="I2448" i="3"/>
  <c r="I2449" i="3"/>
  <c r="I2450" i="3"/>
  <c r="I2451" i="3"/>
  <c r="I2452" i="3"/>
  <c r="I2453" i="3"/>
  <c r="I2454" i="3"/>
  <c r="I2455" i="3"/>
  <c r="I2456" i="3"/>
  <c r="I2457" i="3"/>
  <c r="I2458" i="3"/>
  <c r="I2459" i="3"/>
  <c r="I2460" i="3"/>
  <c r="I2461" i="3"/>
  <c r="I2462" i="3"/>
  <c r="I2463" i="3"/>
  <c r="I2464" i="3"/>
  <c r="I2465" i="3"/>
  <c r="I2466" i="3"/>
  <c r="I2467" i="3"/>
  <c r="I2468" i="3"/>
  <c r="I2469" i="3"/>
  <c r="I2470" i="3"/>
  <c r="I2471" i="3"/>
  <c r="I2472" i="3"/>
  <c r="I2473" i="3"/>
  <c r="I2474" i="3"/>
  <c r="I2475" i="3"/>
  <c r="I2476" i="3"/>
  <c r="I2477" i="3"/>
  <c r="I2478" i="3"/>
  <c r="I2479" i="3"/>
  <c r="I2480" i="3"/>
  <c r="I2481" i="3"/>
  <c r="I2482" i="3"/>
  <c r="I2483" i="3"/>
  <c r="I2484" i="3"/>
  <c r="I2485" i="3"/>
  <c r="I2486" i="3"/>
  <c r="I2487" i="3"/>
  <c r="I2488" i="3"/>
  <c r="I2489" i="3"/>
  <c r="I2490" i="3"/>
  <c r="I2491" i="3"/>
  <c r="I2492" i="3"/>
  <c r="I2493" i="3"/>
  <c r="I2494" i="3"/>
  <c r="I2495" i="3"/>
  <c r="I2496" i="3"/>
  <c r="I2497" i="3"/>
  <c r="I2498" i="3"/>
  <c r="I2499"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552" i="3"/>
  <c r="I2553" i="3"/>
  <c r="I2554" i="3"/>
  <c r="I2555" i="3"/>
  <c r="I2556" i="3"/>
  <c r="I2557" i="3"/>
  <c r="I2558" i="3"/>
  <c r="I2559" i="3"/>
  <c r="I2560" i="3"/>
  <c r="I2561" i="3"/>
  <c r="I2562" i="3"/>
  <c r="I2563" i="3"/>
  <c r="I2564" i="3"/>
  <c r="I2565" i="3"/>
  <c r="I2566" i="3"/>
  <c r="I2567" i="3"/>
  <c r="I2568" i="3"/>
  <c r="I2569" i="3"/>
  <c r="I2570" i="3"/>
  <c r="I2571" i="3"/>
  <c r="I2572" i="3"/>
  <c r="I2573" i="3"/>
  <c r="I2574" i="3"/>
  <c r="I2575" i="3"/>
  <c r="I2576" i="3"/>
  <c r="I2577" i="3"/>
  <c r="I2578" i="3"/>
  <c r="I2579" i="3"/>
  <c r="I2580" i="3"/>
  <c r="I2581" i="3"/>
  <c r="I2582" i="3"/>
  <c r="I2583" i="3"/>
  <c r="I2584" i="3"/>
  <c r="I2585" i="3"/>
  <c r="I2586" i="3"/>
  <c r="I2587" i="3"/>
  <c r="I2588" i="3"/>
  <c r="I2589" i="3"/>
  <c r="I2590" i="3"/>
  <c r="I2591" i="3"/>
  <c r="I2592" i="3"/>
  <c r="I2593" i="3"/>
  <c r="I2594" i="3"/>
  <c r="I2595" i="3"/>
  <c r="I2596" i="3"/>
  <c r="I2597" i="3"/>
  <c r="I2598" i="3"/>
  <c r="I2599" i="3"/>
  <c r="I2600" i="3"/>
  <c r="I2601" i="3"/>
  <c r="I2602" i="3"/>
  <c r="I2603" i="3"/>
  <c r="I2604" i="3"/>
  <c r="I2605" i="3"/>
  <c r="I2606" i="3"/>
  <c r="I2607" i="3"/>
  <c r="I2608" i="3"/>
  <c r="I2609" i="3"/>
  <c r="I2610" i="3"/>
  <c r="I2611" i="3"/>
  <c r="I2612" i="3"/>
  <c r="I2613" i="3"/>
  <c r="I2614" i="3"/>
  <c r="I2615" i="3"/>
  <c r="I2616" i="3"/>
  <c r="I2617" i="3"/>
  <c r="I2618" i="3"/>
  <c r="I2619" i="3"/>
  <c r="I2620" i="3"/>
  <c r="I2621" i="3"/>
  <c r="I2622" i="3"/>
  <c r="I2623" i="3"/>
  <c r="I2624" i="3"/>
  <c r="I2625" i="3"/>
  <c r="I2626" i="3"/>
  <c r="I2627" i="3"/>
  <c r="I2628" i="3"/>
  <c r="I2629" i="3"/>
  <c r="I2630" i="3"/>
  <c r="I2631" i="3"/>
  <c r="I2632" i="3"/>
  <c r="I2633" i="3"/>
  <c r="I2634" i="3"/>
  <c r="I2635" i="3"/>
  <c r="I2636" i="3"/>
  <c r="I2637" i="3"/>
  <c r="I2638" i="3"/>
  <c r="I2639" i="3"/>
  <c r="I2640" i="3"/>
  <c r="I2641" i="3"/>
  <c r="I2642" i="3"/>
  <c r="I2643" i="3"/>
  <c r="I2644" i="3"/>
  <c r="I2645" i="3"/>
  <c r="I2646" i="3"/>
  <c r="I2647" i="3"/>
  <c r="I2648" i="3"/>
  <c r="I2649" i="3"/>
  <c r="I2650" i="3"/>
  <c r="I2651" i="3"/>
  <c r="I2652" i="3"/>
  <c r="I2653" i="3"/>
  <c r="I2654" i="3"/>
  <c r="I2655" i="3"/>
  <c r="I2656" i="3"/>
  <c r="I2657" i="3"/>
  <c r="I2658" i="3"/>
  <c r="I2659" i="3"/>
  <c r="I2660" i="3"/>
  <c r="I2661" i="3"/>
  <c r="I2662" i="3"/>
  <c r="I2663" i="3"/>
  <c r="I2664" i="3"/>
  <c r="I2665" i="3"/>
  <c r="I2666" i="3"/>
  <c r="I2667" i="3"/>
  <c r="I2668" i="3"/>
  <c r="I2669" i="3"/>
  <c r="I2670" i="3"/>
  <c r="I2671" i="3"/>
  <c r="I2672" i="3"/>
  <c r="I2673" i="3"/>
  <c r="I2674" i="3"/>
  <c r="I2675" i="3"/>
  <c r="I2676" i="3"/>
  <c r="I2677" i="3"/>
  <c r="I2678" i="3"/>
  <c r="I2679" i="3"/>
  <c r="I2680" i="3"/>
  <c r="I2681" i="3"/>
  <c r="I2682" i="3"/>
  <c r="I2683" i="3"/>
  <c r="I2684" i="3"/>
  <c r="I2685" i="3"/>
  <c r="I2686" i="3"/>
  <c r="I2687" i="3"/>
  <c r="I2688" i="3"/>
  <c r="I2689" i="3"/>
  <c r="I2690" i="3"/>
  <c r="I2691" i="3"/>
  <c r="I2692" i="3"/>
  <c r="I2693" i="3"/>
  <c r="I2694" i="3"/>
  <c r="I2695" i="3"/>
  <c r="I2696" i="3"/>
  <c r="I2697" i="3"/>
  <c r="I2698" i="3"/>
  <c r="I2699" i="3"/>
  <c r="I2700" i="3"/>
  <c r="I2701" i="3"/>
  <c r="I2702" i="3"/>
  <c r="I2703" i="3"/>
  <c r="I2704" i="3"/>
  <c r="I2705" i="3"/>
  <c r="I2706" i="3"/>
  <c r="I2707" i="3"/>
  <c r="I2708" i="3"/>
  <c r="I2709" i="3"/>
  <c r="I2710" i="3"/>
  <c r="I2711" i="3"/>
  <c r="I2712" i="3"/>
  <c r="I2713" i="3"/>
  <c r="I2714" i="3"/>
  <c r="I2715" i="3"/>
  <c r="I2716" i="3"/>
  <c r="I2717" i="3"/>
  <c r="I2718" i="3"/>
  <c r="I2719" i="3"/>
  <c r="I2720" i="3"/>
  <c r="I2721" i="3"/>
  <c r="I2722" i="3"/>
  <c r="I2723" i="3"/>
  <c r="I2724" i="3"/>
  <c r="I2725" i="3"/>
  <c r="I2726" i="3"/>
  <c r="I2727" i="3"/>
  <c r="I2728" i="3"/>
  <c r="I2729" i="3"/>
  <c r="I2730" i="3"/>
  <c r="I2731" i="3"/>
  <c r="I2732" i="3"/>
  <c r="I2733" i="3"/>
  <c r="I2734" i="3"/>
  <c r="I2735" i="3"/>
  <c r="I2736" i="3"/>
  <c r="I2737" i="3"/>
  <c r="I2738" i="3"/>
  <c r="I2739" i="3"/>
  <c r="I2740" i="3"/>
  <c r="I2741" i="3"/>
  <c r="I2742" i="3"/>
  <c r="I2743" i="3"/>
  <c r="I2744" i="3"/>
  <c r="I2745" i="3"/>
  <c r="I2746" i="3"/>
  <c r="I2747" i="3"/>
  <c r="I2748" i="3"/>
  <c r="I2749" i="3"/>
  <c r="I2750" i="3"/>
  <c r="I2751" i="3"/>
  <c r="I2752" i="3"/>
  <c r="I2753" i="3"/>
  <c r="I2754" i="3"/>
  <c r="I2755" i="3"/>
  <c r="I2756" i="3"/>
  <c r="I2757" i="3"/>
  <c r="I2758" i="3"/>
  <c r="I2759" i="3"/>
  <c r="I2760" i="3"/>
  <c r="I2761" i="3"/>
  <c r="I2762" i="3"/>
  <c r="I2763" i="3"/>
  <c r="I2764" i="3"/>
  <c r="I2765" i="3"/>
  <c r="I2766" i="3"/>
  <c r="I2767" i="3"/>
  <c r="I2768" i="3"/>
  <c r="I2769" i="3"/>
  <c r="I2770" i="3"/>
  <c r="I2771" i="3"/>
  <c r="I2772" i="3"/>
  <c r="I2773" i="3"/>
  <c r="I2774" i="3"/>
  <c r="I2775" i="3"/>
  <c r="I2776" i="3"/>
  <c r="I2777" i="3"/>
  <c r="I2778" i="3"/>
  <c r="I2779" i="3"/>
  <c r="I2780" i="3"/>
  <c r="I2781" i="3"/>
  <c r="I2782" i="3"/>
  <c r="I2783" i="3"/>
  <c r="I2784" i="3"/>
  <c r="I2785" i="3"/>
  <c r="I2786" i="3"/>
  <c r="I2787" i="3"/>
  <c r="I2788" i="3"/>
  <c r="I2789" i="3"/>
  <c r="I2790" i="3"/>
  <c r="I2791" i="3"/>
  <c r="I2792" i="3"/>
  <c r="I2793" i="3"/>
  <c r="I2794" i="3"/>
  <c r="I2795" i="3"/>
  <c r="I2796" i="3"/>
  <c r="I2797" i="3"/>
  <c r="I2798" i="3"/>
  <c r="I2799" i="3"/>
  <c r="I2800" i="3"/>
  <c r="I2801" i="3"/>
  <c r="I2802" i="3"/>
  <c r="I2803" i="3"/>
  <c r="I2804" i="3"/>
  <c r="I2805" i="3"/>
  <c r="I2806" i="3"/>
  <c r="I2807" i="3"/>
  <c r="I2808" i="3"/>
  <c r="I2809" i="3"/>
  <c r="I2810" i="3"/>
  <c r="I2811" i="3"/>
  <c r="I2812" i="3"/>
  <c r="I2813" i="3"/>
  <c r="I2814" i="3"/>
  <c r="I2815" i="3"/>
  <c r="I2816" i="3"/>
  <c r="I2817" i="3"/>
  <c r="I2818" i="3"/>
  <c r="I2819" i="3"/>
  <c r="I2820" i="3"/>
  <c r="I2821" i="3"/>
  <c r="I2822" i="3"/>
  <c r="I2823" i="3"/>
  <c r="I2824" i="3"/>
  <c r="I2825" i="3"/>
  <c r="I2826" i="3"/>
  <c r="I2827" i="3"/>
  <c r="I2828" i="3"/>
  <c r="I2829" i="3"/>
  <c r="I2830" i="3"/>
  <c r="I2831" i="3"/>
  <c r="I2832" i="3"/>
  <c r="I2833" i="3"/>
  <c r="I2834" i="3"/>
  <c r="I2835" i="3"/>
  <c r="I2836" i="3"/>
  <c r="I2837" i="3"/>
  <c r="I2838" i="3"/>
  <c r="I2839" i="3"/>
  <c r="I2840" i="3"/>
  <c r="I2841" i="3"/>
  <c r="I2842" i="3"/>
  <c r="I2843" i="3"/>
  <c r="I2844" i="3"/>
  <c r="I2845" i="3"/>
  <c r="I2846" i="3"/>
  <c r="I2847" i="3"/>
  <c r="I2848" i="3"/>
  <c r="I2849" i="3"/>
  <c r="I2850" i="3"/>
  <c r="I2851" i="3"/>
  <c r="I2852" i="3"/>
  <c r="I2853" i="3"/>
  <c r="I2854" i="3"/>
  <c r="I2855" i="3"/>
  <c r="I2856" i="3"/>
  <c r="I2857" i="3"/>
  <c r="I2858" i="3"/>
  <c r="I2859" i="3"/>
  <c r="I2860" i="3"/>
  <c r="I2861" i="3"/>
  <c r="I2862" i="3"/>
  <c r="I2863" i="3"/>
  <c r="I2864" i="3"/>
  <c r="I2865" i="3"/>
  <c r="I2866" i="3"/>
  <c r="I2867" i="3"/>
  <c r="I2868" i="3"/>
  <c r="I2869" i="3"/>
  <c r="I2870" i="3"/>
  <c r="I2871" i="3"/>
  <c r="I2872" i="3"/>
  <c r="I2873" i="3"/>
  <c r="I2874" i="3"/>
  <c r="I2875" i="3"/>
  <c r="I2876" i="3"/>
  <c r="I2877" i="3"/>
  <c r="I2878" i="3"/>
  <c r="I2879" i="3"/>
  <c r="I2880" i="3"/>
  <c r="I2881" i="3"/>
  <c r="I2882" i="3"/>
  <c r="I2883" i="3"/>
  <c r="I2884" i="3"/>
  <c r="I2885" i="3"/>
  <c r="I2886" i="3"/>
  <c r="I2887" i="3"/>
  <c r="I2888" i="3"/>
  <c r="I2889" i="3"/>
  <c r="I2890" i="3"/>
  <c r="I2891" i="3"/>
  <c r="I2892" i="3"/>
  <c r="I2893" i="3"/>
  <c r="I2894" i="3"/>
  <c r="I2895" i="3"/>
  <c r="I2896" i="3"/>
  <c r="I2897" i="3"/>
  <c r="I2898" i="3"/>
  <c r="I2899" i="3"/>
  <c r="I2900" i="3"/>
  <c r="I2901" i="3"/>
  <c r="I2902" i="3"/>
  <c r="I2903" i="3"/>
  <c r="I2904" i="3"/>
  <c r="I2905" i="3"/>
  <c r="I2906" i="3"/>
  <c r="I2907" i="3"/>
  <c r="I2908" i="3"/>
  <c r="I2909" i="3"/>
  <c r="I2910" i="3"/>
  <c r="I2911" i="3"/>
  <c r="I2912" i="3"/>
  <c r="I2913" i="3"/>
  <c r="I2914" i="3"/>
  <c r="I2915" i="3"/>
  <c r="I2916" i="3"/>
  <c r="I2917" i="3"/>
  <c r="I2918" i="3"/>
  <c r="I2919" i="3"/>
  <c r="I2920" i="3"/>
  <c r="I2921" i="3"/>
  <c r="I2922" i="3"/>
  <c r="I2923" i="3"/>
  <c r="I2924" i="3"/>
  <c r="I2925" i="3"/>
  <c r="I2926" i="3"/>
  <c r="I2927" i="3"/>
  <c r="I2928" i="3"/>
  <c r="I2929" i="3"/>
  <c r="I2930" i="3"/>
  <c r="I2931" i="3"/>
  <c r="I2932" i="3"/>
  <c r="I2933" i="3"/>
  <c r="I2934" i="3"/>
  <c r="I2935" i="3"/>
  <c r="I2936" i="3"/>
  <c r="I2937" i="3"/>
  <c r="I2938" i="3"/>
  <c r="I2939" i="3"/>
  <c r="I2940" i="3"/>
  <c r="I2941" i="3"/>
  <c r="I2942" i="3"/>
  <c r="I2943" i="3"/>
  <c r="I2944" i="3"/>
  <c r="I2945" i="3"/>
  <c r="I2946" i="3"/>
  <c r="I2947" i="3"/>
  <c r="I2948" i="3"/>
  <c r="I2949" i="3"/>
  <c r="I2950" i="3"/>
  <c r="I2951" i="3"/>
  <c r="I2952" i="3"/>
  <c r="I2953" i="3"/>
  <c r="I2954" i="3"/>
  <c r="I2955" i="3"/>
  <c r="I2956" i="3"/>
  <c r="I2957" i="3"/>
  <c r="I2958" i="3"/>
  <c r="I2959" i="3"/>
  <c r="I2960" i="3"/>
  <c r="I2961" i="3"/>
  <c r="I2962" i="3"/>
  <c r="I2963" i="3"/>
  <c r="I2964" i="3"/>
  <c r="I2965" i="3"/>
  <c r="I2966" i="3"/>
  <c r="I2967" i="3"/>
  <c r="I2968" i="3"/>
  <c r="I2969" i="3"/>
  <c r="I2970" i="3"/>
  <c r="I2971" i="3"/>
  <c r="I2972" i="3"/>
  <c r="I2973" i="3"/>
  <c r="I2974" i="3"/>
  <c r="I2975" i="3"/>
  <c r="I2976" i="3"/>
  <c r="I2977" i="3"/>
  <c r="I2978" i="3"/>
  <c r="I2979" i="3"/>
  <c r="I2980" i="3"/>
  <c r="I2981" i="3"/>
  <c r="I2982" i="3"/>
  <c r="I2983" i="3"/>
  <c r="I2984" i="3"/>
  <c r="I2985" i="3"/>
  <c r="I2986" i="3"/>
  <c r="I2987" i="3"/>
  <c r="I2988" i="3"/>
  <c r="I2989" i="3"/>
  <c r="I2990" i="3"/>
  <c r="I2991" i="3"/>
  <c r="I2992" i="3"/>
  <c r="I2993" i="3"/>
  <c r="I2994" i="3"/>
  <c r="I2995" i="3"/>
  <c r="I2996" i="3"/>
  <c r="I2997" i="3"/>
  <c r="I2998" i="3"/>
  <c r="I2999" i="3"/>
  <c r="I3000" i="3"/>
  <c r="I3001" i="3"/>
  <c r="I3002" i="3"/>
  <c r="I3003" i="3"/>
  <c r="I3004" i="3"/>
  <c r="I3005" i="3"/>
  <c r="I3006" i="3"/>
  <c r="I3007" i="3"/>
  <c r="I3008" i="3"/>
  <c r="I3009" i="3"/>
  <c r="I3010" i="3"/>
  <c r="I3011" i="3"/>
  <c r="I3012" i="3"/>
  <c r="I3013" i="3"/>
  <c r="I3014" i="3"/>
  <c r="I3015" i="3"/>
  <c r="I3016" i="3"/>
  <c r="I3017" i="3"/>
  <c r="I3018" i="3"/>
  <c r="I3019" i="3"/>
  <c r="I3020" i="3"/>
  <c r="I3021" i="3"/>
  <c r="I3022" i="3"/>
  <c r="I3023" i="3"/>
  <c r="I3024" i="3"/>
  <c r="I3025" i="3"/>
  <c r="I3026" i="3"/>
  <c r="I3027" i="3"/>
  <c r="I3028" i="3"/>
  <c r="I3029" i="3"/>
  <c r="I3030" i="3"/>
  <c r="I3031" i="3"/>
  <c r="I3032" i="3"/>
  <c r="I3033" i="3"/>
  <c r="I3034" i="3"/>
  <c r="I3035" i="3"/>
  <c r="I3036" i="3"/>
  <c r="I3037" i="3"/>
  <c r="I3038" i="3"/>
  <c r="I3039" i="3"/>
  <c r="I3040" i="3"/>
  <c r="I3041" i="3"/>
  <c r="I3042" i="3"/>
  <c r="I3043" i="3"/>
  <c r="I3044" i="3"/>
  <c r="I3045" i="3"/>
  <c r="I3046" i="3"/>
  <c r="I3047" i="3"/>
  <c r="I3048" i="3"/>
  <c r="I3049" i="3"/>
  <c r="I3050" i="3"/>
  <c r="I3051" i="3"/>
  <c r="I3052" i="3"/>
  <c r="I3053" i="3"/>
  <c r="I3054" i="3"/>
  <c r="I3055" i="3"/>
  <c r="I3056" i="3"/>
  <c r="I3057" i="3"/>
  <c r="I3058" i="3"/>
  <c r="I3059" i="3"/>
  <c r="I3060" i="3"/>
  <c r="I3061" i="3"/>
  <c r="I3062" i="3"/>
  <c r="I3063" i="3"/>
  <c r="I3064" i="3"/>
  <c r="I3065" i="3"/>
  <c r="I3066" i="3"/>
  <c r="I3067" i="3"/>
  <c r="I3068" i="3"/>
  <c r="I3069" i="3"/>
  <c r="I3070" i="3"/>
  <c r="I3071" i="3"/>
  <c r="I3072" i="3"/>
  <c r="I3073" i="3"/>
  <c r="I3074" i="3"/>
  <c r="I3075" i="3"/>
  <c r="I3076" i="3"/>
  <c r="I3077" i="3"/>
  <c r="I3078" i="3"/>
  <c r="I3079" i="3"/>
  <c r="I3080" i="3"/>
  <c r="I3081" i="3"/>
  <c r="I3082" i="3"/>
  <c r="I3083" i="3"/>
  <c r="I3084" i="3"/>
  <c r="I3085" i="3"/>
  <c r="I3086" i="3"/>
  <c r="I3087" i="3"/>
  <c r="I3088" i="3"/>
  <c r="I3089" i="3"/>
  <c r="I3090" i="3"/>
  <c r="I3091" i="3"/>
  <c r="I3092" i="3"/>
  <c r="I3093" i="3"/>
  <c r="I3094" i="3"/>
  <c r="I3095" i="3"/>
  <c r="I3096" i="3"/>
  <c r="I3097" i="3"/>
  <c r="I3098" i="3"/>
  <c r="I3099" i="3"/>
  <c r="I3100" i="3"/>
  <c r="I3101" i="3"/>
  <c r="I3102" i="3"/>
  <c r="I3103" i="3"/>
  <c r="I3104" i="3"/>
  <c r="I3105" i="3"/>
  <c r="I3106" i="3"/>
  <c r="I3107" i="3"/>
  <c r="I3108" i="3"/>
  <c r="I3109" i="3"/>
  <c r="I3110" i="3"/>
  <c r="I3111" i="3"/>
  <c r="I3112" i="3"/>
  <c r="I3113" i="3"/>
  <c r="I3114" i="3"/>
  <c r="I3115" i="3"/>
  <c r="I3116" i="3"/>
  <c r="I3117" i="3"/>
  <c r="I3118" i="3"/>
  <c r="I3119" i="3"/>
  <c r="I3120" i="3"/>
  <c r="I3121" i="3"/>
  <c r="I3122" i="3"/>
  <c r="I3123" i="3"/>
  <c r="I3124" i="3"/>
  <c r="I3125" i="3"/>
  <c r="I3126" i="3"/>
  <c r="I3127" i="3"/>
  <c r="I3128" i="3"/>
  <c r="I3129" i="3"/>
  <c r="I3130" i="3"/>
  <c r="I3131" i="3"/>
  <c r="I3132" i="3"/>
  <c r="I3133" i="3"/>
  <c r="I3134" i="3"/>
  <c r="I3135" i="3"/>
  <c r="I3136" i="3"/>
  <c r="I3137" i="3"/>
  <c r="I3138" i="3"/>
  <c r="I3139" i="3"/>
  <c r="I3140" i="3"/>
  <c r="I3141" i="3"/>
  <c r="I3142" i="3"/>
  <c r="I3143" i="3"/>
  <c r="I3144" i="3"/>
  <c r="I3145" i="3"/>
  <c r="I3146" i="3"/>
  <c r="I3147" i="3"/>
  <c r="I3148" i="3"/>
  <c r="I3149" i="3"/>
  <c r="I3150" i="3"/>
  <c r="I3151" i="3"/>
  <c r="I3152" i="3"/>
  <c r="I3153" i="3"/>
  <c r="I3154" i="3"/>
  <c r="I3155" i="3"/>
  <c r="I3156" i="3"/>
  <c r="I3157" i="3"/>
  <c r="I3158" i="3"/>
  <c r="I3159" i="3"/>
  <c r="I3160" i="3"/>
  <c r="I3161" i="3"/>
  <c r="I3162" i="3"/>
  <c r="I3163" i="3"/>
  <c r="I3164" i="3"/>
  <c r="I3165" i="3"/>
  <c r="I3166" i="3"/>
  <c r="I3167" i="3"/>
  <c r="I3168" i="3"/>
  <c r="I3169" i="3"/>
  <c r="I3170" i="3"/>
  <c r="I3171" i="3"/>
  <c r="I3172" i="3"/>
  <c r="I3173" i="3"/>
  <c r="I3174" i="3"/>
  <c r="I3175" i="3"/>
  <c r="I3176" i="3"/>
  <c r="I3177" i="3"/>
  <c r="I3178" i="3"/>
  <c r="I3179" i="3"/>
  <c r="I3180" i="3"/>
  <c r="I3181" i="3"/>
  <c r="I3182" i="3"/>
  <c r="I3183" i="3"/>
  <c r="I3184" i="3"/>
  <c r="I3185" i="3"/>
  <c r="I3186" i="3"/>
  <c r="I3187" i="3"/>
  <c r="I3188" i="3"/>
  <c r="I3189" i="3"/>
  <c r="I3190" i="3"/>
  <c r="I3191" i="3"/>
  <c r="I3192" i="3"/>
  <c r="I3193" i="3"/>
  <c r="I3194" i="3"/>
  <c r="I3195" i="3"/>
  <c r="I3196" i="3"/>
  <c r="I3197" i="3"/>
  <c r="I3198" i="3"/>
  <c r="I3199" i="3"/>
  <c r="I3200" i="3"/>
  <c r="I3201" i="3"/>
  <c r="I3202" i="3"/>
  <c r="I3203" i="3"/>
  <c r="I3204" i="3"/>
  <c r="I3205" i="3"/>
  <c r="I3206" i="3"/>
  <c r="I3207" i="3"/>
  <c r="I3208" i="3"/>
  <c r="I3209" i="3"/>
  <c r="I3210" i="3"/>
  <c r="I3211" i="3"/>
  <c r="I3212" i="3"/>
  <c r="I3213" i="3"/>
  <c r="I3214" i="3"/>
  <c r="I3215" i="3"/>
  <c r="I3216" i="3"/>
  <c r="I3217" i="3"/>
  <c r="I3218" i="3"/>
  <c r="I3219" i="3"/>
  <c r="I3220" i="3"/>
  <c r="I3221" i="3"/>
  <c r="I3222" i="3"/>
  <c r="I3223" i="3"/>
  <c r="I3224" i="3"/>
  <c r="I3225" i="3"/>
  <c r="I3226" i="3"/>
  <c r="I3227" i="3"/>
  <c r="I3228" i="3"/>
  <c r="I3229" i="3"/>
  <c r="I3230" i="3"/>
  <c r="I3231" i="3"/>
  <c r="I3232" i="3"/>
  <c r="I3233" i="3"/>
  <c r="I3234" i="3"/>
  <c r="I3235" i="3"/>
  <c r="I3236" i="3"/>
  <c r="I3237" i="3"/>
  <c r="I3238" i="3"/>
  <c r="I3239" i="3"/>
  <c r="I3240" i="3"/>
  <c r="I3241" i="3"/>
  <c r="I3242" i="3"/>
  <c r="I3243" i="3"/>
  <c r="I3244" i="3"/>
  <c r="I3245" i="3"/>
  <c r="I3246" i="3"/>
  <c r="I3247" i="3"/>
  <c r="I3248" i="3"/>
  <c r="I3249" i="3"/>
  <c r="I3250" i="3"/>
  <c r="I3251" i="3"/>
  <c r="I3252" i="3"/>
  <c r="I3253" i="3"/>
  <c r="I3254" i="3"/>
  <c r="I3255" i="3"/>
  <c r="I3256" i="3"/>
  <c r="I3257" i="3"/>
  <c r="I3258" i="3"/>
  <c r="I3259" i="3"/>
  <c r="I3260" i="3"/>
  <c r="I3261" i="3"/>
  <c r="I3262" i="3"/>
  <c r="I3263" i="3"/>
  <c r="I3264" i="3"/>
  <c r="I3265" i="3"/>
  <c r="I3266" i="3"/>
  <c r="I3267" i="3"/>
  <c r="I3268" i="3"/>
  <c r="I3269" i="3"/>
  <c r="I3270" i="3"/>
  <c r="I3271" i="3"/>
  <c r="I3272" i="3"/>
  <c r="I3273" i="3"/>
  <c r="I3274" i="3"/>
  <c r="I3275" i="3"/>
  <c r="I3276" i="3"/>
  <c r="I3277" i="3"/>
  <c r="I3278" i="3"/>
  <c r="I3279" i="3"/>
  <c r="I3280" i="3"/>
  <c r="I3281" i="3"/>
  <c r="I3282" i="3"/>
  <c r="I3283" i="3"/>
  <c r="I3284" i="3"/>
  <c r="I3285" i="3"/>
  <c r="I3286" i="3"/>
  <c r="I3287" i="3"/>
  <c r="I3288" i="3"/>
  <c r="I3289" i="3"/>
  <c r="I3290" i="3"/>
  <c r="I3291" i="3"/>
  <c r="I3292" i="3"/>
  <c r="I3293" i="3"/>
  <c r="I3294" i="3"/>
  <c r="I3295" i="3"/>
  <c r="I3296" i="3"/>
  <c r="I3297" i="3"/>
  <c r="I3298" i="3"/>
  <c r="I3299" i="3"/>
  <c r="I3300" i="3"/>
  <c r="I3301" i="3"/>
  <c r="I3302" i="3"/>
  <c r="I3303" i="3"/>
  <c r="I3304" i="3"/>
  <c r="I3305" i="3"/>
  <c r="I3306" i="3"/>
  <c r="I3307" i="3"/>
  <c r="I3308" i="3"/>
  <c r="I3309" i="3"/>
  <c r="I3310" i="3"/>
  <c r="I3311" i="3"/>
  <c r="I3312" i="3"/>
  <c r="I3313" i="3"/>
  <c r="I3314" i="3"/>
  <c r="I3315" i="3"/>
  <c r="I3316" i="3"/>
  <c r="I3317" i="3"/>
  <c r="I3318" i="3"/>
  <c r="I3319" i="3"/>
  <c r="I3320" i="3"/>
  <c r="I3321" i="3"/>
  <c r="I3322" i="3"/>
  <c r="I3323" i="3"/>
  <c r="I3324" i="3"/>
  <c r="I3325" i="3"/>
  <c r="I3326" i="3"/>
  <c r="I3327" i="3"/>
  <c r="I3328" i="3"/>
  <c r="I3329" i="3"/>
  <c r="I3330" i="3"/>
  <c r="I3331" i="3"/>
  <c r="I3332" i="3"/>
  <c r="I3333" i="3"/>
  <c r="I3334" i="3"/>
  <c r="I3335" i="3"/>
  <c r="I3336" i="3"/>
  <c r="I3337" i="3"/>
  <c r="I3338" i="3"/>
  <c r="I3339" i="3"/>
  <c r="I3340" i="3"/>
  <c r="I3341" i="3"/>
  <c r="I3342" i="3"/>
  <c r="I3343" i="3"/>
  <c r="I3344" i="3"/>
  <c r="I3345" i="3"/>
  <c r="I3346" i="3"/>
  <c r="I3347" i="3"/>
  <c r="I3348" i="3"/>
  <c r="I3349" i="3"/>
  <c r="I3350" i="3"/>
  <c r="I3351" i="3"/>
  <c r="I3352" i="3"/>
  <c r="I3353" i="3"/>
  <c r="I3354" i="3"/>
  <c r="I3355" i="3"/>
  <c r="I3356" i="3"/>
  <c r="I3357" i="3"/>
  <c r="I3358" i="3"/>
  <c r="I3359" i="3"/>
  <c r="I3360" i="3"/>
  <c r="I3361" i="3"/>
  <c r="I3362" i="3"/>
  <c r="I3363" i="3"/>
  <c r="I3364" i="3"/>
  <c r="I3365" i="3"/>
  <c r="I3366" i="3"/>
  <c r="I3367" i="3"/>
  <c r="I3368" i="3"/>
  <c r="I3369" i="3"/>
  <c r="I3370" i="3"/>
  <c r="I3371" i="3"/>
  <c r="I3372" i="3"/>
  <c r="I3373" i="3"/>
  <c r="I3374" i="3"/>
  <c r="I3375" i="3"/>
  <c r="I3376" i="3"/>
  <c r="I3377" i="3"/>
  <c r="I3378" i="3"/>
  <c r="I3379" i="3"/>
  <c r="I3380" i="3"/>
  <c r="I3381" i="3"/>
  <c r="I3382" i="3"/>
  <c r="I3383" i="3"/>
  <c r="I3384" i="3"/>
  <c r="I3385" i="3"/>
  <c r="I3386" i="3"/>
  <c r="I3387" i="3"/>
  <c r="I3388" i="3"/>
  <c r="I3389" i="3"/>
  <c r="I3390" i="3"/>
  <c r="I3391" i="3"/>
  <c r="I3392" i="3"/>
  <c r="I3393" i="3"/>
  <c r="I3394" i="3"/>
  <c r="I3395" i="3"/>
  <c r="I3396" i="3"/>
  <c r="I3397" i="3"/>
  <c r="I3398" i="3"/>
  <c r="I3399" i="3"/>
  <c r="I3400" i="3"/>
  <c r="I3401" i="3"/>
  <c r="I3402" i="3"/>
  <c r="I3403" i="3"/>
  <c r="I3404" i="3"/>
  <c r="I3405" i="3"/>
  <c r="I3406" i="3"/>
  <c r="I3407" i="3"/>
  <c r="I3408" i="3"/>
  <c r="I3409" i="3"/>
  <c r="I3410" i="3"/>
  <c r="I3411" i="3"/>
  <c r="I3412" i="3"/>
  <c r="I3413" i="3"/>
  <c r="I3414" i="3"/>
  <c r="I3415" i="3"/>
  <c r="I3416" i="3"/>
  <c r="I3417" i="3"/>
  <c r="I3418" i="3"/>
  <c r="I3419" i="3"/>
  <c r="I3420" i="3"/>
  <c r="I3421" i="3"/>
  <c r="I3422" i="3"/>
  <c r="I3423" i="3"/>
  <c r="I3424" i="3"/>
  <c r="I3425" i="3"/>
  <c r="I3426" i="3"/>
  <c r="I3427" i="3"/>
  <c r="I3428" i="3"/>
  <c r="I3429" i="3"/>
  <c r="I3430" i="3"/>
  <c r="I3431" i="3"/>
  <c r="I3432" i="3"/>
  <c r="I3433" i="3"/>
  <c r="I3434" i="3"/>
  <c r="I3435" i="3"/>
  <c r="I3436" i="3"/>
  <c r="I3437" i="3"/>
  <c r="I3438" i="3"/>
  <c r="I3439" i="3"/>
  <c r="I3440" i="3"/>
  <c r="I3441" i="3"/>
  <c r="I3442" i="3"/>
  <c r="I3443" i="3"/>
  <c r="I3444" i="3"/>
  <c r="I3445" i="3"/>
  <c r="I3446" i="3"/>
  <c r="I3447" i="3"/>
  <c r="I3448" i="3"/>
  <c r="I3449" i="3"/>
  <c r="I3450" i="3"/>
  <c r="I3451" i="3"/>
  <c r="I3452" i="3"/>
  <c r="I3453" i="3"/>
  <c r="I3454" i="3"/>
  <c r="I3455" i="3"/>
  <c r="I3456" i="3"/>
  <c r="I3457" i="3"/>
  <c r="I3458" i="3"/>
  <c r="I3459" i="3"/>
  <c r="I3460" i="3"/>
  <c r="I3461" i="3"/>
  <c r="I3462" i="3"/>
  <c r="I3463" i="3"/>
  <c r="I3464" i="3"/>
  <c r="I3465" i="3"/>
  <c r="I3466" i="3"/>
  <c r="I3467" i="3"/>
  <c r="I3468" i="3"/>
  <c r="I3469" i="3"/>
  <c r="I3470" i="3"/>
  <c r="I3471" i="3"/>
  <c r="I3472" i="3"/>
  <c r="I3473" i="3"/>
  <c r="I3474" i="3"/>
  <c r="I3475" i="3"/>
  <c r="I3476" i="3"/>
  <c r="I3477" i="3"/>
  <c r="I3478" i="3"/>
  <c r="I3479" i="3"/>
  <c r="I3480" i="3"/>
  <c r="I3481" i="3"/>
  <c r="I3482" i="3"/>
  <c r="I3483" i="3"/>
  <c r="I3484" i="3"/>
  <c r="I3485" i="3"/>
  <c r="I3486" i="3"/>
  <c r="I3487" i="3"/>
  <c r="I3488" i="3"/>
  <c r="I3489" i="3"/>
  <c r="I3490" i="3"/>
  <c r="I3491" i="3"/>
  <c r="I3492" i="3"/>
  <c r="I3493" i="3"/>
  <c r="I3494" i="3"/>
  <c r="I3495" i="3"/>
  <c r="I3496" i="3"/>
  <c r="I3497" i="3"/>
  <c r="I3498" i="3"/>
  <c r="I3499" i="3"/>
  <c r="I3500" i="3"/>
  <c r="I3501" i="3"/>
  <c r="I3502" i="3"/>
  <c r="I3503" i="3"/>
  <c r="I3504" i="3"/>
  <c r="I3505" i="3"/>
  <c r="I3506" i="3"/>
  <c r="I3507" i="3"/>
  <c r="I3508" i="3"/>
  <c r="I3509" i="3"/>
  <c r="I3510" i="3"/>
  <c r="I3511" i="3"/>
  <c r="I3512" i="3"/>
  <c r="I3513" i="3"/>
  <c r="I3514" i="3"/>
  <c r="I3515" i="3"/>
  <c r="I3516" i="3"/>
  <c r="I3517" i="3"/>
  <c r="I3518" i="3"/>
  <c r="I3519" i="3"/>
  <c r="I3520" i="3"/>
  <c r="I3521" i="3"/>
  <c r="I3522" i="3"/>
  <c r="I3523" i="3"/>
  <c r="I3524" i="3"/>
  <c r="I3525" i="3"/>
  <c r="I3526" i="3"/>
  <c r="I3527" i="3"/>
  <c r="I3528" i="3"/>
  <c r="I3529" i="3"/>
  <c r="I3530" i="3"/>
  <c r="I3531" i="3"/>
  <c r="I3532" i="3"/>
  <c r="I3533" i="3"/>
  <c r="I3534" i="3"/>
  <c r="I3535" i="3"/>
  <c r="I3536" i="3"/>
  <c r="I3537" i="3"/>
  <c r="I3538" i="3"/>
  <c r="I3539" i="3"/>
  <c r="I3540" i="3"/>
  <c r="I3541" i="3"/>
  <c r="I3542" i="3"/>
  <c r="I3543" i="3"/>
  <c r="I3544" i="3"/>
  <c r="I3545" i="3"/>
  <c r="I3546" i="3"/>
  <c r="I3547" i="3"/>
  <c r="I3548" i="3"/>
  <c r="I3549" i="3"/>
  <c r="I3550" i="3"/>
  <c r="I3551" i="3"/>
  <c r="I3552" i="3"/>
  <c r="I3553" i="3"/>
  <c r="I3554" i="3"/>
  <c r="I3555" i="3"/>
  <c r="I3556" i="3"/>
  <c r="I3557" i="3"/>
  <c r="I3558" i="3"/>
  <c r="I3559" i="3"/>
  <c r="I3560" i="3"/>
  <c r="I3561" i="3"/>
  <c r="I3562" i="3"/>
  <c r="I3563" i="3"/>
  <c r="I3564" i="3"/>
  <c r="I3565" i="3"/>
  <c r="I3566" i="3"/>
  <c r="I3567" i="3"/>
  <c r="I3568" i="3"/>
  <c r="I3569" i="3"/>
  <c r="I3570" i="3"/>
  <c r="I3571" i="3"/>
  <c r="I3572" i="3"/>
  <c r="I3573" i="3"/>
  <c r="I3574" i="3"/>
  <c r="I3575" i="3"/>
  <c r="I3576" i="3"/>
  <c r="I3577" i="3"/>
  <c r="I3578" i="3"/>
  <c r="I3579" i="3"/>
  <c r="I3580" i="3"/>
  <c r="I3581" i="3"/>
  <c r="I3582" i="3"/>
  <c r="I3583" i="3"/>
  <c r="I3584" i="3"/>
  <c r="I3585" i="3"/>
  <c r="I3586" i="3"/>
  <c r="I3587" i="3"/>
  <c r="I3588" i="3"/>
  <c r="I3589" i="3"/>
  <c r="I3590" i="3"/>
  <c r="I3591" i="3"/>
  <c r="I3592" i="3"/>
  <c r="I3593" i="3"/>
  <c r="I3594" i="3"/>
  <c r="I3595" i="3"/>
  <c r="I3596" i="3"/>
  <c r="I3597" i="3"/>
  <c r="I3598" i="3"/>
  <c r="I3599" i="3"/>
  <c r="I3600" i="3"/>
  <c r="I3601" i="3"/>
  <c r="I3602" i="3"/>
  <c r="I3603" i="3"/>
  <c r="I3604" i="3"/>
  <c r="I3605" i="3"/>
  <c r="I3606" i="3"/>
  <c r="I3607" i="3"/>
  <c r="I3608" i="3"/>
  <c r="I3609" i="3"/>
  <c r="I3610" i="3"/>
  <c r="I3611" i="3"/>
  <c r="I3612" i="3"/>
  <c r="I3613" i="3"/>
  <c r="I3614" i="3"/>
  <c r="I3615" i="3"/>
  <c r="I3616" i="3"/>
  <c r="I3617" i="3"/>
  <c r="I3618" i="3"/>
  <c r="I3619" i="3"/>
  <c r="I3620" i="3"/>
  <c r="I3621" i="3"/>
  <c r="I3622" i="3"/>
  <c r="I3623" i="3"/>
  <c r="I3624" i="3"/>
  <c r="I3625" i="3"/>
  <c r="I3626" i="3"/>
  <c r="I3627" i="3"/>
  <c r="I3628" i="3"/>
  <c r="I3629" i="3"/>
  <c r="I3630" i="3"/>
  <c r="I3631" i="3"/>
  <c r="I3632" i="3"/>
  <c r="I3633" i="3"/>
  <c r="I3634" i="3"/>
  <c r="I3635" i="3"/>
  <c r="I3636" i="3"/>
  <c r="I3637"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49" i="3"/>
  <c r="K1050" i="3"/>
  <c r="K1051" i="3"/>
  <c r="K1052"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340" i="3"/>
  <c r="K2341" i="3"/>
  <c r="K2342" i="3"/>
  <c r="K2343" i="3"/>
  <c r="K2344" i="3"/>
  <c r="K2345" i="3"/>
  <c r="K2346" i="3"/>
  <c r="K2347" i="3"/>
  <c r="K2348" i="3"/>
  <c r="K2349" i="3"/>
  <c r="K2350" i="3"/>
  <c r="K2351" i="3"/>
  <c r="K2352" i="3"/>
  <c r="K2353" i="3"/>
  <c r="K2354" i="3"/>
  <c r="K2355" i="3"/>
  <c r="K2356" i="3"/>
  <c r="K2357" i="3"/>
  <c r="K2358" i="3"/>
  <c r="K2359" i="3"/>
  <c r="K2360" i="3"/>
  <c r="K2361" i="3"/>
  <c r="K2362" i="3"/>
  <c r="K2363" i="3"/>
  <c r="K2364" i="3"/>
  <c r="K2365" i="3"/>
  <c r="K2366" i="3"/>
  <c r="K2367" i="3"/>
  <c r="K2368" i="3"/>
  <c r="K2369" i="3"/>
  <c r="K2370" i="3"/>
  <c r="K2371" i="3"/>
  <c r="K2372" i="3"/>
  <c r="K2373" i="3"/>
  <c r="K2374" i="3"/>
  <c r="K2375" i="3"/>
  <c r="K2376" i="3"/>
  <c r="K2377" i="3"/>
  <c r="K2378" i="3"/>
  <c r="K2379" i="3"/>
  <c r="K2380" i="3"/>
  <c r="K2381" i="3"/>
  <c r="K2382" i="3"/>
  <c r="K2383" i="3"/>
  <c r="K2384" i="3"/>
  <c r="K2385" i="3"/>
  <c r="K2386" i="3"/>
  <c r="K2387" i="3"/>
  <c r="K2388" i="3"/>
  <c r="K2389" i="3"/>
  <c r="K2390" i="3"/>
  <c r="K2391" i="3"/>
  <c r="K2392" i="3"/>
  <c r="K2393" i="3"/>
  <c r="K2394" i="3"/>
  <c r="K2395" i="3"/>
  <c r="K2396" i="3"/>
  <c r="K2397" i="3"/>
  <c r="K2398" i="3"/>
  <c r="K2399" i="3"/>
  <c r="K2400" i="3"/>
  <c r="K2401" i="3"/>
  <c r="K2402" i="3"/>
  <c r="K2403" i="3"/>
  <c r="K2404" i="3"/>
  <c r="K2405" i="3"/>
  <c r="K2406" i="3"/>
  <c r="K2407" i="3"/>
  <c r="K2408" i="3"/>
  <c r="K2409" i="3"/>
  <c r="K2410" i="3"/>
  <c r="K2411" i="3"/>
  <c r="K2412" i="3"/>
  <c r="K2413" i="3"/>
  <c r="K2414" i="3"/>
  <c r="K2415" i="3"/>
  <c r="K2416" i="3"/>
  <c r="K2417" i="3"/>
  <c r="K2418" i="3"/>
  <c r="K2419" i="3"/>
  <c r="K2420" i="3"/>
  <c r="K2421" i="3"/>
  <c r="K2422" i="3"/>
  <c r="K2423" i="3"/>
  <c r="K2424" i="3"/>
  <c r="K2425" i="3"/>
  <c r="K2426" i="3"/>
  <c r="K2427" i="3"/>
  <c r="K2428" i="3"/>
  <c r="K2429" i="3"/>
  <c r="K2430" i="3"/>
  <c r="K2431" i="3"/>
  <c r="K2432" i="3"/>
  <c r="K2433" i="3"/>
  <c r="K2434" i="3"/>
  <c r="K2435" i="3"/>
  <c r="K2436" i="3"/>
  <c r="K2437" i="3"/>
  <c r="K2438" i="3"/>
  <c r="K2439" i="3"/>
  <c r="K2440" i="3"/>
  <c r="K2441" i="3"/>
  <c r="K2442" i="3"/>
  <c r="K2443" i="3"/>
  <c r="K2444" i="3"/>
  <c r="K2445" i="3"/>
  <c r="K2446" i="3"/>
  <c r="K2447" i="3"/>
  <c r="K2448" i="3"/>
  <c r="K2449" i="3"/>
  <c r="K2450" i="3"/>
  <c r="K2451" i="3"/>
  <c r="K2452" i="3"/>
  <c r="K2453" i="3"/>
  <c r="K2454" i="3"/>
  <c r="K2455" i="3"/>
  <c r="K2456" i="3"/>
  <c r="K2457" i="3"/>
  <c r="K2458" i="3"/>
  <c r="K2459" i="3"/>
  <c r="K2460" i="3"/>
  <c r="K2461" i="3"/>
  <c r="K2462" i="3"/>
  <c r="K2463" i="3"/>
  <c r="K2464" i="3"/>
  <c r="K2465" i="3"/>
  <c r="K2466" i="3"/>
  <c r="K2467" i="3"/>
  <c r="K2468" i="3"/>
  <c r="K2469" i="3"/>
  <c r="K2470" i="3"/>
  <c r="K2471" i="3"/>
  <c r="K2472" i="3"/>
  <c r="K2473" i="3"/>
  <c r="K2474" i="3"/>
  <c r="K2475" i="3"/>
  <c r="K2476" i="3"/>
  <c r="K2477" i="3"/>
  <c r="K2478" i="3"/>
  <c r="K2479" i="3"/>
  <c r="K2480" i="3"/>
  <c r="K2481" i="3"/>
  <c r="K2482" i="3"/>
  <c r="K2483" i="3"/>
  <c r="K2484" i="3"/>
  <c r="K2485" i="3"/>
  <c r="K2486" i="3"/>
  <c r="K2487" i="3"/>
  <c r="K2488" i="3"/>
  <c r="K2489" i="3"/>
  <c r="K2490" i="3"/>
  <c r="K2491" i="3"/>
  <c r="K2492" i="3"/>
  <c r="K2493" i="3"/>
  <c r="K2494" i="3"/>
  <c r="K2495" i="3"/>
  <c r="K2496" i="3"/>
  <c r="K2497" i="3"/>
  <c r="K2498" i="3"/>
  <c r="K2499" i="3"/>
  <c r="K2500" i="3"/>
  <c r="K2501" i="3"/>
  <c r="K2502" i="3"/>
  <c r="K2503" i="3"/>
  <c r="K2504" i="3"/>
  <c r="K2505" i="3"/>
  <c r="K2506" i="3"/>
  <c r="K2507" i="3"/>
  <c r="K2508" i="3"/>
  <c r="K2509" i="3"/>
  <c r="K2510" i="3"/>
  <c r="K2511" i="3"/>
  <c r="K2512" i="3"/>
  <c r="K2513" i="3"/>
  <c r="K2514" i="3"/>
  <c r="K2515" i="3"/>
  <c r="K2516" i="3"/>
  <c r="K2517" i="3"/>
  <c r="K2518" i="3"/>
  <c r="K2519" i="3"/>
  <c r="K2520" i="3"/>
  <c r="K2521" i="3"/>
  <c r="K2522" i="3"/>
  <c r="K2523" i="3"/>
  <c r="K2524" i="3"/>
  <c r="K2525" i="3"/>
  <c r="K2526" i="3"/>
  <c r="K2527" i="3"/>
  <c r="K2528" i="3"/>
  <c r="K2529" i="3"/>
  <c r="K2530" i="3"/>
  <c r="K2531" i="3"/>
  <c r="K2532" i="3"/>
  <c r="K2533" i="3"/>
  <c r="K2534" i="3"/>
  <c r="K2535" i="3"/>
  <c r="K2536" i="3"/>
  <c r="K2537" i="3"/>
  <c r="K2538" i="3"/>
  <c r="K2539" i="3"/>
  <c r="K2540" i="3"/>
  <c r="K2541" i="3"/>
  <c r="K2542" i="3"/>
  <c r="K2543" i="3"/>
  <c r="K2544" i="3"/>
  <c r="K2545" i="3"/>
  <c r="K2546" i="3"/>
  <c r="K2547" i="3"/>
  <c r="K2548" i="3"/>
  <c r="K2549" i="3"/>
  <c r="K2550" i="3"/>
  <c r="K2551" i="3"/>
  <c r="K2552" i="3"/>
  <c r="K2553" i="3"/>
  <c r="K2554" i="3"/>
  <c r="K2555" i="3"/>
  <c r="K2556" i="3"/>
  <c r="K2557" i="3"/>
  <c r="K2558" i="3"/>
  <c r="K2559" i="3"/>
  <c r="K2560" i="3"/>
  <c r="K2561" i="3"/>
  <c r="K2562" i="3"/>
  <c r="K2563" i="3"/>
  <c r="K2564" i="3"/>
  <c r="K2565" i="3"/>
  <c r="K2566" i="3"/>
  <c r="K2567" i="3"/>
  <c r="K2568" i="3"/>
  <c r="K2569" i="3"/>
  <c r="K2570" i="3"/>
  <c r="K2571" i="3"/>
  <c r="K2572" i="3"/>
  <c r="K2573" i="3"/>
  <c r="K2574" i="3"/>
  <c r="K2575" i="3"/>
  <c r="K2576" i="3"/>
  <c r="K2577" i="3"/>
  <c r="K2578" i="3"/>
  <c r="K2579" i="3"/>
  <c r="K2580" i="3"/>
  <c r="K2581" i="3"/>
  <c r="K2582" i="3"/>
  <c r="K2583" i="3"/>
  <c r="K2584" i="3"/>
  <c r="K2585" i="3"/>
  <c r="K2586" i="3"/>
  <c r="K2587" i="3"/>
  <c r="K2588" i="3"/>
  <c r="K2589" i="3"/>
  <c r="K2590" i="3"/>
  <c r="K2591" i="3"/>
  <c r="K2592" i="3"/>
  <c r="K2593" i="3"/>
  <c r="K2594" i="3"/>
  <c r="K2595" i="3"/>
  <c r="K2596" i="3"/>
  <c r="K2597" i="3"/>
  <c r="K2598" i="3"/>
  <c r="K2599" i="3"/>
  <c r="K2600" i="3"/>
  <c r="K2601" i="3"/>
  <c r="K2602" i="3"/>
  <c r="K2603" i="3"/>
  <c r="K2604" i="3"/>
  <c r="K2605" i="3"/>
  <c r="K2606" i="3"/>
  <c r="K2607" i="3"/>
  <c r="K2608" i="3"/>
  <c r="K2609" i="3"/>
  <c r="K2610" i="3"/>
  <c r="K2611" i="3"/>
  <c r="K2612" i="3"/>
  <c r="K2613" i="3"/>
  <c r="K2614" i="3"/>
  <c r="K2615" i="3"/>
  <c r="K2616" i="3"/>
  <c r="K2617" i="3"/>
  <c r="K2618" i="3"/>
  <c r="K2619" i="3"/>
  <c r="K2620" i="3"/>
  <c r="K2621" i="3"/>
  <c r="K2622" i="3"/>
  <c r="K2623" i="3"/>
  <c r="K2624" i="3"/>
  <c r="K2625" i="3"/>
  <c r="K2626" i="3"/>
  <c r="K2627" i="3"/>
  <c r="K2628" i="3"/>
  <c r="K2629" i="3"/>
  <c r="K2630" i="3"/>
  <c r="K2631" i="3"/>
  <c r="K2632" i="3"/>
  <c r="K2633" i="3"/>
  <c r="K2634" i="3"/>
  <c r="K2635" i="3"/>
  <c r="K2636" i="3"/>
  <c r="K2637" i="3"/>
  <c r="K2638" i="3"/>
  <c r="K2639" i="3"/>
  <c r="K2640" i="3"/>
  <c r="K2641" i="3"/>
  <c r="K2642" i="3"/>
  <c r="K2643" i="3"/>
  <c r="K2644" i="3"/>
  <c r="K2645" i="3"/>
  <c r="K2646" i="3"/>
  <c r="K2647" i="3"/>
  <c r="K2648" i="3"/>
  <c r="K2649" i="3"/>
  <c r="K2650" i="3"/>
  <c r="K2651" i="3"/>
  <c r="K2652" i="3"/>
  <c r="K2653" i="3"/>
  <c r="K2654" i="3"/>
  <c r="K2655" i="3"/>
  <c r="K2656" i="3"/>
  <c r="K2657" i="3"/>
  <c r="K2658" i="3"/>
  <c r="K2659" i="3"/>
  <c r="K2660" i="3"/>
  <c r="K2661" i="3"/>
  <c r="K2662" i="3"/>
  <c r="K2663" i="3"/>
  <c r="K2664" i="3"/>
  <c r="K2665" i="3"/>
  <c r="K2666" i="3"/>
  <c r="K2667" i="3"/>
  <c r="K2668" i="3"/>
  <c r="K2669" i="3"/>
  <c r="K2670" i="3"/>
  <c r="K2671" i="3"/>
  <c r="K2672" i="3"/>
  <c r="K2673" i="3"/>
  <c r="K2674" i="3"/>
  <c r="K2675" i="3"/>
  <c r="K2676" i="3"/>
  <c r="K2677" i="3"/>
  <c r="K2678" i="3"/>
  <c r="K2679" i="3"/>
  <c r="K2680" i="3"/>
  <c r="K2681" i="3"/>
  <c r="K2682" i="3"/>
  <c r="K2683" i="3"/>
  <c r="K2684" i="3"/>
  <c r="K2685" i="3"/>
  <c r="K2686" i="3"/>
  <c r="K2687" i="3"/>
  <c r="K2688" i="3"/>
  <c r="K2689" i="3"/>
  <c r="K2690" i="3"/>
  <c r="K2691" i="3"/>
  <c r="K2692" i="3"/>
  <c r="K2693" i="3"/>
  <c r="K2694" i="3"/>
  <c r="K2695" i="3"/>
  <c r="K2696" i="3"/>
  <c r="K2697" i="3"/>
  <c r="K2698" i="3"/>
  <c r="K2699" i="3"/>
  <c r="K2700" i="3"/>
  <c r="K2701" i="3"/>
  <c r="K2702" i="3"/>
  <c r="K2703" i="3"/>
  <c r="K2704" i="3"/>
  <c r="K2705" i="3"/>
  <c r="K2706" i="3"/>
  <c r="K2707" i="3"/>
  <c r="K2708" i="3"/>
  <c r="K2709" i="3"/>
  <c r="K2710" i="3"/>
  <c r="K2711" i="3"/>
  <c r="K2712" i="3"/>
  <c r="K2713" i="3"/>
  <c r="K2714" i="3"/>
  <c r="K2715" i="3"/>
  <c r="K2716" i="3"/>
  <c r="K2717" i="3"/>
  <c r="K2718" i="3"/>
  <c r="K2719" i="3"/>
  <c r="K2720" i="3"/>
  <c r="K2721" i="3"/>
  <c r="K2722" i="3"/>
  <c r="K2723" i="3"/>
  <c r="K2724" i="3"/>
  <c r="K2725" i="3"/>
  <c r="K2726" i="3"/>
  <c r="K2727" i="3"/>
  <c r="K2728" i="3"/>
  <c r="K2729" i="3"/>
  <c r="K2730" i="3"/>
  <c r="K2731" i="3"/>
  <c r="K2732" i="3"/>
  <c r="K2733" i="3"/>
  <c r="K2734" i="3"/>
  <c r="K2735" i="3"/>
  <c r="K2736" i="3"/>
  <c r="K2737" i="3"/>
  <c r="K2738" i="3"/>
  <c r="K2739" i="3"/>
  <c r="K2740" i="3"/>
  <c r="K2741" i="3"/>
  <c r="K2742" i="3"/>
  <c r="K2743" i="3"/>
  <c r="K2744" i="3"/>
  <c r="K2745" i="3"/>
  <c r="K2746" i="3"/>
  <c r="K2747" i="3"/>
  <c r="K2748" i="3"/>
  <c r="K2749" i="3"/>
  <c r="K2750" i="3"/>
  <c r="K2751" i="3"/>
  <c r="K2752" i="3"/>
  <c r="K2753" i="3"/>
  <c r="K2754" i="3"/>
  <c r="K2755" i="3"/>
  <c r="K2756" i="3"/>
  <c r="K2757" i="3"/>
  <c r="K2758" i="3"/>
  <c r="K2759" i="3"/>
  <c r="K2760" i="3"/>
  <c r="K2761" i="3"/>
  <c r="K2762" i="3"/>
  <c r="K2763" i="3"/>
  <c r="K2764" i="3"/>
  <c r="K2765" i="3"/>
  <c r="K2766" i="3"/>
  <c r="K2767" i="3"/>
  <c r="K2768" i="3"/>
  <c r="K2769" i="3"/>
  <c r="K2770" i="3"/>
  <c r="K2771" i="3"/>
  <c r="K2772" i="3"/>
  <c r="K2773" i="3"/>
  <c r="K2774" i="3"/>
  <c r="K2775" i="3"/>
  <c r="K2776" i="3"/>
  <c r="K2777" i="3"/>
  <c r="K2778" i="3"/>
  <c r="K2779" i="3"/>
  <c r="K2780" i="3"/>
  <c r="K2781" i="3"/>
  <c r="K2782" i="3"/>
  <c r="K2783" i="3"/>
  <c r="K2784" i="3"/>
  <c r="K2785" i="3"/>
  <c r="K2786" i="3"/>
  <c r="K2787" i="3"/>
  <c r="K2788" i="3"/>
  <c r="K2789" i="3"/>
  <c r="K2790" i="3"/>
  <c r="K2791" i="3"/>
  <c r="K2792" i="3"/>
  <c r="K2793" i="3"/>
  <c r="K2794" i="3"/>
  <c r="K2795" i="3"/>
  <c r="K2796" i="3"/>
  <c r="K2797" i="3"/>
  <c r="K2798" i="3"/>
  <c r="K2799" i="3"/>
  <c r="K2800" i="3"/>
  <c r="K2801" i="3"/>
  <c r="K2802" i="3"/>
  <c r="K2803" i="3"/>
  <c r="K2804" i="3"/>
  <c r="K2805" i="3"/>
  <c r="K2806" i="3"/>
  <c r="K2807" i="3"/>
  <c r="K2808" i="3"/>
  <c r="K2809" i="3"/>
  <c r="K2810" i="3"/>
  <c r="K2811" i="3"/>
  <c r="K2812" i="3"/>
  <c r="K2813" i="3"/>
  <c r="K2814" i="3"/>
  <c r="K2815" i="3"/>
  <c r="K2816" i="3"/>
  <c r="K2817" i="3"/>
  <c r="K2818" i="3"/>
  <c r="K2819" i="3"/>
  <c r="K2820" i="3"/>
  <c r="K2821" i="3"/>
  <c r="K2822" i="3"/>
  <c r="K2823" i="3"/>
  <c r="K2824" i="3"/>
  <c r="K2825" i="3"/>
  <c r="K2826" i="3"/>
  <c r="K2827" i="3"/>
  <c r="K2828" i="3"/>
  <c r="K2829" i="3"/>
  <c r="K2830" i="3"/>
  <c r="K2831" i="3"/>
  <c r="K2832" i="3"/>
  <c r="K2833" i="3"/>
  <c r="K2834" i="3"/>
  <c r="K2835" i="3"/>
  <c r="K2836" i="3"/>
  <c r="K2837" i="3"/>
  <c r="K2838" i="3"/>
  <c r="K2839" i="3"/>
  <c r="K2840" i="3"/>
  <c r="K2841" i="3"/>
  <c r="K2842" i="3"/>
  <c r="K2843" i="3"/>
  <c r="K2844" i="3"/>
  <c r="K2845" i="3"/>
  <c r="K2846" i="3"/>
  <c r="K2847" i="3"/>
  <c r="K2848" i="3"/>
  <c r="K2849" i="3"/>
  <c r="K2850" i="3"/>
  <c r="K2851" i="3"/>
  <c r="K2852" i="3"/>
  <c r="K2853" i="3"/>
  <c r="K2854" i="3"/>
  <c r="K2855" i="3"/>
  <c r="K2856" i="3"/>
  <c r="K2857" i="3"/>
  <c r="K2858" i="3"/>
  <c r="K2859" i="3"/>
  <c r="K2860" i="3"/>
  <c r="K2861" i="3"/>
  <c r="K2862" i="3"/>
  <c r="K2863" i="3"/>
  <c r="K2864" i="3"/>
  <c r="K2865" i="3"/>
  <c r="K2866" i="3"/>
  <c r="K2867" i="3"/>
  <c r="K2868" i="3"/>
  <c r="K2869" i="3"/>
  <c r="K2870" i="3"/>
  <c r="K2871" i="3"/>
  <c r="K2872" i="3"/>
  <c r="K2873" i="3"/>
  <c r="K2874" i="3"/>
  <c r="K2875" i="3"/>
  <c r="K2876" i="3"/>
  <c r="K2877" i="3"/>
  <c r="K2878" i="3"/>
  <c r="K2879" i="3"/>
  <c r="K2880" i="3"/>
  <c r="K2881" i="3"/>
  <c r="K2882" i="3"/>
  <c r="K2883" i="3"/>
  <c r="K2884" i="3"/>
  <c r="K2885" i="3"/>
  <c r="K2886" i="3"/>
  <c r="K2887" i="3"/>
  <c r="K2888" i="3"/>
  <c r="K2889" i="3"/>
  <c r="K2890" i="3"/>
  <c r="K2891" i="3"/>
  <c r="K2892" i="3"/>
  <c r="K2893" i="3"/>
  <c r="K2894" i="3"/>
  <c r="K2895" i="3"/>
  <c r="K2896" i="3"/>
  <c r="K2897" i="3"/>
  <c r="K2898" i="3"/>
  <c r="K2899" i="3"/>
  <c r="K2900" i="3"/>
  <c r="K2901" i="3"/>
  <c r="K2902" i="3"/>
  <c r="K2903" i="3"/>
  <c r="K2904" i="3"/>
  <c r="K2905" i="3"/>
  <c r="K2906" i="3"/>
  <c r="K2907" i="3"/>
  <c r="K2908" i="3"/>
  <c r="K2909" i="3"/>
  <c r="K2910" i="3"/>
  <c r="K2911" i="3"/>
  <c r="K2912" i="3"/>
  <c r="K2913" i="3"/>
  <c r="K2914" i="3"/>
  <c r="K2915" i="3"/>
  <c r="K2916" i="3"/>
  <c r="K2917" i="3"/>
  <c r="K2918" i="3"/>
  <c r="K2919" i="3"/>
  <c r="K2920" i="3"/>
  <c r="K2921" i="3"/>
  <c r="K2922" i="3"/>
  <c r="K2923" i="3"/>
  <c r="K2924" i="3"/>
  <c r="K2925" i="3"/>
  <c r="K2926" i="3"/>
  <c r="K2927" i="3"/>
  <c r="K2928" i="3"/>
  <c r="K2929" i="3"/>
  <c r="K2930" i="3"/>
  <c r="K2931" i="3"/>
  <c r="K2932" i="3"/>
  <c r="K2933" i="3"/>
  <c r="K2934" i="3"/>
  <c r="K2935" i="3"/>
  <c r="K2936" i="3"/>
  <c r="K2937" i="3"/>
  <c r="K2938" i="3"/>
  <c r="K2939" i="3"/>
  <c r="K2940" i="3"/>
  <c r="K2941" i="3"/>
  <c r="K2942" i="3"/>
  <c r="K2943" i="3"/>
  <c r="K2944" i="3"/>
  <c r="K2945" i="3"/>
  <c r="K2946" i="3"/>
  <c r="K2947" i="3"/>
  <c r="K2948" i="3"/>
  <c r="K2949" i="3"/>
  <c r="K2950" i="3"/>
  <c r="K2951" i="3"/>
  <c r="K2952" i="3"/>
  <c r="K2953" i="3"/>
  <c r="K2954" i="3"/>
  <c r="K2955" i="3"/>
  <c r="K2956" i="3"/>
  <c r="K2957" i="3"/>
  <c r="K2958" i="3"/>
  <c r="K2959" i="3"/>
  <c r="K2960" i="3"/>
  <c r="K2961" i="3"/>
  <c r="K2962" i="3"/>
  <c r="K2963" i="3"/>
  <c r="K2964" i="3"/>
  <c r="K2965" i="3"/>
  <c r="K2966" i="3"/>
  <c r="K2967" i="3"/>
  <c r="K2968" i="3"/>
  <c r="K2969" i="3"/>
  <c r="K2970" i="3"/>
  <c r="K2971" i="3"/>
  <c r="K2972" i="3"/>
  <c r="K2973" i="3"/>
  <c r="K2974" i="3"/>
  <c r="K2975" i="3"/>
  <c r="K2976" i="3"/>
  <c r="K2977" i="3"/>
  <c r="K2978" i="3"/>
  <c r="K2979" i="3"/>
  <c r="K2980" i="3"/>
  <c r="K2981" i="3"/>
  <c r="K2982" i="3"/>
  <c r="K2983" i="3"/>
  <c r="K2984" i="3"/>
  <c r="K2985" i="3"/>
  <c r="K2986" i="3"/>
  <c r="K2987" i="3"/>
  <c r="K2988" i="3"/>
  <c r="K2989" i="3"/>
  <c r="K2990" i="3"/>
  <c r="K2991" i="3"/>
  <c r="K2992" i="3"/>
  <c r="K2993" i="3"/>
  <c r="K2994" i="3"/>
  <c r="K2995" i="3"/>
  <c r="K2996" i="3"/>
  <c r="K2997" i="3"/>
  <c r="K2998" i="3"/>
  <c r="K2999" i="3"/>
  <c r="K3000" i="3"/>
  <c r="K3001" i="3"/>
  <c r="K3002" i="3"/>
  <c r="K3003" i="3"/>
  <c r="K3004" i="3"/>
  <c r="K3005" i="3"/>
  <c r="K3006" i="3"/>
  <c r="K3007" i="3"/>
  <c r="K3008" i="3"/>
  <c r="K3009" i="3"/>
  <c r="K3010" i="3"/>
  <c r="K3011" i="3"/>
  <c r="K3012" i="3"/>
  <c r="K3013" i="3"/>
  <c r="K3014" i="3"/>
  <c r="K3015" i="3"/>
  <c r="K3016" i="3"/>
  <c r="K3017" i="3"/>
  <c r="K3018" i="3"/>
  <c r="K3019" i="3"/>
  <c r="K3020" i="3"/>
  <c r="K3021" i="3"/>
  <c r="K3022" i="3"/>
  <c r="K3023" i="3"/>
  <c r="K3024" i="3"/>
  <c r="K3025" i="3"/>
  <c r="K3026" i="3"/>
  <c r="K3027" i="3"/>
  <c r="K3028" i="3"/>
  <c r="K3029" i="3"/>
  <c r="K3030" i="3"/>
  <c r="K3031" i="3"/>
  <c r="K3032" i="3"/>
  <c r="K3033" i="3"/>
  <c r="K3034" i="3"/>
  <c r="K3035" i="3"/>
  <c r="K3036" i="3"/>
  <c r="K3037" i="3"/>
  <c r="K3038" i="3"/>
  <c r="K3039" i="3"/>
  <c r="K3040" i="3"/>
  <c r="K3041" i="3"/>
  <c r="K3042" i="3"/>
  <c r="K3043" i="3"/>
  <c r="K3044" i="3"/>
  <c r="K3045" i="3"/>
  <c r="K3046" i="3"/>
  <c r="K3047" i="3"/>
  <c r="K3048" i="3"/>
  <c r="K3049" i="3"/>
  <c r="K3050" i="3"/>
  <c r="K3051" i="3"/>
  <c r="K3052" i="3"/>
  <c r="K3053" i="3"/>
  <c r="K3054" i="3"/>
  <c r="K3055" i="3"/>
  <c r="K3056" i="3"/>
  <c r="K3057" i="3"/>
  <c r="K3058" i="3"/>
  <c r="K3059" i="3"/>
  <c r="K3060" i="3"/>
  <c r="K3061" i="3"/>
  <c r="K3062" i="3"/>
  <c r="K3063" i="3"/>
  <c r="K3064" i="3"/>
  <c r="K3065" i="3"/>
  <c r="K3066" i="3"/>
  <c r="K3067" i="3"/>
  <c r="K3068" i="3"/>
  <c r="K3069" i="3"/>
  <c r="K3070" i="3"/>
  <c r="K3071" i="3"/>
  <c r="K3072" i="3"/>
  <c r="K3073" i="3"/>
  <c r="K3074" i="3"/>
  <c r="K3075" i="3"/>
  <c r="K3076" i="3"/>
  <c r="K3077" i="3"/>
  <c r="K3078" i="3"/>
  <c r="K3079" i="3"/>
  <c r="K3080" i="3"/>
  <c r="K3081" i="3"/>
  <c r="K3082" i="3"/>
  <c r="K3083" i="3"/>
  <c r="K3084" i="3"/>
  <c r="K3085" i="3"/>
  <c r="K3086" i="3"/>
  <c r="K3087" i="3"/>
  <c r="K3088" i="3"/>
  <c r="K3089" i="3"/>
  <c r="K3090" i="3"/>
  <c r="K3091" i="3"/>
  <c r="K3092" i="3"/>
  <c r="K3093" i="3"/>
  <c r="K3094" i="3"/>
  <c r="K3095" i="3"/>
  <c r="K3096" i="3"/>
  <c r="K3097" i="3"/>
  <c r="K3098" i="3"/>
  <c r="K3099" i="3"/>
  <c r="K3100" i="3"/>
  <c r="K3101" i="3"/>
  <c r="K3102" i="3"/>
  <c r="K3103" i="3"/>
  <c r="K3104" i="3"/>
  <c r="K3105" i="3"/>
  <c r="K3106" i="3"/>
  <c r="K3107" i="3"/>
  <c r="K3108" i="3"/>
  <c r="K3109" i="3"/>
  <c r="K3110" i="3"/>
  <c r="K3111" i="3"/>
  <c r="K3112" i="3"/>
  <c r="K3113" i="3"/>
  <c r="K3114" i="3"/>
  <c r="K3115" i="3"/>
  <c r="K3116" i="3"/>
  <c r="K3117" i="3"/>
  <c r="K3118" i="3"/>
  <c r="K3119" i="3"/>
  <c r="K3120" i="3"/>
  <c r="K3121" i="3"/>
  <c r="K3122" i="3"/>
  <c r="K3123" i="3"/>
  <c r="K3124" i="3"/>
  <c r="K3125" i="3"/>
  <c r="K3126" i="3"/>
  <c r="K3127" i="3"/>
  <c r="K3128" i="3"/>
  <c r="K3129" i="3"/>
  <c r="K3130" i="3"/>
  <c r="K3131" i="3"/>
  <c r="K3132" i="3"/>
  <c r="K3133" i="3"/>
  <c r="K3134" i="3"/>
  <c r="K3135" i="3"/>
  <c r="K3136" i="3"/>
  <c r="K3137" i="3"/>
  <c r="K3138" i="3"/>
  <c r="K3139" i="3"/>
  <c r="K3140" i="3"/>
  <c r="K3141" i="3"/>
  <c r="K3142" i="3"/>
  <c r="K3143" i="3"/>
  <c r="K3144" i="3"/>
  <c r="K3145" i="3"/>
  <c r="K3146" i="3"/>
  <c r="K3147" i="3"/>
  <c r="K3148" i="3"/>
  <c r="K3149" i="3"/>
  <c r="K3150" i="3"/>
  <c r="K3151" i="3"/>
  <c r="K3152" i="3"/>
  <c r="K3153" i="3"/>
  <c r="K3154" i="3"/>
  <c r="K3155" i="3"/>
  <c r="K3156" i="3"/>
  <c r="K3157" i="3"/>
  <c r="K3158" i="3"/>
  <c r="K3159" i="3"/>
  <c r="K3160" i="3"/>
  <c r="K3161" i="3"/>
  <c r="K3162" i="3"/>
  <c r="K3163" i="3"/>
  <c r="K3164" i="3"/>
  <c r="K3165" i="3"/>
  <c r="K3166" i="3"/>
  <c r="K3167" i="3"/>
  <c r="K3168" i="3"/>
  <c r="K3169" i="3"/>
  <c r="K3170" i="3"/>
  <c r="K3171" i="3"/>
  <c r="K3172" i="3"/>
  <c r="K3173" i="3"/>
  <c r="K3174" i="3"/>
  <c r="K3175" i="3"/>
  <c r="K3176" i="3"/>
  <c r="K3177" i="3"/>
  <c r="K3178" i="3"/>
  <c r="K3179" i="3"/>
  <c r="K3180" i="3"/>
  <c r="K3181" i="3"/>
  <c r="K3182" i="3"/>
  <c r="K3183" i="3"/>
  <c r="K3184" i="3"/>
  <c r="K3185" i="3"/>
  <c r="K3186" i="3"/>
  <c r="K3187" i="3"/>
  <c r="K3188" i="3"/>
  <c r="K3189" i="3"/>
  <c r="K3190" i="3"/>
  <c r="K3191" i="3"/>
  <c r="K3192" i="3"/>
  <c r="K3193" i="3"/>
  <c r="K3194" i="3"/>
  <c r="K3195" i="3"/>
  <c r="K3196" i="3"/>
  <c r="K3197" i="3"/>
  <c r="K3198" i="3"/>
  <c r="K3199" i="3"/>
  <c r="K3200" i="3"/>
  <c r="K3201" i="3"/>
  <c r="K3202" i="3"/>
  <c r="K3203" i="3"/>
  <c r="K3204" i="3"/>
  <c r="K3205" i="3"/>
  <c r="K3206" i="3"/>
  <c r="K3207" i="3"/>
  <c r="K3208" i="3"/>
  <c r="K3209" i="3"/>
  <c r="K3210" i="3"/>
  <c r="K3211" i="3"/>
  <c r="K3212" i="3"/>
  <c r="K3213" i="3"/>
  <c r="K3214" i="3"/>
  <c r="K3215" i="3"/>
  <c r="K3216" i="3"/>
  <c r="K3217" i="3"/>
  <c r="K3218" i="3"/>
  <c r="K3219" i="3"/>
  <c r="K3220" i="3"/>
  <c r="K3221" i="3"/>
  <c r="K3222" i="3"/>
  <c r="K3223" i="3"/>
  <c r="K3224" i="3"/>
  <c r="K3225" i="3"/>
  <c r="K3226" i="3"/>
  <c r="K3227" i="3"/>
  <c r="K3228" i="3"/>
  <c r="K3229" i="3"/>
  <c r="K3230" i="3"/>
  <c r="K3231" i="3"/>
  <c r="K3232" i="3"/>
  <c r="K3233" i="3"/>
  <c r="K3234" i="3"/>
  <c r="K3235" i="3"/>
  <c r="K3236" i="3"/>
  <c r="K3237" i="3"/>
  <c r="K3238" i="3"/>
  <c r="K3239" i="3"/>
  <c r="K3240" i="3"/>
  <c r="K3241" i="3"/>
  <c r="K3242" i="3"/>
  <c r="K3243" i="3"/>
  <c r="K3244" i="3"/>
  <c r="K3245" i="3"/>
  <c r="K3246" i="3"/>
  <c r="K3247" i="3"/>
  <c r="K3248" i="3"/>
  <c r="K3249" i="3"/>
  <c r="K3250" i="3"/>
  <c r="K3251" i="3"/>
  <c r="K3252" i="3"/>
  <c r="K3253" i="3"/>
  <c r="K3254" i="3"/>
  <c r="K3255" i="3"/>
  <c r="K3256" i="3"/>
  <c r="K3257" i="3"/>
  <c r="K3258" i="3"/>
  <c r="K3259" i="3"/>
  <c r="K3260" i="3"/>
  <c r="K3261" i="3"/>
  <c r="K3262" i="3"/>
  <c r="K3263" i="3"/>
  <c r="K3264" i="3"/>
  <c r="K3265" i="3"/>
  <c r="K3266" i="3"/>
  <c r="K3267" i="3"/>
  <c r="K3268" i="3"/>
  <c r="K3269" i="3"/>
  <c r="K3270" i="3"/>
  <c r="K3271" i="3"/>
  <c r="K3272" i="3"/>
  <c r="K3273" i="3"/>
  <c r="K3274" i="3"/>
  <c r="K3275" i="3"/>
  <c r="K3276" i="3"/>
  <c r="K3277" i="3"/>
  <c r="K3278" i="3"/>
  <c r="K3279" i="3"/>
  <c r="K3280" i="3"/>
  <c r="K3281" i="3"/>
  <c r="K3282" i="3"/>
  <c r="K3283" i="3"/>
  <c r="K3284" i="3"/>
  <c r="K3285" i="3"/>
  <c r="K3286" i="3"/>
  <c r="K3287" i="3"/>
  <c r="K3288" i="3"/>
  <c r="K3289" i="3"/>
  <c r="K3290" i="3"/>
  <c r="K3291" i="3"/>
  <c r="K3292" i="3"/>
  <c r="K3293" i="3"/>
  <c r="K3294" i="3"/>
  <c r="K3295" i="3"/>
  <c r="K3296" i="3"/>
  <c r="K3297" i="3"/>
  <c r="K3298" i="3"/>
  <c r="K3299" i="3"/>
  <c r="K3300" i="3"/>
  <c r="K3301" i="3"/>
  <c r="K3302" i="3"/>
  <c r="K3303" i="3"/>
  <c r="K3304" i="3"/>
  <c r="K3305" i="3"/>
  <c r="K3306" i="3"/>
  <c r="K3307" i="3"/>
  <c r="K3308" i="3"/>
  <c r="K3309" i="3"/>
  <c r="K3310" i="3"/>
  <c r="K3311" i="3"/>
  <c r="K3312" i="3"/>
  <c r="K3313" i="3"/>
  <c r="K3314" i="3"/>
  <c r="K3315" i="3"/>
  <c r="K3316" i="3"/>
  <c r="K3317" i="3"/>
  <c r="K3318" i="3"/>
  <c r="K3319" i="3"/>
  <c r="K3320" i="3"/>
  <c r="K3321" i="3"/>
  <c r="K3322" i="3"/>
  <c r="K3323" i="3"/>
  <c r="K3324" i="3"/>
  <c r="K3325" i="3"/>
  <c r="K3326" i="3"/>
  <c r="K3327" i="3"/>
  <c r="K3328" i="3"/>
  <c r="K3329" i="3"/>
  <c r="K3330" i="3"/>
  <c r="K3331" i="3"/>
  <c r="K3332" i="3"/>
  <c r="K3333" i="3"/>
  <c r="K3334" i="3"/>
  <c r="K3335" i="3"/>
  <c r="K3336" i="3"/>
  <c r="K3337" i="3"/>
  <c r="K3338" i="3"/>
  <c r="K3339" i="3"/>
  <c r="K3340" i="3"/>
  <c r="K3341" i="3"/>
  <c r="K3342" i="3"/>
  <c r="K3343" i="3"/>
  <c r="K3344" i="3"/>
  <c r="K3345" i="3"/>
  <c r="K3346" i="3"/>
  <c r="K3347" i="3"/>
  <c r="K3348" i="3"/>
  <c r="K3349" i="3"/>
  <c r="K3350" i="3"/>
  <c r="K3351" i="3"/>
  <c r="K3352" i="3"/>
  <c r="K3353" i="3"/>
  <c r="K3354" i="3"/>
  <c r="K3355" i="3"/>
  <c r="K3356" i="3"/>
  <c r="K3357" i="3"/>
  <c r="K3358" i="3"/>
  <c r="K3359" i="3"/>
  <c r="K3360" i="3"/>
  <c r="K3361" i="3"/>
  <c r="K3362" i="3"/>
  <c r="K3363" i="3"/>
  <c r="K3364" i="3"/>
  <c r="K3365" i="3"/>
  <c r="K3366" i="3"/>
  <c r="K3367" i="3"/>
  <c r="K3368" i="3"/>
  <c r="K3369" i="3"/>
  <c r="K3370" i="3"/>
  <c r="K3371" i="3"/>
  <c r="K3372" i="3"/>
  <c r="K3373" i="3"/>
  <c r="K3374" i="3"/>
  <c r="K3375" i="3"/>
  <c r="K3376" i="3"/>
  <c r="K3377" i="3"/>
  <c r="K3378" i="3"/>
  <c r="K3379" i="3"/>
  <c r="K3380" i="3"/>
  <c r="K3381" i="3"/>
  <c r="K3382" i="3"/>
  <c r="K3383" i="3"/>
  <c r="K3384" i="3"/>
  <c r="K3385" i="3"/>
  <c r="K3386" i="3"/>
  <c r="K3387" i="3"/>
  <c r="K3388" i="3"/>
  <c r="K3389" i="3"/>
  <c r="K3390" i="3"/>
  <c r="K3391" i="3"/>
  <c r="K3392" i="3"/>
  <c r="K3393" i="3"/>
  <c r="K3394" i="3"/>
  <c r="K3395" i="3"/>
  <c r="K3396" i="3"/>
  <c r="K3397" i="3"/>
  <c r="K3398" i="3"/>
  <c r="K3399" i="3"/>
  <c r="K3400" i="3"/>
  <c r="K3401" i="3"/>
  <c r="K3402" i="3"/>
  <c r="K3403" i="3"/>
  <c r="K3404" i="3"/>
  <c r="K3405" i="3"/>
  <c r="K3406" i="3"/>
  <c r="K3407" i="3"/>
  <c r="K3408" i="3"/>
  <c r="K3409" i="3"/>
  <c r="K3410" i="3"/>
  <c r="K3411" i="3"/>
  <c r="K3412" i="3"/>
  <c r="K3413" i="3"/>
  <c r="K3414" i="3"/>
  <c r="K3415" i="3"/>
  <c r="K3416" i="3"/>
  <c r="K3417" i="3"/>
  <c r="K3418" i="3"/>
  <c r="K3419" i="3"/>
  <c r="K3420" i="3"/>
  <c r="K3421" i="3"/>
  <c r="K3422" i="3"/>
  <c r="K3423" i="3"/>
  <c r="K3424" i="3"/>
  <c r="K3425" i="3"/>
  <c r="K3426" i="3"/>
  <c r="K3427" i="3"/>
  <c r="K3428" i="3"/>
  <c r="K3429" i="3"/>
  <c r="K3430" i="3"/>
  <c r="K3431" i="3"/>
  <c r="K3432" i="3"/>
  <c r="K3433" i="3"/>
  <c r="K3434" i="3"/>
  <c r="K3435" i="3"/>
  <c r="K3436" i="3"/>
  <c r="K3437" i="3"/>
  <c r="K3438" i="3"/>
  <c r="K3439" i="3"/>
  <c r="K3440" i="3"/>
  <c r="K3441" i="3"/>
  <c r="K3442" i="3"/>
  <c r="K3443" i="3"/>
  <c r="K3444" i="3"/>
  <c r="K3445" i="3"/>
  <c r="K3446" i="3"/>
  <c r="K3447" i="3"/>
  <c r="K3448" i="3"/>
  <c r="K3449" i="3"/>
  <c r="K3450" i="3"/>
  <c r="K3451" i="3"/>
  <c r="K3452" i="3"/>
  <c r="K3453" i="3"/>
  <c r="K3454" i="3"/>
  <c r="K3455" i="3"/>
  <c r="K3456" i="3"/>
  <c r="K3457" i="3"/>
  <c r="K3458" i="3"/>
  <c r="K3459" i="3"/>
  <c r="K3460" i="3"/>
  <c r="K3461" i="3"/>
  <c r="K3462" i="3"/>
  <c r="K3463" i="3"/>
  <c r="K3464" i="3"/>
  <c r="K3465" i="3"/>
  <c r="K3466" i="3"/>
  <c r="K3467" i="3"/>
  <c r="K3468" i="3"/>
  <c r="K3469" i="3"/>
  <c r="K3470" i="3"/>
  <c r="K3471" i="3"/>
  <c r="K3472" i="3"/>
  <c r="K3473" i="3"/>
  <c r="K3474" i="3"/>
  <c r="K3475" i="3"/>
  <c r="K3476" i="3"/>
  <c r="K3477" i="3"/>
  <c r="K3478" i="3"/>
  <c r="K3479" i="3"/>
  <c r="K3480" i="3"/>
  <c r="K3481" i="3"/>
  <c r="K3482" i="3"/>
  <c r="K3483" i="3"/>
  <c r="K3484" i="3"/>
  <c r="K3485" i="3"/>
  <c r="K3486" i="3"/>
  <c r="K3487" i="3"/>
  <c r="K3488" i="3"/>
  <c r="K3489" i="3"/>
  <c r="K3490" i="3"/>
  <c r="K3491" i="3"/>
  <c r="K3492" i="3"/>
  <c r="K3493" i="3"/>
  <c r="K3494" i="3"/>
  <c r="K3495" i="3"/>
  <c r="K3496" i="3"/>
  <c r="K3497" i="3"/>
  <c r="K3498" i="3"/>
  <c r="K3499" i="3"/>
  <c r="K3500" i="3"/>
  <c r="K3501" i="3"/>
  <c r="K3502" i="3"/>
  <c r="K3503" i="3"/>
  <c r="K3504" i="3"/>
  <c r="K3505" i="3"/>
  <c r="K3506" i="3"/>
  <c r="K3507" i="3"/>
  <c r="K3508" i="3"/>
  <c r="K3509" i="3"/>
  <c r="K3510" i="3"/>
  <c r="K3511" i="3"/>
  <c r="K3512" i="3"/>
  <c r="K3513" i="3"/>
  <c r="K3514" i="3"/>
  <c r="K3515" i="3"/>
  <c r="K3516" i="3"/>
  <c r="K3517" i="3"/>
  <c r="K3518" i="3"/>
  <c r="K3519" i="3"/>
  <c r="K3520" i="3"/>
  <c r="K3521" i="3"/>
  <c r="K3522" i="3"/>
  <c r="K3523" i="3"/>
  <c r="K3524" i="3"/>
  <c r="K3525" i="3"/>
  <c r="K3526" i="3"/>
  <c r="K3527" i="3"/>
  <c r="K3528" i="3"/>
  <c r="K3529" i="3"/>
  <c r="K3530" i="3"/>
  <c r="K3531" i="3"/>
  <c r="K3532" i="3"/>
  <c r="K3533" i="3"/>
  <c r="K3534" i="3"/>
  <c r="K3535" i="3"/>
  <c r="K3536" i="3"/>
  <c r="K3537" i="3"/>
  <c r="K3538" i="3"/>
  <c r="K3539" i="3"/>
  <c r="K3540" i="3"/>
  <c r="K3541" i="3"/>
  <c r="K3542" i="3"/>
  <c r="K3543" i="3"/>
  <c r="K3544" i="3"/>
  <c r="K3545" i="3"/>
  <c r="K3546" i="3"/>
  <c r="K3547" i="3"/>
  <c r="K3548" i="3"/>
  <c r="K3549" i="3"/>
  <c r="K3550" i="3"/>
  <c r="K3551" i="3"/>
  <c r="K3552" i="3"/>
  <c r="K3553" i="3"/>
  <c r="K3554" i="3"/>
  <c r="K3555" i="3"/>
  <c r="K3556" i="3"/>
  <c r="K3557" i="3"/>
  <c r="K3558" i="3"/>
  <c r="K3559" i="3"/>
  <c r="K3560" i="3"/>
  <c r="K3561" i="3"/>
  <c r="K3562" i="3"/>
  <c r="K3563" i="3"/>
  <c r="K3564" i="3"/>
  <c r="K3565" i="3"/>
  <c r="K3566" i="3"/>
  <c r="K3567" i="3"/>
  <c r="K3568" i="3"/>
  <c r="K3569" i="3"/>
  <c r="K3570" i="3"/>
  <c r="K3571" i="3"/>
  <c r="K3572" i="3"/>
  <c r="K3573" i="3"/>
  <c r="K3574" i="3"/>
  <c r="K3575" i="3"/>
  <c r="K3576" i="3"/>
  <c r="K3577" i="3"/>
  <c r="K3578" i="3"/>
  <c r="K3579" i="3"/>
  <c r="K3580" i="3"/>
  <c r="K3581" i="3"/>
  <c r="K3582" i="3"/>
  <c r="K3583" i="3"/>
  <c r="K3584" i="3"/>
  <c r="K3585" i="3"/>
  <c r="K3586" i="3"/>
  <c r="K3587" i="3"/>
  <c r="K3588" i="3"/>
  <c r="K3589" i="3"/>
  <c r="K3590" i="3"/>
  <c r="K3591" i="3"/>
  <c r="K3592" i="3"/>
  <c r="K3593" i="3"/>
  <c r="K3594" i="3"/>
  <c r="K3595" i="3"/>
  <c r="K3596" i="3"/>
  <c r="K3597" i="3"/>
  <c r="K3598" i="3"/>
  <c r="K3599" i="3"/>
  <c r="K3600" i="3"/>
  <c r="K3601" i="3"/>
  <c r="K3602" i="3"/>
  <c r="K3603" i="3"/>
  <c r="K3604" i="3"/>
  <c r="K3605" i="3"/>
  <c r="K3606" i="3"/>
  <c r="K3607" i="3"/>
  <c r="K3608" i="3"/>
  <c r="K3609" i="3"/>
  <c r="K3610" i="3"/>
  <c r="K3611" i="3"/>
  <c r="K3612" i="3"/>
  <c r="K3613" i="3"/>
  <c r="K3614" i="3"/>
  <c r="K3615" i="3"/>
  <c r="K3616" i="3"/>
  <c r="K3617" i="3"/>
  <c r="K3618" i="3"/>
  <c r="K3619" i="3"/>
  <c r="K3620" i="3"/>
  <c r="K3621" i="3"/>
  <c r="K3622" i="3"/>
  <c r="K3623" i="3"/>
  <c r="K3624" i="3"/>
  <c r="K3625" i="3"/>
  <c r="K3626" i="3"/>
  <c r="K3627" i="3"/>
  <c r="K3628" i="3"/>
  <c r="K3629" i="3"/>
  <c r="K3630" i="3"/>
  <c r="K3631" i="3"/>
  <c r="K3632" i="3"/>
  <c r="K3633" i="3"/>
  <c r="K3634" i="3"/>
  <c r="K3635" i="3"/>
  <c r="K3636" i="3"/>
  <c r="K3637" i="3"/>
  <c r="E4" i="16"/>
  <c r="E3" i="16"/>
  <c r="C4" i="8"/>
  <c r="D4" i="8"/>
  <c r="F3" i="16" l="1"/>
  <c r="G3" i="16" s="1"/>
  <c r="F4" i="16"/>
  <c r="G4"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F246B2-04DF-4852-94C1-55E4EC79C952}"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 id="2" xr16:uid="{ADE5012A-53D9-4D7C-8504-42AA3583F944}" keepAlive="1" name="Query - Transform Data" description="Connection to the 'Transform Data' query in the workbook." type="5" refreshedVersion="8" background="1" saveData="1">
    <dbPr connection="Provider=Microsoft.Mashup.OleDb.1;Data Source=$Workbook$;Location=&quot;Transform Data&quot;;Extended Properties=&quot;&quot;" command="SELECT * FROM [Transform Data]"/>
  </connection>
</connections>
</file>

<file path=xl/sharedStrings.xml><?xml version="1.0" encoding="utf-8"?>
<sst xmlns="http://schemas.openxmlformats.org/spreadsheetml/2006/main" count="21910" uniqueCount="1389">
  <si>
    <t>Row Labels</t>
  </si>
  <si>
    <t>Sum of Price</t>
  </si>
  <si>
    <t>Month</t>
  </si>
  <si>
    <t>Count of Card Id</t>
  </si>
  <si>
    <t>Mar</t>
  </si>
  <si>
    <t>Espresso</t>
  </si>
  <si>
    <t>ANON-0000-0000-1110</t>
  </si>
  <si>
    <t>06</t>
  </si>
  <si>
    <t>card</t>
  </si>
  <si>
    <t>Apr</t>
  </si>
  <si>
    <t>Cocoa</t>
  </si>
  <si>
    <t>ANON-0000-0000-0097</t>
  </si>
  <si>
    <t>07</t>
  </si>
  <si>
    <t>cash</t>
  </si>
  <si>
    <t>May</t>
  </si>
  <si>
    <t>Hot Chocolate</t>
  </si>
  <si>
    <t>ANON-0000-0000-0040</t>
  </si>
  <si>
    <t>08</t>
  </si>
  <si>
    <t>Grand Total</t>
  </si>
  <si>
    <t>Jun</t>
  </si>
  <si>
    <t>Cortado</t>
  </si>
  <si>
    <t>ANON-0000-0000-0507</t>
  </si>
  <si>
    <t>09</t>
  </si>
  <si>
    <t>Jul</t>
  </si>
  <si>
    <t>Cappuccino</t>
  </si>
  <si>
    <t>ANON-0000-0000-0009</t>
  </si>
  <si>
    <t>10</t>
  </si>
  <si>
    <t>Aug</t>
  </si>
  <si>
    <t>Americano</t>
  </si>
  <si>
    <t>ANON-0000-0000-0276</t>
  </si>
  <si>
    <t>11</t>
  </si>
  <si>
    <t>Sep</t>
  </si>
  <si>
    <t>Latte</t>
  </si>
  <si>
    <t>ANON-0000-0000-1163</t>
  </si>
  <si>
    <t>12</t>
  </si>
  <si>
    <t>Oct</t>
  </si>
  <si>
    <t>Americano with Milk</t>
  </si>
  <si>
    <t>-</t>
  </si>
  <si>
    <t>13</t>
  </si>
  <si>
    <t>Nov</t>
  </si>
  <si>
    <t>ANON-0000-0000-0141</t>
  </si>
  <si>
    <t>14</t>
  </si>
  <si>
    <t>Dec</t>
  </si>
  <si>
    <t>ANON-0000-0000-0012</t>
  </si>
  <si>
    <t>15</t>
  </si>
  <si>
    <t>Jan</t>
  </si>
  <si>
    <t>16</t>
  </si>
  <si>
    <t>Feb</t>
  </si>
  <si>
    <t>17</t>
  </si>
  <si>
    <t>18</t>
  </si>
  <si>
    <t>19</t>
  </si>
  <si>
    <t>20</t>
  </si>
  <si>
    <t>21</t>
  </si>
  <si>
    <t>22</t>
  </si>
  <si>
    <t>Date</t>
  </si>
  <si>
    <t>Time</t>
  </si>
  <si>
    <t>Payment Method</t>
  </si>
  <si>
    <t>Card Id</t>
  </si>
  <si>
    <t>Price</t>
  </si>
  <si>
    <t>Coffee Name</t>
  </si>
  <si>
    <t>ANON-0000-0000-0001</t>
  </si>
  <si>
    <t>ANON-0000-0000-0002</t>
  </si>
  <si>
    <t>ANON-0000-0000-0003</t>
  </si>
  <si>
    <t>ANON-0000-0000-0004</t>
  </si>
  <si>
    <t>ANON-0000-0000-0005</t>
  </si>
  <si>
    <t>ANON-0000-0000-0006</t>
  </si>
  <si>
    <t>ANON-0000-0000-0007</t>
  </si>
  <si>
    <t>ANON-0000-0000-0008</t>
  </si>
  <si>
    <t>ANON-0000-0000-0010</t>
  </si>
  <si>
    <t>ANON-0000-0000-0011</t>
  </si>
  <si>
    <t>ANON-0000-0000-0013</t>
  </si>
  <si>
    <t>ANON-0000-0000-0014</t>
  </si>
  <si>
    <t>ANON-0000-0000-0015</t>
  </si>
  <si>
    <t>ANON-0000-0000-0016</t>
  </si>
  <si>
    <t>ANON-0000-0000-0017</t>
  </si>
  <si>
    <t>ANON-0000-0000-0018</t>
  </si>
  <si>
    <t>ANON-0000-0000-0019</t>
  </si>
  <si>
    <t>ANON-0000-0000-0020</t>
  </si>
  <si>
    <t>ANON-0000-0000-0021</t>
  </si>
  <si>
    <t>ANON-0000-0000-0022</t>
  </si>
  <si>
    <t>ANON-0000-0000-0023</t>
  </si>
  <si>
    <t>ANON-0000-0000-0024</t>
  </si>
  <si>
    <t>ANON-0000-0000-0025</t>
  </si>
  <si>
    <t>ANON-0000-0000-0026</t>
  </si>
  <si>
    <t>ANON-0000-0000-0027</t>
  </si>
  <si>
    <t>ANON-0000-0000-0028</t>
  </si>
  <si>
    <t>ANON-0000-0000-0029</t>
  </si>
  <si>
    <t>ANON-0000-0000-0030</t>
  </si>
  <si>
    <t>ANON-0000-0000-0031</t>
  </si>
  <si>
    <t>ANON-0000-0000-0032</t>
  </si>
  <si>
    <t>ANON-0000-0000-0033</t>
  </si>
  <si>
    <t>ANON-0000-0000-0034</t>
  </si>
  <si>
    <t>ANON-0000-0000-0035</t>
  </si>
  <si>
    <t>ANON-0000-0000-0036</t>
  </si>
  <si>
    <t>ANON-0000-0000-0037</t>
  </si>
  <si>
    <t>ANON-0000-0000-0038</t>
  </si>
  <si>
    <t>ANON-0000-0000-0039</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</si>
  <si>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</si>
  <si>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</si>
  <si>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</si>
  <si>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</si>
  <si>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</si>
  <si>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</si>
  <si>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</si>
  <si>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</si>
  <si>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</si>
  <si>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</si>
  <si>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</si>
  <si>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</si>
  <si>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</si>
  <si>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</si>
  <si>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</si>
  <si>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</si>
  <si>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</si>
  <si>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</si>
  <si>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</si>
  <si>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</si>
  <si>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</si>
  <si>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</si>
  <si>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</si>
  <si>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</si>
  <si>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</si>
  <si>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</si>
  <si>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</si>
  <si>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</si>
  <si>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</si>
  <si>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</si>
  <si>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</si>
  <si>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</si>
  <si>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</si>
  <si>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</si>
  <si>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</si>
  <si>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</si>
  <si>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</si>
  <si>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</si>
  <si>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</si>
  <si>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</si>
  <si>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</si>
  <si>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</si>
  <si>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</si>
  <si>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</si>
  <si>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</si>
  <si>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</si>
  <si>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</si>
  <si>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</si>
  <si>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</si>
  <si>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</si>
  <si>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</si>
  <si>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</si>
  <si>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</si>
  <si>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</si>
  <si>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</si>
  <si>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</si>
  <si>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</si>
  <si>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</si>
  <si>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</si>
  <si>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</si>
  <si>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</si>
  <si>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</si>
  <si>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</si>
  <si>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</si>
  <si>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</si>
  <si>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</si>
  <si>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</si>
  <si>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</si>
  <si>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</si>
  <si>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</si>
  <si>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</si>
  <si>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</si>
  <si>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</si>
  <si>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</si>
  <si>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</si>
  <si>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</si>
  <si>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</si>
  <si>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</si>
  <si>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</si>
  <si>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</si>
  <si>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</si>
  <si>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</si>
  <si>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</si>
  <si>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</si>
  <si>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</si>
  <si>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</si>
  <si>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</si>
  <si>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</si>
  <si>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</si>
  <si>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</si>
  <si>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</si>
  <si>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</si>
  <si>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</si>
  <si>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</si>
  <si>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</si>
  <si>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</si>
  <si>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</si>
  <si>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</si>
  <si>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</si>
  <si>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</si>
  <si>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</si>
  <si>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</si>
  <si>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</si>
  <si>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</si>
  <si>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</si>
  <si>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</si>
  <si>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</si>
  <si>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</si>
  <si>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</si>
  <si>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</si>
  <si>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</si>
  <si>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</si>
  <si>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</si>
  <si>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</si>
  <si>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</si>
  <si>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</si>
  <si>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</si>
  <si>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</si>
  <si>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</si>
  <si>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</si>
  <si>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</si>
  <si>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</si>
  <si>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</si>
  <si>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</si>
  <si>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</si>
  <si>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</si>
  <si>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</si>
  <si>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</si>
  <si>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</si>
  <si>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</si>
  <si>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</si>
  <si>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</si>
  <si>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</si>
  <si>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</si>
  <si>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</si>
  <si>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</si>
  <si>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</si>
  <si>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</si>
  <si>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</si>
  <si>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</si>
  <si>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</si>
  <si>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</si>
  <si>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</si>
  <si>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</si>
  <si>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</si>
  <si>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</si>
  <si>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</si>
  <si>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</si>
  <si>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</si>
  <si>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</si>
  <si>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</si>
  <si>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</si>
  <si>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</si>
  <si>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</si>
  <si>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</si>
  <si>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</si>
  <si>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</si>
  <si>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</si>
  <si>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</si>
  <si>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</si>
  <si>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</si>
  <si>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</si>
  <si>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</si>
  <si>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</si>
  <si>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</si>
  <si>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</si>
  <si>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</si>
  <si>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</si>
  <si>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</si>
  <si>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</si>
  <si>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</si>
  <si>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</si>
  <si>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</si>
  <si>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</si>
  <si>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</si>
  <si>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</si>
  <si>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</si>
  <si>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</si>
  <si>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</si>
  <si>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</si>
  <si>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</si>
  <si>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</si>
  <si>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</si>
  <si>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</si>
  <si>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</si>
  <si>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</si>
  <si>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</si>
  <si>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</si>
  <si>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</si>
  <si>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</si>
  <si>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</si>
  <si>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</si>
  <si>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</si>
  <si>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</si>
  <si>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</si>
  <si>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</si>
  <si>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</si>
  <si>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</si>
  <si>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</si>
  <si>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</si>
  <si>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</si>
  <si>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</si>
  <si>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</si>
  <si>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</si>
  <si>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</si>
  <si>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</si>
  <si>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</si>
  <si>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</si>
  <si>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</si>
  <si>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</si>
  <si>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</si>
  <si>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</si>
  <si>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</si>
  <si>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</si>
  <si>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</si>
  <si>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</si>
  <si>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</si>
  <si>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</si>
  <si>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</si>
  <si>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</si>
  <si>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</si>
  <si>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</si>
  <si>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</si>
  <si>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</si>
  <si>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</si>
  <si>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</si>
  <si>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</si>
  <si>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</si>
  <si>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</si>
  <si>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</si>
  <si>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</si>
  <si>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</si>
  <si>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</si>
  <si>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</si>
  <si>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</si>
  <si>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</si>
  <si>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</si>
  <si>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</si>
  <si>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</si>
  <si>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</si>
  <si>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</si>
  <si>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</si>
  <si>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</si>
  <si>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</si>
  <si>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</si>
  <si>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</si>
  <si>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</si>
  <si>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</si>
  <si>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</si>
  <si>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</si>
  <si>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</si>
  <si>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</si>
  <si>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</si>
  <si>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</si>
  <si>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</si>
  <si>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</si>
  <si>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</si>
  <si>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</si>
  <si>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</si>
  <si>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</si>
  <si>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</si>
  <si>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</si>
  <si>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</si>
  <si>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</si>
  <si>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</si>
  <si>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</si>
  <si>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</si>
  <si>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</si>
  <si>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</si>
  <si>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</si>
  <si>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</si>
  <si>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</si>
  <si>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</si>
  <si>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</si>
  <si>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</si>
  <si>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</si>
  <si>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</si>
  <si>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</si>
  <si>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</si>
  <si>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</si>
  <si>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</si>
  <si>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</si>
  <si>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</si>
  <si>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</si>
  <si>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</si>
  <si>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</si>
  <si>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</si>
  <si>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</si>
  <si>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</si>
  <si>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</si>
  <si>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</si>
  <si>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</si>
  <si>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</si>
  <si>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</si>
  <si>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</si>
  <si>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</si>
  <si>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</si>
  <si>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</si>
  <si>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</si>
  <si>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</si>
  <si>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</si>
  <si>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</si>
  <si>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</si>
  <si>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</si>
  <si>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</si>
  <si>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</si>
  <si>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</si>
  <si>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</si>
  <si>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</si>
  <si>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</si>
  <si>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</si>
  <si>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</si>
  <si>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</si>
  <si>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</si>
  <si>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</si>
  <si>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</si>
  <si>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</si>
  <si>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</si>
  <si>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</si>
  <si>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</si>
  <si>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</si>
  <si>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</si>
  <si>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</si>
  <si>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</si>
  <si>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</si>
  <si>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</si>
  <si>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</si>
  <si>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</si>
  <si>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</si>
  <si>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</si>
  <si>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</si>
  <si>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</si>
  <si>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</si>
  <si>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</si>
  <si>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</si>
  <si>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</si>
  <si>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</si>
  <si>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</si>
  <si>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</si>
  <si>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</si>
  <si>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</si>
  <si>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</si>
  <si>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</si>
  <si>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</si>
  <si>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</si>
  <si>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</si>
  <si>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</si>
  <si>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</si>
  <si>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</si>
  <si>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</si>
  <si>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</si>
  <si>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</si>
  <si>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</si>
  <si>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</si>
  <si>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</si>
  <si>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</si>
  <si>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</si>
  <si>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</si>
  <si>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</si>
  <si>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</si>
  <si>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</si>
  <si>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</si>
  <si>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</si>
  <si>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</si>
  <si>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</si>
  <si>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</si>
  <si>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</si>
  <si>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</si>
  <si>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</si>
  <si>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</si>
  <si>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</si>
  <si>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</si>
  <si>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</si>
  <si>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</si>
  <si>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</si>
  <si>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</si>
  <si>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</si>
  <si>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</si>
  <si>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</si>
  <si>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</si>
  <si>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</si>
  <si>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</si>
  <si>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</si>
  <si>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</si>
  <si>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</si>
  <si>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</si>
  <si>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</si>
  <si>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</si>
  <si>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</si>
  <si>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</si>
  <si>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</si>
  <si>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</si>
  <si>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</si>
  <si>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</si>
  <si>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</si>
  <si>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</si>
  <si>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</si>
  <si>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</si>
  <si>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</si>
  <si>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</si>
  <si>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</si>
  <si>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</si>
  <si>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</si>
  <si>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</si>
  <si>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</si>
  <si>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</si>
  <si>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</si>
  <si>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</si>
  <si>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</si>
  <si>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</si>
  <si>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</si>
  <si>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</si>
  <si>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</si>
  <si>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</si>
  <si>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</si>
  <si>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</si>
  <si>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</si>
  <si>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</si>
  <si>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</si>
  <si>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</si>
  <si>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</si>
  <si>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</si>
  <si>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</si>
  <si>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</si>
  <si>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</si>
  <si>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</si>
  <si>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</si>
  <si>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</si>
  <si>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</si>
  <si>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</si>
  <si>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</si>
  <si>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</si>
  <si>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</si>
  <si>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</si>
  <si>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</si>
  <si>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</si>
  <si>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</si>
  <si>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</si>
  <si>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</si>
  <si>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</si>
  <si>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</si>
  <si>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</si>
  <si>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</si>
  <si>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</si>
  <si>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</si>
  <si>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</si>
  <si>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</si>
  <si>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</si>
  <si>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</si>
  <si>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</si>
  <si>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</si>
  <si>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</si>
  <si>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</si>
  <si>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</si>
  <si>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</si>
  <si>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</si>
  <si>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</si>
  <si>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</si>
  <si>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</si>
  <si>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</si>
  <si>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</si>
  <si>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</si>
  <si>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</si>
  <si>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</si>
  <si>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</si>
  <si>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</si>
  <si>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</si>
  <si>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</si>
  <si>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</si>
  <si>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</si>
  <si>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</si>
  <si>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</si>
  <si>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</si>
  <si>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</si>
  <si>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</si>
  <si>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</si>
  <si>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</si>
  <si>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</si>
  <si>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</si>
  <si>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</si>
  <si>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</si>
  <si>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</si>
  <si>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</si>
  <si>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</si>
  <si>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</si>
  <si>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</si>
  <si>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</si>
  <si>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</si>
  <si>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</si>
  <si>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</si>
  <si>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</si>
  <si>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</si>
  <si>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</si>
  <si>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</si>
  <si>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</si>
  <si>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</si>
  <si>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</si>
  <si>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</si>
  <si>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</si>
  <si>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</si>
  <si>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</si>
  <si>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</si>
  <si>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</si>
  <si>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</si>
  <si>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</si>
  <si>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</si>
  <si>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</si>
  <si>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</si>
  <si>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</si>
  <si>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</si>
  <si>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</si>
  <si>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</si>
  <si>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</si>
  <si>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</si>
  <si>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</si>
  <si>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</si>
  <si>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</si>
  <si>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</si>
  <si>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</si>
  <si>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</si>
  <si>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</si>
  <si>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</si>
  <si>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</si>
  <si>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</si>
  <si>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</si>
  <si>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</si>
  <si>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</si>
  <si>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</si>
  <si>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</si>
  <si>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</si>
  <si>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</si>
  <si>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</si>
  <si>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</si>
  <si>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</si>
  <si>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</si>
  <si>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</si>
  <si>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</si>
  <si>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</si>
  <si>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</si>
  <si>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</si>
  <si>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</si>
  <si>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</si>
  <si>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</si>
  <si>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</si>
  <si>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</si>
  <si>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</si>
  <si>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</si>
  <si>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</si>
  <si>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</si>
  <si>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</si>
  <si>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</si>
  <si>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</si>
  <si>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</si>
  <si>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</si>
  <si>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</si>
  <si>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</si>
  <si>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</si>
  <si>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</si>
  <si>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</si>
  <si>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</si>
  <si>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</si>
  <si>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</si>
  <si>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</si>
  <si>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</si>
  <si>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</si>
  <si>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</si>
  <si>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</si>
  <si>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</si>
  <si>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</si>
  <si>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</si>
  <si>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</si>
  <si>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</si>
  <si>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</si>
  <si>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</si>
  <si>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</si>
  <si>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</si>
  <si>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</si>
  <si>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</si>
  <si>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</si>
  <si>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</si>
  <si>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</si>
  <si>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</si>
  <si>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</si>
  <si>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</si>
  <si>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</si>
  <si>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</si>
  <si>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</si>
  <si>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</si>
  <si>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</si>
  <si>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</si>
  <si>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</si>
  <si>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</si>
  <si>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</si>
  <si>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</si>
  <si>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</si>
  <si>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</si>
  <si>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</si>
  <si>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</si>
  <si>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</si>
  <si>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</si>
  <si>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</si>
  <si>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</si>
  <si>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</si>
  <si>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</si>
  <si>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</si>
  <si>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</si>
  <si>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</si>
  <si>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</si>
  <si>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</si>
  <si>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</si>
  <si>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</si>
  <si>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</si>
  <si>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</si>
  <si>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</si>
  <si>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</si>
  <si>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</si>
  <si>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</si>
  <si>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</si>
  <si>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</si>
  <si>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</si>
  <si>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</si>
  <si>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</si>
  <si>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</si>
  <si>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</si>
  <si>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</si>
  <si>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</si>
  <si>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</si>
  <si>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</si>
  <si>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</si>
  <si>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</si>
  <si>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</si>
  <si>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</si>
  <si>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</si>
  <si>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</si>
  <si>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</si>
  <si>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</si>
  <si>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</si>
  <si>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</si>
  <si>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</si>
  <si>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</si>
  <si>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</si>
  <si>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</si>
  <si>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</si>
  <si>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</si>
  <si>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</si>
  <si>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</si>
  <si>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</si>
  <si>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</si>
  <si>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</si>
  <si>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</si>
  <si>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</si>
  <si>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</si>
  <si>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</si>
  <si>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</si>
  <si>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</si>
  <si>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</si>
  <si>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</si>
  <si>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</si>
  <si>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</si>
  <si>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</si>
  <si>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</si>
  <si>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</si>
  <si>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</si>
  <si>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</si>
  <si>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</si>
  <si>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</si>
  <si>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</si>
  <si>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</si>
  <si>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</si>
  <si>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</si>
  <si>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</si>
  <si>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</si>
  <si>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</si>
  <si>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</si>
  <si>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</si>
  <si>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</si>
  <si>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</si>
  <si>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</si>
  <si>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</si>
  <si>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</si>
  <si>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</si>
  <si>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</si>
  <si>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</si>
  <si>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</si>
  <si>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</si>
  <si>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</si>
  <si>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</si>
  <si>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</si>
  <si>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</si>
  <si>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</si>
  <si>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</si>
  <si>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</si>
  <si>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</si>
  <si>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</si>
  <si>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</si>
  <si>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</si>
  <si>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</si>
  <si>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</si>
  <si>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</si>
  <si>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</si>
  <si>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</si>
  <si>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</si>
  <si>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</si>
  <si>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</si>
  <si>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</si>
  <si>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</si>
  <si>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</si>
  <si>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</si>
  <si>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</si>
  <si>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</si>
  <si>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</si>
  <si>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</si>
  <si>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</si>
  <si>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</si>
  <si>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</si>
  <si>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</si>
  <si>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</si>
  <si>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</si>
  <si>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</si>
  <si>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</si>
  <si>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</si>
  <si>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</si>
  <si>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</si>
  <si>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</si>
  <si>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</si>
  <si>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</si>
  <si>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</si>
  <si>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</si>
  <si>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</si>
  <si>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</si>
  <si>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</si>
  <si>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</si>
  <si>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</si>
  <si>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</si>
  <si>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</si>
  <si>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</si>
  <si>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</si>
  <si>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</si>
  <si>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</si>
  <si>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</si>
  <si>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</si>
  <si>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</si>
  <si>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</si>
  <si>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</si>
  <si>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</si>
  <si>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</si>
  <si>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</si>
  <si>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</si>
  <si>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</si>
  <si>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</si>
  <si>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</si>
  <si>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</si>
  <si>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</si>
  <si>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</si>
  <si>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</si>
  <si>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</si>
  <si>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</si>
  <si>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</si>
  <si>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</si>
  <si>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</si>
  <si>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</si>
  <si>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</si>
  <si>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</si>
  <si>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</si>
  <si>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</si>
  <si>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</si>
  <si>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</si>
  <si>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</si>
  <si>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</si>
  <si>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</si>
  <si>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</si>
  <si>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</si>
  <si>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</si>
  <si>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</si>
  <si>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</si>
  <si>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</si>
  <si>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</si>
  <si>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</si>
  <si>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</si>
  <si>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</si>
  <si>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</si>
  <si>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</si>
  <si>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</si>
  <si>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</si>
  <si>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</si>
  <si>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</si>
  <si>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</si>
  <si>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</si>
  <si>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</si>
  <si>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</si>
  <si>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</si>
  <si>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</si>
  <si>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</si>
  <si>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</si>
  <si>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</si>
  <si>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</si>
  <si>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</si>
  <si>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</si>
  <si>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</si>
  <si>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</si>
  <si>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</si>
  <si>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</si>
  <si>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</si>
  <si>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</si>
  <si>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</si>
  <si>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</si>
  <si>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</si>
  <si>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</si>
  <si>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</si>
  <si>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</si>
  <si>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</si>
  <si>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</si>
  <si>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</si>
  <si>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</si>
  <si>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</si>
  <si>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</si>
  <si>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</si>
  <si>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</si>
  <si>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</si>
  <si>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</si>
  <si>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</si>
  <si>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</si>
  <si>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</si>
  <si>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</si>
  <si>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</si>
  <si>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</si>
  <si>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</si>
  <si>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</si>
  <si>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</si>
  <si>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</si>
  <si>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</si>
  <si>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</si>
  <si>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</si>
  <si>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</si>
  <si>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</si>
  <si>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</si>
  <si>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</si>
  <si>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</si>
  <si>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</si>
  <si>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</si>
  <si>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</si>
  <si>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</si>
  <si>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</si>
  <si>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</si>
  <si>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</si>
  <si>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</si>
  <si>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</si>
  <si>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</si>
  <si>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</si>
  <si>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</si>
  <si>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</si>
  <si>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</si>
  <si>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</si>
  <si>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</si>
  <si>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</si>
  <si>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</si>
  <si>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</si>
  <si>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</si>
  <si>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</si>
  <si>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</si>
  <si>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</si>
  <si>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</si>
  <si>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</si>
  <si>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</si>
  <si>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</si>
  <si>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</si>
  <si>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</si>
  <si>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</si>
  <si>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</si>
  <si>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</si>
  <si>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</si>
  <si>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</si>
  <si>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</si>
  <si>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</si>
  <si>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</si>
  <si>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</si>
  <si>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</si>
  <si>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</si>
  <si>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</si>
  <si>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</si>
  <si>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</si>
  <si>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</si>
  <si>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</si>
  <si>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</si>
  <si>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</si>
  <si>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</si>
  <si>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</si>
  <si>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</si>
  <si>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</si>
  <si>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</si>
  <si>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</si>
  <si>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</si>
  <si>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</si>
  <si>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</si>
  <si>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</si>
  <si>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</si>
  <si>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</si>
  <si>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</si>
  <si>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</si>
  <si>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</si>
  <si>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</si>
  <si>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</si>
  <si>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</si>
  <si>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</si>
  <si>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</si>
  <si>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</si>
  <si>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</si>
  <si>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</si>
  <si>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</si>
  <si>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</si>
  <si>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</si>
  <si>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</si>
  <si>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</si>
  <si>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</si>
  <si>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</si>
  <si>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</si>
  <si>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</si>
  <si>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</si>
  <si>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</si>
  <si>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</si>
  <si>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</si>
  <si>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</si>
  <si>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</si>
  <si>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</si>
  <si>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</si>
  <si>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</si>
  <si>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</si>
  <si>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</si>
  <si>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</si>
  <si>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</si>
  <si>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</si>
  <si>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</si>
  <si>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</si>
  <si>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</si>
  <si>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</si>
  <si>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</si>
  <si>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</si>
  <si>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</si>
  <si>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</si>
  <si>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</si>
  <si>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</si>
  <si>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</si>
  <si>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</si>
  <si>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</si>
  <si>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</si>
  <si>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</si>
  <si>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</si>
  <si>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</si>
  <si>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</si>
  <si>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</si>
  <si>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</si>
  <si>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</si>
  <si>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</si>
  <si>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</si>
  <si>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</si>
  <si>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</si>
  <si>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</si>
  <si>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</si>
  <si>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</si>
  <si>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</si>
  <si>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</si>
  <si>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</si>
  <si>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</si>
  <si>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</si>
  <si>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</si>
  <si>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</si>
  <si>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</si>
  <si>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</si>
  <si>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</si>
  <si>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</si>
  <si>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</si>
  <si>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</si>
  <si>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</si>
  <si>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</si>
  <si>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</si>
  <si>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</si>
  <si>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</si>
  <si>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</si>
  <si>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</si>
  <si>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</si>
  <si>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</si>
  <si>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</si>
  <si>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</si>
  <si>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</si>
  <si>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</si>
  <si>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</si>
  <si>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</si>
  <si>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</si>
  <si>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</si>
  <si>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</si>
  <si>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</si>
  <si>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</si>
  <si>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</si>
  <si>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</si>
  <si>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</si>
  <si>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</si>
  <si>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</si>
  <si>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</si>
  <si>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</si>
  <si>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</si>
  <si>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</si>
  <si>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</si>
  <si>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</si>
  <si>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</si>
  <si>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</si>
  <si>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</si>
  <si>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</si>
  <si>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</si>
  <si>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</si>
  <si>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</si>
  <si>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</si>
  <si>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</si>
  <si>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</si>
  <si>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</si>
  <si>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</si>
  <si>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</si>
  <si>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</si>
  <si>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</si>
  <si>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</si>
  <si>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</si>
  <si>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</si>
  <si>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</si>
  <si>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</si>
  <si>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</si>
  <si>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</si>
  <si>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</si>
  <si>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</si>
  <si>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</si>
  <si>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</si>
  <si>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</si>
  <si>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</si>
  <si>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</si>
  <si>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</si>
  <si>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</si>
  <si>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</si>
  <si>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</si>
  <si>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</si>
  <si>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</si>
  <si>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</si>
  <si>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</si>
  <si>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</si>
  <si>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</si>
  <si>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</si>
  <si>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</si>
  <si>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</si>
  <si>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</si>
  <si>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</si>
  <si>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</si>
  <si>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</si>
  <si>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</si>
  <si>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</si>
  <si>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</si>
  <si>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</si>
  <si>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</si>
  <si>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</si>
  <si>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</si>
  <si>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</si>
  <si>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</si>
  <si>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</si>
  <si>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</si>
  <si>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</si>
  <si>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</si>
  <si>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</si>
  <si>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</si>
  <si>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</si>
  <si>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</si>
  <si>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</si>
  <si>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</si>
  <si>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</si>
  <si>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</si>
  <si>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</si>
  <si>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</si>
  <si>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</si>
  <si>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</si>
  <si>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</si>
  <si>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</si>
  <si>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</si>
  <si>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</si>
  <si>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</si>
  <si>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</si>
  <si>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</si>
  <si>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</si>
  <si>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</si>
  <si>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</si>
  <si>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</si>
  <si>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</si>
  <si>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</si>
  <si>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</si>
  <si>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</si>
  <si>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</si>
  <si>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</si>
  <si>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</si>
  <si>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</si>
  <si>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</si>
  <si>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</si>
  <si>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</si>
  <si>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</si>
  <si>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</si>
  <si>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</si>
  <si>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</si>
  <si>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</si>
  <si>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</si>
  <si>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</si>
  <si>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</si>
  <si>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</si>
  <si>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</si>
  <si>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</si>
  <si>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</si>
  <si>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</si>
  <si>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</si>
  <si>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</si>
  <si>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</si>
  <si>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</si>
  <si>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</si>
  <si>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</si>
  <si>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</si>
  <si>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</si>
  <si>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</si>
  <si>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</si>
  <si>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</si>
  <si>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</si>
  <si>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</si>
  <si>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</si>
  <si>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</si>
  <si>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</si>
  <si>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</si>
  <si>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</si>
  <si>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</si>
  <si>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</si>
  <si>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</si>
  <si>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</si>
  <si>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</si>
  <si>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</si>
  <si>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</si>
  <si>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</si>
  <si>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</si>
  <si>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</si>
  <si>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</si>
  <si>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</si>
  <si>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</si>
  <si>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</si>
  <si>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</si>
  <si>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</si>
  <si>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</si>
  <si>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</si>
  <si>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</si>
  <si>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</si>
  <si>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</si>
  <si>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</si>
  <si>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</si>
  <si>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</si>
  <si>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</si>
  <si>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</si>
  <si>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</si>
  <si>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</si>
  <si>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</si>
  <si>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</si>
  <si>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</si>
  <si>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</si>
  <si>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</si>
  <si>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</si>
  <si>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</si>
  <si>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</si>
  <si>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</si>
  <si>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</si>
  <si>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</si>
  <si>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</si>
  <si>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</si>
  <si>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</si>
  <si>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</si>
  <si>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</si>
  <si>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</si>
  <si>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</si>
  <si>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</si>
  <si>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</si>
  <si>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</si>
  <si>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</si>
  <si>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</si>
  <si>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</si>
  <si>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</si>
  <si>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</si>
  <si>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</si>
  <si>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</si>
  <si>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</si>
  <si>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</si>
  <si>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</si>
  <si>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</si>
  <si>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</si>
  <si>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</si>
  <si>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</si>
  <si>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</si>
  <si>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</si>
  <si>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</si>
  <si>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</si>
  <si>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</si>
  <si>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</si>
  <si>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</si>
  <si>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</si>
  <si>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</si>
  <si>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</si>
  <si>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</si>
  <si>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</si>
  <si>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</si>
  <si>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</si>
  <si>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</si>
  <si>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</si>
  <si>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</si>
  <si>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</si>
  <si>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</si>
  <si>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</si>
  <si>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</si>
  <si>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</si>
  <si>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</si>
  <si>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</si>
  <si>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</si>
  <si>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</si>
  <si>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</si>
  <si>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</si>
  <si>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</si>
  <si>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</si>
  <si>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</si>
  <si>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</si>
  <si>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</si>
  <si>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</si>
  <si>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</si>
  <si>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</si>
  <si>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</si>
  <si>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</si>
  <si>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</si>
  <si>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</si>
  <si>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</si>
  <si>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</si>
  <si>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</si>
  <si>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</si>
  <si>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</si>
  <si>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</si>
  <si>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</si>
  <si>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</si>
  <si>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</si>
  <si>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</si>
  <si>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</si>
  <si>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</si>
  <si>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</si>
  <si>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</si>
  <si>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</si>
  <si>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</si>
  <si>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</si>
  <si>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</si>
  <si>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</si>
  <si>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</si>
  <si>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</si>
  <si>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</si>
  <si>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</si>
  <si>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</si>
  <si>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</si>
  <si>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</si>
  <si>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</si>
  <si>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</si>
  <si>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</si>
  <si>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</si>
  <si>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</si>
  <si>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</si>
  <si>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</si>
  <si>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</si>
  <si>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</si>
  <si>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</si>
  <si>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</si>
  <si>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</si>
  <si>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</si>
  <si>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</si>
  <si>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date</t>
  </si>
  <si>
    <t>datetime</t>
  </si>
  <si>
    <t>cash_type</t>
  </si>
  <si>
    <t>money</t>
  </si>
  <si>
    <t>coffee_name</t>
  </si>
  <si>
    <t/>
  </si>
  <si>
    <t>Hour</t>
  </si>
  <si>
    <t>Is_Repeat</t>
  </si>
  <si>
    <t>% Repeat Customer</t>
  </si>
  <si>
    <t>Avg Revenue / Transaction</t>
  </si>
  <si>
    <t>Cash</t>
  </si>
  <si>
    <t>Exclude_Cash</t>
  </si>
  <si>
    <t>Repeat</t>
  </si>
  <si>
    <t>Single</t>
  </si>
  <si>
    <t>Transaction_Id</t>
  </si>
  <si>
    <t>Count of Transaction_Id</t>
  </si>
  <si>
    <t>Monthly Trend</t>
  </si>
  <si>
    <t>Hourly Sales</t>
  </si>
  <si>
    <t>Revenue</t>
  </si>
  <si>
    <t>Cash Transactions</t>
  </si>
  <si>
    <t>Card Transactions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</si>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</sst>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h:mm:ss\ AM/PM;@"/>
    <numFmt numFmtId="165" formatCode="[$$-409]#.##0"/>
    <numFmt numFmtId="166" formatCode="yyyy\-mm\-dd;@"/>
    <numFmt numFmtId="167" formatCode="[$$-409]#"/>
  </numFmts>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7"/>
        <bgColor indexed="64"/>
      </patternFill>
    </fill>
    <fill>
      <patternFill patternType="solid">
        <fgColor rgb="FF3A6852"/>
        <bgColor indexed="64"/>
      </patternFill>
    </fill>
    <fill>
      <patternFill patternType="solid">
        <fgColor theme="4"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22"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9" fontId="0" fillId="0" borderId="0" xfId="1" applyFont="1"/>
    <xf numFmtId="167" fontId="0" fillId="0" borderId="0" xfId="0" applyNumberFormat="1"/>
    <xf numFmtId="0" fontId="0" fillId="0" borderId="0" xfId="0" applyNumberFormat="1"/>
    <xf numFmtId="9" fontId="0" fillId="0" borderId="0" xfId="1" applyFont="1" applyAlignment="1">
      <alignment horizontal="center"/>
    </xf>
    <xf numFmtId="0" fontId="0" fillId="2" borderId="0" xfId="0" applyFill="1"/>
    <xf numFmtId="167" fontId="0" fillId="0" borderId="0" xfId="0" applyNumberFormat="1" applyAlignment="1">
      <alignment horizontal="center"/>
    </xf>
    <xf numFmtId="0" fontId="0" fillId="3" borderId="0" xfId="0" applyFill="1"/>
    <xf numFmtId="0" fontId="0" fillId="4" borderId="0" xfId="0" applyFill="1"/>
  </cellXfs>
  <cellStyles count="2">
    <cellStyle name="Normal" xfId="0" builtinId="0"/>
    <cellStyle name="Percent" xfId="1" builtinId="5"/>
  </cellStyles>
  <dxfs count="21">
    <dxf>
      <numFmt numFmtId="167" formatCode="[$$-409]#"/>
    </dxf>
    <dxf>
      <numFmt numFmtId="167" formatCode="[$$-409]#"/>
    </dxf>
    <dxf>
      <numFmt numFmtId="165" formatCode="[$$-409]#.##0"/>
    </dxf>
    <dxf>
      <numFmt numFmtId="167" formatCode="[$$-409]#"/>
    </dxf>
    <dxf>
      <numFmt numFmtId="0" formatCode="General"/>
    </dxf>
    <dxf>
      <numFmt numFmtId="0" formatCode="General"/>
    </dxf>
    <dxf>
      <numFmt numFmtId="0" formatCode="General"/>
    </dxf>
    <dxf>
      <numFmt numFmtId="0" formatCode="General"/>
    </dxf>
    <dxf>
      <numFmt numFmtId="0" formatCode="General"/>
    </dxf>
    <dxf>
      <numFmt numFmtId="165" formatCode="[$$-409]#.##0"/>
    </dxf>
    <dxf>
      <numFmt numFmtId="164" formatCode="[$-409]h:mm:ss\ AM/PM;@"/>
    </dxf>
    <dxf>
      <numFmt numFmtId="166" formatCode="yyyy\-mm\-dd;@"/>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z val="8"/>
        <color theme="0"/>
      </font>
      <fill>
        <patternFill>
          <bgColor theme="8"/>
        </patternFill>
      </fill>
    </dxf>
  </dxfs>
  <tableStyles count="1" defaultTableStyle="TableStyleMedium2" defaultPivotStyle="PivotStyleLight16">
    <tableStyle name="Slicer Style 1" pivot="0" table="0" count="1" xr9:uid="{8A7D0F5E-BF73-4CB0-A512-BE18FA800DC6}">
      <tableStyleElement type="wholeTable" dxfId="20"/>
    </tableStyle>
  </tableStyles>
  <colors>
    <mruColors>
      <color rgb="FF3A6852"/>
      <color rgb="FFF7F7F7"/>
      <color rgb="FFF5F5F5"/>
      <color rgb="FFF1F0F5"/>
      <color rgb="FFCC66FF"/>
      <color rgb="FFFFFF66"/>
      <color rgb="FF99CCFF"/>
      <color rgb="FF99FF66"/>
      <color rgb="FFFA6F8B"/>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Time!PivotTable10</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Time'!$F$3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Time'!$E$4:$E$21</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 Time'!$F$4:$F$21</c:f>
              <c:numCache>
                <c:formatCode>General</c:formatCode>
                <c:ptCount val="17"/>
                <c:pt idx="0">
                  <c:v>5</c:v>
                </c:pt>
                <c:pt idx="1">
                  <c:v>91</c:v>
                </c:pt>
                <c:pt idx="2">
                  <c:v>235</c:v>
                </c:pt>
                <c:pt idx="3">
                  <c:v>247</c:v>
                </c:pt>
                <c:pt idx="4">
                  <c:v>349</c:v>
                </c:pt>
                <c:pt idx="5">
                  <c:v>294</c:v>
                </c:pt>
                <c:pt idx="6">
                  <c:v>249</c:v>
                </c:pt>
                <c:pt idx="7">
                  <c:v>227</c:v>
                </c:pt>
                <c:pt idx="8">
                  <c:v>228</c:v>
                </c:pt>
                <c:pt idx="9">
                  <c:v>245</c:v>
                </c:pt>
                <c:pt idx="10">
                  <c:v>283</c:v>
                </c:pt>
                <c:pt idx="11">
                  <c:v>244</c:v>
                </c:pt>
                <c:pt idx="12">
                  <c:v>220</c:v>
                </c:pt>
                <c:pt idx="13">
                  <c:v>235</c:v>
                </c:pt>
                <c:pt idx="14">
                  <c:v>171</c:v>
                </c:pt>
                <c:pt idx="15">
                  <c:v>197</c:v>
                </c:pt>
                <c:pt idx="16">
                  <c:v>116</c:v>
                </c:pt>
              </c:numCache>
            </c:numRef>
          </c:val>
          <c:extLst>
            <c:ext xmlns:c16="http://schemas.microsoft.com/office/drawing/2014/chart" uri="{C3380CC4-5D6E-409C-BE32-E72D297353CC}">
              <c16:uniqueId val="{00000000-A915-4EE6-850A-4199D657C397}"/>
            </c:ext>
          </c:extLst>
        </c:ser>
        <c:dLbls>
          <c:dLblPos val="outEnd"/>
          <c:showLegendKey val="0"/>
          <c:showVal val="1"/>
          <c:showCatName val="0"/>
          <c:showSerName val="0"/>
          <c:showPercent val="0"/>
          <c:showBubbleSize val="0"/>
        </c:dLbls>
        <c:gapWidth val="219"/>
        <c:overlap val="-27"/>
        <c:axId val="904350872"/>
        <c:axId val="904347992"/>
      </c:barChart>
      <c:catAx>
        <c:axId val="90435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04347992"/>
        <c:crosses val="autoZero"/>
        <c:auto val="1"/>
        <c:lblAlgn val="ctr"/>
        <c:lblOffset val="100"/>
        <c:noMultiLvlLbl val="0"/>
      </c:catAx>
      <c:valAx>
        <c:axId val="904347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04350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Time!PivotTable9</c:name>
    <c:fmtId val="13"/>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Time'!$B$3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Time'!$B$4:$B$16</c:f>
              <c:numCache>
                <c:formatCode>[$$-409]#</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C425-4CE0-97C8-0FD2D358677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84831072"/>
        <c:axId val="584824952"/>
      </c:lineChart>
      <c:catAx>
        <c:axId val="58483107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crossAx val="584824952"/>
        <c:crosses val="autoZero"/>
        <c:auto val="1"/>
        <c:lblAlgn val="ctr"/>
        <c:lblOffset val="100"/>
        <c:noMultiLvlLbl val="0"/>
      </c:catAx>
      <c:valAx>
        <c:axId val="584824952"/>
        <c:scaling>
          <c:orientation val="minMax"/>
        </c:scaling>
        <c:delete val="0"/>
        <c:axPos val="l"/>
        <c:numFmt formatCode="[$$-409]#"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crossAx val="58483107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Product!PivotTable8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Product'!$A$4:$A$12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 Product'!$B$4:$B$12</c:f>
              <c:numCache>
                <c:formatCode>[$$-409]#</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0-1A42-4A53-92D5-72C60321056A}"/>
            </c:ext>
          </c:extLst>
        </c:ser>
        <c:dLbls>
          <c:dLblPos val="ctr"/>
          <c:showLegendKey val="0"/>
          <c:showVal val="1"/>
          <c:showCatName val="0"/>
          <c:showSerName val="0"/>
          <c:showPercent val="0"/>
          <c:showBubbleSize val="0"/>
        </c:dLbls>
        <c:gapWidth val="150"/>
        <c:overlap val="100"/>
        <c:axId val="842778664"/>
        <c:axId val="842774344"/>
      </c:barChart>
      <c:catAx>
        <c:axId val="842778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842774344"/>
        <c:crosses val="autoZero"/>
        <c:auto val="1"/>
        <c:lblAlgn val="ctr"/>
        <c:lblOffset val="100"/>
        <c:noMultiLvlLbl val="0"/>
      </c:catAx>
      <c:valAx>
        <c:axId val="842774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842778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Product!PivotTable8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Product'!$B$3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Product'!$A$4:$A$12</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 Product'!$B$4:$B$12</c:f>
              <c:numCache>
                <c:formatCode>[$$-409]#</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0-764A-46AB-8CDA-C4B1DDD74C5D}"/>
            </c:ext>
          </c:extLst>
        </c:ser>
        <c:dLbls>
          <c:dLblPos val="ctr"/>
          <c:showLegendKey val="0"/>
          <c:showVal val="1"/>
          <c:showCatName val="0"/>
          <c:showSerName val="0"/>
          <c:showPercent val="0"/>
          <c:showBubbleSize val="0"/>
        </c:dLbls>
        <c:gapWidth val="150"/>
        <c:overlap val="100"/>
        <c:axId val="842778664"/>
        <c:axId val="842774344"/>
      </c:barChart>
      <c:catAx>
        <c:axId val="842778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74344"/>
        <c:crosses val="autoZero"/>
        <c:auto val="1"/>
        <c:lblAlgn val="ctr"/>
        <c:lblOffset val="100"/>
        <c:noMultiLvlLbl val="0"/>
      </c:catAx>
      <c:valAx>
        <c:axId val="8427743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78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Time!PivotTable9</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Time'!$B$3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Time'!$B$4:$B$16</c:f>
              <c:numCache>
                <c:formatCode>[$$-409]#</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71A3-4D29-8630-528C4C64B36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84831072"/>
        <c:axId val="584824952"/>
      </c:lineChart>
      <c:catAx>
        <c:axId val="584831072"/>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84824952"/>
        <c:crosses val="autoZero"/>
        <c:auto val="1"/>
        <c:lblAlgn val="ctr"/>
        <c:lblOffset val="100"/>
        <c:noMultiLvlLbl val="0"/>
      </c:catAx>
      <c:valAx>
        <c:axId val="584824952"/>
        <c:scaling>
          <c:orientation val="minMax"/>
        </c:scaling>
        <c:delete val="0"/>
        <c:axPos val="l"/>
        <c:numFmt formatCode="[$$-409]#"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8483107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Time!PivotTable10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Time'!$F$3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Time'!$E$4:$E$21</c:f>
              <c:strCache>
                <c:ptCount val="17"/>
                <c:pt idx="0">
                  <c:v>06</c:v>
                </c:pt>
                <c:pt idx="1">
                  <c:v>07</c:v>
                </c:pt>
                <c:pt idx="2">
                  <c:v>08</c:v>
                </c:pt>
                <c:pt idx="3">
                  <c:v>09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 Time'!$F$4:$F$21</c:f>
              <c:numCache>
                <c:formatCode>General</c:formatCode>
                <c:ptCount val="17"/>
                <c:pt idx="0">
                  <c:v>5</c:v>
                </c:pt>
                <c:pt idx="1">
                  <c:v>91</c:v>
                </c:pt>
                <c:pt idx="2">
                  <c:v>235</c:v>
                </c:pt>
                <c:pt idx="3">
                  <c:v>247</c:v>
                </c:pt>
                <c:pt idx="4">
                  <c:v>349</c:v>
                </c:pt>
                <c:pt idx="5">
                  <c:v>294</c:v>
                </c:pt>
                <c:pt idx="6">
                  <c:v>249</c:v>
                </c:pt>
                <c:pt idx="7">
                  <c:v>227</c:v>
                </c:pt>
                <c:pt idx="8">
                  <c:v>228</c:v>
                </c:pt>
                <c:pt idx="9">
                  <c:v>245</c:v>
                </c:pt>
                <c:pt idx="10">
                  <c:v>283</c:v>
                </c:pt>
                <c:pt idx="11">
                  <c:v>244</c:v>
                </c:pt>
                <c:pt idx="12">
                  <c:v>220</c:v>
                </c:pt>
                <c:pt idx="13">
                  <c:v>235</c:v>
                </c:pt>
                <c:pt idx="14">
                  <c:v>171</c:v>
                </c:pt>
                <c:pt idx="15">
                  <c:v>197</c:v>
                </c:pt>
                <c:pt idx="16">
                  <c:v>116</c:v>
                </c:pt>
              </c:numCache>
            </c:numRef>
          </c:val>
          <c:extLst>
            <c:ext xmlns:c16="http://schemas.microsoft.com/office/drawing/2014/chart" uri="{C3380CC4-5D6E-409C-BE32-E72D297353CC}">
              <c16:uniqueId val="{00000000-4FDB-4644-8D37-AAEF4C07D1BA}"/>
            </c:ext>
          </c:extLst>
        </c:ser>
        <c:dLbls>
          <c:dLblPos val="outEnd"/>
          <c:showLegendKey val="0"/>
          <c:showVal val="1"/>
          <c:showCatName val="0"/>
          <c:showSerName val="0"/>
          <c:showPercent val="0"/>
          <c:showBubbleSize val="0"/>
        </c:dLbls>
        <c:gapWidth val="219"/>
        <c:overlap val="-27"/>
        <c:axId val="904350872"/>
        <c:axId val="904347992"/>
      </c:barChart>
      <c:catAx>
        <c:axId val="90435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47992"/>
        <c:crosses val="autoZero"/>
        <c:auto val="1"/>
        <c:lblAlgn val="ctr"/>
        <c:lblOffset val="100"/>
        <c:noMultiLvlLbl val="0"/>
      </c:catAx>
      <c:valAx>
        <c:axId val="904347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50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Sales.xlsx]Pivot Payment!PivotTable11</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4410540915395285"/>
              <c:y val="2.27272727272727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2">
              <a:lumMod val="90000"/>
            </a:schemeClr>
          </a:solidFill>
          <a:ln w="19050">
            <a:solidFill>
              <a:schemeClr val="lt1"/>
            </a:solidFill>
          </a:ln>
          <a:effectLst/>
        </c:spPr>
        <c:dLbl>
          <c:idx val="0"/>
          <c:layout>
            <c:manualLayout>
              <c:x val="0.1276005547850208"/>
              <c:y val="-6.8181818181818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Payment'!$B$3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A27-497A-AFC4-45DCF945D454}"/>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4A27-497A-AFC4-45DCF945D454}"/>
              </c:ext>
            </c:extLst>
          </c:dPt>
          <c:dLbls>
            <c:dLbl>
              <c:idx val="0"/>
              <c:layout>
                <c:manualLayout>
                  <c:x val="0.24410540915395285"/>
                  <c:y val="2.27272727272727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A27-497A-AFC4-45DCF945D454}"/>
                </c:ext>
              </c:extLst>
            </c:dLbl>
            <c:dLbl>
              <c:idx val="1"/>
              <c:layout>
                <c:manualLayout>
                  <c:x val="0.1276005547850208"/>
                  <c:y val="-6.81818181818181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27-497A-AFC4-45DCF945D45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Payment'!$A$4:$A$6</c:f>
              <c:strCache>
                <c:ptCount val="2"/>
                <c:pt idx="0">
                  <c:v>card</c:v>
                </c:pt>
                <c:pt idx="1">
                  <c:v>cash</c:v>
                </c:pt>
              </c:strCache>
            </c:strRef>
          </c:cat>
          <c:val>
            <c:numRef>
              <c:f>'Pivot Payment'!$B$4:$B$6</c:f>
              <c:numCache>
                <c:formatCode>General</c:formatCode>
                <c:ptCount val="2"/>
                <c:pt idx="0">
                  <c:v>3547</c:v>
                </c:pt>
                <c:pt idx="1">
                  <c:v>89</c:v>
                </c:pt>
              </c:numCache>
            </c:numRef>
          </c:val>
          <c:extLst>
            <c:ext xmlns:c16="http://schemas.microsoft.com/office/drawing/2014/chart" uri="{C3380CC4-5D6E-409C-BE32-E72D297353CC}">
              <c16:uniqueId val="{00000000-4A27-497A-AFC4-45DCF945D454}"/>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97366</xdr:colOff>
      <xdr:row>0</xdr:row>
      <xdr:rowOff>158750</xdr:rowOff>
    </xdr:from>
    <xdr:to>
      <xdr:col>3</xdr:col>
      <xdr:colOff>76200</xdr:colOff>
      <xdr:row>7</xdr:row>
      <xdr:rowOff>21166</xdr:rowOff>
    </xdr:to>
    <xdr:sp macro="" textlink="">
      <xdr:nvSpPr>
        <xdr:cNvPr id="2" name="Rectangle 1">
          <a:extLst>
            <a:ext uri="{FF2B5EF4-FFF2-40B4-BE49-F238E27FC236}">
              <a16:creationId xmlns:a16="http://schemas.microsoft.com/office/drawing/2014/main" id="{DE3F2F9F-23B3-9C5F-5E5C-ED2662C9E157}"/>
            </a:ext>
          </a:extLst>
        </xdr:cNvPr>
        <xdr:cNvSpPr/>
      </xdr:nvSpPr>
      <xdr:spPr>
        <a:xfrm>
          <a:off x="97366" y="158750"/>
          <a:ext cx="1807634" cy="11959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97366</xdr:colOff>
      <xdr:row>7</xdr:row>
      <xdr:rowOff>147109</xdr:rowOff>
    </xdr:from>
    <xdr:to>
      <xdr:col>3</xdr:col>
      <xdr:colOff>76200</xdr:colOff>
      <xdr:row>24</xdr:row>
      <xdr:rowOff>75142</xdr:rowOff>
    </xdr:to>
    <xdr:sp macro="" textlink="">
      <xdr:nvSpPr>
        <xdr:cNvPr id="3" name="Rectangle 2">
          <a:extLst>
            <a:ext uri="{FF2B5EF4-FFF2-40B4-BE49-F238E27FC236}">
              <a16:creationId xmlns:a16="http://schemas.microsoft.com/office/drawing/2014/main" id="{70AE226C-C454-4791-A425-A69B3D4DEEBC}"/>
            </a:ext>
          </a:extLst>
        </xdr:cNvPr>
        <xdr:cNvSpPr/>
      </xdr:nvSpPr>
      <xdr:spPr>
        <a:xfrm>
          <a:off x="97366" y="1480609"/>
          <a:ext cx="1807634" cy="31665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97366</xdr:colOff>
      <xdr:row>25</xdr:row>
      <xdr:rowOff>10584</xdr:rowOff>
    </xdr:from>
    <xdr:to>
      <xdr:col>3</xdr:col>
      <xdr:colOff>76200</xdr:colOff>
      <xdr:row>36</xdr:row>
      <xdr:rowOff>114301</xdr:rowOff>
    </xdr:to>
    <xdr:sp macro="" textlink="">
      <xdr:nvSpPr>
        <xdr:cNvPr id="4" name="Rectangle 3">
          <a:extLst>
            <a:ext uri="{FF2B5EF4-FFF2-40B4-BE49-F238E27FC236}">
              <a16:creationId xmlns:a16="http://schemas.microsoft.com/office/drawing/2014/main" id="{932C270C-2055-4624-A32E-051DE86B8CCF}"/>
            </a:ext>
          </a:extLst>
        </xdr:cNvPr>
        <xdr:cNvSpPr/>
      </xdr:nvSpPr>
      <xdr:spPr>
        <a:xfrm>
          <a:off x="97366" y="4773084"/>
          <a:ext cx="1807634" cy="219921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3</xdr:col>
      <xdr:colOff>205314</xdr:colOff>
      <xdr:row>1</xdr:row>
      <xdr:rowOff>14816</xdr:rowOff>
    </xdr:from>
    <xdr:to>
      <xdr:col>28</xdr:col>
      <xdr:colOff>88899</xdr:colOff>
      <xdr:row>37</xdr:row>
      <xdr:rowOff>0</xdr:rowOff>
    </xdr:to>
    <xdr:sp macro="" textlink="">
      <xdr:nvSpPr>
        <xdr:cNvPr id="5" name="Rectangle 4">
          <a:extLst>
            <a:ext uri="{FF2B5EF4-FFF2-40B4-BE49-F238E27FC236}">
              <a16:creationId xmlns:a16="http://schemas.microsoft.com/office/drawing/2014/main" id="{1786869D-443F-4FE0-B41C-418801FB0649}"/>
            </a:ext>
          </a:extLst>
        </xdr:cNvPr>
        <xdr:cNvSpPr/>
      </xdr:nvSpPr>
      <xdr:spPr>
        <a:xfrm>
          <a:off x="2038427" y="194533"/>
          <a:ext cx="15159529" cy="645499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3</xdr:col>
      <xdr:colOff>431321</xdr:colOff>
      <xdr:row>1</xdr:row>
      <xdr:rowOff>120649</xdr:rowOff>
    </xdr:from>
    <xdr:to>
      <xdr:col>27</xdr:col>
      <xdr:colOff>498999</xdr:colOff>
      <xdr:row>5</xdr:row>
      <xdr:rowOff>25400</xdr:rowOff>
    </xdr:to>
    <xdr:sp macro="" textlink="">
      <xdr:nvSpPr>
        <xdr:cNvPr id="6" name="Rectangle 5">
          <a:extLst>
            <a:ext uri="{FF2B5EF4-FFF2-40B4-BE49-F238E27FC236}">
              <a16:creationId xmlns:a16="http://schemas.microsoft.com/office/drawing/2014/main" id="{589141D4-93F8-4EAF-AD64-B9D7BAF15BCE}"/>
            </a:ext>
          </a:extLst>
        </xdr:cNvPr>
        <xdr:cNvSpPr/>
      </xdr:nvSpPr>
      <xdr:spPr>
        <a:xfrm>
          <a:off x="2264434" y="300366"/>
          <a:ext cx="14732584" cy="623619"/>
        </a:xfrm>
        <a:prstGeom prst="rect">
          <a:avLst/>
        </a:prstGeom>
        <a:solidFill>
          <a:schemeClr val="bg1"/>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3200" b="1" i="0" u="none" strike="noStrike">
              <a:solidFill>
                <a:schemeClr val="tx1"/>
              </a:solidFill>
              <a:effectLst/>
              <a:latin typeface="Segoe UI" panose="020B0502040204020203" pitchFamily="34" charset="0"/>
              <a:ea typeface="+mn-ea"/>
              <a:cs typeface="Segoe UI" panose="020B0502040204020203" pitchFamily="34" charset="0"/>
            </a:rPr>
            <a:t>Coffee Sales Analysis – Vending Machine</a:t>
          </a:r>
          <a:endParaRPr lang="en-ID" sz="3200">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3</xdr:col>
      <xdr:colOff>436032</xdr:colOff>
      <xdr:row>5</xdr:row>
      <xdr:rowOff>152400</xdr:rowOff>
    </xdr:from>
    <xdr:to>
      <xdr:col>9</xdr:col>
      <xdr:colOff>198432</xdr:colOff>
      <xdr:row>12</xdr:row>
      <xdr:rowOff>78900</xdr:rowOff>
    </xdr:to>
    <xdr:sp macro="" textlink="">
      <xdr:nvSpPr>
        <xdr:cNvPr id="7" name="Rectangle 6">
          <a:extLst>
            <a:ext uri="{FF2B5EF4-FFF2-40B4-BE49-F238E27FC236}">
              <a16:creationId xmlns:a16="http://schemas.microsoft.com/office/drawing/2014/main" id="{F7639269-2E68-4581-A007-981C7F25447A}"/>
            </a:ext>
          </a:extLst>
        </xdr:cNvPr>
        <xdr:cNvSpPr/>
      </xdr:nvSpPr>
      <xdr:spPr>
        <a:xfrm>
          <a:off x="2264832" y="1104900"/>
          <a:ext cx="3420000" cy="126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Total</a:t>
          </a:r>
          <a:r>
            <a:rPr lang="en-ID" sz="1800" b="1" baseline="0">
              <a:solidFill>
                <a:schemeClr val="tx1"/>
              </a:solidFill>
              <a:latin typeface="Segoe UI" panose="020B0502040204020203" pitchFamily="34" charset="0"/>
              <a:cs typeface="Segoe UI" panose="020B0502040204020203" pitchFamily="34" charset="0"/>
            </a:rPr>
            <a:t> Revenue</a:t>
          </a:r>
          <a:endParaRPr lang="en-ID" sz="18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9</xdr:col>
      <xdr:colOff>531988</xdr:colOff>
      <xdr:row>5</xdr:row>
      <xdr:rowOff>152400</xdr:rowOff>
    </xdr:from>
    <xdr:to>
      <xdr:col>15</xdr:col>
      <xdr:colOff>294388</xdr:colOff>
      <xdr:row>12</xdr:row>
      <xdr:rowOff>78900</xdr:rowOff>
    </xdr:to>
    <xdr:sp macro="" textlink="">
      <xdr:nvSpPr>
        <xdr:cNvPr id="8" name="Rectangle 7">
          <a:extLst>
            <a:ext uri="{FF2B5EF4-FFF2-40B4-BE49-F238E27FC236}">
              <a16:creationId xmlns:a16="http://schemas.microsoft.com/office/drawing/2014/main" id="{1A700A0F-537C-47E0-870E-56C01CDF9009}"/>
            </a:ext>
          </a:extLst>
        </xdr:cNvPr>
        <xdr:cNvSpPr/>
      </xdr:nvSpPr>
      <xdr:spPr>
        <a:xfrm>
          <a:off x="6018388" y="1104900"/>
          <a:ext cx="3420000" cy="126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Total</a:t>
          </a:r>
          <a:r>
            <a:rPr lang="en-ID" sz="1800" b="1" baseline="0">
              <a:solidFill>
                <a:schemeClr val="tx1"/>
              </a:solidFill>
              <a:latin typeface="Segoe UI" panose="020B0502040204020203" pitchFamily="34" charset="0"/>
              <a:cs typeface="Segoe UI" panose="020B0502040204020203" pitchFamily="34" charset="0"/>
            </a:rPr>
            <a:t> Transactions</a:t>
          </a:r>
          <a:endParaRPr lang="en-ID" sz="18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16</xdr:col>
      <xdr:colOff>18344</xdr:colOff>
      <xdr:row>5</xdr:row>
      <xdr:rowOff>152400</xdr:rowOff>
    </xdr:from>
    <xdr:to>
      <xdr:col>21</xdr:col>
      <xdr:colOff>390344</xdr:colOff>
      <xdr:row>12</xdr:row>
      <xdr:rowOff>78900</xdr:rowOff>
    </xdr:to>
    <xdr:sp macro="" textlink="">
      <xdr:nvSpPr>
        <xdr:cNvPr id="9" name="Rectangle 8">
          <a:extLst>
            <a:ext uri="{FF2B5EF4-FFF2-40B4-BE49-F238E27FC236}">
              <a16:creationId xmlns:a16="http://schemas.microsoft.com/office/drawing/2014/main" id="{271C01C0-FCB1-4B07-9900-FA3A0D4FBE4F}"/>
            </a:ext>
          </a:extLst>
        </xdr:cNvPr>
        <xdr:cNvSpPr/>
      </xdr:nvSpPr>
      <xdr:spPr>
        <a:xfrm>
          <a:off x="9771944" y="1104900"/>
          <a:ext cx="3420000" cy="126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Average</a:t>
          </a:r>
          <a:r>
            <a:rPr lang="en-ID" sz="1800" b="1" baseline="0">
              <a:solidFill>
                <a:schemeClr val="tx1"/>
              </a:solidFill>
              <a:latin typeface="Segoe UI" panose="020B0502040204020203" pitchFamily="34" charset="0"/>
              <a:cs typeface="Segoe UI" panose="020B0502040204020203" pitchFamily="34" charset="0"/>
            </a:rPr>
            <a:t> Order Value</a:t>
          </a:r>
          <a:endParaRPr lang="en-ID" sz="1800" b="1">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22</xdr:col>
      <xdr:colOff>126999</xdr:colOff>
      <xdr:row>5</xdr:row>
      <xdr:rowOff>152400</xdr:rowOff>
    </xdr:from>
    <xdr:to>
      <xdr:col>27</xdr:col>
      <xdr:colOff>498999</xdr:colOff>
      <xdr:row>12</xdr:row>
      <xdr:rowOff>78900</xdr:rowOff>
    </xdr:to>
    <xdr:sp macro="" textlink="">
      <xdr:nvSpPr>
        <xdr:cNvPr id="10" name="Rectangle 9">
          <a:extLst>
            <a:ext uri="{FF2B5EF4-FFF2-40B4-BE49-F238E27FC236}">
              <a16:creationId xmlns:a16="http://schemas.microsoft.com/office/drawing/2014/main" id="{DB79EE81-56C2-45C4-8885-5B6A173277F7}"/>
            </a:ext>
          </a:extLst>
        </xdr:cNvPr>
        <xdr:cNvSpPr/>
      </xdr:nvSpPr>
      <xdr:spPr>
        <a:xfrm>
          <a:off x="13569829" y="1050985"/>
          <a:ext cx="3427189" cy="118451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 Repeat Customer</a:t>
          </a:r>
        </a:p>
      </xdr:txBody>
    </xdr:sp>
    <xdr:clientData/>
  </xdr:twoCellAnchor>
  <xdr:twoCellAnchor editAs="oneCell">
    <xdr:from>
      <xdr:col>3</xdr:col>
      <xdr:colOff>436032</xdr:colOff>
      <xdr:row>25</xdr:row>
      <xdr:rowOff>31750</xdr:rowOff>
    </xdr:from>
    <xdr:to>
      <xdr:col>15</xdr:col>
      <xdr:colOff>320832</xdr:colOff>
      <xdr:row>36</xdr:row>
      <xdr:rowOff>96250</xdr:rowOff>
    </xdr:to>
    <xdr:sp macro="" textlink="">
      <xdr:nvSpPr>
        <xdr:cNvPr id="11" name="Rectangle 10">
          <a:extLst>
            <a:ext uri="{FF2B5EF4-FFF2-40B4-BE49-F238E27FC236}">
              <a16:creationId xmlns:a16="http://schemas.microsoft.com/office/drawing/2014/main" id="{D115682F-315D-43FA-9B48-574B2242F1F1}"/>
            </a:ext>
          </a:extLst>
        </xdr:cNvPr>
        <xdr:cNvSpPr/>
      </xdr:nvSpPr>
      <xdr:spPr>
        <a:xfrm>
          <a:off x="2264832" y="4794250"/>
          <a:ext cx="7200000" cy="216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Transactions by Hour</a:t>
          </a:r>
        </a:p>
      </xdr:txBody>
    </xdr:sp>
    <xdr:clientData/>
  </xdr:twoCellAnchor>
  <xdr:twoCellAnchor editAs="oneCell">
    <xdr:from>
      <xdr:col>16</xdr:col>
      <xdr:colOff>42331</xdr:colOff>
      <xdr:row>13</xdr:row>
      <xdr:rowOff>157750</xdr:rowOff>
    </xdr:from>
    <xdr:to>
      <xdr:col>21</xdr:col>
      <xdr:colOff>414331</xdr:colOff>
      <xdr:row>36</xdr:row>
      <xdr:rowOff>96250</xdr:rowOff>
    </xdr:to>
    <xdr:sp macro="" textlink="">
      <xdr:nvSpPr>
        <xdr:cNvPr id="12" name="Rectangle 11">
          <a:extLst>
            <a:ext uri="{FF2B5EF4-FFF2-40B4-BE49-F238E27FC236}">
              <a16:creationId xmlns:a16="http://schemas.microsoft.com/office/drawing/2014/main" id="{FB30AEED-BB96-494E-A82C-5CBBF2CFA4FB}"/>
            </a:ext>
          </a:extLst>
        </xdr:cNvPr>
        <xdr:cNvSpPr/>
      </xdr:nvSpPr>
      <xdr:spPr>
        <a:xfrm>
          <a:off x="9795931" y="2634250"/>
          <a:ext cx="3420000" cy="432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Revenue by Product</a:t>
          </a:r>
        </a:p>
      </xdr:txBody>
    </xdr:sp>
    <xdr:clientData/>
  </xdr:twoCellAnchor>
  <xdr:twoCellAnchor editAs="oneCell">
    <xdr:from>
      <xdr:col>3</xdr:col>
      <xdr:colOff>436032</xdr:colOff>
      <xdr:row>13</xdr:row>
      <xdr:rowOff>31750</xdr:rowOff>
    </xdr:from>
    <xdr:to>
      <xdr:col>15</xdr:col>
      <xdr:colOff>320832</xdr:colOff>
      <xdr:row>24</xdr:row>
      <xdr:rowOff>96250</xdr:rowOff>
    </xdr:to>
    <xdr:sp macro="" textlink="">
      <xdr:nvSpPr>
        <xdr:cNvPr id="13" name="Rectangle 12">
          <a:extLst>
            <a:ext uri="{FF2B5EF4-FFF2-40B4-BE49-F238E27FC236}">
              <a16:creationId xmlns:a16="http://schemas.microsoft.com/office/drawing/2014/main" id="{C5752366-AFF4-4552-9C49-C0C5D830B59D}"/>
            </a:ext>
          </a:extLst>
        </xdr:cNvPr>
        <xdr:cNvSpPr/>
      </xdr:nvSpPr>
      <xdr:spPr>
        <a:xfrm>
          <a:off x="2264832" y="2508250"/>
          <a:ext cx="7200000" cy="216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Revenue Trend (Monthly)</a:t>
          </a:r>
        </a:p>
      </xdr:txBody>
    </xdr:sp>
    <xdr:clientData/>
  </xdr:twoCellAnchor>
  <xdr:twoCellAnchor editAs="oneCell">
    <xdr:from>
      <xdr:col>22</xdr:col>
      <xdr:colOff>126999</xdr:colOff>
      <xdr:row>19</xdr:row>
      <xdr:rowOff>11982</xdr:rowOff>
    </xdr:from>
    <xdr:to>
      <xdr:col>27</xdr:col>
      <xdr:colOff>498999</xdr:colOff>
      <xdr:row>27</xdr:row>
      <xdr:rowOff>131793</xdr:rowOff>
    </xdr:to>
    <xdr:sp macro="" textlink="">
      <xdr:nvSpPr>
        <xdr:cNvPr id="14" name="Rectangle 13">
          <a:extLst>
            <a:ext uri="{FF2B5EF4-FFF2-40B4-BE49-F238E27FC236}">
              <a16:creationId xmlns:a16="http://schemas.microsoft.com/office/drawing/2014/main" id="{3E1C516B-75D0-4AA4-BC55-1D762A1DE1E7}"/>
            </a:ext>
          </a:extLst>
        </xdr:cNvPr>
        <xdr:cNvSpPr/>
      </xdr:nvSpPr>
      <xdr:spPr>
        <a:xfrm>
          <a:off x="13569829" y="3426605"/>
          <a:ext cx="3427189" cy="15575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solidFill>
              <a:latin typeface="Segoe UI" panose="020B0502040204020203" pitchFamily="34" charset="0"/>
              <a:cs typeface="Segoe UI" panose="020B0502040204020203" pitchFamily="34" charset="0"/>
            </a:rPr>
            <a:t>Payment Method</a:t>
          </a:r>
        </a:p>
      </xdr:txBody>
    </xdr:sp>
    <xdr:clientData/>
  </xdr:twoCellAnchor>
  <xdr:twoCellAnchor>
    <xdr:from>
      <xdr:col>3</xdr:col>
      <xdr:colOff>571500</xdr:colOff>
      <xdr:row>8</xdr:row>
      <xdr:rowOff>38100</xdr:rowOff>
    </xdr:from>
    <xdr:to>
      <xdr:col>9</xdr:col>
      <xdr:colOff>50800</xdr:colOff>
      <xdr:row>11</xdr:row>
      <xdr:rowOff>152400</xdr:rowOff>
    </xdr:to>
    <xdr:sp macro="" textlink="'Pivot KPI'!$A$4">
      <xdr:nvSpPr>
        <xdr:cNvPr id="22" name="TextBox 21">
          <a:extLst>
            <a:ext uri="{FF2B5EF4-FFF2-40B4-BE49-F238E27FC236}">
              <a16:creationId xmlns:a16="http://schemas.microsoft.com/office/drawing/2014/main" id="{0ADBDB41-A2E1-53D3-B121-C203325FF35A}"/>
            </a:ext>
          </a:extLst>
        </xdr:cNvPr>
        <xdr:cNvSpPr txBox="1"/>
      </xdr:nvSpPr>
      <xdr:spPr>
        <a:xfrm>
          <a:off x="2400300" y="1562100"/>
          <a:ext cx="31369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776682-336C-4FDC-B066-8AC118847FEC}" type="TxLink">
            <a:rPr lang="en-US" sz="3200" b="1" i="0" u="none" strike="noStrike">
              <a:solidFill>
                <a:schemeClr val="tx1"/>
              </a:solidFill>
              <a:latin typeface="Segoe UI" panose="020B0502040204020203" pitchFamily="34" charset="0"/>
              <a:ea typeface="Calibri"/>
              <a:cs typeface="Segoe UI" panose="020B0502040204020203" pitchFamily="34" charset="0"/>
            </a:rPr>
            <a:pPr algn="ctr"/>
            <a:t>$115432</a:t>
          </a:fld>
          <a:endParaRPr lang="en-ID" sz="3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10</xdr:col>
      <xdr:colOff>63500</xdr:colOff>
      <xdr:row>8</xdr:row>
      <xdr:rowOff>63500</xdr:rowOff>
    </xdr:from>
    <xdr:to>
      <xdr:col>15</xdr:col>
      <xdr:colOff>152400</xdr:colOff>
      <xdr:row>11</xdr:row>
      <xdr:rowOff>177800</xdr:rowOff>
    </xdr:to>
    <xdr:sp macro="" textlink="'Pivot KPI'!$B$4">
      <xdr:nvSpPr>
        <xdr:cNvPr id="23" name="TextBox 22">
          <a:extLst>
            <a:ext uri="{FF2B5EF4-FFF2-40B4-BE49-F238E27FC236}">
              <a16:creationId xmlns:a16="http://schemas.microsoft.com/office/drawing/2014/main" id="{D704FB59-ACD7-4702-944F-67C0383E14E3}"/>
            </a:ext>
          </a:extLst>
        </xdr:cNvPr>
        <xdr:cNvSpPr txBox="1"/>
      </xdr:nvSpPr>
      <xdr:spPr>
        <a:xfrm>
          <a:off x="6159500" y="1587500"/>
          <a:ext cx="31369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EC7E11-992D-45E3-A676-5A4C038E2616}" type="TxLink">
            <a:rPr lang="en-US" sz="3200" b="1" i="0" u="none" strike="noStrike">
              <a:solidFill>
                <a:schemeClr val="tx1"/>
              </a:solidFill>
              <a:latin typeface="Segoe UI" panose="020B0502040204020203" pitchFamily="34" charset="0"/>
              <a:ea typeface="Calibri"/>
              <a:cs typeface="Segoe UI" panose="020B0502040204020203" pitchFamily="34" charset="0"/>
            </a:rPr>
            <a:pPr algn="ctr"/>
            <a:t>3636</a:t>
          </a:fld>
          <a:endParaRPr lang="en-ID" sz="3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16</xdr:col>
      <xdr:colOff>165100</xdr:colOff>
      <xdr:row>8</xdr:row>
      <xdr:rowOff>50800</xdr:rowOff>
    </xdr:from>
    <xdr:to>
      <xdr:col>21</xdr:col>
      <xdr:colOff>254000</xdr:colOff>
      <xdr:row>11</xdr:row>
      <xdr:rowOff>165100</xdr:rowOff>
    </xdr:to>
    <xdr:sp macro="" textlink="'Pivot KPI'!$C$4">
      <xdr:nvSpPr>
        <xdr:cNvPr id="24" name="TextBox 23">
          <a:extLst>
            <a:ext uri="{FF2B5EF4-FFF2-40B4-BE49-F238E27FC236}">
              <a16:creationId xmlns:a16="http://schemas.microsoft.com/office/drawing/2014/main" id="{2CA628A0-1EE2-42B4-860F-14D26343310B}"/>
            </a:ext>
          </a:extLst>
        </xdr:cNvPr>
        <xdr:cNvSpPr txBox="1"/>
      </xdr:nvSpPr>
      <xdr:spPr>
        <a:xfrm>
          <a:off x="9918700" y="1574800"/>
          <a:ext cx="31369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98870F-5CE6-42B5-8756-657B455A1A42}" type="TxLink">
            <a:rPr lang="en-US" sz="3200" b="1" i="0" u="none" strike="noStrike">
              <a:solidFill>
                <a:schemeClr val="tx1"/>
              </a:solidFill>
              <a:latin typeface="Segoe UI" panose="020B0502040204020203" pitchFamily="34" charset="0"/>
              <a:ea typeface="Calibri"/>
              <a:cs typeface="Segoe UI" panose="020B0502040204020203" pitchFamily="34" charset="0"/>
            </a:rPr>
            <a:pPr algn="ctr"/>
            <a:t>$32</a:t>
          </a:fld>
          <a:endParaRPr lang="en-ID" sz="3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22</xdr:col>
      <xdr:colOff>266700</xdr:colOff>
      <xdr:row>8</xdr:row>
      <xdr:rowOff>25400</xdr:rowOff>
    </xdr:from>
    <xdr:to>
      <xdr:col>27</xdr:col>
      <xdr:colOff>355600</xdr:colOff>
      <xdr:row>11</xdr:row>
      <xdr:rowOff>139700</xdr:rowOff>
    </xdr:to>
    <xdr:sp macro="" textlink="'Pivot KPI'!$D$4">
      <xdr:nvSpPr>
        <xdr:cNvPr id="25" name="TextBox 24">
          <a:extLst>
            <a:ext uri="{FF2B5EF4-FFF2-40B4-BE49-F238E27FC236}">
              <a16:creationId xmlns:a16="http://schemas.microsoft.com/office/drawing/2014/main" id="{38ED765B-038F-4C19-9A17-1178DC6B8F1E}"/>
            </a:ext>
          </a:extLst>
        </xdr:cNvPr>
        <xdr:cNvSpPr txBox="1"/>
      </xdr:nvSpPr>
      <xdr:spPr>
        <a:xfrm>
          <a:off x="13677900" y="1549400"/>
          <a:ext cx="313690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5202DF-6D52-4EB5-BB3C-96CE4E5A0DE7}" type="TxLink">
            <a:rPr lang="en-US" sz="3200" b="1" i="0" u="none" strike="noStrike">
              <a:solidFill>
                <a:schemeClr val="tx1"/>
              </a:solidFill>
              <a:latin typeface="Segoe UI" panose="020B0502040204020203" pitchFamily="34" charset="0"/>
              <a:ea typeface="Calibri"/>
              <a:cs typeface="Segoe UI" panose="020B0502040204020203" pitchFamily="34" charset="0"/>
            </a:rPr>
            <a:pPr algn="ctr"/>
            <a:t>78%</a:t>
          </a:fld>
          <a:endParaRPr lang="en-ID" sz="3200" b="1">
            <a:solidFill>
              <a:schemeClr val="tx1"/>
            </a:solidFill>
            <a:latin typeface="Segoe UI" panose="020B0502040204020203" pitchFamily="34" charset="0"/>
            <a:cs typeface="Segoe UI" panose="020B0502040204020203" pitchFamily="34" charset="0"/>
          </a:endParaRPr>
        </a:p>
      </xdr:txBody>
    </xdr:sp>
    <xdr:clientData/>
  </xdr:twoCellAnchor>
  <xdr:twoCellAnchor editAs="absolute">
    <xdr:from>
      <xdr:col>0</xdr:col>
      <xdr:colOff>119812</xdr:colOff>
      <xdr:row>1</xdr:row>
      <xdr:rowOff>23963</xdr:rowOff>
    </xdr:from>
    <xdr:to>
      <xdr:col>3</xdr:col>
      <xdr:colOff>23963</xdr:colOff>
      <xdr:row>6</xdr:row>
      <xdr:rowOff>110586</xdr:rowOff>
    </xdr:to>
    <mc:AlternateContent xmlns:mc="http://schemas.openxmlformats.org/markup-compatibility/2006">
      <mc:Choice xmlns:a14="http://schemas.microsoft.com/office/drawing/2010/main" Requires="a14">
        <xdr:graphicFrame macro="">
          <xdr:nvGraphicFramePr>
            <xdr:cNvPr id="33" name="Payment Method 5">
              <a:extLst>
                <a:ext uri="{FF2B5EF4-FFF2-40B4-BE49-F238E27FC236}">
                  <a16:creationId xmlns:a16="http://schemas.microsoft.com/office/drawing/2014/main" id="{6DC880C4-EFA5-432B-9850-AA69604FA234}"/>
                </a:ext>
              </a:extLst>
            </xdr:cNvPr>
            <xdr:cNvGraphicFramePr/>
          </xdr:nvGraphicFramePr>
          <xdr:xfrm>
            <a:off x="0" y="0"/>
            <a:ext cx="0" cy="0"/>
          </xdr:xfrm>
          <a:graphic>
            <a:graphicData uri="http://schemas.microsoft.com/office/drawing/2010/slicer">
              <sle:slicer xmlns:sle="http://schemas.microsoft.com/office/drawing/2010/slicer" name="Payment Method 5"/>
            </a:graphicData>
          </a:graphic>
        </xdr:graphicFrame>
      </mc:Choice>
      <mc:Fallback>
        <xdr:sp macro="" textlink="">
          <xdr:nvSpPr>
            <xdr:cNvPr id="0" name=""/>
            <xdr:cNvSpPr>
              <a:spLocks noTextEdit="1"/>
            </xdr:cNvSpPr>
          </xdr:nvSpPr>
          <xdr:spPr>
            <a:xfrm>
              <a:off x="119812" y="207136"/>
              <a:ext cx="1735882" cy="100248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131792</xdr:colOff>
      <xdr:row>8</xdr:row>
      <xdr:rowOff>78815</xdr:rowOff>
    </xdr:from>
    <xdr:to>
      <xdr:col>3</xdr:col>
      <xdr:colOff>47925</xdr:colOff>
      <xdr:row>23</xdr:row>
      <xdr:rowOff>179715</xdr:rowOff>
    </xdr:to>
    <mc:AlternateContent xmlns:mc="http://schemas.openxmlformats.org/markup-compatibility/2006">
      <mc:Choice xmlns:a14="http://schemas.microsoft.com/office/drawing/2010/main" Requires="a14">
        <xdr:graphicFrame macro="">
          <xdr:nvGraphicFramePr>
            <xdr:cNvPr id="34" name="Coffee Name 3">
              <a:extLst>
                <a:ext uri="{FF2B5EF4-FFF2-40B4-BE49-F238E27FC236}">
                  <a16:creationId xmlns:a16="http://schemas.microsoft.com/office/drawing/2014/main" id="{F1B29DC9-35F6-41AC-944D-BCE42A20CC24}"/>
                </a:ext>
              </a:extLst>
            </xdr:cNvPr>
            <xdr:cNvGraphicFramePr/>
          </xdr:nvGraphicFramePr>
          <xdr:xfrm>
            <a:off x="0" y="0"/>
            <a:ext cx="0" cy="0"/>
          </xdr:xfrm>
          <a:graphic>
            <a:graphicData uri="http://schemas.microsoft.com/office/drawing/2010/slicer">
              <sle:slicer xmlns:sle="http://schemas.microsoft.com/office/drawing/2010/slicer" name="Coffee Name 3"/>
            </a:graphicData>
          </a:graphic>
        </xdr:graphicFrame>
      </mc:Choice>
      <mc:Fallback>
        <xdr:sp macro="" textlink="">
          <xdr:nvSpPr>
            <xdr:cNvPr id="0" name=""/>
            <xdr:cNvSpPr>
              <a:spLocks noTextEdit="1"/>
            </xdr:cNvSpPr>
          </xdr:nvSpPr>
          <xdr:spPr>
            <a:xfrm>
              <a:off x="131792" y="1544200"/>
              <a:ext cx="1747864" cy="28484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143774</xdr:colOff>
      <xdr:row>25</xdr:row>
      <xdr:rowOff>119811</xdr:rowOff>
    </xdr:from>
    <xdr:to>
      <xdr:col>3</xdr:col>
      <xdr:colOff>35944</xdr:colOff>
      <xdr:row>36</xdr:row>
      <xdr:rowOff>23963</xdr:rowOff>
    </xdr:to>
    <mc:AlternateContent xmlns:mc="http://schemas.openxmlformats.org/markup-compatibility/2006">
      <mc:Choice xmlns:a14="http://schemas.microsoft.com/office/drawing/2010/main" Requires="a14">
        <xdr:graphicFrame macro="">
          <xdr:nvGraphicFramePr>
            <xdr:cNvPr id="35" name="Months (Date) 5">
              <a:extLst>
                <a:ext uri="{FF2B5EF4-FFF2-40B4-BE49-F238E27FC236}">
                  <a16:creationId xmlns:a16="http://schemas.microsoft.com/office/drawing/2014/main" id="{62EFF6D4-0969-4FFA-8BCD-48779D27EA71}"/>
                </a:ext>
              </a:extLst>
            </xdr:cNvPr>
            <xdr:cNvGraphicFramePr/>
          </xdr:nvGraphicFramePr>
          <xdr:xfrm>
            <a:off x="0" y="0"/>
            <a:ext cx="0" cy="0"/>
          </xdr:xfrm>
          <a:graphic>
            <a:graphicData uri="http://schemas.microsoft.com/office/drawing/2010/slicer">
              <sle:slicer xmlns:sle="http://schemas.microsoft.com/office/drawing/2010/slicer" name="Months (Date) 5"/>
            </a:graphicData>
          </a:graphic>
        </xdr:graphicFrame>
      </mc:Choice>
      <mc:Fallback>
        <xdr:sp macro="" textlink="">
          <xdr:nvSpPr>
            <xdr:cNvPr id="0" name=""/>
            <xdr:cNvSpPr>
              <a:spLocks noTextEdit="1"/>
            </xdr:cNvSpPr>
          </xdr:nvSpPr>
          <xdr:spPr>
            <a:xfrm>
              <a:off x="143774" y="4699138"/>
              <a:ext cx="1723901" cy="191905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431718</xdr:colOff>
      <xdr:row>27</xdr:row>
      <xdr:rowOff>23963</xdr:rowOff>
    </xdr:from>
    <xdr:to>
      <xdr:col>15</xdr:col>
      <xdr:colOff>287546</xdr:colOff>
      <xdr:row>36</xdr:row>
      <xdr:rowOff>73204</xdr:rowOff>
    </xdr:to>
    <xdr:graphicFrame macro="">
      <xdr:nvGraphicFramePr>
        <xdr:cNvPr id="36" name="Chart 35">
          <a:extLst>
            <a:ext uri="{FF2B5EF4-FFF2-40B4-BE49-F238E27FC236}">
              <a16:creationId xmlns:a16="http://schemas.microsoft.com/office/drawing/2014/main" id="{9C25C3E1-7F1B-406B-AC3F-B38C18345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431718</xdr:colOff>
      <xdr:row>15</xdr:row>
      <xdr:rowOff>47924</xdr:rowOff>
    </xdr:from>
    <xdr:to>
      <xdr:col>15</xdr:col>
      <xdr:colOff>287546</xdr:colOff>
      <xdr:row>24</xdr:row>
      <xdr:rowOff>59905</xdr:rowOff>
    </xdr:to>
    <xdr:graphicFrame macro="">
      <xdr:nvGraphicFramePr>
        <xdr:cNvPr id="37" name="Chart 36">
          <a:extLst>
            <a:ext uri="{FF2B5EF4-FFF2-40B4-BE49-F238E27FC236}">
              <a16:creationId xmlns:a16="http://schemas.microsoft.com/office/drawing/2014/main" id="{03FCE801-A492-4018-A8A7-45EA3DD98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59906</xdr:colOff>
      <xdr:row>16</xdr:row>
      <xdr:rowOff>35943</xdr:rowOff>
    </xdr:from>
    <xdr:to>
      <xdr:col>21</xdr:col>
      <xdr:colOff>383397</xdr:colOff>
      <xdr:row>36</xdr:row>
      <xdr:rowOff>35944</xdr:rowOff>
    </xdr:to>
    <xdr:graphicFrame macro="">
      <xdr:nvGraphicFramePr>
        <xdr:cNvPr id="38" name="Chart 37">
          <a:extLst>
            <a:ext uri="{FF2B5EF4-FFF2-40B4-BE49-F238E27FC236}">
              <a16:creationId xmlns:a16="http://schemas.microsoft.com/office/drawing/2014/main" id="{5DDEDB93-0899-4DEA-B4ED-EAB5B5519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126988</xdr:colOff>
      <xdr:row>13</xdr:row>
      <xdr:rowOff>167736</xdr:rowOff>
    </xdr:from>
    <xdr:to>
      <xdr:col>27</xdr:col>
      <xdr:colOff>498999</xdr:colOff>
      <xdr:row>17</xdr:row>
      <xdr:rowOff>78868</xdr:rowOff>
    </xdr:to>
    <xdr:sp macro="" textlink="">
      <xdr:nvSpPr>
        <xdr:cNvPr id="42" name="Rectangle 41">
          <a:extLst>
            <a:ext uri="{FF2B5EF4-FFF2-40B4-BE49-F238E27FC236}">
              <a16:creationId xmlns:a16="http://schemas.microsoft.com/office/drawing/2014/main" id="{14B89AA0-1229-6627-9F34-78DE605A4173}"/>
            </a:ext>
          </a:extLst>
        </xdr:cNvPr>
        <xdr:cNvSpPr/>
      </xdr:nvSpPr>
      <xdr:spPr>
        <a:xfrm>
          <a:off x="13569818" y="2504057"/>
          <a:ext cx="3427200" cy="630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200" b="1">
              <a:solidFill>
                <a:schemeClr val="tx1"/>
              </a:solidFill>
              <a:latin typeface="Segoe UI" panose="020B0502040204020203" pitchFamily="34" charset="0"/>
              <a:cs typeface="Segoe UI" panose="020B0502040204020203" pitchFamily="34" charset="0"/>
            </a:rPr>
            <a:t>*** Repeat customer calculated based on card transactions only.</a:t>
          </a:r>
        </a:p>
      </xdr:txBody>
    </xdr:sp>
    <xdr:clientData/>
  </xdr:twoCellAnchor>
  <xdr:twoCellAnchor>
    <xdr:from>
      <xdr:col>22</xdr:col>
      <xdr:colOff>215661</xdr:colOff>
      <xdr:row>21</xdr:row>
      <xdr:rowOff>143773</xdr:rowOff>
    </xdr:from>
    <xdr:to>
      <xdr:col>25</xdr:col>
      <xdr:colOff>599057</xdr:colOff>
      <xdr:row>23</xdr:row>
      <xdr:rowOff>167735</xdr:rowOff>
    </xdr:to>
    <xdr:sp macro="" textlink="'Pivot Payment'!G3">
      <xdr:nvSpPr>
        <xdr:cNvPr id="46" name="Rectangle 45">
          <a:extLst>
            <a:ext uri="{FF2B5EF4-FFF2-40B4-BE49-F238E27FC236}">
              <a16:creationId xmlns:a16="http://schemas.microsoft.com/office/drawing/2014/main" id="{BBEFF1CD-DB8F-EB4E-ADF7-25969CAB3CDC}"/>
            </a:ext>
          </a:extLst>
        </xdr:cNvPr>
        <xdr:cNvSpPr/>
      </xdr:nvSpPr>
      <xdr:spPr>
        <a:xfrm>
          <a:off x="13658491" y="3917830"/>
          <a:ext cx="2216509" cy="3833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C154234-27B7-46A4-9A86-222D3D06BC9B}" type="TxLink">
            <a:rPr lang="en-US" sz="1100" b="1" i="0" u="none" strike="noStrike">
              <a:solidFill>
                <a:srgbClr val="000000"/>
              </a:solidFill>
              <a:latin typeface="Segoe UI" panose="020B0502040204020203" pitchFamily="34" charset="0"/>
              <a:ea typeface="Calibri"/>
              <a:cs typeface="Segoe UI" panose="020B0502040204020203" pitchFamily="34" charset="0"/>
            </a:rPr>
            <a:t>Transactions Card : 3547 (98%)</a:t>
          </a:fld>
          <a:endParaRPr lang="en-ID" sz="11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22</xdr:col>
      <xdr:colOff>212308</xdr:colOff>
      <xdr:row>23</xdr:row>
      <xdr:rowOff>140416</xdr:rowOff>
    </xdr:from>
    <xdr:to>
      <xdr:col>25</xdr:col>
      <xdr:colOff>595704</xdr:colOff>
      <xdr:row>25</xdr:row>
      <xdr:rowOff>164378</xdr:rowOff>
    </xdr:to>
    <xdr:sp macro="" textlink="'Pivot Payment'!G4">
      <xdr:nvSpPr>
        <xdr:cNvPr id="49" name="Rectangle 48">
          <a:extLst>
            <a:ext uri="{FF2B5EF4-FFF2-40B4-BE49-F238E27FC236}">
              <a16:creationId xmlns:a16="http://schemas.microsoft.com/office/drawing/2014/main" id="{F14ABDCB-2C6F-4DFA-A0A1-DD076DA8B27A}"/>
            </a:ext>
          </a:extLst>
        </xdr:cNvPr>
        <xdr:cNvSpPr/>
      </xdr:nvSpPr>
      <xdr:spPr>
        <a:xfrm>
          <a:off x="13655138" y="4273907"/>
          <a:ext cx="2216509" cy="38339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ABFC716-482C-4648-98F6-9775B4EC375C}" type="TxLink">
            <a:rPr lang="en-US" sz="1100" b="1" i="0" u="none" strike="noStrike">
              <a:solidFill>
                <a:srgbClr val="000000"/>
              </a:solidFill>
              <a:latin typeface="Segoe UI" panose="020B0502040204020203" pitchFamily="34" charset="0"/>
              <a:ea typeface="Calibri"/>
              <a:cs typeface="Segoe UI" panose="020B0502040204020203" pitchFamily="34" charset="0"/>
            </a:rPr>
            <a:t>Transactions Cash : 89 (2%)</a:t>
          </a:fld>
          <a:endParaRPr lang="en-ID" sz="1100" b="1">
            <a:solidFill>
              <a:schemeClr val="tx1"/>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523875</xdr:colOff>
      <xdr:row>1</xdr:row>
      <xdr:rowOff>180975</xdr:rowOff>
    </xdr:from>
    <xdr:to>
      <xdr:col>8</xdr:col>
      <xdr:colOff>234950</xdr:colOff>
      <xdr:row>16</xdr:row>
      <xdr:rowOff>161925</xdr:rowOff>
    </xdr:to>
    <xdr:graphicFrame macro="">
      <xdr:nvGraphicFramePr>
        <xdr:cNvPr id="2" name="Chart 1">
          <a:extLst>
            <a:ext uri="{FF2B5EF4-FFF2-40B4-BE49-F238E27FC236}">
              <a16:creationId xmlns:a16="http://schemas.microsoft.com/office/drawing/2014/main" id="{0C4FC2C6-11F9-15EC-EDA0-8AD464675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587375</xdr:colOff>
      <xdr:row>1</xdr:row>
      <xdr:rowOff>79375</xdr:rowOff>
    </xdr:from>
    <xdr:to>
      <xdr:col>14</xdr:col>
      <xdr:colOff>282575</xdr:colOff>
      <xdr:row>16</xdr:row>
      <xdr:rowOff>60325</xdr:rowOff>
    </xdr:to>
    <xdr:graphicFrame macro="">
      <xdr:nvGraphicFramePr>
        <xdr:cNvPr id="2" name="Chart 1">
          <a:extLst>
            <a:ext uri="{FF2B5EF4-FFF2-40B4-BE49-F238E27FC236}">
              <a16:creationId xmlns:a16="http://schemas.microsoft.com/office/drawing/2014/main" id="{AF936B9D-DABD-5500-36C3-73C2ED751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517525</xdr:colOff>
      <xdr:row>1</xdr:row>
      <xdr:rowOff>85725</xdr:rowOff>
    </xdr:from>
    <xdr:to>
      <xdr:col>22</xdr:col>
      <xdr:colOff>212725</xdr:colOff>
      <xdr:row>16</xdr:row>
      <xdr:rowOff>66675</xdr:rowOff>
    </xdr:to>
    <xdr:graphicFrame macro="">
      <xdr:nvGraphicFramePr>
        <xdr:cNvPr id="3" name="Chart 2">
          <a:extLst>
            <a:ext uri="{FF2B5EF4-FFF2-40B4-BE49-F238E27FC236}">
              <a16:creationId xmlns:a16="http://schemas.microsoft.com/office/drawing/2014/main" id="{3F0DABE7-7563-F51E-964E-3FF4F11E4D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349250</xdr:colOff>
      <xdr:row>2</xdr:row>
      <xdr:rowOff>88900</xdr:rowOff>
    </xdr:from>
    <xdr:to>
      <xdr:col>12</xdr:col>
      <xdr:colOff>406400</xdr:colOff>
      <xdr:row>11</xdr:row>
      <xdr:rowOff>31750</xdr:rowOff>
    </xdr:to>
    <xdr:graphicFrame macro="">
      <xdr:nvGraphicFramePr>
        <xdr:cNvPr id="2" name="Chart 1">
          <a:extLst>
            <a:ext uri="{FF2B5EF4-FFF2-40B4-BE49-F238E27FC236}">
              <a16:creationId xmlns:a16="http://schemas.microsoft.com/office/drawing/2014/main" id="{2CDD5BE5-27DD-1D46-9602-FC153C6FE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241300</xdr:colOff>
      <xdr:row>2</xdr:row>
      <xdr:rowOff>38101</xdr:rowOff>
    </xdr:from>
    <xdr:to>
      <xdr:col>16</xdr:col>
      <xdr:colOff>241300</xdr:colOff>
      <xdr:row>7</xdr:row>
      <xdr:rowOff>171451</xdr:rowOff>
    </xdr:to>
    <mc:AlternateContent xmlns:mc="http://schemas.openxmlformats.org/markup-compatibility/2006">
      <mc:Choice xmlns:a14="http://schemas.microsoft.com/office/drawing/2010/main" Requires="a14">
        <xdr:graphicFrame macro="">
          <xdr:nvGraphicFramePr>
            <xdr:cNvPr id="3" name="Payment Method 2">
              <a:extLst>
                <a:ext uri="{FF2B5EF4-FFF2-40B4-BE49-F238E27FC236}">
                  <a16:creationId xmlns:a16="http://schemas.microsoft.com/office/drawing/2014/main" id="{6F8E39EF-0915-8B12-6614-D16462A6AED2}"/>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dr:sp macro="" textlink="">
          <xdr:nvSpPr>
            <xdr:cNvPr id="0" name=""/>
            <xdr:cNvSpPr>
              <a:spLocks noTextEdit="1"/>
            </xdr:cNvSpPr>
          </xdr:nvSpPr>
          <xdr:spPr>
            <a:xfrm>
              <a:off x="11055350" y="406401"/>
              <a:ext cx="1828800" cy="10541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431800</xdr:colOff>
      <xdr:row>2</xdr:row>
      <xdr:rowOff>0</xdr:rowOff>
    </xdr:from>
    <xdr:to>
      <xdr:col>19</xdr:col>
      <xdr:colOff>431800</xdr:colOff>
      <xdr:row>12</xdr:row>
      <xdr:rowOff>31750</xdr:rowOff>
    </xdr:to>
    <mc:AlternateContent xmlns:mc="http://schemas.openxmlformats.org/markup-compatibility/2006">
      <mc:Choice xmlns:a14="http://schemas.microsoft.com/office/drawing/2010/main" Requires="a14">
        <xdr:graphicFrame macro="">
          <xdr:nvGraphicFramePr>
            <xdr:cNvPr id="4" name="Months (Date) 2">
              <a:extLst>
                <a:ext uri="{FF2B5EF4-FFF2-40B4-BE49-F238E27FC236}">
                  <a16:creationId xmlns:a16="http://schemas.microsoft.com/office/drawing/2014/main" id="{8F5F59E2-94B7-41B2-DC82-BD7C57DF1F4F}"/>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dr:sp macro="" textlink="">
          <xdr:nvSpPr>
            <xdr:cNvPr id="0" name=""/>
            <xdr:cNvSpPr>
              <a:spLocks noTextEdit="1"/>
            </xdr:cNvSpPr>
          </xdr:nvSpPr>
          <xdr:spPr>
            <a:xfrm>
              <a:off x="13074650" y="368300"/>
              <a:ext cx="1828800" cy="1873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285750</xdr:colOff>
      <xdr:row>9</xdr:row>
      <xdr:rowOff>19050</xdr:rowOff>
    </xdr:from>
    <xdr:to>
      <xdr:col>16</xdr:col>
      <xdr:colOff>285750</xdr:colOff>
      <xdr:row>23</xdr:row>
      <xdr:rowOff>25400</xdr:rowOff>
    </xdr:to>
    <mc:AlternateContent xmlns:mc="http://schemas.openxmlformats.org/markup-compatibility/2006">
      <mc:Choice xmlns:a14="http://schemas.microsoft.com/office/drawing/2010/main" Requires="a14">
        <xdr:graphicFrame macro="">
          <xdr:nvGraphicFramePr>
            <xdr:cNvPr id="5" name="Coffee Name">
              <a:extLst>
                <a:ext uri="{FF2B5EF4-FFF2-40B4-BE49-F238E27FC236}">
                  <a16:creationId xmlns:a16="http://schemas.microsoft.com/office/drawing/2014/main" id="{4AE23A63-13A9-EEA9-41A4-EAF524EB825B}"/>
                </a:ext>
              </a:extLst>
            </xdr:cNvPr>
            <xdr:cNvGraphicFramePr/>
          </xdr:nvGraphicFramePr>
          <xdr:xfrm>
            <a:off x="0" y="0"/>
            <a:ext cx="0" cy="0"/>
          </xdr:xfrm>
          <a:graphic>
            <a:graphicData uri="http://schemas.microsoft.com/office/drawing/2010/slicer">
              <sle:slicer xmlns:sle="http://schemas.microsoft.com/office/drawing/2010/slicer" name="Coffee Name"/>
            </a:graphicData>
          </a:graphic>
        </xdr:graphicFrame>
      </mc:Choice>
      <mc:Fallback>
        <xdr:sp macro="" textlink="">
          <xdr:nvSpPr>
            <xdr:cNvPr id="0" name=""/>
            <xdr:cNvSpPr>
              <a:spLocks noTextEdit="1"/>
            </xdr:cNvSpPr>
          </xdr:nvSpPr>
          <xdr:spPr>
            <a:xfrm>
              <a:off x="11099800" y="1676400"/>
              <a:ext cx="1828800" cy="25844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st" refreshedDate="46016.592068055557" createdVersion="8" refreshedVersion="8" minRefreshableVersion="3" recordCount="3636" xr:uid="{E3FAB149-48A0-4C58-AE64-76C39F177C20}">
  <cacheSource type="worksheet">
    <worksheetSource name="Transform_Data"/>
  </cacheSource>
  <cacheFields count="17">
    <cacheField name="Date" numFmtId="166">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6"/>
    </cacheField>
    <cacheField name="Time" numFmtId="164">
      <sharedItems containsSemiMixedTypes="0" containsNonDate="0" containsDate="1" containsString="0" minDate="1899-12-30T06:50:04" maxDate="1899-12-30T22:59:18" count="3512">
        <d v="1899-12-30T10:15:50"/>
        <d v="1899-12-30T12:19:22"/>
        <d v="1899-12-30T12:20:18"/>
        <d v="1899-12-30T13:46:33"/>
        <d v="1899-12-30T13:48:14"/>
        <d v="1899-12-30T15:39:47"/>
        <d v="1899-12-30T16:19:02"/>
        <d v="1899-12-30T18:39:03"/>
        <d v="1899-12-30T19:22:01"/>
        <d v="1899-12-30T19:23:15"/>
        <d v="1899-12-30T19:29:17"/>
        <d v="1899-12-30T10:22:06"/>
        <d v="1899-12-30T10:30:35"/>
        <d v="1899-12-30T10:41:41"/>
        <d v="1899-12-30T11:59:45"/>
        <d v="1899-12-30T14:38:35"/>
        <d v="1899-12-30T16:37:24"/>
        <d v="1899-12-30T17:34:54"/>
        <d v="1899-12-30T10:10:43"/>
        <d v="1899-12-30T10:27:18"/>
        <d v="1899-12-30T11:33:56"/>
        <d v="1899-12-30T12:26:56"/>
        <d v="1899-12-30T13:09:36"/>
        <d v="1899-12-30T17:06:40"/>
        <d v="1899-12-30T17:08:45"/>
        <d v="1899-12-30T18:03:23"/>
        <d v="1899-12-30T18:04:27"/>
        <d v="1899-12-30T18:08:04"/>
        <d v="1899-12-30T10:03:51"/>
        <d v="1899-12-30T10:54:50"/>
        <d v="1899-12-30T11:05:16"/>
        <d v="1899-12-30T14:04:37"/>
        <d v="1899-12-30T09:59:52"/>
        <d v="1899-12-30T14:34:55"/>
        <d v="1899-12-30T17:34:06"/>
        <d v="1899-12-30T17:35:25"/>
        <d v="1899-12-30T17:36:28"/>
        <d v="1899-12-30T17:37:13"/>
        <d v="1899-12-30T17:38:09"/>
        <d v="1899-12-30T17:56:15"/>
        <d v="1899-12-30T18:01:31"/>
        <d v="1899-12-30T12:30:27"/>
        <d v="1899-12-30T13:24:07"/>
        <d v="1899-12-30T13:25:14"/>
        <d v="1899-12-30T14:52:01"/>
        <d v="1899-12-30T14:53:18"/>
        <d v="1899-12-30T10:08:58"/>
        <d v="1899-12-30T10:18:40"/>
        <d v="1899-12-30T11:03:58"/>
        <d v="1899-12-30T11:25:43"/>
        <d v="1899-12-30T15:40:22"/>
        <d v="1899-12-30T15:41:28"/>
        <d v="1899-12-30T10:34:41"/>
        <d v="1899-12-30T12:22:28"/>
        <d v="1899-12-30T13:53:02"/>
        <d v="1899-12-30T14:44:12"/>
        <d v="1899-12-30T14:45:11"/>
        <d v="1899-12-30T14:46:11"/>
        <d v="1899-12-30T18:57:51"/>
        <d v="1899-12-30T18:59:24"/>
        <d v="1899-12-30T11:49:37"/>
        <d v="1899-12-30T12:05:15"/>
        <d v="1899-12-30T12:07:38"/>
        <d v="1899-12-30T12:09:47"/>
        <d v="1899-12-30T12:13:03"/>
        <d v="1899-12-30T12:14:26"/>
        <d v="1899-12-30T13:09:22"/>
        <d v="1899-12-30T13:41:06"/>
        <d v="1899-12-30T13:53:10"/>
        <d v="1899-12-30T13:54:36"/>
        <d v="1899-12-30T14:08:01"/>
        <d v="1899-12-30T14:26:52"/>
        <d v="1899-12-30T19:17:57"/>
        <d v="1899-12-30T19:19:10"/>
        <d v="1899-12-30T07:44:18"/>
        <d v="1899-12-30T07:45:29"/>
        <d v="1899-12-30T10:06:02"/>
        <d v="1899-12-30T11:19:20"/>
        <d v="1899-12-30T17:51:03"/>
        <d v="1899-12-30T19:34:00"/>
        <d v="1899-12-30T19:35:54"/>
        <d v="1899-12-30T10:18:46"/>
        <d v="1899-12-30T11:24:15"/>
        <d v="1899-12-30T11:24:51"/>
        <d v="1899-12-30T11:26:44"/>
        <d v="1899-12-30T11:32:58"/>
        <d v="1899-12-30T16:24:26"/>
        <d v="1899-12-30T16:25:45"/>
        <d v="1899-12-30T16:50:49"/>
        <d v="1899-12-30T10:15:00"/>
        <d v="1899-12-30T10:15:34"/>
        <d v="1899-12-30T10:16:24"/>
        <d v="1899-12-30T11:20:45"/>
        <d v="1899-12-30T12:46:23"/>
        <d v="1899-12-30T12:47:26"/>
        <d v="1899-12-30T16:15:43"/>
        <d v="1899-12-30T11:06:43"/>
        <d v="1899-12-30T11:48:16"/>
        <d v="1899-12-30T12:18:06"/>
        <d v="1899-12-30T12:19:05"/>
        <d v="1899-12-30T12:34:30"/>
        <d v="1899-12-30T14:26:40"/>
        <d v="1899-12-30T15:41:20"/>
        <d v="1899-12-30T16:47:09"/>
        <d v="1899-12-30T10:02:12"/>
        <d v="1899-12-30T10:28:33"/>
        <d v="1899-12-30T10:29:34"/>
        <d v="1899-12-30T13:27:29"/>
        <d v="1899-12-30T13:28:24"/>
        <d v="1899-12-30T13:51:59"/>
        <d v="1899-12-30T13:52:56"/>
        <d v="1899-12-30T15:20:38"/>
        <d v="1899-12-30T16:04:09"/>
        <d v="1899-12-30T16:54:38"/>
        <d v="1899-12-30T18:58:55"/>
        <d v="1899-12-30T19:00:08"/>
        <d v="1899-12-30T10:02:16"/>
        <d v="1899-12-30T10:53:02"/>
        <d v="1899-12-30T18:19:27"/>
        <d v="1899-12-30T12:06:55"/>
        <d v="1899-12-30T12:07:53"/>
        <d v="1899-12-30T15:58:18"/>
        <d v="1899-12-30T16:03:21"/>
        <d v="1899-12-30T16:04:11"/>
        <d v="1899-12-30T17:58:07"/>
        <d v="1899-12-30T10:10:21"/>
        <d v="1899-12-30T12:55:26"/>
        <d v="1899-12-30T11:17:59"/>
        <d v="1899-12-30T15:31:39"/>
        <d v="1899-12-30T15:32:38"/>
        <d v="1899-12-30T15:33:36"/>
        <d v="1899-12-30T10:20:25"/>
        <d v="1899-12-30T14:02:21"/>
        <d v="1899-12-30T14:03:19"/>
        <d v="1899-12-30T15:04:36"/>
        <d v="1899-12-30T16:53:48"/>
        <d v="1899-12-30T19:26:32"/>
        <d v="1899-12-30T11:41:16"/>
        <d v="1899-12-30T12:21:07"/>
        <d v="1899-12-30T12:30:48"/>
        <d v="1899-12-30T13:16:47"/>
        <d v="1899-12-30T16:42:38"/>
        <d v="1899-12-30T17:50:28"/>
        <d v="1899-12-30T10:18:56"/>
        <d v="1899-12-30T12:25:09"/>
        <d v="1899-12-30T12:26:17"/>
        <d v="1899-12-30T17:21:01"/>
        <d v="1899-12-30T17:22:01"/>
        <d v="1899-12-30T19:20:36"/>
        <d v="1899-12-30T10:35:53"/>
        <d v="1899-12-30T13:29:20"/>
        <d v="1899-12-30T16:15:14"/>
        <d v="1899-12-30T17:17:03"/>
        <d v="1899-12-30T17:17:58"/>
        <d v="1899-12-30T17:20:49"/>
        <d v="1899-12-30T10:43:59"/>
        <d v="1899-12-30T10:45:07"/>
        <d v="1899-12-30T13:10:07"/>
        <d v="1899-12-30T13:11:12"/>
        <d v="1899-12-30T14:44:41"/>
        <d v="1899-12-30T15:47:19"/>
        <d v="1899-12-30T15:49:33"/>
        <d v="1899-12-30T16:00:58"/>
        <d v="1899-12-30T10:03:56"/>
        <d v="1899-12-30T18:45:08"/>
        <d v="1899-12-30T10:31:47"/>
        <d v="1899-12-30T11:16:25"/>
        <d v="1899-12-30T14:27:09"/>
        <d v="1899-12-30T14:29:25"/>
        <d v="1899-12-30T18:37:30"/>
        <d v="1899-12-30T19:34:24"/>
        <d v="1899-12-30T10:35:49"/>
        <d v="1899-12-30T10:36:36"/>
        <d v="1899-12-30T10:42:30"/>
        <d v="1899-12-30T11:11:47"/>
        <d v="1899-12-30T13:35:52"/>
        <d v="1899-12-30T13:36:49"/>
        <d v="1899-12-30T13:37:59"/>
        <d v="1899-12-30T13:57:53"/>
        <d v="1899-12-30T15:48:02"/>
        <d v="1899-12-30T18:33:38"/>
        <d v="1899-12-30T18:34:54"/>
        <d v="1899-12-30T11:04:51"/>
        <d v="1899-12-30T11:05:58"/>
        <d v="1899-12-30T12:57:00"/>
        <d v="1899-12-30T13:35:20"/>
        <d v="1899-12-30T14:22:31"/>
        <d v="1899-12-30T14:23:35"/>
        <d v="1899-12-30T18:30:11"/>
        <d v="1899-12-30T19:31:12"/>
        <d v="1899-12-30T14:24:47"/>
        <d v="1899-12-30T17:24:46"/>
        <d v="1899-12-30T17:27:05"/>
        <d v="1899-12-30T17:32:44"/>
        <d v="1899-12-30T10:56:19"/>
        <d v="1899-12-30T12:34:17"/>
        <d v="1899-12-30T12:41:32"/>
        <d v="1899-12-30T13:22:44"/>
        <d v="1899-12-30T11:59:19"/>
        <d v="1899-12-30T13:49:25"/>
        <d v="1899-12-30T16:12:31"/>
        <d v="1899-12-30T16:36:40"/>
        <d v="1899-12-30T16:37:57"/>
        <d v="1899-12-30T10:40:04"/>
        <d v="1899-12-30T19:36:45"/>
        <d v="1899-12-30T10:28:47"/>
        <d v="1899-12-30T10:29:42"/>
        <d v="1899-12-30T10:30:43"/>
        <d v="1899-12-30T11:15:43"/>
        <d v="1899-12-30T17:01:42"/>
        <d v="1899-12-30T18:18:42"/>
        <d v="1899-12-30T18:45:27"/>
        <d v="1899-12-30T10:01:14"/>
        <d v="1899-12-30T16:18:34"/>
        <d v="1899-12-30T16:19:28"/>
        <d v="1899-12-30T19:59:31"/>
        <d v="1899-12-30T10:19:13"/>
        <d v="1899-12-30T10:20:07"/>
        <d v="1899-12-30T13:12:05"/>
        <d v="1899-12-30T15:36:11"/>
        <d v="1899-12-30T10:44:55"/>
        <d v="1899-12-30T11:26:38"/>
        <d v="1899-12-30T11:27:48"/>
        <d v="1899-12-30T12:23:02"/>
        <d v="1899-12-30T19:42:07"/>
        <d v="1899-12-30T10:40:42"/>
        <d v="1899-12-30T10:42:06"/>
        <d v="1899-12-30T11:06:14"/>
        <d v="1899-12-30T12:14:27"/>
        <d v="1899-12-30T14:23:40"/>
        <d v="1899-12-30T14:24:50"/>
        <d v="1899-12-30T15:30:50"/>
        <d v="1899-12-30T15:54:15"/>
        <d v="1899-12-30T15:55:30"/>
        <d v="1899-12-30T16:17:43"/>
        <d v="1899-12-30T16:18:23"/>
        <d v="1899-12-30T12:32:31"/>
        <d v="1899-12-30T14:13:18"/>
        <d v="1899-12-30T14:14:27"/>
        <d v="1899-12-30T14:49:50"/>
        <d v="1899-12-30T10:12:53"/>
        <d v="1899-12-30T12:44:31"/>
        <d v="1899-12-30T12:46:05"/>
        <d v="1899-12-30T14:16:24"/>
        <d v="1899-12-30T14:17:30"/>
        <d v="1899-12-30T18:01:16"/>
        <d v="1899-12-30T18:02:03"/>
        <d v="1899-12-30T10:58:21"/>
        <d v="1899-12-30T10:59:27"/>
        <d v="1899-12-30T11:01:20"/>
        <d v="1899-12-30T11:04:47"/>
        <d v="1899-12-30T12:54:25"/>
        <d v="1899-12-30T15:43:36"/>
        <d v="1899-12-30T16:41:37"/>
        <d v="1899-12-30T18:18:09"/>
        <d v="1899-12-30T19:22:27"/>
        <d v="1899-12-30T19:23:59"/>
        <d v="1899-12-30T10:22:27"/>
        <d v="1899-12-30T10:24:10"/>
        <d v="1899-12-30T11:42:28"/>
        <d v="1899-12-30T15:11:48"/>
        <d v="1899-12-30T17:25:23"/>
        <d v="1899-12-30T10:21:26"/>
        <d v="1899-12-30T17:55:07"/>
        <d v="1899-12-30T17:55:31"/>
        <d v="1899-12-30T18:24:59"/>
        <d v="1899-12-30T20:04:05"/>
        <d v="1899-12-30T10:41:23"/>
        <d v="1899-12-30T10:42:59"/>
        <d v="1899-12-30T16:35:23"/>
        <d v="1899-12-30T19:16:56"/>
        <d v="1899-12-30T19:18:36"/>
        <d v="1899-12-30T19:03:43"/>
        <d v="1899-12-30T19:38:23"/>
        <d v="1899-12-30T12:29:19"/>
        <d v="1899-12-30T12:43:02"/>
        <d v="1899-12-30T15:06:52"/>
        <d v="1899-12-30T15:07:55"/>
        <d v="1899-12-30T16:18:03"/>
        <d v="1899-12-30T16:19:39"/>
        <d v="1899-12-30T17:51:26"/>
        <d v="1899-12-30T17:53:19"/>
        <d v="1899-12-30T10:55:27"/>
        <d v="1899-12-30T12:24:39"/>
        <d v="1899-12-30T12:27:08"/>
        <d v="1899-12-30T12:29:06"/>
        <d v="1899-12-30T12:31:36"/>
        <d v="1899-12-30T13:21:49"/>
        <d v="1899-12-30T14:23:31"/>
        <d v="1899-12-30T14:24:26"/>
        <d v="1899-12-30T14:25:18"/>
        <d v="1899-12-30T15:46:27"/>
        <d v="1899-12-30T16:59:54"/>
        <d v="1899-12-30T17:00:45"/>
        <d v="1899-12-30T18:38:19"/>
        <d v="1899-12-30T11:45:24"/>
        <d v="1899-12-30T17:01:46"/>
        <d v="1899-12-30T17:02:49"/>
        <d v="1899-12-30T19:33:03"/>
        <d v="1899-12-30T19:41:58"/>
        <d v="1899-12-30T10:43:49"/>
        <d v="1899-12-30T10:46:25"/>
        <d v="1899-12-30T12:40:47"/>
        <d v="1899-12-30T12:52:07"/>
        <d v="1899-12-30T15:03:16"/>
        <d v="1899-12-30T17:42:04"/>
        <d v="1899-12-30T17:43:22"/>
        <d v="1899-12-30T18:09:05"/>
        <d v="1899-12-30T13:32:59"/>
        <d v="1899-12-30T13:44:00"/>
        <d v="1899-12-30T16:13:24"/>
        <d v="1899-12-30T17:01:35"/>
        <d v="1899-12-30T17:02:40"/>
        <d v="1899-12-30T18:14:03"/>
        <d v="1899-12-30T11:19:01"/>
        <d v="1899-12-30T11:20:05"/>
        <d v="1899-12-30T13:49:12"/>
        <d v="1899-12-30T13:50:17"/>
        <d v="1899-12-30T14:34:19"/>
        <d v="1899-12-30T14:35:49"/>
        <d v="1899-12-30T17:44:15"/>
        <d v="1899-12-30T18:21:05"/>
        <d v="1899-12-30T19:39:51"/>
        <d v="1899-12-30T19:40:48"/>
        <d v="1899-12-30T10:10:36"/>
        <d v="1899-12-30T13:11:47"/>
        <d v="1899-12-30T13:13:20"/>
        <d v="1899-12-30T13:58:54"/>
        <d v="1899-12-30T13:59:49"/>
        <d v="1899-12-30T18:23:19"/>
        <d v="1899-12-30T18:25:33"/>
        <d v="1899-12-30T11:24:42"/>
        <d v="1899-12-30T12:08:35"/>
        <d v="1899-12-30T12:09:42"/>
        <d v="1899-12-30T13:08:37"/>
        <d v="1899-12-30T13:09:47"/>
        <d v="1899-12-30T13:10:55"/>
        <d v="1899-12-30T14:44:18"/>
        <d v="1899-12-30T15:11:00"/>
        <d v="1899-12-30T15:22:40"/>
        <d v="1899-12-30T15:49:25"/>
        <d v="1899-12-30T17:07:57"/>
        <d v="1899-12-30T18:27:41"/>
        <d v="1899-12-30T18:28:46"/>
        <d v="1899-12-30T19:30:55"/>
        <d v="1899-12-30T11:16:45"/>
        <d v="1899-12-30T14:15:37"/>
        <d v="1899-12-30T17:09:03"/>
        <d v="1899-12-30T11:09:16"/>
        <d v="1899-12-30T11:29:27"/>
        <d v="1899-12-30T18:40:33"/>
        <d v="1899-12-30T19:39:04"/>
        <d v="1899-12-30T20:02:29"/>
        <d v="1899-12-30T14:22:35"/>
        <d v="1899-12-30T14:23:53"/>
        <d v="1899-12-30T14:24:57"/>
        <d v="1899-12-30T19:42:27"/>
        <d v="1899-12-30T19:43:26"/>
        <d v="1899-12-30T10:19:38"/>
        <d v="1899-12-30T10:21:27"/>
        <d v="1899-12-30T11:23:46"/>
        <d v="1899-12-30T11:33:26"/>
        <d v="1899-12-30T12:39:09"/>
        <d v="1899-12-30T16:39:07"/>
        <d v="1899-12-30T19:39:49"/>
        <d v="1899-12-30T19:40:54"/>
        <d v="1899-12-30T10:46:08"/>
        <d v="1899-12-30T15:18:26"/>
        <d v="1899-12-30T17:09:43"/>
        <d v="1899-12-30T17:10:49"/>
        <d v="1899-12-30T10:12:50"/>
        <d v="1899-12-30T12:01:30"/>
        <d v="1899-12-30T13:31:28"/>
        <d v="1899-12-30T15:32:35"/>
        <d v="1899-12-30T15:33:33"/>
        <d v="1899-12-30T16:23:26"/>
        <d v="1899-12-30T16:24:33"/>
        <d v="1899-12-30T19:32:07"/>
        <d v="1899-12-30T19:33:30"/>
        <d v="1899-12-30T15:27:00"/>
        <d v="1899-12-30T10:32:52"/>
        <d v="1899-12-30T12:30:09"/>
        <d v="1899-12-30T18:27:08"/>
        <d v="1899-12-30T18:28:11"/>
        <d v="1899-12-30T18:29:02"/>
        <d v="1899-12-30T11:26:31"/>
        <d v="1899-12-30T13:27:56"/>
        <d v="1899-12-30T13:28:53"/>
        <d v="1899-12-30T13:53:35"/>
        <d v="1899-12-30T13:54:24"/>
        <d v="1899-12-30T18:37:48"/>
        <d v="1899-12-30T19:12:33"/>
        <d v="1899-12-30T19:13:37"/>
        <d v="1899-12-30T10:16:41"/>
        <d v="1899-12-30T10:34:52"/>
        <d v="1899-12-30T10:35:47"/>
        <d v="1899-12-30T13:41:52"/>
        <d v="1899-12-30T13:42:59"/>
        <d v="1899-12-30T19:19:18"/>
        <d v="1899-12-30T19:30:04"/>
        <d v="1899-12-30T19:31:20"/>
        <d v="1899-12-30T10:33:55"/>
        <d v="1899-12-30T11:29:57"/>
        <d v="1899-12-30T13:49:39"/>
        <d v="1899-12-30T18:36:22"/>
        <d v="1899-12-30T18:41:11"/>
        <d v="1899-12-30T19:18:33"/>
        <d v="1899-12-30T19:19:56"/>
        <d v="1899-12-30T10:11:53"/>
        <d v="1899-12-30T14:30:00"/>
        <d v="1899-12-30T17:03:24"/>
        <d v="1899-12-30T10:05:17"/>
        <d v="1899-12-30T10:06:51"/>
        <d v="1899-12-30T10:08:05"/>
        <d v="1899-12-30T10:09:07"/>
        <d v="1899-12-30T10:39:12"/>
        <d v="1899-12-30T11:34:20"/>
        <d v="1899-12-30T13:18:10"/>
        <d v="1899-12-30T13:19:00"/>
        <d v="1899-12-30T19:18:12"/>
        <d v="1899-12-30T19:19:49"/>
        <d v="1899-12-30T11:21:58"/>
        <d v="1899-12-30T13:23:34"/>
        <d v="1899-12-30T16:42:07"/>
        <d v="1899-12-30T16:55:38"/>
        <d v="1899-12-30T17:37:46"/>
        <d v="1899-12-30T17:38:48"/>
        <d v="1899-12-30T18:35:37"/>
        <d v="1899-12-30T19:12:12"/>
        <d v="1899-12-30T19:13:12"/>
        <d v="1899-12-30T10:07:28"/>
        <d v="1899-12-30T12:54:21"/>
        <d v="1899-12-30T13:03:58"/>
        <d v="1899-12-30T13:04:57"/>
        <d v="1899-12-30T13:06:11"/>
        <d v="1899-12-30T13:07:16"/>
        <d v="1899-12-30T16:55:14"/>
        <d v="1899-12-30T16:56:14"/>
        <d v="1899-12-30T18:01:29"/>
        <d v="1899-12-30T18:13:56"/>
        <d v="1899-12-30T10:09:21"/>
        <d v="1899-12-30T15:46:21"/>
        <d v="1899-12-30T15:47:32"/>
        <d v="1899-12-30T16:20:15"/>
        <d v="1899-12-30T11:39:52"/>
        <d v="1899-12-30T17:02:43"/>
        <d v="1899-12-30T17:20:30"/>
        <d v="1899-12-30T17:21:56"/>
        <d v="1899-12-30T17:23:57"/>
        <d v="1899-12-30T17:28:54"/>
        <d v="1899-12-30T18:35:40"/>
        <d v="1899-12-30T19:38:16"/>
        <d v="1899-12-30T10:20:42"/>
        <d v="1899-12-30T13:24:03"/>
        <d v="1899-12-30T13:27:39"/>
        <d v="1899-12-30T15:16:19"/>
        <d v="1899-12-30T15:38:02"/>
        <d v="1899-12-30T15:52:14"/>
        <d v="1899-12-30T16:04:21"/>
        <d v="1899-12-30T19:41:30"/>
        <d v="1899-12-30T11:03:53"/>
        <d v="1899-12-30T15:31:10"/>
        <d v="1899-12-30T15:31:50"/>
        <d v="1899-12-30T08:38:14"/>
        <d v="1899-12-30T08:39:25"/>
        <d v="1899-12-30T08:40:17"/>
        <d v="1899-12-30T10:19:23"/>
        <d v="1899-12-30T11:32:29"/>
        <d v="1899-12-30T11:34:12"/>
        <d v="1899-12-30T14:04:54"/>
        <d v="1899-12-30T14:06:00"/>
        <d v="1899-12-30T15:01:54"/>
        <d v="1899-12-30T16:57:57"/>
        <d v="1899-12-30T16:59:10"/>
        <d v="1899-12-30T22:51:25"/>
        <d v="1899-12-30T08:40:05"/>
        <d v="1899-12-30T11:14:19"/>
        <d v="1899-12-30T11:19:10"/>
        <d v="1899-12-30T13:34:35"/>
        <d v="1899-12-30T13:35:29"/>
        <d v="1899-12-30T13:36:27"/>
        <d v="1899-12-30T13:55:28"/>
        <d v="1899-12-30T14:38:10"/>
        <d v="1899-12-30T14:38:52"/>
        <d v="1899-12-30T14:39:44"/>
        <d v="1899-12-30T17:28:58"/>
        <d v="1899-12-30T20:20:34"/>
        <d v="1899-12-30T10:38:42"/>
        <d v="1899-12-30T10:39:49"/>
        <d v="1899-12-30T11:42:50"/>
        <d v="1899-12-30T11:44:20"/>
        <d v="1899-12-30T12:14:00"/>
        <d v="1899-12-30T15:15:16"/>
        <d v="1899-12-30T17:44:31"/>
        <d v="1899-12-30T18:12:56"/>
        <d v="1899-12-30T18:13:58"/>
        <d v="1899-12-30T09:00:48"/>
        <d v="1899-12-30T11:30:27"/>
        <d v="1899-12-30T14:58:03"/>
        <d v="1899-12-30T19:55:18"/>
        <d v="1899-12-30T19:56:46"/>
        <d v="1899-12-30T20:37:52"/>
        <d v="1899-12-30T22:34:50"/>
        <d v="1899-12-30T22:36:33"/>
        <d v="1899-12-30T22:37:42"/>
        <d v="1899-12-30T08:01:37"/>
        <d v="1899-12-30T08:02:39"/>
        <d v="1899-12-30T11:15:56"/>
        <d v="1899-12-30T16:48:29"/>
        <d v="1899-12-30T16:49:27"/>
        <d v="1899-12-30T19:58:44"/>
        <d v="1899-12-30T20:22:53"/>
        <d v="1899-12-30T22:05:27"/>
        <d v="1899-12-30T07:58:38"/>
        <d v="1899-12-30T07:59:33"/>
        <d v="1899-12-30T08:00:35"/>
        <d v="1899-12-30T09:28:49"/>
        <d v="1899-12-30T14:43:40"/>
        <d v="1899-12-30T15:58:58"/>
        <d v="1899-12-30T18:12:36"/>
        <d v="1899-12-30T18:13:47"/>
        <d v="1899-12-30T18:16:30"/>
        <d v="1899-12-30T19:51:06"/>
        <d v="1899-12-30T21:15:41"/>
        <d v="1899-12-30T21:18:36"/>
        <d v="1899-12-30T10:05:59"/>
        <d v="1899-12-30T10:17:51"/>
        <d v="1899-12-30T10:58:48"/>
        <d v="1899-12-30T11:15:16"/>
        <d v="1899-12-30T11:16:19"/>
        <d v="1899-12-30T13:27:13"/>
        <d v="1899-12-30T13:28:10"/>
        <d v="1899-12-30T14:13:19"/>
        <d v="1899-12-30T14:14:31"/>
        <d v="1899-12-30T14:32:21"/>
        <d v="1899-12-30T17:12:51"/>
        <d v="1899-12-30T17:13:56"/>
        <d v="1899-12-30T20:36:48"/>
        <d v="1899-12-30T20:37:57"/>
        <d v="1899-12-30T20:46:52"/>
        <d v="1899-12-30T21:36:53"/>
        <d v="1899-12-30T21:37:57"/>
        <d v="1899-12-30T08:27:38"/>
        <d v="1899-12-30T09:43:50"/>
        <d v="1899-12-30T09:44:40"/>
        <d v="1899-12-30T09:46:09"/>
        <d v="1899-12-30T10:05:08"/>
        <d v="1899-12-30T16:10:19"/>
        <d v="1899-12-30T18:13:23"/>
        <d v="1899-12-30T19:11:09"/>
        <d v="1899-12-30T20:13:48"/>
        <d v="1899-12-30T09:34:41"/>
        <d v="1899-12-30T10:49:47"/>
        <d v="1899-12-30T11:18:14"/>
        <d v="1899-12-30T11:34:54"/>
        <d v="1899-12-30T12:29:50"/>
        <d v="1899-12-30T12:30:43"/>
        <d v="1899-12-30T14:00:20"/>
        <d v="1899-12-30T19:24:58"/>
        <d v="1899-12-30T19:25:58"/>
        <d v="1899-12-30T21:23:53"/>
        <d v="1899-12-30T21:24:49"/>
        <d v="1899-12-30T10:10:19"/>
        <d v="1899-12-30T12:22:06"/>
        <d v="1899-12-30T15:55:16"/>
        <d v="1899-12-30T15:56:27"/>
        <d v="1899-12-30T16:18:14"/>
        <d v="1899-12-30T16:41:00"/>
        <d v="1899-12-30T17:14:33"/>
        <d v="1899-12-30T17:15:44"/>
        <d v="1899-12-30T19:03:53"/>
        <d v="1899-12-30T19:17:28"/>
        <d v="1899-12-30T19:18:26"/>
        <d v="1899-12-30T19:42:31"/>
        <d v="1899-12-30T20:15:01"/>
        <d v="1899-12-30T20:16:24"/>
        <d v="1899-12-30T22:48:10"/>
        <d v="1899-12-30T22:55:36"/>
        <d v="1899-12-30T11:11:59"/>
        <d v="1899-12-30T11:15:08"/>
        <d v="1899-12-30T11:16:13"/>
        <d v="1899-12-30T16:07:19"/>
        <d v="1899-12-30T18:17:40"/>
        <d v="1899-12-30T18:18:36"/>
        <d v="1899-12-30T22:30:40"/>
        <d v="1899-12-30T07:40:58"/>
        <d v="1899-12-30T12:13:53"/>
        <d v="1899-12-30T12:40:23"/>
        <d v="1899-12-30T12:42:10"/>
        <d v="1899-12-30T12:43:13"/>
        <d v="1899-12-30T12:58:12"/>
        <d v="1899-12-30T16:48:16"/>
        <d v="1899-12-30T10:20:02"/>
        <d v="1899-12-30T14:24:49"/>
        <d v="1899-12-30T14:26:05"/>
        <d v="1899-12-30T14:40:58"/>
        <d v="1899-12-30T17:19:15"/>
        <d v="1899-12-30T18:09:52"/>
        <d v="1899-12-30T18:11:02"/>
        <d v="1899-12-30T18:13:14"/>
        <d v="1899-12-30T18:39:18"/>
        <d v="1899-12-30T20:59:14"/>
        <d v="1899-12-30T21:00:05"/>
        <d v="1899-12-30T21:02:36"/>
        <d v="1899-12-30T21:03:51"/>
        <d v="1899-12-30T21:04:58"/>
        <d v="1899-12-30T21:06:02"/>
        <d v="1899-12-30T11:34:55"/>
        <d v="1899-12-30T14:05:21"/>
        <d v="1899-12-30T14:06:43"/>
        <d v="1899-12-30T15:11:34"/>
        <d v="1899-12-30T15:14:05"/>
        <d v="1899-12-30T17:50:55"/>
        <d v="1899-12-30T18:00:50"/>
        <d v="1899-12-30T19:16:27"/>
        <d v="1899-12-30T19:17:38"/>
        <d v="1899-12-30T21:29:07"/>
        <d v="1899-12-30T21:30:19"/>
        <d v="1899-12-30T08:37:09"/>
        <d v="1899-12-30T09:20:10"/>
        <d v="1899-12-30T11:48:18"/>
        <d v="1899-12-30T13:14:40"/>
        <d v="1899-12-30T14:10:53"/>
        <d v="1899-12-30T16:25:39"/>
        <d v="1899-12-30T17:21:43"/>
        <d v="1899-12-30T19:09:29"/>
        <d v="1899-12-30T19:10:31"/>
        <d v="1899-12-30T20:24:32"/>
        <d v="1899-12-30T20:50:19"/>
        <d v="1899-12-30T09:14:43"/>
        <d v="1899-12-30T10:48:46"/>
        <d v="1899-12-30T11:14:02"/>
        <d v="1899-12-30T15:10:48"/>
        <d v="1899-12-30T15:22:56"/>
        <d v="1899-12-30T15:45:12"/>
        <d v="1899-12-30T16:45:03"/>
        <d v="1899-12-30T18:24:03"/>
        <d v="1899-12-30T20:30:42"/>
        <d v="1899-12-30T20:32:35"/>
        <d v="1899-12-30T08:29:06"/>
        <d v="1899-12-30T08:30:21"/>
        <d v="1899-12-30T08:37:05"/>
        <d v="1899-12-30T09:47:59"/>
        <d v="1899-12-30T14:56:15"/>
        <d v="1899-12-30T15:16:15"/>
        <d v="1899-12-30T15:17:38"/>
        <d v="1899-12-30T19:53:11"/>
        <d v="1899-12-30T20:31:05"/>
        <d v="1899-12-30T20:46:13"/>
        <d v="1899-12-30T20:47:21"/>
        <d v="1899-12-30T07:53:57"/>
        <d v="1899-12-30T09:21:07"/>
        <d v="1899-12-30T09:23:58"/>
        <d v="1899-12-30T10:38:07"/>
        <d v="1899-12-30T10:39:06"/>
        <d v="1899-12-30T14:50:12"/>
        <d v="1899-12-30T18:23:44"/>
        <d v="1899-12-30T18:25:03"/>
        <d v="1899-12-30T20:06:39"/>
        <d v="1899-12-30T20:33:06"/>
        <d v="1899-12-30T20:34:32"/>
        <d v="1899-12-30T22:05:47"/>
        <d v="1899-12-30T22:06:52"/>
        <d v="1899-12-30T22:07:55"/>
        <d v="1899-12-30T08:27:01"/>
        <d v="1899-12-30T09:48:24"/>
        <d v="1899-12-30T11:38:09"/>
        <d v="1899-12-30T14:28:53"/>
        <d v="1899-12-30T18:20:12"/>
        <d v="1899-12-30T18:21:15"/>
        <d v="1899-12-30T20:50:10"/>
        <d v="1899-12-30T20:51:13"/>
        <d v="1899-12-30T20:54:59"/>
        <d v="1899-12-30T20:59:09"/>
        <d v="1899-12-30T21:51:04"/>
        <d v="1899-12-30T20:03:25"/>
        <d v="1899-12-30T20:24:02"/>
        <d v="1899-12-30T20:25:07"/>
        <d v="1899-12-30T21:07:20"/>
        <d v="1899-12-30T21:30:12"/>
        <d v="1899-12-30T22:43:10"/>
        <d v="1899-12-30T10:12:04"/>
        <d v="1899-12-30T10:27:49"/>
        <d v="1899-12-30T14:31:42"/>
        <d v="1899-12-30T14:33:00"/>
        <d v="1899-12-30T14:34:06"/>
        <d v="1899-12-30T21:42:51"/>
        <d v="1899-12-30T21:43:37"/>
        <d v="1899-12-30T09:23:42"/>
        <d v="1899-12-30T10:27:13"/>
        <d v="1899-12-30T12:02:10"/>
        <d v="1899-12-30T12:05:29"/>
        <d v="1899-12-30T15:30:32"/>
        <d v="1899-12-30T17:46:36"/>
        <d v="1899-12-30T17:47:28"/>
        <d v="1899-12-30T20:13:01"/>
        <d v="1899-12-30T20:50:33"/>
        <d v="1899-12-30T21:31:58"/>
        <d v="1899-12-30T21:33:02"/>
        <d v="1899-12-30T21:34:55"/>
        <d v="1899-12-30T21:36:06"/>
        <d v="1899-12-30T21:37:15"/>
        <d v="1899-12-30T08:21:48"/>
        <d v="1899-12-30T08:23:06"/>
        <d v="1899-12-30T09:22:43"/>
        <d v="1899-12-30T10:28:50"/>
        <d v="1899-12-30T10:40:53"/>
        <d v="1899-12-30T19:43:57"/>
        <d v="1899-12-30T19:59:53"/>
        <d v="1899-12-30T20:10:47"/>
        <d v="1899-12-30T20:12:01"/>
        <d v="1899-12-30T08:52:56"/>
        <d v="1899-12-30T08:54:08"/>
        <d v="1899-12-30T10:36:09"/>
        <d v="1899-12-30T12:17:41"/>
        <d v="1899-12-30T15:11:14"/>
        <d v="1899-12-30T15:24:06"/>
        <d v="1899-12-30T21:14:05"/>
        <d v="1899-12-30T21:15:42"/>
        <d v="1899-12-30T21:18:26"/>
        <d v="1899-12-30T21:19:30"/>
        <d v="1899-12-30T21:21:04"/>
        <d v="1899-12-30T08:18:04"/>
        <d v="1899-12-30T10:35:28"/>
        <d v="1899-12-30T13:34:18"/>
        <d v="1899-12-30T16:45:42"/>
        <d v="1899-12-30T16:47:15"/>
        <d v="1899-12-30T09:04:20"/>
        <d v="1899-12-30T09:26:11"/>
        <d v="1899-12-30T20:24:54"/>
        <d v="1899-12-30T20:25:56"/>
        <d v="1899-12-30T08:15:52"/>
        <d v="1899-12-30T10:30:04"/>
        <d v="1899-12-30T10:52:05"/>
        <d v="1899-12-30T11:04:41"/>
        <d v="1899-12-30T11:07:08"/>
        <d v="1899-12-30T11:52:49"/>
        <d v="1899-12-30T12:11:23"/>
        <d v="1899-12-30T12:13:08"/>
        <d v="1899-12-30T12:14:10"/>
        <d v="1899-12-30T15:10:30"/>
        <d v="1899-12-30T16:17:28"/>
        <d v="1899-12-30T19:21:19"/>
        <d v="1899-12-30T21:05:08"/>
        <d v="1899-12-30T12:47:49"/>
        <d v="1899-12-30T12:56:48"/>
        <d v="1899-12-30T19:04:28"/>
        <d v="1899-12-30T19:05:22"/>
        <d v="1899-12-30T19:37:23"/>
        <d v="1899-12-30T19:38:19"/>
        <d v="1899-12-30T10:38:03"/>
        <d v="1899-12-30T18:48:25"/>
        <d v="1899-12-30T18:49:36"/>
        <d v="1899-12-30T21:17:03"/>
        <d v="1899-12-30T21:27:41"/>
        <d v="1899-12-30T21:28:50"/>
        <d v="1899-12-30T10:18:18"/>
        <d v="1899-12-30T11:51:43"/>
        <d v="1899-12-30T17:41:17"/>
        <d v="1899-12-30T17:47:27"/>
        <d v="1899-12-30T20:16:33"/>
        <d v="1899-12-30T20:25:34"/>
        <d v="1899-12-30T08:54:24"/>
        <d v="1899-12-30T08:57:25"/>
        <d v="1899-12-30T09:50:25"/>
        <d v="1899-12-30T09:57:11"/>
        <d v="1899-12-30T17:04:58"/>
        <d v="1899-12-30T17:27:46"/>
        <d v="1899-12-30T19:22:19"/>
        <d v="1899-12-30T20:20:51"/>
        <d v="1899-12-30T20:43:45"/>
        <d v="1899-12-30T20:45:00"/>
        <d v="1899-12-30T20:48:17"/>
        <d v="1899-12-30T21:02:28"/>
        <d v="1899-12-30T07:46:13"/>
        <d v="1899-12-30T10:30:31"/>
        <d v="1899-12-30T12:14:41"/>
        <d v="1899-12-30T18:29:53"/>
        <d v="1899-12-30T11:26:01"/>
        <d v="1899-12-30T12:21:28"/>
        <d v="1899-12-30T12:22:46"/>
        <d v="1899-12-30T12:23:52"/>
        <d v="1899-12-30T12:24:35"/>
        <d v="1899-12-30T12:25:23"/>
        <d v="1899-12-30T16:03:29"/>
        <d v="1899-12-30T18:14:04"/>
        <d v="1899-12-30T10:43:51"/>
        <d v="1899-12-30T10:58:41"/>
        <d v="1899-12-30T11:00:38"/>
        <d v="1899-12-30T11:01:41"/>
        <d v="1899-12-30T12:49:27"/>
        <d v="1899-12-30T14:00:38"/>
        <d v="1899-12-30T15:02:36"/>
        <d v="1899-12-30T15:05:10"/>
        <d v="1899-12-30T15:43:59"/>
        <d v="1899-12-30T16:47:36"/>
        <d v="1899-12-30T17:45:17"/>
        <d v="1899-12-30T17:46:16"/>
        <d v="1899-12-30T08:57:24"/>
        <d v="1899-12-30T10:12:05"/>
        <d v="1899-12-30T10:13:37"/>
        <d v="1899-12-30T10:55:51"/>
        <d v="1899-12-30T14:51:35"/>
        <d v="1899-12-30T16:50:13"/>
        <d v="1899-12-30T16:51:11"/>
        <d v="1899-12-30T16:52:36"/>
        <d v="1899-12-30T18:51:19"/>
        <d v="1899-12-30T21:16:11"/>
        <d v="1899-12-30T14:04:06"/>
        <d v="1899-12-30T14:05:12"/>
        <d v="1899-12-30T19:20:40"/>
        <d v="1899-12-30T19:21:38"/>
        <d v="1899-12-30T20:35:49"/>
        <d v="1899-12-30T21:20:49"/>
        <d v="1899-12-30T21:22:18"/>
        <d v="1899-12-30T07:47:19"/>
        <d v="1899-12-30T08:17:54"/>
        <d v="1899-12-30T10:54:00"/>
        <d v="1899-12-30T11:11:27"/>
        <d v="1899-12-30T11:12:31"/>
        <d v="1899-12-30T14:21:36"/>
        <d v="1899-12-30T18:28:43"/>
        <d v="1899-12-30T18:29:58"/>
        <d v="1899-12-30T19:31:31"/>
        <d v="1899-12-30T21:28:59"/>
        <d v="1899-12-30T21:30:03"/>
        <d v="1899-12-30T10:50:06"/>
        <d v="1899-12-30T18:59:02"/>
        <d v="1899-12-30T19:00:00"/>
        <d v="1899-12-30T21:39:10"/>
        <d v="1899-12-30T21:57:40"/>
        <d v="1899-12-30T21:59:17"/>
        <d v="1899-12-30T09:59:55"/>
        <d v="1899-12-30T10:01:40"/>
        <d v="1899-12-30T13:19:19"/>
        <d v="1899-12-30T13:20:31"/>
        <d v="1899-12-30T18:12:16"/>
        <d v="1899-12-30T19:30:26"/>
        <d v="1899-12-30T19:47:06"/>
        <d v="1899-12-30T19:48:06"/>
        <d v="1899-12-30T19:49:54"/>
        <d v="1899-12-30T19:51:00"/>
        <d v="1899-12-30T19:52:18"/>
        <d v="1899-12-30T19:55:37"/>
        <d v="1899-12-30T08:39:50"/>
        <d v="1899-12-30T09:37:48"/>
        <d v="1899-12-30T12:53:15"/>
        <d v="1899-12-30T15:37:20"/>
        <d v="1899-12-30T22:10:22"/>
        <d v="1899-12-30T18:12:01"/>
        <d v="1899-12-30T18:13:50"/>
        <d v="1899-12-30T21:06:46"/>
        <d v="1899-12-30T21:30:36"/>
        <d v="1899-12-30T11:44:39"/>
        <d v="1899-12-30T11:49:36"/>
        <d v="1899-12-30T11:50:44"/>
        <d v="1899-12-30T15:02:28"/>
        <d v="1899-12-30T16:46:00"/>
        <d v="1899-12-30T16:47:00"/>
        <d v="1899-12-30T08:19:24"/>
        <d v="1899-12-30T10:28:26"/>
        <d v="1899-12-30T11:34:52"/>
        <d v="1899-12-30T09:33:01"/>
        <d v="1899-12-30T16:32:29"/>
        <d v="1899-12-30T16:34:01"/>
        <d v="1899-12-30T21:21:53"/>
        <d v="1899-12-30T21:27:00"/>
        <d v="1899-12-30T21:28:14"/>
        <d v="1899-12-30T09:15:43"/>
        <d v="1899-12-30T16:11:48"/>
        <d v="1899-12-30T21:44:03"/>
        <d v="1899-12-30T21:50:31"/>
        <d v="1899-12-30T08:08:35"/>
        <d v="1899-12-30T17:51:53"/>
        <d v="1899-12-30T21:50:55"/>
        <d v="1899-12-30T21:52:01"/>
        <d v="1899-12-30T22:28:19"/>
        <d v="1899-12-30T09:47:10"/>
        <d v="1899-12-30T11:40:19"/>
        <d v="1899-12-30T11:41:26"/>
        <d v="1899-12-30T12:30:24"/>
        <d v="1899-12-30T12:31:42"/>
        <d v="1899-12-30T17:23:43"/>
        <d v="1899-12-30T17:24:52"/>
        <d v="1899-12-30T21:27:22"/>
        <d v="1899-12-30T10:28:09"/>
        <d v="1899-12-30T13:05:50"/>
        <d v="1899-12-30T16:54:41"/>
        <d v="1899-12-30T21:04:09"/>
        <d v="1899-12-30T18:07:26"/>
        <d v="1899-12-30T18:56:51"/>
        <d v="1899-12-30T18:57:54"/>
        <d v="1899-12-30T10:42:54"/>
        <d v="1899-12-30T10:45:00"/>
        <d v="1899-12-30T12:48:05"/>
        <d v="1899-12-30T14:03:13"/>
        <d v="1899-12-30T16:31:24"/>
        <d v="1899-12-30T22:02:23"/>
        <d v="1899-12-30T13:51:14"/>
        <d v="1899-12-30T16:01:16"/>
        <d v="1899-12-30T16:50:25"/>
        <d v="1899-12-30T16:53:15"/>
        <d v="1899-12-30T16:54:22"/>
        <d v="1899-12-30T16:55:31"/>
        <d v="1899-12-30T16:59:25"/>
        <d v="1899-12-30T17:59:01"/>
        <d v="1899-12-30T19:06:09"/>
        <d v="1899-12-30T10:26:23"/>
        <d v="1899-12-30T10:27:30"/>
        <d v="1899-12-30T12:20:28"/>
        <d v="1899-12-30T13:43:43"/>
        <d v="1899-12-30T13:44:43"/>
        <d v="1899-12-30T18:55:56"/>
        <d v="1899-12-30T19:55:07"/>
        <d v="1899-12-30T22:11:56"/>
        <d v="1899-12-30T22:18:03"/>
        <d v="1899-12-30T22:18:56"/>
        <d v="1899-12-30T22:20:01"/>
        <d v="1899-12-30T22:21:09"/>
        <d v="1899-12-30T10:28:06"/>
        <d v="1899-12-30T17:15:46"/>
        <d v="1899-12-30T17:17:01"/>
        <d v="1899-12-30T19:09:46"/>
        <d v="1899-12-30T19:10:39"/>
        <d v="1899-12-30T09:14:29"/>
        <d v="1899-12-30T09:15:36"/>
        <d v="1899-12-30T09:28:48"/>
        <d v="1899-12-30T09:29:56"/>
        <d v="1899-12-30T14:56:30"/>
        <d v="1899-12-30T14:57:47"/>
        <d v="1899-12-30T17:07:50"/>
        <d v="1899-12-30T19:33:27"/>
        <d v="1899-12-30T20:01:31"/>
        <d v="1899-12-30T22:33:36"/>
        <d v="1899-12-30T07:33:07"/>
        <d v="1899-12-30T12:02:50"/>
        <d v="1899-12-30T14:40:24"/>
        <d v="1899-12-30T19:30:34"/>
        <d v="1899-12-30T22:14:46"/>
        <d v="1899-12-30T10:26:52"/>
        <d v="1899-12-30T10:40:28"/>
        <d v="1899-12-30T11:21:36"/>
        <d v="1899-12-30T11:22:49"/>
        <d v="1899-12-30T16:42:59"/>
        <d v="1899-12-30T11:10:41"/>
        <d v="1899-12-30T12:28:53"/>
        <d v="1899-12-30T22:13:10"/>
        <d v="1899-12-30T11:27:27"/>
        <d v="1899-12-30T16:48:18"/>
        <d v="1899-12-30T22:22:13"/>
        <d v="1899-12-30T22:30:58"/>
        <d v="1899-12-30T08:03:17"/>
        <d v="1899-12-30T11:48:33"/>
        <d v="1899-12-30T22:33:25"/>
        <d v="1899-12-30T22:34:14"/>
        <d v="1899-12-30T22:35:29"/>
        <d v="1899-12-30T10:38:10"/>
        <d v="1899-12-30T11:41:38"/>
        <d v="1899-12-30T10:54:24"/>
        <d v="1899-12-30T10:55:30"/>
        <d v="1899-12-30T10:56:30"/>
        <d v="1899-12-30T10:57:54"/>
        <d v="1899-12-30T11:02:11"/>
        <d v="1899-12-30T22:31:29"/>
        <d v="1899-12-30T07:33:05"/>
        <d v="1899-12-30T12:23:37"/>
        <d v="1899-12-30T19:29:25"/>
        <d v="1899-12-30T13:04:59"/>
        <d v="1899-12-30T11:10:13"/>
        <d v="1899-12-30T11:11:23"/>
        <d v="1899-12-30T11:32:59"/>
        <d v="1899-12-30T11:34:48"/>
        <d v="1899-12-30T11:35:51"/>
        <d v="1899-12-30T13:23:33"/>
        <d v="1899-12-30T18:18:23"/>
        <d v="1899-12-30T19:30:50"/>
        <d v="1899-12-30T21:19:41"/>
        <d v="1899-12-30T21:21:59"/>
        <d v="1899-12-30T21:46:18"/>
        <d v="1899-12-30T11:03:02"/>
        <d v="1899-12-30T11:16:20"/>
        <d v="1899-12-30T12:58:37"/>
        <d v="1899-12-30T12:59:55"/>
        <d v="1899-12-30T14:09:20"/>
        <d v="1899-12-30T14:11:22"/>
        <d v="1899-12-30T16:36:19"/>
        <d v="1899-12-30T16:37:35"/>
        <d v="1899-12-30T08:05:44"/>
        <d v="1899-12-30T08:06:48"/>
        <d v="1899-12-30T08:07:51"/>
        <d v="1899-12-30T09:00:53"/>
        <d v="1899-12-30T09:02:27"/>
        <d v="1899-12-30T10:39:21"/>
        <d v="1899-12-30T15:15:09"/>
        <d v="1899-12-30T10:30:55"/>
        <d v="1899-12-30T11:39:28"/>
        <d v="1899-12-30T13:34:30"/>
        <d v="1899-12-30T13:42:31"/>
        <d v="1899-12-30T08:13:23"/>
        <d v="1899-12-30T08:40:49"/>
        <d v="1899-12-30T10:15:37"/>
        <d v="1899-12-30T16:44:37"/>
        <d v="1899-12-30T08:12:56"/>
        <d v="1899-12-30T08:40:18"/>
        <d v="1899-12-30T08:44:53"/>
        <d v="1899-12-30T08:49:25"/>
        <d v="1899-12-30T08:51:10"/>
        <d v="1899-12-30T09:01:45"/>
        <d v="1899-12-30T10:03:36"/>
        <d v="1899-12-30T15:20:04"/>
        <d v="1899-12-30T15:21:01"/>
        <d v="1899-12-30T21:01:40"/>
        <d v="1899-12-30T21:23:13"/>
        <d v="1899-12-30T21:24:22"/>
        <d v="1899-12-30T09:16:09"/>
        <d v="1899-12-30T09:38:55"/>
        <d v="1899-12-30T09:54:37"/>
        <d v="1899-12-30T11:43:53"/>
        <d v="1899-12-30T13:55:13"/>
        <d v="1899-12-30T14:45:49"/>
        <d v="1899-12-30T15:18:30"/>
        <d v="1899-12-30T19:15:05"/>
        <d v="1899-12-30T19:16:59"/>
        <d v="1899-12-30T21:17:36"/>
        <d v="1899-12-30T21:18:41"/>
        <d v="1899-12-30T21:25:17"/>
        <d v="1899-12-30T07:54:47"/>
        <d v="1899-12-30T08:49:18"/>
        <d v="1899-12-30T10:29:44"/>
        <d v="1899-12-30T11:26:04"/>
        <d v="1899-12-30T15:25:06"/>
        <d v="1899-12-30T19:21:00"/>
        <d v="1899-12-30T21:06:01"/>
        <d v="1899-12-30T21:06:50"/>
        <d v="1899-12-30T22:38:51"/>
        <d v="1899-12-30T22:39:46"/>
        <d v="1899-12-30T08:33:01"/>
        <d v="1899-12-30T09:19:37"/>
        <d v="1899-12-30T09:20:34"/>
        <d v="1899-12-30T09:33:11"/>
        <d v="1899-12-30T09:34:16"/>
        <d v="1899-12-30T09:59:07"/>
        <d v="1899-12-30T10:00:02"/>
        <d v="1899-12-30T11:47:13"/>
        <d v="1899-12-30T12:07:01"/>
        <d v="1899-12-30T12:28:08"/>
        <d v="1899-12-30T12:29:17"/>
        <d v="1899-12-30T13:09:56"/>
        <d v="1899-12-30T17:23:29"/>
        <d v="1899-12-30T17:58:29"/>
        <d v="1899-12-30T21:15:09"/>
        <d v="1899-12-30T22:49:52"/>
        <d v="1899-12-30T09:09:16"/>
        <d v="1899-12-30T11:55:31"/>
        <d v="1899-12-30T12:25:10"/>
        <d v="1899-12-30T12:26:13"/>
        <d v="1899-12-30T12:33:23"/>
        <d v="1899-12-30T14:28:41"/>
        <d v="1899-12-30T14:51:53"/>
        <d v="1899-12-30T17:02:33"/>
        <d v="1899-12-30T17:03:39"/>
        <d v="1899-12-30T17:09:00"/>
        <d v="1899-12-30T17:10:08"/>
        <d v="1899-12-30T20:55:20"/>
        <d v="1899-12-30T22:56:23"/>
        <d v="1899-12-30T11:07:25"/>
        <d v="1899-12-30T14:17:54"/>
        <d v="1899-12-30T14:18:52"/>
        <d v="1899-12-30T08:12:06"/>
        <d v="1899-12-30T09:04:47"/>
        <d v="1899-12-30T09:15:46"/>
        <d v="1899-12-30T09:19:44"/>
        <d v="1899-12-30T09:51:24"/>
        <d v="1899-12-30T09:58:29"/>
        <d v="1899-12-30T10:43:43"/>
        <d v="1899-12-30T19:06:31"/>
        <d v="1899-12-30T19:30:16"/>
        <d v="1899-12-30T21:57:34"/>
        <d v="1899-12-30T07:41:10"/>
        <d v="1899-12-30T08:05:07"/>
        <d v="1899-12-30T08:20:51"/>
        <d v="1899-12-30T09:13:43"/>
        <d v="1899-12-30T10:17:11"/>
        <d v="1899-12-30T10:19:34"/>
        <d v="1899-12-30T10:23:20"/>
        <d v="1899-12-30T11:12:07"/>
        <d v="1899-12-30T11:13:16"/>
        <d v="1899-12-30T11:14:41"/>
        <d v="1899-12-30T11:16:01"/>
        <d v="1899-12-30T11:30:34"/>
        <d v="1899-12-30T11:31:40"/>
        <d v="1899-12-30T12:08:07"/>
        <d v="1899-12-30T15:16:09"/>
        <d v="1899-12-30T16:08:52"/>
        <d v="1899-12-30T16:09:43"/>
        <d v="1899-12-30T20:24:19"/>
        <d v="1899-12-30T20:53:51"/>
        <d v="1899-12-30T20:54:46"/>
        <d v="1899-12-30T20:57:02"/>
        <d v="1899-12-30T21:33:19"/>
        <d v="1899-12-30T22:15:21"/>
        <d v="1899-12-30T22:16:19"/>
        <d v="1899-12-30T07:59:52"/>
        <d v="1899-12-30T08:37:41"/>
        <d v="1899-12-30T08:38:38"/>
        <d v="1899-12-30T09:54:45"/>
        <d v="1899-12-30T09:55:45"/>
        <d v="1899-12-30T09:58:15"/>
        <d v="1899-12-30T13:11:42"/>
        <d v="1899-12-30T13:14:00"/>
        <d v="1899-12-30T13:24:49"/>
        <d v="1899-12-30T17:48:06"/>
        <d v="1899-12-30T18:04:14"/>
        <d v="1899-12-30T19:22:38"/>
        <d v="1899-12-30T19:28:45"/>
        <d v="1899-12-30T20:46:42"/>
        <d v="1899-12-30T20:50:07"/>
        <d v="1899-12-30T20:51:10"/>
        <d v="1899-12-30T20:52:14"/>
        <d v="1899-12-30T20:53:35"/>
        <d v="1899-12-30T20:59:25"/>
        <d v="1899-12-30T21:26:26"/>
        <d v="1899-12-30T21:54:11"/>
        <d v="1899-12-30T21:55:16"/>
        <d v="1899-12-30T07:31:00"/>
        <d v="1899-12-30T09:25:20"/>
        <d v="1899-12-30T11:04:14"/>
        <d v="1899-12-30T11:22:46"/>
        <d v="1899-12-30T13:22:46"/>
        <d v="1899-12-30T13:23:37"/>
        <d v="1899-12-30T13:49:07"/>
        <d v="1899-12-30T15:43:43"/>
        <d v="1899-12-30T16:24:00"/>
        <d v="1899-12-30T16:26:07"/>
        <d v="1899-12-30T17:23:35"/>
        <d v="1899-12-30T20:41:28"/>
        <d v="1899-12-30T09:01:54"/>
        <d v="1899-12-30T09:35:02"/>
        <d v="1899-12-30T11:09:19"/>
        <d v="1899-12-30T18:08:35"/>
        <d v="1899-12-30T21:23:04"/>
        <d v="1899-12-30T08:53:46"/>
        <d v="1899-12-30T09:37:19"/>
        <d v="1899-12-30T09:38:41"/>
        <d v="1899-12-30T10:12:25"/>
        <d v="1899-12-30T11:20:26"/>
        <d v="1899-12-30T11:21:22"/>
        <d v="1899-12-30T11:56:36"/>
        <d v="1899-12-30T11:57:31"/>
        <d v="1899-12-30T12:03:35"/>
        <d v="1899-12-30T16:53:59"/>
        <d v="1899-12-30T18:38:42"/>
        <d v="1899-12-30T21:30:48"/>
        <d v="1899-12-30T21:33:06"/>
        <d v="1899-12-30T08:18:37"/>
        <d v="1899-12-30T10:37:51"/>
        <d v="1899-12-30T11:50:54"/>
        <d v="1899-12-30T11:52:33"/>
        <d v="1899-12-30T15:33:52"/>
        <d v="1899-12-30T15:35:05"/>
        <d v="1899-12-30T08:50:05"/>
        <d v="1899-12-30T09:19:19"/>
        <d v="1899-12-30T11:20:47"/>
        <d v="1899-12-30T13:45:22"/>
        <d v="1899-12-30T16:05:57"/>
        <d v="1899-12-30T16:07:18"/>
        <d v="1899-12-30T17:44:24"/>
        <d v="1899-12-30T17:45:32"/>
        <d v="1899-12-30T19:20:02"/>
        <d v="1899-12-30T19:34:51"/>
        <d v="1899-12-30T20:49:30"/>
        <d v="1899-12-30T20:50:21"/>
        <d v="1899-12-30T22:43:48"/>
        <d v="1899-12-30T10:21:03"/>
        <d v="1899-12-30T10:32:32"/>
        <d v="1899-12-30T17:40:49"/>
        <d v="1899-12-30T17:42:52"/>
        <d v="1899-12-30T17:44:05"/>
        <d v="1899-12-30T19:04:04"/>
        <d v="1899-12-30T19:05:23"/>
        <d v="1899-12-30T20:04:27"/>
        <d v="1899-12-30T08:55:48"/>
        <d v="1899-12-30T12:12:26"/>
        <d v="1899-12-30T12:13:40"/>
        <d v="1899-12-30T13:11:16"/>
        <d v="1899-12-30T16:19:01"/>
        <d v="1899-12-30T19:36:22"/>
        <d v="1899-12-30T20:40:09"/>
        <d v="1899-12-30T21:18:11"/>
        <d v="1899-12-30T22:28:56"/>
        <d v="1899-12-30T22:32:15"/>
        <d v="1899-12-30T08:46:36"/>
        <d v="1899-12-30T08:47:28"/>
        <d v="1899-12-30T12:27:05"/>
        <d v="1899-12-30T12:43:19"/>
        <d v="1899-12-30T12:44:14"/>
        <d v="1899-12-30T16:57:53"/>
        <d v="1899-12-30T17:17:51"/>
        <d v="1899-12-30T21:25:59"/>
        <d v="1899-12-30T07:35:22"/>
        <d v="1899-12-30T09:53:34"/>
        <d v="1899-12-30T10:13:07"/>
        <d v="1899-12-30T10:26:47"/>
        <d v="1899-12-30T11:28:08"/>
        <d v="1899-12-30T11:29:48"/>
        <d v="1899-12-30T18:56:27"/>
        <d v="1899-12-30T19:03:06"/>
        <d v="1899-12-30T08:36:44"/>
        <d v="1899-12-30T08:37:57"/>
        <d v="1899-12-30T08:45:09"/>
        <d v="1899-12-30T11:54:23"/>
        <d v="1899-12-30T12:15:10"/>
        <d v="1899-12-30T12:33:12"/>
        <d v="1899-12-30T16:06:12"/>
        <d v="1899-12-30T21:16:48"/>
        <d v="1899-12-30T21:17:41"/>
        <d v="1899-12-30T21:37:41"/>
        <d v="1899-12-30T09:52:36"/>
        <d v="1899-12-30T09:53:43"/>
        <d v="1899-12-30T10:17:23"/>
        <d v="1899-12-30T11:56:41"/>
        <d v="1899-12-30T11:57:41"/>
        <d v="1899-12-30T12:20:19"/>
        <d v="1899-12-30T15:53:51"/>
        <d v="1899-12-30T15:55:14"/>
        <d v="1899-12-30T16:27:35"/>
        <d v="1899-12-30T16:28:38"/>
        <d v="1899-12-30T21:30:32"/>
        <d v="1899-12-30T21:41:09"/>
        <d v="1899-12-30T21:43:10"/>
        <d v="1899-12-30T22:39:29"/>
        <d v="1899-12-30T08:26:19"/>
        <d v="1899-12-30T11:15:04"/>
        <d v="1899-12-30T11:19:29"/>
        <d v="1899-12-30T11:20:23"/>
        <d v="1899-12-30T11:44:28"/>
        <d v="1899-12-30T14:04:03"/>
        <d v="1899-12-30T14:05:06"/>
        <d v="1899-12-30T18:05:04"/>
        <d v="1899-12-30T21:25:49"/>
        <d v="1899-12-30T21:37:38"/>
        <d v="1899-12-30T22:58:20"/>
        <d v="1899-12-30T22:59:18"/>
        <d v="1899-12-30T08:44:30"/>
        <d v="1899-12-30T09:14:21"/>
        <d v="1899-12-30T09:45:56"/>
        <d v="1899-12-30T10:42:08"/>
        <d v="1899-12-30T11:59:47"/>
        <d v="1899-12-30T13:01:41"/>
        <d v="1899-12-30T14:45:39"/>
        <d v="1899-12-30T15:47:56"/>
        <d v="1899-12-30T15:55:29"/>
        <d v="1899-12-30T20:29:34"/>
        <d v="1899-12-30T20:30:37"/>
        <d v="1899-12-30T20:44:22"/>
        <d v="1899-12-30T21:00:44"/>
        <d v="1899-12-30T07:35:48"/>
        <d v="1899-12-30T07:36:55"/>
        <d v="1899-12-30T10:09:29"/>
        <d v="1899-12-30T11:39:07"/>
        <d v="1899-12-30T12:49:16"/>
        <d v="1899-12-30T12:51:04"/>
        <d v="1899-12-30T15:21:27"/>
        <d v="1899-12-30T17:24:22"/>
        <d v="1899-12-30T18:10:03"/>
        <d v="1899-12-30T18:59:18"/>
        <d v="1899-12-30T19:35:48"/>
        <d v="1899-12-30T21:41:33"/>
        <d v="1899-12-30T09:36:11"/>
        <d v="1899-12-30T09:37:02"/>
        <d v="1899-12-30T09:38:04"/>
        <d v="1899-12-30T09:38:49"/>
        <d v="1899-12-30T12:38:37"/>
        <d v="1899-12-30T13:48:13"/>
        <d v="1899-12-30T14:17:48"/>
        <d v="1899-12-30T14:18:50"/>
        <d v="1899-12-30T17:53:52"/>
        <d v="1899-12-30T19:10:58"/>
        <d v="1899-12-30T19:11:54"/>
        <d v="1899-12-30T19:42:37"/>
        <d v="1899-12-30T20:40:41"/>
        <d v="1899-12-30T21:35:20"/>
        <d v="1899-12-30T21:36:11"/>
        <d v="1899-12-30T12:29:16"/>
        <d v="1899-12-30T12:54:17"/>
        <d v="1899-12-30T13:36:12"/>
        <d v="1899-12-30T15:18:51"/>
        <d v="1899-12-30T15:19:39"/>
        <d v="1899-12-30T09:16:53"/>
        <d v="1899-12-30T09:18:08"/>
        <d v="1899-12-30T10:53:41"/>
        <d v="1899-12-30T11:58:41"/>
        <d v="1899-12-30T11:59:28"/>
        <d v="1899-12-30T13:18:40"/>
        <d v="1899-12-30T16:31:54"/>
        <d v="1899-12-30T16:33:48"/>
        <d v="1899-12-30T18:48:58"/>
        <d v="1899-12-30T21:18:56"/>
        <d v="1899-12-30T22:42:39"/>
        <d v="1899-12-30T08:09:42"/>
        <d v="1899-12-30T08:32:05"/>
        <d v="1899-12-30T08:41:06"/>
        <d v="1899-12-30T08:56:01"/>
        <d v="1899-12-30T12:31:40"/>
        <d v="1899-12-30T14:30:21"/>
        <d v="1899-12-30T18:24:10"/>
        <d v="1899-12-30T18:26:03"/>
        <d v="1899-12-30T18:27:17"/>
        <d v="1899-12-30T18:28:13"/>
        <d v="1899-12-30T15:09:48"/>
        <d v="1899-12-30T15:10:51"/>
        <d v="1899-12-30T21:21:12"/>
        <d v="1899-12-30T21:31:57"/>
        <d v="1899-12-30T08:27:16"/>
        <d v="1899-12-30T08:29:14"/>
        <d v="1899-12-30T08:49:47"/>
        <d v="1899-12-30T08:50:36"/>
        <d v="1899-12-30T09:14:54"/>
        <d v="1899-12-30T11:09:55"/>
        <d v="1899-12-30T11:11:39"/>
        <d v="1899-12-30T11:42:20"/>
        <d v="1899-12-30T20:42:40"/>
        <d v="1899-12-30T20:44:14"/>
        <d v="1899-12-30T20:45:12"/>
        <d v="1899-12-30T20:46:03"/>
        <d v="1899-12-30T07:59:13"/>
        <d v="1899-12-30T08:40:27"/>
        <d v="1899-12-30T10:13:32"/>
        <d v="1899-12-30T10:38:44"/>
        <d v="1899-12-30T11:51:41"/>
        <d v="1899-12-30T13:17:10"/>
        <d v="1899-12-30T19:42:03"/>
        <d v="1899-12-30T09:22:26"/>
        <d v="1899-12-30T10:09:23"/>
        <d v="1899-12-30T10:47:59"/>
        <d v="1899-12-30T14:16:12"/>
        <d v="1899-12-30T14:26:58"/>
        <d v="1899-12-30T15:07:07"/>
        <d v="1899-12-30T15:27:27"/>
        <d v="1899-12-30T07:43:16"/>
        <d v="1899-12-30T08:22:56"/>
        <d v="1899-12-30T08:33:38"/>
        <d v="1899-12-30T08:34:35"/>
        <d v="1899-12-30T09:14:52"/>
        <d v="1899-12-30T10:10:58"/>
        <d v="1899-12-30T10:11:55"/>
        <d v="1899-12-30T11:12:59"/>
        <d v="1899-12-30T13:24:54"/>
        <d v="1899-12-30T15:28:52"/>
        <d v="1899-12-30T19:48:02"/>
        <d v="1899-12-30T08:13:42"/>
        <d v="1899-12-30T08:14:47"/>
        <d v="1899-12-30T08:44:11"/>
        <d v="1899-12-30T10:18:09"/>
        <d v="1899-12-30T10:18:52"/>
        <d v="1899-12-30T10:19:49"/>
        <d v="1899-12-30T08:14:37"/>
        <d v="1899-12-30T08:26:27"/>
        <d v="1899-12-30T08:27:36"/>
        <d v="1899-12-30T09:24:22"/>
        <d v="1899-12-30T12:41:42"/>
        <d v="1899-12-30T14:53:02"/>
        <d v="1899-12-30T08:11:47"/>
        <d v="1899-12-30T08:16:09"/>
        <d v="1899-12-30T08:17:23"/>
        <d v="1899-12-30T09:21:36"/>
        <d v="1899-12-30T10:37:44"/>
        <d v="1899-12-30T10:38:49"/>
        <d v="1899-12-30T12:45:13"/>
        <d v="1899-12-30T18:53:27"/>
        <d v="1899-12-30T18:54:31"/>
        <d v="1899-12-30T22:55:39"/>
        <d v="1899-12-30T10:04:04"/>
        <d v="1899-12-30T12:08:18"/>
        <d v="1899-12-30T12:10:04"/>
        <d v="1899-12-30T12:35:06"/>
        <d v="1899-12-30T13:48:35"/>
        <d v="1899-12-30T07:29:30"/>
        <d v="1899-12-30T17:13:30"/>
        <d v="1899-12-30T17:14:32"/>
        <d v="1899-12-30T17:15:35"/>
        <d v="1899-12-30T09:08:32"/>
        <d v="1899-12-30T10:02:08"/>
        <d v="1899-12-30T10:22:26"/>
        <d v="1899-12-30T11:29:54"/>
        <d v="1899-12-30T11:33:39"/>
        <d v="1899-12-30T11:34:32"/>
        <d v="1899-12-30T09:34:15"/>
        <d v="1899-12-30T12:11:24"/>
        <d v="1899-12-30T12:30:08"/>
        <d v="1899-12-30T12:32:22"/>
        <d v="1899-12-30T12:50:17"/>
        <d v="1899-12-30T13:57:33"/>
        <d v="1899-12-30T14:44:04"/>
        <d v="1899-12-30T17:20:46"/>
        <d v="1899-12-30T17:23:13"/>
        <d v="1899-12-30T17:24:49"/>
        <d v="1899-12-30T08:24:39"/>
        <d v="1899-12-30T08:50:17"/>
        <d v="1899-12-30T08:51:33"/>
        <d v="1899-12-30T14:58:47"/>
        <d v="1899-12-30T20:09:43"/>
        <d v="1899-12-30T20:11:17"/>
        <d v="1899-12-30T20:52:31"/>
        <d v="1899-12-30T20:53:29"/>
        <d v="1899-12-30T08:22:15"/>
        <d v="1899-12-30T08:28:12"/>
        <d v="1899-12-30T08:41:11"/>
        <d v="1899-12-30T09:03:12"/>
        <d v="1899-12-30T09:04:11"/>
        <d v="1899-12-30T09:12:48"/>
        <d v="1899-12-30T09:13:33"/>
        <d v="1899-12-30T09:17:02"/>
        <d v="1899-12-30T09:20:17"/>
        <d v="1899-12-30T09:37:52"/>
        <d v="1899-12-30T09:38:56"/>
        <d v="1899-12-30T12:56:53"/>
        <d v="1899-12-30T14:14:51"/>
        <d v="1899-12-30T14:16:17"/>
        <d v="1899-12-30T18:48:34"/>
        <d v="1899-12-30T19:11:12"/>
        <d v="1899-12-30T19:17:13"/>
        <d v="1899-12-30T11:11:21"/>
        <d v="1899-12-30T11:33:36"/>
        <d v="1899-12-30T11:48:03"/>
        <d v="1899-12-30T11:55:34"/>
        <d v="1899-12-30T12:53:31"/>
        <d v="1899-12-30T13:03:50"/>
        <d v="1899-12-30T13:05:16"/>
        <d v="1899-12-30T18:03:46"/>
        <d v="1899-12-30T19:41:41"/>
        <d v="1899-12-30T21:19:35"/>
        <d v="1899-12-30T09:31:17"/>
        <d v="1899-12-30T10:28:56"/>
        <d v="1899-12-30T11:06:30"/>
        <d v="1899-12-30T14:00:27"/>
        <d v="1899-12-30T15:25:12"/>
        <d v="1899-12-30T16:38:50"/>
        <d v="1899-12-30T16:39:59"/>
        <d v="1899-12-30T17:04:28"/>
        <d v="1899-12-30T17:05:31"/>
        <d v="1899-12-30T20:30:14"/>
        <d v="1899-12-30T20:54:24"/>
        <d v="1899-12-30T20:55:31"/>
        <d v="1899-12-30T21:26:28"/>
        <d v="1899-12-30T21:27:29"/>
        <d v="1899-12-30T08:25:33"/>
        <d v="1899-12-30T08:34:46"/>
        <d v="1899-12-30T08:54:41"/>
        <d v="1899-12-30T09:50:39"/>
        <d v="1899-12-30T09:51:52"/>
        <d v="1899-12-30T10:30:06"/>
        <d v="1899-12-30T11:23:25"/>
        <d v="1899-12-30T11:24:29"/>
        <d v="1899-12-30T20:00:12"/>
        <d v="1899-12-30T21:09:31"/>
        <d v="1899-12-30T08:48:57"/>
        <d v="1899-12-30T09:52:02"/>
        <d v="1899-12-30T09:53:03"/>
        <d v="1899-12-30T09:54:41"/>
        <d v="1899-12-30T09:57:47"/>
        <d v="1899-12-30T09:59:02"/>
        <d v="1899-12-30T10:00:19"/>
        <d v="1899-12-30T10:22:44"/>
        <d v="1899-12-30T10:37:52"/>
        <d v="1899-12-30T10:40:12"/>
        <d v="1899-12-30T10:53:32"/>
        <d v="1899-12-30T11:18:56"/>
        <d v="1899-12-30T11:20:00"/>
        <d v="1899-12-30T11:20:57"/>
        <d v="1899-12-30T15:55:08"/>
        <d v="1899-12-30T16:20:01"/>
        <d v="1899-12-30T16:20:59"/>
        <d v="1899-12-30T19:35:04"/>
        <d v="1899-12-30T19:36:05"/>
        <d v="1899-12-30T19:37:15"/>
        <d v="1899-12-30T20:13:51"/>
        <d v="1899-12-30T20:14:59"/>
        <d v="1899-12-30T08:15:40"/>
        <d v="1899-12-30T09:18:17"/>
        <d v="1899-12-30T09:19:12"/>
        <d v="1899-12-30T10:05:56"/>
        <d v="1899-12-30T12:43:28"/>
        <d v="1899-12-30T20:13:32"/>
        <d v="1899-12-30T07:51:13"/>
        <d v="1899-12-30T07:53:51"/>
        <d v="1899-12-30T07:55:21"/>
        <d v="1899-12-30T07:56:37"/>
        <d v="1899-12-30T09:49:50"/>
        <d v="1899-12-30T09:50:51"/>
        <d v="1899-12-30T09:59:10"/>
        <d v="1899-12-30T11:11:36"/>
        <d v="1899-12-30T11:12:50"/>
        <d v="1899-12-30T11:29:49"/>
        <d v="1899-12-30T12:06:59"/>
        <d v="1899-12-30T15:12:13"/>
        <d v="1899-12-30T15:13:24"/>
        <d v="1899-12-30T17:24:10"/>
        <d v="1899-12-30T18:13:46"/>
        <d v="1899-12-30T20:07:36"/>
        <d v="1899-12-30T20:13:43"/>
        <d v="1899-12-30T08:12:02"/>
        <d v="1899-12-30T09:32:46"/>
        <d v="1899-12-30T15:21:54"/>
        <d v="1899-12-30T15:23:05"/>
        <d v="1899-12-30T18:43:41"/>
        <d v="1899-12-30T18:45:22"/>
        <d v="1899-12-30T19:02:43"/>
        <d v="1899-12-30T21:29:34"/>
        <d v="1899-12-30T21:30:27"/>
        <d v="1899-12-30T08:47:22"/>
        <d v="1899-12-30T09:28:46"/>
        <d v="1899-12-30T10:52:09"/>
        <d v="1899-12-30T19:53:12"/>
        <d v="1899-12-30T20:13:14"/>
        <d v="1899-12-30T20:14:18"/>
        <d v="1899-12-30T20:15:19"/>
        <d v="1899-12-30T21:01:34"/>
        <d v="1899-12-30T10:57:25"/>
        <d v="1899-12-30T10:58:19"/>
        <d v="1899-12-30T11:27:36"/>
        <d v="1899-12-30T12:08:22"/>
        <d v="1899-12-30T12:31:06"/>
        <d v="1899-12-30T12:37:20"/>
        <d v="1899-12-30T12:38:09"/>
        <d v="1899-12-30T17:01:25"/>
        <d v="1899-12-30T21:09:10"/>
        <d v="1899-12-30T21:10:21"/>
        <d v="1899-12-30T21:13:16"/>
        <d v="1899-12-30T07:56:53"/>
        <d v="1899-12-30T08:41:02"/>
        <d v="1899-12-30T08:54:15"/>
        <d v="1899-12-30T09:51:19"/>
        <d v="1899-12-30T15:38:18"/>
        <d v="1899-12-30T15:50:53"/>
        <d v="1899-12-30T16:29:19"/>
        <d v="1899-12-30T16:30:16"/>
        <d v="1899-12-30T08:42:40"/>
        <d v="1899-12-30T09:49:38"/>
        <d v="1899-12-30T13:49:37"/>
        <d v="1899-12-30T14:36:19"/>
        <d v="1899-12-30T14:37:20"/>
        <d v="1899-12-30T13:32:22"/>
        <d v="1899-12-30T13:33:36"/>
        <d v="1899-12-30T15:23:19"/>
        <d v="1899-12-30T17:16:05"/>
        <d v="1899-12-30T17:18:03"/>
        <d v="1899-12-30T18:54:45"/>
        <d v="1899-12-30T18:56:05"/>
        <d v="1899-12-30T21:10:18"/>
        <d v="1899-12-30T21:11:32"/>
        <d v="1899-12-30T21:37:47"/>
        <d v="1899-12-30T21:38:48"/>
        <d v="1899-12-30T07:54:57"/>
        <d v="1899-12-30T08:09:00"/>
        <d v="1899-12-30T08:37:37"/>
        <d v="1899-12-30T08:42:31"/>
        <d v="1899-12-30T09:10:03"/>
        <d v="1899-12-30T09:11:08"/>
        <d v="1899-12-30T09:34:56"/>
        <d v="1899-12-30T12:38:33"/>
        <d v="1899-12-30T12:39:33"/>
        <d v="1899-12-30T12:44:15"/>
        <d v="1899-12-30T13:54:23"/>
        <d v="1899-12-30T13:55:31"/>
        <d v="1899-12-30T16:29:37"/>
        <d v="1899-12-30T16:31:00"/>
        <d v="1899-12-30T18:54:23"/>
        <d v="1899-12-30T19:00:45"/>
        <d v="1899-12-30T19:12:47"/>
        <d v="1899-12-30T19:13:59"/>
        <d v="1899-12-30T19:14:59"/>
        <d v="1899-12-30T19:31:57"/>
        <d v="1899-12-30T22:19:35"/>
        <d v="1899-12-30T22:20:19"/>
        <d v="1899-12-30T14:29:48"/>
        <d v="1899-12-30T17:34:19"/>
        <d v="1899-12-30T21:15:38"/>
        <d v="1899-12-30T21:18:21"/>
        <d v="1899-12-30T08:17:18"/>
        <d v="1899-12-30T08:30:29"/>
        <d v="1899-12-30T10:01:30"/>
        <d v="1899-12-30T12:59:33"/>
        <d v="1899-12-30T13:00:33"/>
        <d v="1899-12-30T13:45:42"/>
        <d v="1899-12-30T08:34:56"/>
        <d v="1899-12-30T09:46:15"/>
        <d v="1899-12-30T13:39:55"/>
        <d v="1899-12-30T20:39:23"/>
        <d v="1899-12-30T21:31:36"/>
        <d v="1899-12-30T21:32:43"/>
        <d v="1899-12-30T11:01:14"/>
        <d v="1899-12-30T11:02:13"/>
        <d v="1899-12-30T11:37:47"/>
        <d v="1899-12-30T11:38:44"/>
        <d v="1899-12-30T15:10:09"/>
        <d v="1899-12-30T15:36:13"/>
        <d v="1899-12-30T18:16:28"/>
        <d v="1899-12-30T18:17:30"/>
        <d v="1899-12-30T20:29:42"/>
        <d v="1899-12-30T20:30:38"/>
        <d v="1899-12-30T20:33:58"/>
        <d v="1899-12-30T20:35:30"/>
        <d v="1899-12-30T22:18:46"/>
        <d v="1899-12-30T22:19:50"/>
        <d v="1899-12-30T22:20:48"/>
        <d v="1899-12-30T08:32:54"/>
        <d v="1899-12-30T10:12:09"/>
        <d v="1899-12-30T10:13:08"/>
        <d v="1899-12-30T11:06:26"/>
        <d v="1899-12-30T11:07:36"/>
        <d v="1899-12-30T11:51:59"/>
        <d v="1899-12-30T11:55:12"/>
        <d v="1899-12-30T12:07:20"/>
        <d v="1899-12-30T13:28:14"/>
        <d v="1899-12-30T13:29:35"/>
        <d v="1899-12-30T13:33:34"/>
        <d v="1899-12-30T15:34:10"/>
        <d v="1899-12-30T15:35:24"/>
        <d v="1899-12-30T16:25:03"/>
        <d v="1899-12-30T20:19:10"/>
        <d v="1899-12-30T20:20:35"/>
        <d v="1899-12-30T20:46:26"/>
        <d v="1899-12-30T20:47:35"/>
        <d v="1899-12-30T21:07:04"/>
        <d v="1899-12-30T21:08:14"/>
        <d v="1899-12-30T21:54:04"/>
        <d v="1899-12-30T21:54:54"/>
        <d v="1899-12-30T22:37:02"/>
        <d v="1899-12-30T22:37:58"/>
        <d v="1899-12-30T09:03:36"/>
        <d v="1899-12-30T10:04:17"/>
        <d v="1899-12-30T12:11:04"/>
        <d v="1899-12-30T14:08:51"/>
        <d v="1899-12-30T17:27:47"/>
        <d v="1899-12-30T18:48:30"/>
        <d v="1899-12-30T19:47:21"/>
        <d v="1899-12-30T20:09:45"/>
        <d v="1899-12-30T22:13:30"/>
        <d v="1899-12-30T22:15:14"/>
        <d v="1899-12-30T08:33:32"/>
        <d v="1899-12-30T12:23:56"/>
        <d v="1899-12-30T12:24:54"/>
        <d v="1899-12-30T12:46:44"/>
        <d v="1899-12-30T14:11:39"/>
        <d v="1899-12-30T14:31:28"/>
        <d v="1899-12-30T15:37:23"/>
        <d v="1899-12-30T16:38:48"/>
        <d v="1899-12-30T18:43:02"/>
        <d v="1899-12-30T18:43:54"/>
        <d v="1899-12-30T20:15:50"/>
        <d v="1899-12-30T21:05:14"/>
        <d v="1899-12-30T21:06:32"/>
        <d v="1899-12-30T21:07:34"/>
        <d v="1899-12-30T07:51:21"/>
        <d v="1899-12-30T11:35:32"/>
        <d v="1899-12-30T11:51:15"/>
        <d v="1899-12-30T11:52:53"/>
        <d v="1899-12-30T13:54:51"/>
        <d v="1899-12-30T13:55:59"/>
        <d v="1899-12-30T17:36:37"/>
        <d v="1899-12-30T17:37:31"/>
        <d v="1899-12-30T21:34:41"/>
        <d v="1899-12-30T22:18:51"/>
        <d v="1899-12-30T08:43:35"/>
        <d v="1899-12-30T10:37:06"/>
        <d v="1899-12-30T10:55:52"/>
        <d v="1899-12-30T12:48:01"/>
        <d v="1899-12-30T18:21:55"/>
        <d v="1899-12-30T22:45:15"/>
        <d v="1899-12-30T22:46:17"/>
        <d v="1899-12-30T22:47:24"/>
        <d v="1899-12-30T09:29:45"/>
        <d v="1899-12-30T09:33:43"/>
        <d v="1899-12-30T09:41:04"/>
        <d v="1899-12-30T10:46:56"/>
        <d v="1899-12-30T11:35:00"/>
        <d v="1899-12-30T13:25:05"/>
        <d v="1899-12-30T13:28:33"/>
        <d v="1899-12-30T13:33:52"/>
        <d v="1899-12-30T18:07:43"/>
        <d v="1899-12-30T18:08:58"/>
        <d v="1899-12-30T18:37:45"/>
        <d v="1899-12-30T18:40:53"/>
        <d v="1899-12-30T20:18:13"/>
        <d v="1899-12-30T20:19:14"/>
        <d v="1899-12-30T20:58:14"/>
        <d v="1899-12-30T08:06:45"/>
        <d v="1899-12-30T09:31:14"/>
        <d v="1899-12-30T14:25:47"/>
        <d v="1899-12-30T16:57:20"/>
        <d v="1899-12-30T17:26:16"/>
        <d v="1899-12-30T20:34:31"/>
        <d v="1899-12-30T20:38:36"/>
        <d v="1899-12-30T22:16:36"/>
        <d v="1899-12-30T22:17:29"/>
        <d v="1899-12-30T22:18:16"/>
        <d v="1899-12-30T22:19:13"/>
        <d v="1899-12-30T10:48:45"/>
        <d v="1899-12-30T10:50:05"/>
        <d v="1899-12-30T10:51:03"/>
        <d v="1899-12-30T10:52:23"/>
        <d v="1899-12-30T10:53:42"/>
        <d v="1899-12-30T12:35:43"/>
        <d v="1899-12-30T12:50:58"/>
        <d v="1899-12-30T12:54:15"/>
        <d v="1899-12-30T12:55:21"/>
        <d v="1899-12-30T18:02:27"/>
        <d v="1899-12-30T22:31:02"/>
        <d v="1899-12-30T08:08:47"/>
        <d v="1899-12-30T08:58:54"/>
        <d v="1899-12-30T09:00:04"/>
        <d v="1899-12-30T10:01:09"/>
        <d v="1899-12-30T10:05:18"/>
        <d v="1899-12-30T11:32:54"/>
        <d v="1899-12-30T16:45:44"/>
        <d v="1899-12-30T19:32:18"/>
        <d v="1899-12-30T19:53:14"/>
        <d v="1899-12-30T19:54:17"/>
        <d v="1899-12-30T19:59:18"/>
        <d v="1899-12-30T20:00:42"/>
        <d v="1899-12-30T20:01:42"/>
        <d v="1899-12-30T21:41:07"/>
        <d v="1899-12-30T07:47:08"/>
        <d v="1899-12-30T09:48:30"/>
        <d v="1899-12-30T10:02:26"/>
        <d v="1899-12-30T10:03:47"/>
        <d v="1899-12-30T12:12:48"/>
        <d v="1899-12-30T12:14:23"/>
        <d v="1899-12-30T14:17:34"/>
        <d v="1899-12-30T16:08:38"/>
        <d v="1899-12-30T16:41:54"/>
        <d v="1899-12-30T18:08:26"/>
        <d v="1899-12-30T18:23:11"/>
        <d v="1899-12-30T18:24:14"/>
        <d v="1899-12-30T20:03:22"/>
        <d v="1899-12-30T07:57:18"/>
        <d v="1899-12-30T08:42:44"/>
        <d v="1899-12-30T09:19:17"/>
        <d v="1899-12-30T10:22:01"/>
        <d v="1899-12-30T10:23:55"/>
        <d v="1899-12-30T11:28:53"/>
        <d v="1899-12-30T15:13:42"/>
        <d v="1899-12-30T18:31:07"/>
        <d v="1899-12-30T22:18:55"/>
        <d v="1899-12-30T22:19:40"/>
        <d v="1899-12-30T22:20:23"/>
        <d v="1899-12-30T13:47:35"/>
        <d v="1899-12-30T15:12:05"/>
        <d v="1899-12-30T20:12:57"/>
        <d v="1899-12-30T20:14:04"/>
        <d v="1899-12-30T21:21:06"/>
        <d v="1899-12-30T21:21:46"/>
        <d v="1899-12-30T21:29:03"/>
        <d v="1899-12-30T21:31:00"/>
        <d v="1899-12-30T08:44:00"/>
        <d v="1899-12-30T08:45:38"/>
        <d v="1899-12-30T09:30:22"/>
        <d v="1899-12-30T09:31:27"/>
        <d v="1899-12-30T09:53:58"/>
        <d v="1899-12-30T09:55:04"/>
        <d v="1899-12-30T17:35:14"/>
        <d v="1899-12-30T17:42:22"/>
        <d v="1899-12-30T17:44:36"/>
        <d v="1899-12-30T09:00:46"/>
        <d v="1899-12-30T09:01:42"/>
        <d v="1899-12-30T09:35:44"/>
        <d v="1899-12-30T13:12:13"/>
        <d v="1899-12-30T20:08:38"/>
        <d v="1899-12-30T20:09:33"/>
        <d v="1899-12-30T10:05:43"/>
        <d v="1899-12-30T10:06:47"/>
        <d v="1899-12-30T11:55:28"/>
        <d v="1899-12-30T12:09:03"/>
        <d v="1899-12-30T12:10:17"/>
        <d v="1899-12-30T12:11:43"/>
        <d v="1899-12-30T13:46:03"/>
        <d v="1899-12-30T13:47:01"/>
        <d v="1899-12-30T13:50:00"/>
        <d v="1899-12-30T13:51:04"/>
        <d v="1899-12-30T13:51:56"/>
        <d v="1899-12-30T16:31:33"/>
        <d v="1899-12-30T16:35:45"/>
        <d v="1899-12-30T18:17:44"/>
        <d v="1899-12-30T18:35:16"/>
        <d v="1899-12-30T21:09:12"/>
        <d v="1899-12-30T21:10:00"/>
        <d v="1899-12-30T21:10:45"/>
        <d v="1899-12-30T08:33:36"/>
        <d v="1899-12-30T08:49:36"/>
        <d v="1899-12-30T08:50:41"/>
        <d v="1899-12-30T09:05:28"/>
        <d v="1899-12-30T09:09:58"/>
        <d v="1899-12-30T12:17:56"/>
        <d v="1899-12-30T14:31:45"/>
        <d v="1899-12-30T14:32:38"/>
        <d v="1899-12-30T17:48:55"/>
        <d v="1899-12-30T21:14:42"/>
        <d v="1899-12-30T21:15:20"/>
        <d v="1899-12-30T21:40:48"/>
        <d v="1899-12-30T08:11:50"/>
        <d v="1899-12-30T09:05:14"/>
        <d v="1899-12-30T10:22:31"/>
        <d v="1899-12-30T10:27:08"/>
        <d v="1899-12-30T11:30:10"/>
        <d v="1899-12-30T12:48:04"/>
        <d v="1899-12-30T12:49:04"/>
        <d v="1899-12-30T13:04:00"/>
        <d v="1899-12-30T14:42:52"/>
        <d v="1899-12-30T15:13:41"/>
        <d v="1899-12-30T15:19:52"/>
        <d v="1899-12-30T15:50:43"/>
        <d v="1899-12-30T20:40:40"/>
        <d v="1899-12-30T20:41:33"/>
        <d v="1899-12-30T20:51:08"/>
        <d v="1899-12-30T21:24:32"/>
        <d v="1899-12-30T21:25:32"/>
        <d v="1899-12-30T07:54:42"/>
        <d v="1899-12-30T08:25:57"/>
        <d v="1899-12-30T09:43:21"/>
        <d v="1899-12-30T09:59:39"/>
        <d v="1899-12-30T10:37:56"/>
        <d v="1899-12-30T11:18:02"/>
        <d v="1899-12-30T13:03:08"/>
        <d v="1899-12-30T13:52:34"/>
        <d v="1899-12-30T17:26:44"/>
        <d v="1899-12-30T17:27:48"/>
        <d v="1899-12-30T17:49:59"/>
        <d v="1899-12-30T20:49:12"/>
        <d v="1899-12-30T08:48:06"/>
        <d v="1899-12-30T09:23:20"/>
        <d v="1899-12-30T09:51:44"/>
        <d v="1899-12-30T10:05:09"/>
        <d v="1899-12-30T10:42:43"/>
        <d v="1899-12-30T10:43:30"/>
        <d v="1899-12-30T10:55:32"/>
        <d v="1899-12-30T11:04:19"/>
        <d v="1899-12-30T15:05:42"/>
        <d v="1899-12-30T17:40:44"/>
        <d v="1899-12-30T18:18:32"/>
        <d v="1899-12-30T18:56:30"/>
        <d v="1899-12-30T18:57:35"/>
        <d v="1899-12-30T22:33:16"/>
        <d v="1899-12-30T22:33:59"/>
        <d v="1899-12-30T07:54:51"/>
        <d v="1899-12-30T08:00:50"/>
        <d v="1899-12-30T08:12:20"/>
        <d v="1899-12-30T08:28:18"/>
        <d v="1899-12-30T08:29:22"/>
        <d v="1899-12-30T08:55:43"/>
        <d v="1899-12-30T08:56:58"/>
        <d v="1899-12-30T08:58:09"/>
        <d v="1899-12-30T09:31:42"/>
        <d v="1899-12-30T09:38:46"/>
        <d v="1899-12-30T10:00:40"/>
        <d v="1899-12-30T10:01:54"/>
        <d v="1899-12-30T13:05:01"/>
        <d v="1899-12-30T13:29:02"/>
        <d v="1899-12-30T13:30:09"/>
        <d v="1899-12-30T14:33:40"/>
        <d v="1899-12-30T14:35:29"/>
        <d v="1899-12-30T14:50:08"/>
        <d v="1899-12-30T17:12:07"/>
        <d v="1899-12-30T17:13:21"/>
        <d v="1899-12-30T17:26:11"/>
        <d v="1899-12-30T21:48:37"/>
        <d v="1899-12-30T21:53:53"/>
        <d v="1899-12-30T22:36:27"/>
        <d v="1899-12-30T22:37:26"/>
        <d v="1899-12-30T08:28:15"/>
        <d v="1899-12-30T10:31:38"/>
        <d v="1899-12-30T10:32:55"/>
        <d v="1899-12-30T11:52:15"/>
        <d v="1899-12-30T11:53:41"/>
        <d v="1899-12-30T13:18:47"/>
        <d v="1899-12-30T20:10:53"/>
        <d v="1899-12-30T09:54:55"/>
        <d v="1899-12-30T12:20:46"/>
        <d v="1899-12-30T13:32:29"/>
        <d v="1899-12-30T13:33:29"/>
        <d v="1899-12-30T13:34:25"/>
        <d v="1899-12-30T17:53:20"/>
        <d v="1899-12-30T17:54:22"/>
        <d v="1899-12-30T18:22:58"/>
        <d v="1899-12-30T20:43:04"/>
        <d v="1899-12-30T08:26:54"/>
        <d v="1899-12-30T09:49:54"/>
        <d v="1899-12-30T10:27:51"/>
        <d v="1899-12-30T10:38:06"/>
        <d v="1899-12-30T10:39:13"/>
        <d v="1899-12-30T11:23:50"/>
        <d v="1899-12-30T11:25:37"/>
        <d v="1899-12-30T11:26:45"/>
        <d v="1899-12-30T14:36:07"/>
        <d v="1899-12-30T14:49:51"/>
        <d v="1899-12-30T16:37:47"/>
        <d v="1899-12-30T18:19:19"/>
        <d v="1899-12-30T18:20:20"/>
        <d v="1899-12-30T22:08:53"/>
        <d v="1899-12-30T22:10:23"/>
        <d v="1899-12-30T22:21:53"/>
        <d v="1899-12-30T08:14:28"/>
        <d v="1899-12-30T08:34:17"/>
        <d v="1899-12-30T11:13:21"/>
        <d v="1899-12-30T11:15:20"/>
        <d v="1899-12-30T11:16:27"/>
        <d v="1899-12-30T13:00:43"/>
        <d v="1899-12-30T13:15:44"/>
        <d v="1899-12-30T15:32:11"/>
        <d v="1899-12-30T15:54:16"/>
        <d v="1899-12-30T15:55:19"/>
        <d v="1899-12-30T17:04:11"/>
        <d v="1899-12-30T19:22:21"/>
        <d v="1899-12-30T19:23:17"/>
        <d v="1899-12-30T20:11:14"/>
        <d v="1899-12-30T20:12:28"/>
        <d v="1899-12-30T21:18:08"/>
        <d v="1899-12-30T21:35:19"/>
        <d v="1899-12-30T22:15:19"/>
        <d v="1899-12-30T08:21:26"/>
        <d v="1899-12-30T08:36:23"/>
        <d v="1899-12-30T09:25:51"/>
        <d v="1899-12-30T10:15:47"/>
        <d v="1899-12-30T10:16:53"/>
        <d v="1899-12-30T10:45:24"/>
        <d v="1899-12-30T11:49:44"/>
        <d v="1899-12-30T12:29:44"/>
        <d v="1899-12-30T13:20:10"/>
        <d v="1899-12-30T16:45:29"/>
        <d v="1899-12-30T17:43:20"/>
        <d v="1899-12-30T19:37:42"/>
        <d v="1899-12-30T19:38:36"/>
        <d v="1899-12-30T21:20:28"/>
        <d v="1899-12-30T07:47:00"/>
        <d v="1899-12-30T07:58:06"/>
        <d v="1899-12-30T09:24:27"/>
        <d v="1899-12-30T10:26:37"/>
        <d v="1899-12-30T10:44:54"/>
        <d v="1899-12-30T11:59:26"/>
        <d v="1899-12-30T13:57:24"/>
        <d v="1899-12-30T14:34:42"/>
        <d v="1899-12-30T16:37:12"/>
        <d v="1899-12-30T16:38:17"/>
        <d v="1899-12-30T16:39:09"/>
        <d v="1899-12-30T16:48:35"/>
        <d v="1899-12-30T16:49:33"/>
        <d v="1899-12-30T17:08:27"/>
        <d v="1899-12-30T17:09:30"/>
        <d v="1899-12-30T19:43:12"/>
        <d v="1899-12-30T20:11:36"/>
        <d v="1899-12-30T21:46:12"/>
        <d v="1899-12-30T21:47:20"/>
        <d v="1899-12-30T21:48:31"/>
        <d v="1899-12-30T21:49:54"/>
        <d v="1899-12-30T08:41:59"/>
        <d v="1899-12-30T08:42:59"/>
        <d v="1899-12-30T09:32:41"/>
        <d v="1899-12-30T09:34:08"/>
        <d v="1899-12-30T09:55:20"/>
        <d v="1899-12-30T11:54:58"/>
        <d v="1899-12-30T14:51:04"/>
        <d v="1899-12-30T14:52:15"/>
        <d v="1899-12-30T15:39:19"/>
        <d v="1899-12-30T16:09:57"/>
        <d v="1899-12-30T17:45:38"/>
        <d v="1899-12-30T21:14:40"/>
        <d v="1899-12-30T21:15:22"/>
        <d v="1899-12-30T21:52:23"/>
        <d v="1899-12-30T22:03:26"/>
        <d v="1899-12-30T08:34:13"/>
        <d v="1899-12-30T13:22:06"/>
        <d v="1899-12-30T14:10:32"/>
        <d v="1899-12-30T15:56:55"/>
        <d v="1899-12-30T15:59:24"/>
        <d v="1899-12-30T16:02:45"/>
        <d v="1899-12-30T16:17:42"/>
        <d v="1899-12-30T21:46:45"/>
        <d v="1899-12-30T22:46:37"/>
        <d v="1899-12-30T08:40:43"/>
        <d v="1899-12-30T08:41:50"/>
        <d v="1899-12-30T11:16:51"/>
        <d v="1899-12-30T14:28:46"/>
        <d v="1899-12-30T14:29:43"/>
        <d v="1899-12-30T15:52:45"/>
        <d v="1899-12-30T16:45:09"/>
        <d v="1899-12-30T16:46:04"/>
        <d v="1899-12-30T18:34:16"/>
        <d v="1899-12-30T18:35:08"/>
        <d v="1899-12-30T21:14:18"/>
        <d v="1899-12-30T21:15:17"/>
        <d v="1899-12-30T21:17:26"/>
        <d v="1899-12-30T21:25:00"/>
        <d v="1899-12-30T07:48:43"/>
        <d v="1899-12-30T08:19:56"/>
        <d v="1899-12-30T09:04:54"/>
        <d v="1899-12-30T09:34:25"/>
        <d v="1899-12-30T10:25:09"/>
        <d v="1899-12-30T10:41:44"/>
        <d v="1899-12-30T10:42:35"/>
        <d v="1899-12-30T11:27:41"/>
        <d v="1899-12-30T12:40:24"/>
        <d v="1899-12-30T14:42:56"/>
        <d v="1899-12-30T14:43:58"/>
        <d v="1899-12-30T15:27:02"/>
        <d v="1899-12-30T15:39:04"/>
        <d v="1899-12-30T16:42:57"/>
        <d v="1899-12-30T16:55:22"/>
        <d v="1899-12-30T19:21:13"/>
        <d v="1899-12-30T21:05:36"/>
        <d v="1899-12-30T22:30:44"/>
        <d v="1899-12-30T22:31:33"/>
        <d v="1899-12-30T07:32:59"/>
        <d v="1899-12-30T07:34:00"/>
        <d v="1899-12-30T08:25:32"/>
        <d v="1899-12-30T09:17:50"/>
        <d v="1899-12-30T10:51:32"/>
        <d v="1899-12-30T10:52:17"/>
        <d v="1899-12-30T18:07:02"/>
        <d v="1899-12-30T19:46:39"/>
        <d v="1899-12-30T19:47:50"/>
        <d v="1899-12-30T08:45:14"/>
        <d v="1899-12-30T10:24:57"/>
        <d v="1899-12-30T12:31:05"/>
        <d v="1899-12-30T16:20:02"/>
        <d v="1899-12-30T16:21:09"/>
        <d v="1899-12-30T16:42:30"/>
        <d v="1899-12-30T17:02:46"/>
        <d v="1899-12-30T18:58:58"/>
        <d v="1899-12-30T19:00:43"/>
        <d v="1899-12-30T21:57:20"/>
        <d v="1899-12-30T21:58:23"/>
        <d v="1899-12-30T22:23:38"/>
        <d v="1899-12-30T12:07:46"/>
        <d v="1899-12-30T13:23:59"/>
        <d v="1899-12-30T14:09:46"/>
        <d v="1899-12-30T14:49:01"/>
        <d v="1899-12-30T14:49:49"/>
        <d v="1899-12-30T15:48:29"/>
        <d v="1899-12-30T18:53:47"/>
        <d v="1899-12-30T18:55:07"/>
        <d v="1899-12-30T19:50:18"/>
        <d v="1899-12-30T20:44:11"/>
        <d v="1899-12-30T21:14:44"/>
        <d v="1899-12-30T21:15:29"/>
        <d v="1899-12-30T21:56:20"/>
        <d v="1899-12-30T21:57:10"/>
        <d v="1899-12-30T07:38:11"/>
        <d v="1899-12-30T07:45:22"/>
        <d v="1899-12-30T08:10:04"/>
        <d v="1899-12-30T08:10:54"/>
        <d v="1899-12-30T08:18:49"/>
        <d v="1899-12-30T10:03:28"/>
        <d v="1899-12-30T10:05:21"/>
        <d v="1899-12-30T10:51:01"/>
        <d v="1899-12-30T11:49:42"/>
        <d v="1899-12-30T11:50:30"/>
        <d v="1899-12-30T12:06:50"/>
        <d v="1899-12-30T12:40:37"/>
        <d v="1899-12-30T14:23:16"/>
        <d v="1899-12-30T22:19:23"/>
        <d v="1899-12-30T22:22:31"/>
        <d v="1899-12-30T07:49:59"/>
        <d v="1899-12-30T08:41:44"/>
        <d v="1899-12-30T08:52:59"/>
        <d v="1899-12-30T10:24:38"/>
        <d v="1899-12-30T12:18:09"/>
        <d v="1899-12-30T13:03:31"/>
        <d v="1899-12-30T14:34:58"/>
        <d v="1899-12-30T14:36:14"/>
        <d v="1899-12-30T15:05:22"/>
        <d v="1899-12-30T15:06:19"/>
        <d v="1899-12-30T15:38:28"/>
        <d v="1899-12-30T15:39:29"/>
        <d v="1899-12-30T15:52:01"/>
        <d v="1899-12-30T15:53:21"/>
        <d v="1899-12-30T19:19:21"/>
        <d v="1899-12-30T20:34:46"/>
        <d v="1899-12-30T11:01:56"/>
        <d v="1899-12-30T12:53:25"/>
        <d v="1899-12-30T12:54:27"/>
        <d v="1899-12-30T13:43:46"/>
        <d v="1899-12-30T16:17:06"/>
        <d v="1899-12-30T07:46:28"/>
        <d v="1899-12-30T08:01:12"/>
        <d v="1899-12-30T08:35:02"/>
        <d v="1899-12-30T09:15:42"/>
        <d v="1899-12-30T11:42:36"/>
        <d v="1899-12-30T11:43:43"/>
        <d v="1899-12-30T12:01:36"/>
        <d v="1899-12-30T12:02:34"/>
        <d v="1899-12-30T12:21:30"/>
        <d v="1899-12-30T14:10:54"/>
        <d v="1899-12-30T14:11:56"/>
        <d v="1899-12-30T14:30:59"/>
        <d v="1899-12-30T16:01:20"/>
        <d v="1899-12-30T17:55:18"/>
        <d v="1899-12-30T17:56:02"/>
        <d v="1899-12-30T19:10:25"/>
        <d v="1899-12-30T21:20:03"/>
        <d v="1899-12-30T22:05:50"/>
        <d v="1899-12-30T08:40:52"/>
        <d v="1899-12-30T08:47:05"/>
        <d v="1899-12-30T09:31:57"/>
        <d v="1899-12-30T11:59:46"/>
        <d v="1899-12-30T12:21:36"/>
        <d v="1899-12-30T14:15:43"/>
        <d v="1899-12-30T14:17:00"/>
        <d v="1899-12-30T14:37:35"/>
        <d v="1899-12-30T16:09:33"/>
        <d v="1899-12-30T16:10:56"/>
        <d v="1899-12-30T16:17:33"/>
        <d v="1899-12-30T18:02:04"/>
        <d v="1899-12-30T18:02:57"/>
        <d v="1899-12-30T19:02:05"/>
        <d v="1899-12-30T19:05:44"/>
        <d v="1899-12-30T19:51:12"/>
        <d v="1899-12-30T19:54:02"/>
        <d v="1899-12-30T20:07:35"/>
        <d v="1899-12-30T07:52:05"/>
        <d v="1899-12-30T08:46:26"/>
        <d v="1899-12-30T08:47:29"/>
        <d v="1899-12-30T09:11:29"/>
        <d v="1899-12-30T10:31:53"/>
        <d v="1899-12-30T10:33:07"/>
        <d v="1899-12-30T12:08:45"/>
        <d v="1899-12-30T12:09:46"/>
        <d v="1899-12-30T12:10:58"/>
        <d v="1899-12-30T12:37:00"/>
        <d v="1899-12-30T15:05:15"/>
        <d v="1899-12-30T15:07:03"/>
        <d v="1899-12-30T16:04:48"/>
        <d v="1899-12-30T18:08:12"/>
        <d v="1899-12-30T19:18:31"/>
        <d v="1899-12-30T19:43:21"/>
        <d v="1899-12-30T07:54:17"/>
        <d v="1899-12-30T08:38:53"/>
        <d v="1899-12-30T09:18:19"/>
        <d v="1899-12-30T15:59:26"/>
        <d v="1899-12-30T16:00:30"/>
        <d v="1899-12-30T08:24:03"/>
        <d v="1899-12-30T08:30:57"/>
        <d v="1899-12-30T12:41:26"/>
        <d v="1899-12-30T12:42:18"/>
        <d v="1899-12-30T15:55:42"/>
        <d v="1899-12-30T22:41:55"/>
        <d v="1899-12-30T08:19:44"/>
        <d v="1899-12-30T10:25:45"/>
        <d v="1899-12-30T10:33:09"/>
        <d v="1899-12-30T14:54:14"/>
        <d v="1899-12-30T16:24:15"/>
        <d v="1899-12-30T16:25:57"/>
        <d v="1899-12-30T16:37:05"/>
        <d v="1899-12-30T18:18:27"/>
        <d v="1899-12-30T18:58:23"/>
        <d v="1899-12-30T08:23:00"/>
        <d v="1899-12-30T09:47:06"/>
        <d v="1899-12-30T09:48:12"/>
        <d v="1899-12-30T13:13:51"/>
        <d v="1899-12-30T13:14:56"/>
        <d v="1899-12-30T13:18:24"/>
        <d v="1899-12-30T13:44:18"/>
        <d v="1899-12-30T13:59:01"/>
        <d v="1899-12-30T16:15:17"/>
        <d v="1899-12-30T16:16:43"/>
        <d v="1899-12-30T16:20:37"/>
        <d v="1899-12-30T16:21:46"/>
        <d v="1899-12-30T20:26:14"/>
        <d v="1899-12-30T07:43:36"/>
        <d v="1899-12-30T08:37:33"/>
        <d v="1899-12-30T08:38:58"/>
        <d v="1899-12-30T12:33:35"/>
        <d v="1899-12-30T14:44:38"/>
        <d v="1899-12-30T14:45:20"/>
        <d v="1899-12-30T07:49:31"/>
        <d v="1899-12-30T09:05:41"/>
        <d v="1899-12-30T09:12:12"/>
        <d v="1899-12-30T09:13:40"/>
        <d v="1899-12-30T11:47:29"/>
        <d v="1899-12-30T11:48:22"/>
        <d v="1899-12-30T14:36:37"/>
        <d v="1899-12-30T14:41:48"/>
        <d v="1899-12-30T18:52:56"/>
        <d v="1899-12-30T18:54:10"/>
        <d v="1899-12-30T18:55:18"/>
        <d v="1899-12-30T21:40:44"/>
        <d v="1899-12-30T21:42:02"/>
        <d v="1899-12-30T21:54:19"/>
        <d v="1899-12-30T22:06:38"/>
        <d v="1899-12-30T08:11:25"/>
        <d v="1899-12-30T11:45:31"/>
        <d v="1899-12-30T13:15:32"/>
        <d v="1899-12-30T15:44:16"/>
        <d v="1899-12-30T16:00:43"/>
        <d v="1899-12-30T16:02:05"/>
        <d v="1899-12-30T18:40:42"/>
        <d v="1899-12-30T18:41:30"/>
        <d v="1899-12-30T12:17:15"/>
        <d v="1899-12-30T15:50:10"/>
        <d v="1899-12-30T16:39:39"/>
        <d v="1899-12-30T18:17:33"/>
        <d v="1899-12-30T19:20:14"/>
        <d v="1899-12-30T20:02:30"/>
        <d v="1899-12-30T09:05:42"/>
        <d v="1899-12-30T09:47:30"/>
        <d v="1899-12-30T09:48:59"/>
        <d v="1899-12-30T11:47:11"/>
        <d v="1899-12-30T13:25:13"/>
        <d v="1899-12-30T13:26:17"/>
        <d v="1899-12-30T16:33:02"/>
        <d v="1899-12-30T16:55:28"/>
        <d v="1899-12-30T20:14:24"/>
        <d v="1899-12-30T20:15:20"/>
        <d v="1899-12-30T22:27:09"/>
        <d v="1899-12-30T10:08:18"/>
        <d v="1899-12-30T11:02:08"/>
        <d v="1899-12-30T11:03:00"/>
        <d v="1899-12-30T11:08:44"/>
        <d v="1899-12-30T13:50:14"/>
        <d v="1899-12-30T13:50:55"/>
        <d v="1899-12-30T14:21:51"/>
        <d v="1899-12-30T14:22:50"/>
        <d v="1899-12-30T14:37:33"/>
        <d v="1899-12-30T15:29:50"/>
        <d v="1899-12-30T16:15:47"/>
        <d v="1899-12-30T16:16:52"/>
        <d v="1899-12-30T20:42:04"/>
        <d v="1899-12-30T20:43:27"/>
        <d v="1899-12-30T22:13:27"/>
        <d v="1899-12-30T22:52:58"/>
        <d v="1899-12-30T22:54:19"/>
        <d v="1899-12-30T09:46:21"/>
        <d v="1899-12-30T17:52:47"/>
        <d v="1899-12-30T18:12:53"/>
        <d v="1899-12-30T20:38:08"/>
        <d v="1899-12-30T20:39:06"/>
        <d v="1899-12-30T07:48:26"/>
        <d v="1899-12-30T09:52:25"/>
        <d v="1899-12-30T10:19:09"/>
        <d v="1899-12-30T16:18:44"/>
        <d v="1899-12-30T16:19:52"/>
        <d v="1899-12-30T17:33:32"/>
        <d v="1899-12-30T19:00:46"/>
        <d v="1899-12-30T19:04:15"/>
        <d v="1899-12-30T21:08:31"/>
        <d v="1899-12-30T21:09:46"/>
        <d v="1899-12-30T10:03:08"/>
        <d v="1899-12-30T13:15:45"/>
        <d v="1899-12-30T14:39:14"/>
        <d v="1899-12-30T16:47:14"/>
        <d v="1899-12-30T16:48:04"/>
        <d v="1899-12-30T16:49:03"/>
        <d v="1899-12-30T18:45:14"/>
        <d v="1899-12-30T20:07:57"/>
        <d v="1899-12-30T20:09:21"/>
        <d v="1899-12-30T08:09:10"/>
        <d v="1899-12-30T10:37:43"/>
        <d v="1899-12-30T13:19:54"/>
        <d v="1899-12-30T13:20:58"/>
        <d v="1899-12-30T14:46:58"/>
        <d v="1899-12-30T09:36:27"/>
        <d v="1899-12-30T10:06:42"/>
        <d v="1899-12-30T12:48:50"/>
        <d v="1899-12-30T15:03:45"/>
        <d v="1899-12-30T15:04:56"/>
        <d v="1899-12-30T15:05:49"/>
        <d v="1899-12-30T16:13:08"/>
        <d v="1899-12-30T16:14:21"/>
        <d v="1899-12-30T19:46:37"/>
        <d v="1899-12-30T20:31:30"/>
        <d v="1899-12-30T20:32:30"/>
        <d v="1899-12-30T21:24:31"/>
        <d v="1899-12-30T22:40:42"/>
        <d v="1899-12-30T08:45:51"/>
        <d v="1899-12-30T11:05:53"/>
        <d v="1899-12-30T12:09:00"/>
        <d v="1899-12-30T12:14:18"/>
        <d v="1899-12-30T15:19:50"/>
        <d v="1899-12-30T17:35:41"/>
        <d v="1899-12-30T17:55:01"/>
        <d v="1899-12-30T18:12:44"/>
        <d v="1899-12-30T18:42:21"/>
        <d v="1899-12-30T18:43:21"/>
        <d v="1899-12-30T10:21:34"/>
        <d v="1899-12-30T10:45:51"/>
        <d v="1899-12-30T11:02:00"/>
        <d v="1899-12-30T11:03:06"/>
        <d v="1899-12-30T11:39:24"/>
        <d v="1899-12-30T12:30:14"/>
        <d v="1899-12-30T12:31:50"/>
        <d v="1899-12-30T12:48:35"/>
        <d v="1899-12-30T12:49:35"/>
        <d v="1899-12-30T13:16:55"/>
        <d v="1899-12-30T13:18:00"/>
        <d v="1899-12-30T13:19:09"/>
        <d v="1899-12-30T10:29:36"/>
        <d v="1899-12-30T13:35:19"/>
        <d v="1899-12-30T14:18:41"/>
        <d v="1899-12-30T16:27:26"/>
        <d v="1899-12-30T16:28:35"/>
        <d v="1899-12-30T18:10:06"/>
        <d v="1899-12-30T19:17:34"/>
        <d v="1899-12-30T19:18:27"/>
        <d v="1899-12-30T07:52:19"/>
        <d v="1899-12-30T07:53:16"/>
        <d v="1899-12-30T07:57:22"/>
        <d v="1899-12-30T16:44:49"/>
        <d v="1899-12-30T16:46:52"/>
        <d v="1899-12-30T18:50:54"/>
        <d v="1899-12-30T07:49:00"/>
        <d v="1899-12-30T07:52:13"/>
        <d v="1899-12-30T07:53:38"/>
        <d v="1899-12-30T07:54:46"/>
        <d v="1899-12-30T10:29:23"/>
        <d v="1899-12-30T11:07:09"/>
        <d v="1899-12-30T16:22:40"/>
        <d v="1899-12-30T16:23:59"/>
        <d v="1899-12-30T16:41:03"/>
        <d v="1899-12-30T16:47:41"/>
        <d v="1899-12-30T13:29:38"/>
        <d v="1899-12-30T16:34:50"/>
        <d v="1899-12-30T17:49:51"/>
        <d v="1899-12-30T17:50:49"/>
        <d v="1899-12-30T11:06:11"/>
        <d v="1899-12-30T12:33:36"/>
        <d v="1899-12-30T12:59:45"/>
        <d v="1899-12-30T13:00:47"/>
        <d v="1899-12-30T16:14:13"/>
        <d v="1899-12-30T17:35:27"/>
        <d v="1899-12-30T17:39:22"/>
        <d v="1899-12-30T19:01:02"/>
        <d v="1899-12-30T07:50:36"/>
        <d v="1899-12-30T10:03:42"/>
        <d v="1899-12-30T11:02:32"/>
        <d v="1899-12-30T11:24:26"/>
        <d v="1899-12-30T16:33:05"/>
        <d v="1899-12-30T16:33:49"/>
        <d v="1899-12-30T09:10:46"/>
        <d v="1899-12-30T09:11:48"/>
        <d v="1899-12-30T10:05:15"/>
        <d v="1899-12-30T11:02:59"/>
        <d v="1899-12-30T11:09:28"/>
        <d v="1899-12-30T11:10:25"/>
        <d v="1899-12-30T11:41:27"/>
        <d v="1899-12-30T22:37:04"/>
        <d v="1899-12-30T08:17:07"/>
        <d v="1899-12-30T07:49:17"/>
        <d v="1899-12-30T07:54:23"/>
        <d v="1899-12-30T09:12:20"/>
        <d v="1899-12-30T10:38:08"/>
        <d v="1899-12-30T12:52:41"/>
        <d v="1899-12-30T16:30:56"/>
        <d v="1899-12-30T19:01:59"/>
        <d v="1899-12-30T19:37:58"/>
        <d v="1899-12-30T21:42:15"/>
        <d v="1899-12-30T21:43:00"/>
        <d v="1899-12-30T07:54:37"/>
        <d v="1899-12-30T11:02:56"/>
        <d v="1899-12-30T11:03:47"/>
        <d v="1899-12-30T11:06:09"/>
        <d v="1899-12-30T16:03:54"/>
        <d v="1899-12-30T16:05:00"/>
        <d v="1899-12-30T17:11:37"/>
        <d v="1899-12-30T17:12:34"/>
        <d v="1899-12-30T19:47:24"/>
        <d v="1899-12-30T08:41:16"/>
        <d v="1899-12-30T09:14:00"/>
        <d v="1899-12-30T20:24:42"/>
        <d v="1899-12-30T20:25:45"/>
        <d v="1899-12-30T22:00:15"/>
        <d v="1899-12-30T07:53:15"/>
        <d v="1899-12-30T07:57:42"/>
        <d v="1899-12-30T09:07:31"/>
        <d v="1899-12-30T09:08:30"/>
        <d v="1899-12-30T15:18:06"/>
        <d v="1899-12-30T15:19:20"/>
        <d v="1899-12-30T20:57:54"/>
        <d v="1899-12-30T14:04:55"/>
        <d v="1899-12-30T14:05:58"/>
        <d v="1899-12-30T14:16:52"/>
        <d v="1899-12-30T15:33:44"/>
        <d v="1899-12-30T22:03:48"/>
        <d v="1899-12-30T10:15:31"/>
        <d v="1899-12-30T10:16:31"/>
        <d v="1899-12-30T10:22:46"/>
        <d v="1899-12-30T14:34:22"/>
        <d v="1899-12-30T15:09:12"/>
        <d v="1899-12-30T15:09:56"/>
        <d v="1899-12-30T15:43:02"/>
        <d v="1899-12-30T15:56:31"/>
        <d v="1899-12-30T15:57:49"/>
        <d v="1899-12-30T16:32:59"/>
        <d v="1899-12-30T16:34:30"/>
        <d v="1899-12-30T17:10:23"/>
        <d v="1899-12-30T17:11:32"/>
        <d v="1899-12-30T18:38:28"/>
        <d v="1899-12-30T07:51:59"/>
        <d v="1899-12-30T08:21:29"/>
        <d v="1899-12-30T08:53:14"/>
        <d v="1899-12-30T11:04:25"/>
        <d v="1899-12-30T15:28:23"/>
        <d v="1899-12-30T16:12:23"/>
        <d v="1899-12-30T17:34:21"/>
        <d v="1899-12-30T18:00:32"/>
        <d v="1899-12-30T08:11:19"/>
        <d v="1899-12-30T09:23:30"/>
        <d v="1899-12-30T11:17:58"/>
        <d v="1899-12-30T11:42:07"/>
        <d v="1899-12-30T11:43:15"/>
        <d v="1899-12-30T11:45:54"/>
        <d v="1899-12-30T20:50:55"/>
        <d v="1899-12-30T21:33:16"/>
        <d v="1899-12-30T21:34:13"/>
        <d v="1899-12-30T21:35:18"/>
        <d v="1899-12-30T22:21:42"/>
        <d v="1899-12-30T08:32:47"/>
        <d v="1899-12-30T08:50:30"/>
        <d v="1899-12-30T08:52:15"/>
        <d v="1899-12-30T09:04:14"/>
        <d v="1899-12-30T10:23:01"/>
        <d v="1899-12-30T10:24:07"/>
        <d v="1899-12-30T10:26:57"/>
        <d v="1899-12-30T10:29:47"/>
        <d v="1899-12-30T11:45:57"/>
        <d v="1899-12-30T14:33:54"/>
        <d v="1899-12-30T08:53:48"/>
        <d v="1899-12-30T09:20:28"/>
        <d v="1899-12-30T10:02:51"/>
        <d v="1899-12-30T10:05:05"/>
        <d v="1899-12-30T11:31:58"/>
        <d v="1899-12-30T14:30:58"/>
        <d v="1899-12-30T15:21:19"/>
        <d v="1899-12-30T16:02:10"/>
        <d v="1899-12-30T11:42:18"/>
        <d v="1899-12-30T16:31:58"/>
        <d v="1899-12-30T22:30:33"/>
        <d v="1899-12-30T22:31:30"/>
        <d v="1899-12-30T11:17:10"/>
        <d v="1899-12-30T14:16:42"/>
        <d v="1899-12-30T15:44:04"/>
        <d v="1899-12-30T19:11:13"/>
        <d v="1899-12-30T22:00:09"/>
        <d v="1899-12-30T22:28:17"/>
        <d v="1899-12-30T08:29:25"/>
        <d v="1899-12-30T10:42:38"/>
        <d v="1899-12-30T10:43:42"/>
        <d v="1899-12-30T12:51:40"/>
        <d v="1899-12-30T13:02:36"/>
        <d v="1899-12-30T13:03:38"/>
        <d v="1899-12-30T17:26:29"/>
        <d v="1899-12-30T18:41:48"/>
        <d v="1899-12-30T20:47:18"/>
        <d v="1899-12-30T21:28:30"/>
        <d v="1899-12-30T21:41:23"/>
        <d v="1899-12-30T08:32:40"/>
        <d v="1899-12-30T09:12:25"/>
        <d v="1899-12-30T09:33:57"/>
        <d v="1899-12-30T13:00:54"/>
        <d v="1899-12-30T21:21:51"/>
        <d v="1899-12-30T12:25:49"/>
        <d v="1899-12-30T18:21:57"/>
        <d v="1899-12-30T07:49:45"/>
        <d v="1899-12-30T10:45:47"/>
        <d v="1899-12-30T12:13:06"/>
        <d v="1899-12-30T12:56:47"/>
        <d v="1899-12-30T17:59:25"/>
        <d v="1899-12-30T21:01:07"/>
        <d v="1899-12-30T21:18:17"/>
        <d v="1899-12-30T07:58:31"/>
        <d v="1899-12-30T12:49:23"/>
        <d v="1899-12-30T16:55:02"/>
        <d v="1899-12-30T16:55:49"/>
        <d v="1899-12-30T16:57:01"/>
        <d v="1899-12-30T19:50:00"/>
        <d v="1899-12-30T19:50:57"/>
        <d v="1899-12-30T12:27:25"/>
        <d v="1899-12-30T12:53:05"/>
        <d v="1899-12-30T12:54:40"/>
        <d v="1899-12-30T14:01:58"/>
        <d v="1899-12-30T16:23:23"/>
        <d v="1899-12-30T19:19:03"/>
        <d v="1899-12-30T19:20:10"/>
        <d v="1899-12-30T21:35:41"/>
        <d v="1899-12-30T08:27:32"/>
        <d v="1899-12-30T09:03:05"/>
        <d v="1899-12-30T11:41:57"/>
        <d v="1899-12-30T13:19:07"/>
        <d v="1899-12-30T13:20:08"/>
        <d v="1899-12-30T16:10:29"/>
        <d v="1899-12-30T16:29:58"/>
        <d v="1899-12-30T16:30:49"/>
        <d v="1899-12-30T17:00:15"/>
        <d v="1899-12-30T17:01:29"/>
        <d v="1899-12-30T11:09:24"/>
        <d v="1899-12-30T17:58:05"/>
        <d v="1899-12-30T07:52:18"/>
        <d v="1899-12-30T08:03:31"/>
        <d v="1899-12-30T08:46:53"/>
        <d v="1899-12-30T12:19:08"/>
        <d v="1899-12-30T13:08:52"/>
        <d v="1899-12-30T18:23:07"/>
        <d v="1899-12-30T18:24:01"/>
        <d v="1899-12-30T08:48:18"/>
        <d v="1899-12-30T08:52:32"/>
        <d v="1899-12-30T10:49:05"/>
        <d v="1899-12-30T16:22:35"/>
        <d v="1899-12-30T16:23:36"/>
        <d v="1899-12-30T17:14:22"/>
        <d v="1899-12-30T18:54:57"/>
        <d v="1899-12-30T09:30:28"/>
        <d v="1899-12-30T10:01:21"/>
        <d v="1899-12-30T10:03:02"/>
        <d v="1899-12-30T10:04:03"/>
        <d v="1899-12-30T10:12:11"/>
        <d v="1899-12-30T12:10:52"/>
        <d v="1899-12-30T13:38:56"/>
        <d v="1899-12-30T19:00:56"/>
        <d v="1899-12-30T19:10:40"/>
        <d v="1899-12-30T19:48:18"/>
        <d v="1899-12-30T19:49:42"/>
        <d v="1899-12-30T21:08:11"/>
        <d v="1899-12-30T21:09:15"/>
        <d v="1899-12-30T08:14:51"/>
        <d v="1899-12-30T09:39:29"/>
        <d v="1899-12-30T10:12:42"/>
        <d v="1899-12-30T10:55:29"/>
        <d v="1899-12-30T12:21:17"/>
        <d v="1899-12-30T12:22:49"/>
        <d v="1899-12-30T14:58:20"/>
        <d v="1899-12-30T18:28:22"/>
        <d v="1899-12-30T18:57:13"/>
        <d v="1899-12-30T10:20:41"/>
        <d v="1899-12-30T10:32:02"/>
        <d v="1899-12-30T15:33:03"/>
        <d v="1899-12-30T15:33:49"/>
        <d v="1899-12-30T15:35:29"/>
        <d v="1899-12-30T15:58:07"/>
        <d v="1899-12-30T18:02:36"/>
        <d v="1899-12-30T18:08:17"/>
        <d v="1899-12-30T19:48:13"/>
        <d v="1899-12-30T19:49:45"/>
        <d v="1899-12-30T21:49:47"/>
        <d v="1899-12-30T21:58:48"/>
        <d v="1899-12-30T22:16:14"/>
        <d v="1899-12-30T10:42:56"/>
        <d v="1899-12-30T18:55:44"/>
        <d v="1899-12-30T19:35:45"/>
        <d v="1899-12-30T19:36:29"/>
        <d v="1899-12-30T20:26:36"/>
        <d v="1899-12-30T21:55:18"/>
        <d v="1899-12-30T21:56:56"/>
        <d v="1899-12-30T09:03:21"/>
        <d v="1899-12-30T09:22:17"/>
        <d v="1899-12-30T10:42:03"/>
        <d v="1899-12-30T11:35:54"/>
        <d v="1899-12-30T14:05:31"/>
        <d v="1899-12-30T15:00:23"/>
        <d v="1899-12-30T16:14:50"/>
        <d v="1899-12-30T17:21:20"/>
        <d v="1899-12-30T17:22:40"/>
        <d v="1899-12-30T20:46:07"/>
        <d v="1899-12-30T15:10:43"/>
        <d v="1899-12-30T17:55:28"/>
        <d v="1899-12-30T19:10:36"/>
        <d v="1899-12-30T19:11:36"/>
        <d v="1899-12-30T19:12:34"/>
        <d v="1899-12-30T19:36:02"/>
        <d v="1899-12-30T10:43:56"/>
        <d v="1899-12-30T10:45:02"/>
        <d v="1899-12-30T12:35:03"/>
        <d v="1899-12-30T12:36:00"/>
        <d v="1899-12-30T13:17:11"/>
        <d v="1899-12-30T13:32:47"/>
        <d v="1899-12-30T20:02:40"/>
        <d v="1899-12-30T21:18:49"/>
        <d v="1899-12-30T21:19:42"/>
        <d v="1899-12-30T21:57:30"/>
        <d v="1899-12-30T22:51:02"/>
        <d v="1899-12-30T22:53:06"/>
        <d v="1899-12-30T13:12:37"/>
        <d v="1899-12-30T15:04:34"/>
        <d v="1899-12-30T07:50:20"/>
        <d v="1899-12-30T08:57:38"/>
        <d v="1899-12-30T09:09:55"/>
        <d v="1899-12-30T17:12:04"/>
        <d v="1899-12-30T19:47:27"/>
        <d v="1899-12-30T19:48:21"/>
        <d v="1899-12-30T22:54:32"/>
        <d v="1899-12-30T09:00:23"/>
        <d v="1899-12-30T09:50:37"/>
        <d v="1899-12-30T10:18:44"/>
        <d v="1899-12-30T10:52:03"/>
        <d v="1899-12-30T14:10:01"/>
        <d v="1899-12-30T14:13:17"/>
        <d v="1899-12-30T17:23:40"/>
        <d v="1899-12-30T22:11:01"/>
        <d v="1899-12-30T13:46:16"/>
        <d v="1899-12-30T15:04:26"/>
        <d v="1899-12-30T15:05:16"/>
        <d v="1899-12-30T17:30:04"/>
        <d v="1899-12-30T17:31:46"/>
        <d v="1899-12-30T19:47:43"/>
        <d v="1899-12-30T20:25:54"/>
        <d v="1899-12-30T21:17:19"/>
        <d v="1899-12-30T09:02:44"/>
        <d v="1899-12-30T09:44:11"/>
        <d v="1899-12-30T13:52:31"/>
        <d v="1899-12-30T13:53:39"/>
        <d v="1899-12-30T15:12:45"/>
        <d v="1899-12-30T15:13:38"/>
        <d v="1899-12-30T16:29:53"/>
        <d v="1899-12-30T16:31:28"/>
        <d v="1899-12-30T16:36:45"/>
        <d v="1899-12-30T08:52:28"/>
        <d v="1899-12-30T09:36:50"/>
        <d v="1899-12-30T09:39:41"/>
        <d v="1899-12-30T09:45:28"/>
        <d v="1899-12-30T10:29:28"/>
        <d v="1899-12-30T11:11:30"/>
        <d v="1899-12-30T11:12:42"/>
        <d v="1899-12-30T15:42:14"/>
        <d v="1899-12-30T15:43:13"/>
        <d v="1899-12-30T17:10:17"/>
        <d v="1899-12-30T17:30:52"/>
        <d v="1899-12-30T17:31:48"/>
        <d v="1899-12-30T19:07:25"/>
        <d v="1899-12-30T19:08:38"/>
        <d v="1899-12-30T09:58:05"/>
        <d v="1899-12-30T13:29:40"/>
        <d v="1899-12-30T13:30:38"/>
        <d v="1899-12-30T14:41:10"/>
        <d v="1899-12-30T14:42:45"/>
        <d v="1899-12-30T16:22:32"/>
        <d v="1899-12-30T16:34:59"/>
        <d v="1899-12-30T16:35:44"/>
        <d v="1899-12-30T17:43:10"/>
        <d v="1899-12-30T09:03:22"/>
        <d v="1899-12-30T10:10:30"/>
        <d v="1899-12-30T16:58:09"/>
        <d v="1899-12-30T22:13:28"/>
        <d v="1899-12-30T22:18:20"/>
        <d v="1899-12-30T22:19:14"/>
        <d v="1899-12-30T22:21:25"/>
        <d v="1899-12-30T08:58:26"/>
        <d v="1899-12-30T09:59:27"/>
        <d v="1899-12-30T13:40:00"/>
        <d v="1899-12-30T15:59:33"/>
        <d v="1899-12-30T16:12:55"/>
        <d v="1899-12-30T16:14:10"/>
        <d v="1899-12-30T16:16:11"/>
        <d v="1899-12-30T16:18:04"/>
        <d v="1899-12-30T18:11:39"/>
        <d v="1899-12-30T22:23:30"/>
        <d v="1899-12-30T09:45:57"/>
        <d v="1899-12-30T10:53:00"/>
        <d v="1899-12-30T22:07:16"/>
        <d v="1899-12-30T19:58:50"/>
        <d v="1899-12-30T22:32:45"/>
        <d v="1899-12-30T22:33:58"/>
        <d v="1899-12-30T07:30:02"/>
        <d v="1899-12-30T09:11:15"/>
        <d v="1899-12-30T10:30:28"/>
        <d v="1899-12-30T17:22:51"/>
        <d v="1899-12-30T08:07:07"/>
        <d v="1899-12-30T08:56:34"/>
        <d v="1899-12-30T09:02:31"/>
        <d v="1899-12-30T14:27:23"/>
        <d v="1899-12-30T15:36:58"/>
        <d v="1899-12-30T15:48:10"/>
        <d v="1899-12-30T15:49:11"/>
        <d v="1899-12-30T20:30:29"/>
        <d v="1899-12-30T22:10:20"/>
        <d v="1899-12-30T08:49:20"/>
        <d v="1899-12-30T09:16:36"/>
        <d v="1899-12-30T17:51:18"/>
        <d v="1899-12-30T17:55:53"/>
        <d v="1899-12-30T17:59:39"/>
        <d v="1899-12-30T07:44:30"/>
        <d v="1899-12-30T10:49:41"/>
        <d v="1899-12-30T11:13:53"/>
        <d v="1899-12-30T11:20:17"/>
        <d v="1899-12-30T11:21:25"/>
        <d v="1899-12-30T12:13:24"/>
        <d v="1899-12-30T14:12:54"/>
        <d v="1899-12-30T14:15:38"/>
        <d v="1899-12-30T14:16:43"/>
        <d v="1899-12-30T14:47:02"/>
        <d v="1899-12-30T17:19:33"/>
        <d v="1899-12-30T17:20:56"/>
        <d v="1899-12-30T17:22:05"/>
        <d v="1899-12-30T18:01:28"/>
        <d v="1899-12-30T11:45:32"/>
        <d v="1899-12-30T11:49:50"/>
        <d v="1899-12-30T16:15:58"/>
        <d v="1899-12-30T20:56:04"/>
        <d v="1899-12-30T08:08:20"/>
        <d v="1899-12-30T09:17:19"/>
        <d v="1899-12-30T13:02:56"/>
        <d v="1899-12-30T13:50:46"/>
        <d v="1899-12-30T14:11:27"/>
        <d v="1899-12-30T14:12:28"/>
        <d v="1899-12-30T16:25:36"/>
        <d v="1899-12-30T20:51:18"/>
        <d v="1899-12-30T07:37:42"/>
        <d v="1899-12-30T09:53:42"/>
        <d v="1899-12-30T10:21:45"/>
        <d v="1899-12-30T12:49:14"/>
        <d v="1899-12-30T16:18:19"/>
        <d v="1899-12-30T16:19:26"/>
        <d v="1899-12-30T19:41:55"/>
        <d v="1899-12-30T21:02:35"/>
        <d v="1899-12-30T09:12:04"/>
        <d v="1899-12-30T11:10:23"/>
        <d v="1899-12-30T13:14:14"/>
        <d v="1899-12-30T15:35:21"/>
        <d v="1899-12-30T15:36:47"/>
        <d v="1899-12-30T15:37:55"/>
        <d v="1899-12-30T16:55:26"/>
        <d v="1899-12-30T18:06:12"/>
        <d v="1899-12-30T19:51:14"/>
        <d v="1899-12-30T21:41:14"/>
        <d v="1899-12-30T09:32:57"/>
        <d v="1899-12-30T09:38:09"/>
        <d v="1899-12-30T10:41:40"/>
        <d v="1899-12-30T12:12:16"/>
        <d v="1899-12-30T16:35:11"/>
        <d v="1899-12-30T18:15:57"/>
        <d v="1899-12-30T21:15:59"/>
        <d v="1899-12-30T21:16:59"/>
        <d v="1899-12-30T21:40:12"/>
        <d v="1899-12-30T07:38:19"/>
        <d v="1899-12-30T08:26:20"/>
        <d v="1899-12-30T08:27:48"/>
        <d v="1899-12-30T08:47:56"/>
        <d v="1899-12-30T09:27:38"/>
        <d v="1899-12-30T14:20:53"/>
        <d v="1899-12-30T14:22:02"/>
        <d v="1899-12-30T17:39:10"/>
        <d v="1899-12-30T10:12:38"/>
        <d v="1899-12-30T16:33:40"/>
        <d v="1899-12-30T16:35:14"/>
        <d v="1899-12-30T16:36:28"/>
        <d v="1899-12-30T08:29:47"/>
        <d v="1899-12-30T11:40:24"/>
        <d v="1899-12-30T12:04:49"/>
        <d v="1899-12-30T12:06:00"/>
        <d v="1899-12-30T13:45:14"/>
        <d v="1899-12-30T20:08:11"/>
        <d v="1899-12-30T20:26:24"/>
        <d v="1899-12-30T20:27:28"/>
        <d v="1899-12-30T21:13:45"/>
        <d v="1899-12-30T08:05:04"/>
        <d v="1899-12-30T08:18:19"/>
        <d v="1899-12-30T08:19:28"/>
        <d v="1899-12-30T15:35:16"/>
        <d v="1899-12-30T18:32:32"/>
        <d v="1899-12-30T18:54:13"/>
        <d v="1899-12-30T18:56:15"/>
        <d v="1899-12-30T19:15:21"/>
        <d v="1899-12-30T11:24:45"/>
        <d v="1899-12-30T17:32:06"/>
        <d v="1899-12-30T18:49:59"/>
        <d v="1899-12-30T19:10:26"/>
        <d v="1899-12-30T19:11:23"/>
        <d v="1899-12-30T19:29:15"/>
        <d v="1899-12-30T20:14:30"/>
        <d v="1899-12-30T13:42:16"/>
        <d v="1899-12-30T13:43:37"/>
        <d v="1899-12-30T15:28:38"/>
        <d v="1899-12-30T17:41:49"/>
        <d v="1899-12-30T21:16:26"/>
        <d v="1899-12-30T22:31:55"/>
        <d v="1899-12-30T22:32:57"/>
        <d v="1899-12-30T13:21:04"/>
        <d v="1899-12-30T14:38:24"/>
        <d v="1899-12-30T14:39:35"/>
        <d v="1899-12-30T12:35:22"/>
        <d v="1899-12-30T12:36:34"/>
        <d v="1899-12-30T08:07:42"/>
        <d v="1899-12-30T08:32:43"/>
        <d v="1899-12-30T12:05:02"/>
        <d v="1899-12-30T13:45:08"/>
        <d v="1899-12-30T15:27:54"/>
        <d v="1899-12-30T15:29:00"/>
        <d v="1899-12-30T15:30:12"/>
        <d v="1899-12-30T18:55:19"/>
        <d v="1899-12-30T19:02:40"/>
        <d v="1899-12-30T19:03:45"/>
        <d v="1899-12-30T08:26:36"/>
        <d v="1899-12-30T09:33:17"/>
        <d v="1899-12-30T11:56:26"/>
        <d v="1899-12-30T12:22:01"/>
        <d v="1899-12-30T16:19:07"/>
        <d v="1899-12-30T16:20:44"/>
        <d v="1899-12-30T17:40:00"/>
        <d v="1899-12-30T20:11:50"/>
        <d v="1899-12-30T20:13:45"/>
        <d v="1899-12-30T09:38:47"/>
        <d v="1899-12-30T19:19:08"/>
        <d v="1899-12-30T19:20:34"/>
        <d v="1899-12-30T09:18:05"/>
        <d v="1899-12-30T10:12:33"/>
        <d v="1899-12-30T11:26:29"/>
        <d v="1899-12-30T12:42:15"/>
        <d v="1899-12-30T13:02:00"/>
        <d v="1899-12-30T14:41:42"/>
        <d v="1899-12-30T17:18:48"/>
        <d v="1899-12-30T18:24:06"/>
        <d v="1899-12-30T18:41:49"/>
        <d v="1899-12-30T08:40:51"/>
        <d v="1899-12-30T09:17:14"/>
        <d v="1899-12-30T09:26:46"/>
        <d v="1899-12-30T09:27:47"/>
        <d v="1899-12-30T12:31:01"/>
        <d v="1899-12-30T14:02:58"/>
        <d v="1899-12-30T16:48:33"/>
        <d v="1899-12-30T22:35:58"/>
        <d v="1899-12-30T08:50:23"/>
        <d v="1899-12-30T10:07:22"/>
        <d v="1899-12-30T13:14:46"/>
        <d v="1899-12-30T13:15:29"/>
        <d v="1899-12-30T14:35:18"/>
        <d v="1899-12-30T14:36:16"/>
        <d v="1899-12-30T15:49:58"/>
        <d v="1899-12-30T18:57:14"/>
        <d v="1899-12-30T19:53:15"/>
        <d v="1899-12-30T19:54:24"/>
        <d v="1899-12-30T21:37:01"/>
        <d v="1899-12-30T10:56:21"/>
        <d v="1899-12-30T10:57:37"/>
        <d v="1899-12-30T12:54:32"/>
        <d v="1899-12-30T12:56:04"/>
        <d v="1899-12-30T14:22:57"/>
        <d v="1899-12-30T16:45:07"/>
        <d v="1899-12-30T16:46:57"/>
        <d v="1899-12-30T07:03:24"/>
        <d v="1899-12-30T07:04:56"/>
        <d v="1899-12-30T08:04:03"/>
        <d v="1899-12-30T08:09:08"/>
        <d v="1899-12-30T10:15:38"/>
        <d v="1899-12-30T10:22:18"/>
        <d v="1899-12-30T10:49:58"/>
        <d v="1899-12-30T13:25:02"/>
        <d v="1899-12-30T13:32:53"/>
        <d v="1899-12-30T13:51:03"/>
        <d v="1899-12-30T14:06:36"/>
        <d v="1899-12-30T14:50:20"/>
        <d v="1899-12-30T15:01:44"/>
        <d v="1899-12-30T15:41:27"/>
        <d v="1899-12-30T17:01:26"/>
        <d v="1899-12-30T17:09:55"/>
        <d v="1899-12-30T17:11:07"/>
        <d v="1899-12-30T17:12:05"/>
        <d v="1899-12-30T17:14:18"/>
        <d v="1899-12-30T17:15:40"/>
        <d v="1899-12-30T17:44:17"/>
        <d v="1899-12-30T18:09:00"/>
        <d v="1899-12-30T10:04:56"/>
        <d v="1899-12-30T10:11:31"/>
        <d v="1899-12-30T12:35:58"/>
        <d v="1899-12-30T13:07:39"/>
        <d v="1899-12-30T14:15:14"/>
        <d v="1899-12-30T14:17:36"/>
        <d v="1899-12-30T14:19:48"/>
        <d v="1899-12-30T18:13:41"/>
        <d v="1899-12-30T19:05:21"/>
        <d v="1899-12-30T19:09:36"/>
        <d v="1899-12-30T19:10:27"/>
        <d v="1899-12-30T19:27:27"/>
        <d v="1899-12-30T08:42:10"/>
        <d v="1899-12-30T09:10:43"/>
        <d v="1899-12-30T11:49:35"/>
        <d v="1899-12-30T11:50:41"/>
        <d v="1899-12-30T11:51:45"/>
        <d v="1899-12-30T11:58:36"/>
        <d v="1899-12-30T12:10:46"/>
        <d v="1899-12-30T13:20:46"/>
        <d v="1899-12-30T13:43:42"/>
        <d v="1899-12-30T13:44:29"/>
        <d v="1899-12-30T14:57:52"/>
        <d v="1899-12-30T15:50:58"/>
        <d v="1899-12-30T16:34:20"/>
        <d v="1899-12-30T16:35:33"/>
        <d v="1899-12-30T16:36:34"/>
        <d v="1899-12-30T16:39:01"/>
        <d v="1899-12-30T16:41:09"/>
        <d v="1899-12-30T18:18:34"/>
        <d v="1899-12-30T18:19:49"/>
        <d v="1899-12-30T18:20:51"/>
        <d v="1899-12-30T18:25:29"/>
        <d v="1899-12-30T18:45:42"/>
        <d v="1899-12-30T19:06:46"/>
        <d v="1899-12-30T20:03:20"/>
        <d v="1899-12-30T07:16:48"/>
        <d v="1899-12-30T13:59:21"/>
        <d v="1899-12-30T14:55:31"/>
        <d v="1899-12-30T14:59:22"/>
        <d v="1899-12-30T16:14:49"/>
        <d v="1899-12-30T17:09:45"/>
        <d v="1899-12-30T17:54:25"/>
        <d v="1899-12-30T19:55:06"/>
        <d v="1899-12-30T20:06:59"/>
        <d v="1899-12-30T20:07:47"/>
        <d v="1899-12-30T20:23:13"/>
        <d v="1899-12-30T08:44:49"/>
        <d v="1899-12-30T09:07:04"/>
        <d v="1899-12-30T10:49:23"/>
        <d v="1899-12-30T12:09:38"/>
        <d v="1899-12-30T12:51:22"/>
        <d v="1899-12-30T12:58:51"/>
        <d v="1899-12-30T16:04:10"/>
        <d v="1899-12-30T16:22:13"/>
        <d v="1899-12-30T16:23:14"/>
        <d v="1899-12-30T16:24:35"/>
        <d v="1899-12-30T18:42:36"/>
        <d v="1899-12-30T18:43:36"/>
        <d v="1899-12-30T18:44:30"/>
        <d v="1899-12-30T18:45:23"/>
        <d v="1899-12-30T20:10:59"/>
        <d v="1899-12-30T20:30:56"/>
        <d v="1899-12-30T10:56:17"/>
        <d v="1899-12-30T11:02:41"/>
        <d v="1899-12-30T11:39:33"/>
        <d v="1899-12-30T12:46:12"/>
        <d v="1899-12-30T13:26:47"/>
        <d v="1899-12-30T15:07:04"/>
        <d v="1899-12-30T15:08:09"/>
        <d v="1899-12-30T08:49:24"/>
        <d v="1899-12-30T10:31:09"/>
        <d v="1899-12-30T10:51:28"/>
        <d v="1899-12-30T12:05:05"/>
        <d v="1899-12-30T15:13:09"/>
        <d v="1899-12-30T15:14:02"/>
        <d v="1899-12-30T15:15:57"/>
        <d v="1899-12-30T15:16:52"/>
        <d v="1899-12-30T16:20:18"/>
        <d v="1899-12-30T07:01:46"/>
        <d v="1899-12-30T08:16:32"/>
        <d v="1899-12-30T08:24:56"/>
        <d v="1899-12-30T11:11:43"/>
        <d v="1899-12-30T13:08:50"/>
        <d v="1899-12-30T13:11:05"/>
        <d v="1899-12-30T13:26:54"/>
        <d v="1899-12-30T13:40:13"/>
        <d v="1899-12-30T14:01:52"/>
        <d v="1899-12-30T14:07:41"/>
        <d v="1899-12-30T14:11:46"/>
        <d v="1899-12-30T14:15:44"/>
        <d v="1899-12-30T15:14:01"/>
        <d v="1899-12-30T15:46:02"/>
        <d v="1899-12-30T15:47:44"/>
        <d v="1899-12-30T16:20:55"/>
        <d v="1899-12-30T17:12:02"/>
        <d v="1899-12-30T18:27:14"/>
        <d v="1899-12-30T19:14:01"/>
        <d v="1899-12-30T19:14:53"/>
        <d v="1899-12-30T10:38:26"/>
        <d v="1899-12-30T11:19:15"/>
        <d v="1899-12-30T11:20:12"/>
        <d v="1899-12-30T11:21:08"/>
        <d v="1899-12-30T15:56:49"/>
        <d v="1899-12-30T16:09:08"/>
        <d v="1899-12-30T16:49:40"/>
        <d v="1899-12-30T17:35:34"/>
        <d v="1899-12-30T17:36:42"/>
        <d v="1899-12-30T17:44:12"/>
        <d v="1899-12-30T17:50:40"/>
        <d v="1899-12-30T17:54:37"/>
        <d v="1899-12-30T19:04:11"/>
        <d v="1899-12-30T19:05:03"/>
        <d v="1899-12-30T07:16:57"/>
        <d v="1899-12-30T07:35:37"/>
        <d v="1899-12-30T08:54:35"/>
        <d v="1899-12-30T09:19:45"/>
        <d v="1899-12-30T10:43:13"/>
        <d v="1899-12-30T12:43:29"/>
        <d v="1899-12-30T13:08:09"/>
        <d v="1899-12-30T13:41:39"/>
        <d v="1899-12-30T15:41:24"/>
        <d v="1899-12-30T15:42:16"/>
        <d v="1899-12-30T15:43:34"/>
        <d v="1899-12-30T16:12:58"/>
        <d v="1899-12-30T16:26:08"/>
        <d v="1899-12-30T17:42:51"/>
        <d v="1899-12-30T20:05:40"/>
        <d v="1899-12-30T21:17:04"/>
        <d v="1899-12-30T07:38:47"/>
        <d v="1899-12-30T08:45:57"/>
        <d v="1899-12-30T09:17:21"/>
        <d v="1899-12-30T09:36:05"/>
        <d v="1899-12-30T10:29:32"/>
        <d v="1899-12-30T16:30:39"/>
        <d v="1899-12-30T17:16:11"/>
        <d v="1899-12-30T17:17:20"/>
        <d v="1899-12-30T18:01:35"/>
        <d v="1899-12-30T18:15:08"/>
        <d v="1899-12-30T19:06:30"/>
        <d v="1899-12-30T11:38:55"/>
        <d v="1899-12-30T14:07:09"/>
        <d v="1899-12-30T14:45:59"/>
        <d v="1899-12-30T14:46:45"/>
        <d v="1899-12-30T14:58:12"/>
        <d v="1899-12-30T15:00:16"/>
        <d v="1899-12-30T15:36:40"/>
        <d v="1899-12-30T15:38:47"/>
        <d v="1899-12-30T15:53:56"/>
        <d v="1899-12-30T15:54:57"/>
        <d v="1899-12-30T17:03:16"/>
        <d v="1899-12-30T17:04:29"/>
        <d v="1899-12-30T17:09:07"/>
        <d v="1899-12-30T17:25:24"/>
        <d v="1899-12-30T21:18:29"/>
        <d v="1899-12-30T09:22:51"/>
        <d v="1899-12-30T12:41:53"/>
        <d v="1899-12-30T12:44:26"/>
        <d v="1899-12-30T13:02:19"/>
        <d v="1899-12-30T13:32:05"/>
        <d v="1899-12-30T14:01:51"/>
        <d v="1899-12-30T14:11:53"/>
        <d v="1899-12-30T15:40:07"/>
        <d v="1899-12-30T15:40:59"/>
        <d v="1899-12-30T10:46:43"/>
        <d v="1899-12-30T10:50:00"/>
        <d v="1899-12-30T14:16:41"/>
        <d v="1899-12-30T17:12:27"/>
        <d v="1899-12-30T17:13:32"/>
        <d v="1899-12-30T17:44:32"/>
        <d v="1899-12-30T06:50:04"/>
        <d v="1899-12-30T08:53:13"/>
        <d v="1899-12-30T09:00:55"/>
        <d v="1899-12-30T09:28:06"/>
        <d v="1899-12-30T09:56:59"/>
        <d v="1899-12-30T10:20:12"/>
        <d v="1899-12-30T10:44:48"/>
        <d v="1899-12-30T11:53:58"/>
        <d v="1899-12-30T11:55:02"/>
        <d v="1899-12-30T12:48:58"/>
        <d v="1899-12-30T14:23:01"/>
        <d v="1899-12-30T15:05:41"/>
        <d v="1899-12-30T15:33:19"/>
        <d v="1899-12-30T16:19:06"/>
        <d v="1899-12-30T16:22:42"/>
        <d v="1899-12-30T17:31:14"/>
        <d v="1899-12-30T18:23:52"/>
        <d v="1899-12-30T19:13:51"/>
        <d v="1899-12-30T19:15:00"/>
        <d v="1899-12-30T20:18:17"/>
        <d v="1899-12-30T08:53:08"/>
        <d v="1899-12-30T08:54:14"/>
        <d v="1899-12-30T11:07:35"/>
        <d v="1899-12-30T11:30:06"/>
        <d v="1899-12-30T11:38:23"/>
        <d v="1899-12-30T12:15:26"/>
        <d v="1899-12-30T13:04:27"/>
        <d v="1899-12-30T13:25:45"/>
        <d v="1899-12-30T13:27:05"/>
        <d v="1899-12-30T17:05:28"/>
        <d v="1899-12-30T17:08:19"/>
        <d v="1899-12-30T17:09:17"/>
        <d v="1899-12-30T17:10:22"/>
        <d v="1899-12-30T17:11:35"/>
        <d v="1899-12-30T19:36:27"/>
        <d v="1899-12-30T20:06:56"/>
        <d v="1899-12-30T20:58:12"/>
        <d v="1899-12-30T21:01:59"/>
        <d v="1899-12-30T08:08:52"/>
        <d v="1899-12-30T08:09:54"/>
        <d v="1899-12-30T08:47:32"/>
        <d v="1899-12-30T09:24:31"/>
        <d v="1899-12-30T10:09:51"/>
        <d v="1899-12-30T10:19:01"/>
        <d v="1899-12-30T10:40:51"/>
        <d v="1899-12-30T12:45:06"/>
        <d v="1899-12-30T12:46:03"/>
        <d v="1899-12-30T13:06:54"/>
        <d v="1899-12-30T15:50:42"/>
        <d v="1899-12-30T17:04:00"/>
        <d v="1899-12-30T17:34:49"/>
        <d v="1899-12-30T17:57:52"/>
        <d v="1899-12-30T18:35:38"/>
        <d v="1899-12-30T19:01:33"/>
        <d v="1899-12-30T19:11:49"/>
        <d v="1899-12-30T19:12:42"/>
        <d v="1899-12-30T19:26:22"/>
        <d v="1899-12-30T20:05:28"/>
        <d v="1899-12-30T07:56:24"/>
        <d v="1899-12-30T09:17:53"/>
        <d v="1899-12-30T10:16:40"/>
        <d v="1899-12-30T10:17:38"/>
        <d v="1899-12-30T10:20:24"/>
        <d v="1899-12-30T10:24:23"/>
        <d v="1899-12-30T14:20:33"/>
        <d v="1899-12-30T14:37:59"/>
        <d v="1899-12-30T14:38:49"/>
        <d v="1899-12-30T15:19:45"/>
        <d v="1899-12-30T16:05:49"/>
        <d v="1899-12-30T16:59:06"/>
        <d v="1899-12-30T17:00:36"/>
        <d v="1899-12-30T17:07:27"/>
        <d v="1899-12-30T18:57:34"/>
        <d v="1899-12-30T19:01:51"/>
        <d v="1899-12-30T20:07:03"/>
        <d v="1899-12-30T06:59:08"/>
        <d v="1899-12-30T09:41:29"/>
        <d v="1899-12-30T09:49:20"/>
        <d v="1899-12-30T09:51:12"/>
        <d v="1899-12-30T10:18:10"/>
        <d v="1899-12-30T11:10:07"/>
        <d v="1899-12-30T12:07:42"/>
        <d v="1899-12-30T12:56:17"/>
        <d v="1899-12-30T12:57:02"/>
        <d v="1899-12-30T13:06:42"/>
        <d v="1899-12-30T15:18:31"/>
        <d v="1899-12-30T15:45:54"/>
        <d v="1899-12-30T15:46:48"/>
        <d v="1899-12-30T15:52:48"/>
        <d v="1899-12-30T16:10:06"/>
        <d v="1899-12-30T16:46:58"/>
        <d v="1899-12-30T16:48:58"/>
        <d v="1899-12-30T19:08:18"/>
        <d v="1899-12-30T19:09:09"/>
        <d v="1899-12-30T19:59:24"/>
        <d v="1899-12-30T10:52:18"/>
        <d v="1899-12-30T11:28:30"/>
        <d v="1899-12-30T11:41:12"/>
        <d v="1899-12-30T12:59:41"/>
        <d v="1899-12-30T15:03:03"/>
        <d v="1899-12-30T10:33:11"/>
        <d v="1899-12-30T12:52:26"/>
        <d v="1899-12-30T12:54:06"/>
        <d v="1899-12-30T13:50:21"/>
        <d v="1899-12-30T14:02:03"/>
        <d v="1899-12-30T17:27:44"/>
        <d v="1899-12-30T09:14:53"/>
        <d v="1899-12-30T09:45:10"/>
        <d v="1899-12-30T10:02:48"/>
        <d v="1899-12-30T10:09:12"/>
        <d v="1899-12-30T10:47:47"/>
        <d v="1899-12-30T12:58:41"/>
        <d v="1899-12-30T13:00:01"/>
        <d v="1899-12-30T15:40:01"/>
        <d v="1899-12-30T16:00:06"/>
        <d v="1899-12-30T16:10:23"/>
        <d v="1899-12-30T16:28:52"/>
        <d v="1899-12-30T16:59:38"/>
        <d v="1899-12-30T17:00:44"/>
        <d v="1899-12-30T17:37:38"/>
        <d v="1899-12-30T18:07:01"/>
        <d v="1899-12-30T19:04:34"/>
        <d v="1899-12-30T19:24:10"/>
        <d v="1899-12-30T19:24:54"/>
        <d v="1899-12-30T19:26:14"/>
        <d v="1899-12-30T20:14:51"/>
        <d v="1899-12-30T08:00:39"/>
        <d v="1899-12-30T08:49:21"/>
        <d v="1899-12-30T08:50:14"/>
        <d v="1899-12-30T10:02:44"/>
        <d v="1899-12-30T11:03:33"/>
        <d v="1899-12-30T11:04:26"/>
        <d v="1899-12-30T12:20:41"/>
        <d v="1899-12-30T14:14:18"/>
        <d v="1899-12-30T16:49:37"/>
        <d v="1899-12-30T16:50:35"/>
        <d v="1899-12-30T18:19:09"/>
        <d v="1899-12-30T19:32:40"/>
        <d v="1899-12-30T08:57:37"/>
        <d v="1899-12-30T10:11:27"/>
        <d v="1899-12-30T10:16:57"/>
        <d v="1899-12-30T13:13:26"/>
        <d v="1899-12-30T13:31:23"/>
        <d v="1899-12-30T15:01:58"/>
        <d v="1899-12-30T15:14:47"/>
        <d v="1899-12-30T15:17:24"/>
        <d v="1899-12-30T15:20:02"/>
        <d v="1899-12-30T15:20:48"/>
        <d v="1899-12-30T15:28:45"/>
        <d v="1899-12-30T16:20:46"/>
        <d v="1899-12-30T16:55:13"/>
        <d v="1899-12-30T16:55:59"/>
        <d v="1899-12-30T17:22:44"/>
        <d v="1899-12-30T18:11:24"/>
        <d v="1899-12-30T07:19:00"/>
        <d v="1899-12-30T07:21:00"/>
        <d v="1899-12-30T10:52:29"/>
        <d v="1899-12-30T11:08:16"/>
        <d v="1899-12-30T12:48:15"/>
        <d v="1899-12-30T13:29:48"/>
        <d v="1899-12-30T14:43:19"/>
        <d v="1899-12-30T15:47:50"/>
        <d v="1899-12-30T16:28:28"/>
        <d v="1899-12-30T17:12:55"/>
        <d v="1899-12-30T17:23:10"/>
        <d v="1899-12-30T17:53:13"/>
        <d v="1899-12-30T18:17:28"/>
        <d v="1899-12-30T18:38:40"/>
        <d v="1899-12-30T18:40:01"/>
        <d v="1899-12-30T18:40:52"/>
        <d v="1899-12-30T19:14:15"/>
        <d v="1899-12-30T20:02:07"/>
        <d v="1899-12-30T06:52:45"/>
        <d v="1899-12-30T06:54:59"/>
        <d v="1899-12-30T07:18:36"/>
        <d v="1899-12-30T08:09:57"/>
        <d v="1899-12-30T09:02:38"/>
        <d v="1899-12-30T14:44:28"/>
        <d v="1899-12-30T14:45:22"/>
        <d v="1899-12-30T14:47:52"/>
        <d v="1899-12-30T14:52:02"/>
        <d v="1899-12-30T15:19:18"/>
        <d v="1899-12-30T16:22:27"/>
        <d v="1899-12-30T16:30:06"/>
        <d v="1899-12-30T17:21:00"/>
        <d v="1899-12-30T17:31:04"/>
        <d v="1899-12-30T17:32:16"/>
        <d v="1899-12-30T17:33:49"/>
        <d v="1899-12-30T18:53:49"/>
        <d v="1899-12-30T10:31:45"/>
        <d v="1899-12-30T11:24:04"/>
        <d v="1899-12-30T11:27:58"/>
        <d v="1899-12-30T14:43:23"/>
        <d v="1899-12-30T15:02:31"/>
        <d v="1899-12-30T15:08:20"/>
        <d v="1899-12-30T16:42:13"/>
        <d v="1899-12-30T17:08:33"/>
        <d v="1899-12-30T12:17:36"/>
        <d v="1899-12-30T13:36:19"/>
        <d v="1899-12-30T15:22:17"/>
        <d v="1899-12-30T15:23:15"/>
        <d v="1899-12-30T15:24:45"/>
        <d v="1899-12-30T08:24:01"/>
        <d v="1899-12-30T09:46:51"/>
        <d v="1899-12-30T09:48:39"/>
        <d v="1899-12-30T10:21:24"/>
        <d v="1899-12-30T10:24:46"/>
        <d v="1899-12-30T12:58:08"/>
        <d v="1899-12-30T15:11:01"/>
        <d v="1899-12-30T15:47:58"/>
        <d v="1899-12-30T16:16:35"/>
        <d v="1899-12-30T16:18:27"/>
        <d v="1899-12-30T16:40:29"/>
        <d v="1899-12-30T16:42:22"/>
        <d v="1899-12-30T16:52:11"/>
        <d v="1899-12-30T17:28:42"/>
        <d v="1899-12-30T17:31:22"/>
        <d v="1899-12-30T17:32:18"/>
        <d v="1899-12-30T17:32:58"/>
        <d v="1899-12-30T17:57:32"/>
        <d v="1899-12-30T17:58:27"/>
        <d v="1899-12-30T18:03:05"/>
        <d v="1899-12-30T18:46:52"/>
        <d v="1899-12-30T07:19:21"/>
        <d v="1899-12-30T07:31:55"/>
        <d v="1899-12-30T08:51:45"/>
        <d v="1899-12-30T09:09:31"/>
        <d v="1899-12-30T09:10:22"/>
        <d v="1899-12-30T09:58:37"/>
        <d v="1899-12-30T11:04:01"/>
        <d v="1899-12-30T11:05:06"/>
        <d v="1899-12-30T11:46:41"/>
        <d v="1899-12-30T11:47:24"/>
        <d v="1899-12-30T11:51:34"/>
        <d v="1899-12-30T12:25:59"/>
        <d v="1899-12-30T19:10:09"/>
        <d v="1899-12-30T20:09:00"/>
        <d v="1899-12-30T08:39:51"/>
        <d v="1899-12-30T09:38:24"/>
        <d v="1899-12-30T10:02:04"/>
        <d v="1899-12-30T10:10:50"/>
        <d v="1899-12-30T10:40:34"/>
        <d v="1899-12-30T11:08:31"/>
        <d v="1899-12-30T11:10:54"/>
        <d v="1899-12-30T11:38:51"/>
        <d v="1899-12-30T11:41:22"/>
        <d v="1899-12-30T12:12:56"/>
        <d v="1899-12-30T15:07:50"/>
        <d v="1899-12-30T15:21:35"/>
        <d v="1899-12-30T15:25:11"/>
        <d v="1899-12-30T17:09:56"/>
        <d v="1899-12-30T17:16:23"/>
        <d v="1899-12-30T17:31:40"/>
        <d v="1899-12-30T18:13:26"/>
        <d v="1899-12-30T19:02:56"/>
        <d v="1899-12-30T09:33:39"/>
        <d v="1899-12-30T09:35:52"/>
        <d v="1899-12-30T10:48:04"/>
        <d v="1899-12-30T10:56:47"/>
        <d v="1899-12-30T10:57:35"/>
        <d v="1899-12-30T11:05:43"/>
        <d v="1899-12-30T11:17:38"/>
        <d v="1899-12-30T13:51:33"/>
        <d v="1899-12-30T16:06:47"/>
        <d v="1899-12-30T17:49:11"/>
        <d v="1899-12-30T18:27:11"/>
        <d v="1899-12-30T19:22:10"/>
        <d v="1899-12-30T07:05:42"/>
        <d v="1899-12-30T08:45:10"/>
        <d v="1899-12-30T08:46:03"/>
        <d v="1899-12-30T09:02:40"/>
        <d v="1899-12-30T10:09:57"/>
        <d v="1899-12-30T10:26:34"/>
        <d v="1899-12-30T10:27:32"/>
        <d v="1899-12-30T10:41:45"/>
        <d v="1899-12-30T11:50:59"/>
        <d v="1899-12-30T12:03:46"/>
        <d v="1899-12-30T13:43:48"/>
        <d v="1899-12-30T14:53:30"/>
        <d v="1899-12-30T15:09:04"/>
        <d v="1899-12-30T15:52:52"/>
        <d v="1899-12-30T17:10:29"/>
        <d v="1899-12-30T17:12:23"/>
        <d v="1899-12-30T09:23:44"/>
        <d v="1899-12-30T09:41:52"/>
        <d v="1899-12-30T10:54:13"/>
        <d v="1899-12-30T11:19:45"/>
        <d v="1899-12-30T11:20:32"/>
        <d v="1899-12-30T12:41:19"/>
        <d v="1899-12-30T12:45:05"/>
        <d v="1899-12-30T13:40:06"/>
        <d v="1899-12-30T09:42:03"/>
        <d v="1899-12-30T11:25:53"/>
        <d v="1899-12-30T14:18:30"/>
        <d v="1899-12-30T15:12:41"/>
        <d v="1899-12-30T15:39:07"/>
        <d v="1899-12-30T15:52:39"/>
        <d v="1899-12-30T15:53:40"/>
        <d v="1899-12-30T08:34:43"/>
        <d v="1899-12-30T08:35:40"/>
        <d v="1899-12-30T09:06:27"/>
        <d v="1899-12-30T09:19:28"/>
        <d v="1899-12-30T09:50:54"/>
        <d v="1899-12-30T10:18:57"/>
        <d v="1899-12-30T12:36:14"/>
        <d v="1899-12-30T15:32:09"/>
        <d v="1899-12-30T15:41:57"/>
        <d v="1899-12-30T16:18:00"/>
        <d v="1899-12-30T16:18:54"/>
        <d v="1899-12-30T16:24:25"/>
        <d v="1899-12-30T16:25:32"/>
        <d v="1899-12-30T18:15:54"/>
        <d v="1899-12-30T18:49:22"/>
        <d v="1899-12-30T19:26:42"/>
        <d v="1899-12-30T08:46:25"/>
        <d v="1899-12-30T09:12:27"/>
        <d v="1899-12-30T09:27:04"/>
        <d v="1899-12-30T12:33:20"/>
        <d v="1899-12-30T13:16:54"/>
        <d v="1899-12-30T16:29:31"/>
        <d v="1899-12-30T17:46:50"/>
        <d v="1899-12-30T18:56:52"/>
        <d v="1899-12-30T19:07:14"/>
        <d v="1899-12-30T20:08:56"/>
        <d v="1899-12-30T11:47:34"/>
        <d v="1899-12-30T11:50:15"/>
        <d v="1899-12-30T11:55:55"/>
        <d v="1899-12-30T11:56:48"/>
        <d v="1899-12-30T12:06:11"/>
        <d v="1899-12-30T12:55:38"/>
        <d v="1899-12-30T13:01:49"/>
        <d v="1899-12-30T13:56:23"/>
        <d v="1899-12-30T16:27:37"/>
        <d v="1899-12-30T16:35:03"/>
        <d v="1899-12-30T16:36:00"/>
        <d v="1899-12-30T18:10:34"/>
        <d v="1899-12-30T18:17:17"/>
        <d v="1899-12-30T18:24:40"/>
        <d v="1899-12-30T18:38:56"/>
        <d v="1899-12-30T18:42:13"/>
        <d v="1899-12-30T07:01:36"/>
        <d v="1899-12-30T08:23:17"/>
        <d v="1899-12-30T09:20:09"/>
        <d v="1899-12-30T09:22:04"/>
        <d v="1899-12-30T09:38:19"/>
        <d v="1899-12-30T09:39:14"/>
        <d v="1899-12-30T12:13:37"/>
        <d v="1899-12-30T14:53:50"/>
        <d v="1899-12-30T18:47:43"/>
        <d v="1899-12-30T07:55:05"/>
        <d v="1899-12-30T08:13:40"/>
        <d v="1899-12-30T08:59:26"/>
        <d v="1899-12-30T09:00:29"/>
        <d v="1899-12-30T09:26:07"/>
        <d v="1899-12-30T09:28:37"/>
        <d v="1899-12-30T10:20:51"/>
        <d v="1899-12-30T10:48:22"/>
        <d v="1899-12-30T10:49:27"/>
        <d v="1899-12-30T14:35:17"/>
        <d v="1899-12-30T14:36:21"/>
        <d v="1899-12-30T15:54:20"/>
        <d v="1899-12-30T15:55:40"/>
        <d v="1899-12-30T16:27:04"/>
        <d v="1899-12-30T16:31:55"/>
        <d v="1899-12-30T16:32:40"/>
        <d v="1899-12-30T17:05:24"/>
        <d v="1899-12-30T17:22:14"/>
        <d v="1899-12-30T17:27:15"/>
        <d v="1899-12-30T17:28:38"/>
        <d v="1899-12-30T20:20:22"/>
        <d v="1899-12-30T21:40:43"/>
        <d v="1899-12-30T09:53:22"/>
        <d v="1899-12-30T10:03:22"/>
        <d v="1899-12-30T13:55:41"/>
        <d v="1899-12-30T17:12:08"/>
        <d v="1899-12-30T19:30:36"/>
        <d v="1899-12-30T19:51:27"/>
        <d v="1899-12-30T09:32:17"/>
        <d v="1899-12-30T09:36:23"/>
        <d v="1899-12-30T10:50:09"/>
        <d v="1899-12-30T12:00:47"/>
        <d v="1899-12-30T14:22:42"/>
        <d v="1899-12-30T06:54:40"/>
        <d v="1899-12-30T08:09:50"/>
        <d v="1899-12-30T08:18:02"/>
        <d v="1899-12-30T09:02:58"/>
        <d v="1899-12-30T10:32:39"/>
        <d v="1899-12-30T13:59:00"/>
        <d v="1899-12-30T14:21:24"/>
        <d v="1899-12-30T14:22:19"/>
        <d v="1899-12-30T14:48:03"/>
        <d v="1899-12-30T15:11:17"/>
        <d v="1899-12-30T15:47:15"/>
        <d v="1899-12-30T15:48:58"/>
        <d v="1899-12-30T16:46:44"/>
        <d v="1899-12-30T08:23:10"/>
        <d v="1899-12-30T08:33:49"/>
        <d v="1899-12-30T10:49:51"/>
        <d v="1899-12-30T10:51:17"/>
        <d v="1899-12-30T11:47:19"/>
        <d v="1899-12-30T11:48:55"/>
        <d v="1899-12-30T14:43:35"/>
        <d v="1899-12-30T15:03:53"/>
        <d v="1899-12-30T15:11:07"/>
        <d v="1899-12-30T16:09:07"/>
        <d v="1899-12-30T16:11:45"/>
        <d v="1899-12-30T16:23:20"/>
        <d v="1899-12-30T18:42:30"/>
        <d v="1899-12-30T18:43:17"/>
        <d v="1899-12-30T20:00:34"/>
        <d v="1899-12-30T20:01:37"/>
        <d v="1899-12-30T21:20:40"/>
        <d v="1899-12-30T07:03:07"/>
        <d v="1899-12-30T07:04:08"/>
        <d v="1899-12-30T07:06:34"/>
        <d v="1899-12-30T08:03:18"/>
        <d v="1899-12-30T10:18:39"/>
        <d v="1899-12-30T11:55:39"/>
        <d v="1899-12-30T12:58:27"/>
        <d v="1899-12-30T15:12:53"/>
        <d v="1899-12-30T15:14:23"/>
        <d v="1899-12-30T16:19:33"/>
        <d v="1899-12-30T16:29:56"/>
        <d v="1899-12-30T16:40:33"/>
        <d v="1899-12-30T16:42:16"/>
        <d v="1899-12-30T16:51:35"/>
        <d v="1899-12-30T16:52:29"/>
        <d v="1899-12-30T16:59:59"/>
        <d v="1899-12-30T17:27:39"/>
        <d v="1899-12-30T18:29:50"/>
        <d v="1899-12-30T18:30:44"/>
        <d v="1899-12-30T18:31:25"/>
        <d v="1899-12-30T08:13:16"/>
        <d v="1899-12-30T09:52:04"/>
        <d v="1899-12-30T10:06:44"/>
        <d v="1899-12-30T10:45:44"/>
        <d v="1899-12-30T10:55:17"/>
        <d v="1899-12-30T12:48:24"/>
        <d v="1899-12-30T14:04:43"/>
        <d v="1899-12-30T14:20:37"/>
        <d v="1899-12-30T14:21:41"/>
        <d v="1899-12-30T14:25:04"/>
        <d v="1899-12-30T14:26:46"/>
        <d v="1899-12-30T14:59:47"/>
        <d v="1899-12-30T15:21:51"/>
        <d v="1899-12-30T17:23:51"/>
        <d v="1899-12-30T18:55:58"/>
        <d v="1899-12-30T19:36:41"/>
        <d v="1899-12-30T19:57:48"/>
        <d v="1899-12-30T21:50:15"/>
        <d v="1899-12-30T07:06:11"/>
        <d v="1899-12-30T07:09:08"/>
        <d v="1899-12-30T08:16:43"/>
        <d v="1899-12-30T08:28:36"/>
        <d v="1899-12-30T08:29:20"/>
        <d v="1899-12-30T08:35:18"/>
        <d v="1899-12-30T11:50:09"/>
        <d v="1899-12-30T11:51:07"/>
        <d v="1899-12-30T13:02:48"/>
        <d v="1899-12-30T13:23:57"/>
        <d v="1899-12-30T14:11:44"/>
        <d v="1899-12-30T15:09:03"/>
        <d v="1899-12-30T15:24:42"/>
        <d v="1899-12-30T15:28:19"/>
        <d v="1899-12-30T15:29:32"/>
        <d v="1899-12-30T17:01:28"/>
        <d v="1899-12-30T17:21:16"/>
        <d v="1899-12-30T17:22:49"/>
        <d v="1899-12-30T18:52:12"/>
        <d v="1899-12-30T09:05:13"/>
        <d v="1899-12-30T10:30:09"/>
        <d v="1899-12-30T11:14:05"/>
        <d v="1899-12-30T11:41:20"/>
        <d v="1899-12-30T12:18:27"/>
        <d v="1899-12-30T13:06:21"/>
        <d v="1899-12-30T13:23:17"/>
        <d v="1899-12-30T15:57:58"/>
        <d v="1899-12-30T16:26:59"/>
        <d v="1899-12-30T17:53:35"/>
        <d v="1899-12-30T19:16:52"/>
        <d v="1899-12-30T10:07:11"/>
        <d v="1899-12-30T10:34:54"/>
        <d v="1899-12-30T14:43:37"/>
        <d v="1899-12-30T14:44:16"/>
        <d v="1899-12-30T15:47:28"/>
        <d v="1899-12-30T18:11:38"/>
      </sharedItems>
      <fieldGroup par="13"/>
    </cacheField>
    <cacheField name="Payment Method" numFmtId="0">
      <sharedItems count="2">
        <s v="card"/>
        <s v="cash"/>
      </sharedItems>
    </cacheField>
    <cacheField name="Card Id" numFmtId="0">
      <sharedItems count="1318">
        <s v="ANON-0000-0000-0001"/>
        <s v="ANON-0000-0000-0002"/>
        <s v="ANON-0000-0000-0003"/>
        <s v="ANON-0000-0000-0004"/>
        <s v="ANON-0000-0000-0005"/>
        <s v="ANON-0000-0000-0006"/>
        <s v="ANON-0000-0000-0007"/>
        <s v="ANON-0000-0000-0008"/>
        <s v="ANON-0000-0000-0009"/>
        <s v="ANON-0000-0000-0010"/>
        <s v="Cash"/>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 v="-" u="1"/>
      </sharedItems>
    </cacheField>
    <cacheField name="Price" numFmtId="165">
      <sharedItems containsSemiMixedTypes="0" containsString="0" containsNumber="1" minValue="18.12" maxValue="40"/>
    </cacheField>
    <cacheField name="Coffee Name" numFmtId="0">
      <sharedItems count="8">
        <s v="Latte"/>
        <s v="Hot Chocolate"/>
        <s v="Americano"/>
        <s v="Americano with Milk"/>
        <s v="Cocoa"/>
        <s v="Cortado"/>
        <s v="Espresso"/>
        <s v="Cappuccino"/>
      </sharedItems>
    </cacheField>
    <cacheField name="Month" numFmtId="0">
      <sharedItems/>
    </cacheField>
    <cacheField name="Hour" numFmtId="0">
      <sharedItems containsSemiMixedTypes="0" containsString="0" containsNumber="1" containsInteger="1" minValue="6" maxValue="22"/>
    </cacheField>
    <cacheField name="Is_Repeat" numFmtId="0">
      <sharedItems/>
    </cacheField>
    <cacheField name="Exclude_Cash" numFmtId="0">
      <sharedItems count="3">
        <s v="Repeat"/>
        <s v="Single"/>
        <s v="Cash"/>
      </sharedItems>
    </cacheField>
    <cacheField name="Transaction_Id" numFmtId="0">
      <sharedItems count="3636">
        <s v="TRANS-0001"/>
        <s v="TRANS-0002"/>
        <s v="TRANS-0003"/>
        <s v="TRANS-0004"/>
        <s v="TRANS-0005"/>
        <s v="TRANS-0006"/>
        <s v="TRANS-0007"/>
        <s v="TRANS-0008"/>
        <s v="TRANS-0009"/>
        <s v="TRANS-0010"/>
        <s v="TRANS-0011"/>
        <s v="TRANS-0012"/>
        <s v="TRANS-0013"/>
        <s v="TRANS-0014"/>
        <s v="TRANS-0015"/>
        <s v="TRANS-0016"/>
        <s v="TRANS-0017"/>
        <s v="TRANS-0018"/>
        <s v="TRANS-0019"/>
        <s v="TRANS-0020"/>
        <s v="TRANS-0021"/>
        <s v="TRANS-0022"/>
        <s v="TRANS-0023"/>
        <s v="TRANS-0024"/>
        <s v="TRANS-0025"/>
        <s v="TRANS-0026"/>
        <s v="TRANS-0027"/>
        <s v="TRANS-0028"/>
        <s v="TRANS-0029"/>
        <s v="TRANS-0030"/>
        <s v="TRANS-0031"/>
        <s v="TRANS-0032"/>
        <s v="TRANS-0033"/>
        <s v="TRANS-0034"/>
        <s v="TRANS-0035"/>
        <s v="TRANS-0036"/>
        <s v="TRANS-0037"/>
        <s v="TRANS-0038"/>
        <s v="TRANS-0039"/>
        <s v="TRANS-0040"/>
        <s v="TRANS-0041"/>
        <s v="TRANS-0042"/>
        <s v="TRANS-0043"/>
        <s v="TRANS-0044"/>
        <s v="TRANS-0045"/>
        <s v="TRANS-0046"/>
        <s v="TRANS-0047"/>
        <s v="TRANS-0048"/>
        <s v="TRANS-0049"/>
        <s v="TRANS-0050"/>
        <s v="TRANS-0051"/>
        <s v="TRANS-0052"/>
        <s v="TRANS-0053"/>
        <s v="TRANS-0054"/>
        <s v="TRANS-0055"/>
        <s v="TRANS-0056"/>
        <s v="TRANS-0057"/>
        <s v="TRANS-0058"/>
        <s v="TRANS-0059"/>
        <s v="TRANS-0060"/>
        <s v="TRANS-0061"/>
        <s v="TRANS-0062"/>
        <s v="TRANS-0063"/>
        <s v="TRANS-0064"/>
        <s v="TRANS-0065"/>
        <s v="TRANS-0066"/>
        <s v="TRANS-0067"/>
        <s v="TRANS-0068"/>
        <s v="TRANS-0069"/>
        <s v="TRANS-0070"/>
        <s v="TRANS-0071"/>
        <s v="TRANS-0072"/>
        <s v="TRANS-0073"/>
        <s v="TRANS-0074"/>
        <s v="TRANS-0075"/>
        <s v="TRANS-0076"/>
        <s v="TRANS-0077"/>
        <s v="TRANS-0078"/>
        <s v="TRANS-0079"/>
        <s v="TRANS-0080"/>
        <s v="TRANS-0081"/>
        <s v="TRANS-0082"/>
        <s v="TRANS-0083"/>
        <s v="TRANS-0084"/>
        <s v="TRANS-0085"/>
        <s v="TRANS-0086"/>
        <s v="TRANS-0087"/>
        <s v="TRANS-0088"/>
        <s v="TRANS-0089"/>
        <s v="TRANS-0090"/>
        <s v="TRANS-0091"/>
        <s v="TRANS-0092"/>
        <s v="TRANS-0093"/>
        <s v="TRANS-0094"/>
        <s v="TRANS-0095"/>
        <s v="TRANS-0096"/>
        <s v="TRANS-0097"/>
        <s v="TRANS-0098"/>
        <s v="TRANS-0099"/>
        <s v="TRANS-0100"/>
        <s v="TRANS-0101"/>
        <s v="TRANS-0102"/>
        <s v="TRANS-0103"/>
        <s v="TRANS-0104"/>
        <s v="TRANS-0105"/>
        <s v="TRANS-0106"/>
        <s v="TRANS-0107"/>
        <s v="TRANS-0108"/>
        <s v="TRANS-0109"/>
        <s v="TRANS-0110"/>
        <s v="TRANS-0111"/>
        <s v="TRANS-0112"/>
        <s v="TRANS-0113"/>
        <s v="TRANS-0114"/>
        <s v="TRANS-0115"/>
        <s v="TRANS-0116"/>
        <s v="TRANS-0117"/>
        <s v="TRANS-0118"/>
        <s v="TRANS-0119"/>
        <s v="TRANS-0120"/>
        <s v="TRANS-0121"/>
        <s v="TRANS-0122"/>
        <s v="TRANS-0123"/>
        <s v="TRANS-0124"/>
        <s v="TRANS-0125"/>
        <s v="TRANS-0126"/>
        <s v="TRANS-0127"/>
        <s v="TRANS-0128"/>
        <s v="TRANS-0129"/>
        <s v="TRANS-0130"/>
        <s v="TRANS-0131"/>
        <s v="TRANS-0132"/>
        <s v="TRANS-0133"/>
        <s v="TRANS-0134"/>
        <s v="TRANS-0135"/>
        <s v="TRANS-0136"/>
        <s v="TRANS-0137"/>
        <s v="TRANS-0138"/>
        <s v="TRANS-0139"/>
        <s v="TRANS-0140"/>
        <s v="TRANS-0141"/>
        <s v="TRANS-0142"/>
        <s v="TRANS-0143"/>
        <s v="TRANS-0144"/>
        <s v="TRANS-0145"/>
        <s v="TRANS-0146"/>
        <s v="TRANS-0147"/>
        <s v="TRANS-0148"/>
        <s v="TRANS-0149"/>
        <s v="TRANS-0150"/>
        <s v="TRANS-0151"/>
        <s v="TRANS-0152"/>
        <s v="TRANS-0153"/>
        <s v="TRANS-0154"/>
        <s v="TRANS-0155"/>
        <s v="TRANS-0156"/>
        <s v="TRANS-0157"/>
        <s v="TRANS-0158"/>
        <s v="TRANS-0159"/>
        <s v="TRANS-0160"/>
        <s v="TRANS-0161"/>
        <s v="TRANS-0162"/>
        <s v="TRANS-0163"/>
        <s v="TRANS-0164"/>
        <s v="TRANS-0165"/>
        <s v="TRANS-0166"/>
        <s v="TRANS-0167"/>
        <s v="TRANS-0168"/>
        <s v="TRANS-0169"/>
        <s v="TRANS-0170"/>
        <s v="TRANS-0171"/>
        <s v="TRANS-0172"/>
        <s v="TRANS-0173"/>
        <s v="TRANS-0174"/>
        <s v="TRANS-0175"/>
        <s v="TRANS-0176"/>
        <s v="TRANS-0177"/>
        <s v="TRANS-0178"/>
        <s v="TRANS-0179"/>
        <s v="TRANS-0180"/>
        <s v="TRANS-0181"/>
        <s v="TRANS-0182"/>
        <s v="TRANS-0183"/>
        <s v="TRANS-0184"/>
        <s v="TRANS-0185"/>
        <s v="TRANS-0186"/>
        <s v="TRANS-0187"/>
        <s v="TRANS-0188"/>
        <s v="TRANS-0189"/>
        <s v="TRANS-0190"/>
        <s v="TRANS-0191"/>
        <s v="TRANS-0192"/>
        <s v="TRANS-0193"/>
        <s v="TRANS-0194"/>
        <s v="TRANS-0195"/>
        <s v="TRANS-0196"/>
        <s v="TRANS-0197"/>
        <s v="TRANS-0198"/>
        <s v="TRANS-0199"/>
        <s v="TRANS-0200"/>
        <s v="TRANS-0201"/>
        <s v="TRANS-0202"/>
        <s v="TRANS-0203"/>
        <s v="TRANS-0204"/>
        <s v="TRANS-0205"/>
        <s v="TRANS-0206"/>
        <s v="TRANS-0207"/>
        <s v="TRANS-0208"/>
        <s v="TRANS-0209"/>
        <s v="TRANS-0210"/>
        <s v="TRANS-0211"/>
        <s v="TRANS-0212"/>
        <s v="TRANS-0213"/>
        <s v="TRANS-0214"/>
        <s v="TRANS-0215"/>
        <s v="TRANS-0216"/>
        <s v="TRANS-0217"/>
        <s v="TRANS-0218"/>
        <s v="TRANS-0219"/>
        <s v="TRANS-0220"/>
        <s v="TRANS-0221"/>
        <s v="TRANS-0222"/>
        <s v="TRANS-0223"/>
        <s v="TRANS-0224"/>
        <s v="TRANS-0225"/>
        <s v="TRANS-0226"/>
        <s v="TRANS-0227"/>
        <s v="TRANS-0228"/>
        <s v="TRANS-0229"/>
        <s v="TRANS-0230"/>
        <s v="TRANS-0231"/>
        <s v="TRANS-0232"/>
        <s v="TRANS-0233"/>
        <s v="TRANS-0234"/>
        <s v="TRANS-0235"/>
        <s v="TRANS-0236"/>
        <s v="TRANS-0237"/>
        <s v="TRANS-0238"/>
        <s v="TRANS-0239"/>
        <s v="TRANS-0240"/>
        <s v="TRANS-0241"/>
        <s v="TRANS-0242"/>
        <s v="TRANS-0243"/>
        <s v="TRANS-0244"/>
        <s v="TRANS-0245"/>
        <s v="TRANS-0246"/>
        <s v="TRANS-0247"/>
        <s v="TRANS-0248"/>
        <s v="TRANS-0249"/>
        <s v="TRANS-0250"/>
        <s v="TRANS-0251"/>
        <s v="TRANS-0252"/>
        <s v="TRANS-0253"/>
        <s v="TRANS-0254"/>
        <s v="TRANS-0255"/>
        <s v="TRANS-0256"/>
        <s v="TRANS-0257"/>
        <s v="TRANS-0258"/>
        <s v="TRANS-0259"/>
        <s v="TRANS-0260"/>
        <s v="TRANS-0261"/>
        <s v="TRANS-0262"/>
        <s v="TRANS-0263"/>
        <s v="TRANS-0264"/>
        <s v="TRANS-0265"/>
        <s v="TRANS-0266"/>
        <s v="TRANS-0267"/>
        <s v="TRANS-0268"/>
        <s v="TRANS-0269"/>
        <s v="TRANS-0270"/>
        <s v="TRANS-0271"/>
        <s v="TRANS-0272"/>
        <s v="TRANS-0273"/>
        <s v="TRANS-0274"/>
        <s v="TRANS-0275"/>
        <s v="TRANS-0276"/>
        <s v="TRANS-0277"/>
        <s v="TRANS-0278"/>
        <s v="TRANS-0279"/>
        <s v="TRANS-0280"/>
        <s v="TRANS-0281"/>
        <s v="TRANS-0282"/>
        <s v="TRANS-0283"/>
        <s v="TRANS-0284"/>
        <s v="TRANS-0285"/>
        <s v="TRANS-0286"/>
        <s v="TRANS-0287"/>
        <s v="TRANS-0288"/>
        <s v="TRANS-0289"/>
        <s v="TRANS-0290"/>
        <s v="TRANS-0291"/>
        <s v="TRANS-0292"/>
        <s v="TRANS-0293"/>
        <s v="TRANS-0294"/>
        <s v="TRANS-0295"/>
        <s v="TRANS-0296"/>
        <s v="TRANS-0297"/>
        <s v="TRANS-0298"/>
        <s v="TRANS-0299"/>
        <s v="TRANS-0300"/>
        <s v="TRANS-0301"/>
        <s v="TRANS-0302"/>
        <s v="TRANS-0303"/>
        <s v="TRANS-0304"/>
        <s v="TRANS-0305"/>
        <s v="TRANS-0306"/>
        <s v="TRANS-0307"/>
        <s v="TRANS-0308"/>
        <s v="TRANS-0309"/>
        <s v="TRANS-0310"/>
        <s v="TRANS-0311"/>
        <s v="TRANS-0312"/>
        <s v="TRANS-0313"/>
        <s v="TRANS-0314"/>
        <s v="TRANS-0315"/>
        <s v="TRANS-0316"/>
        <s v="TRANS-0317"/>
        <s v="TRANS-0318"/>
        <s v="TRANS-0319"/>
        <s v="TRANS-0320"/>
        <s v="TRANS-0321"/>
        <s v="TRANS-0322"/>
        <s v="TRANS-0323"/>
        <s v="TRANS-0324"/>
        <s v="TRANS-0325"/>
        <s v="TRANS-0326"/>
        <s v="TRANS-0327"/>
        <s v="TRANS-0328"/>
        <s v="TRANS-0329"/>
        <s v="TRANS-0330"/>
        <s v="TRANS-0331"/>
        <s v="TRANS-0332"/>
        <s v="TRANS-0333"/>
        <s v="TRANS-0334"/>
        <s v="TRANS-0335"/>
        <s v="TRANS-0336"/>
        <s v="TRANS-0337"/>
        <s v="TRANS-0338"/>
        <s v="TRANS-0339"/>
        <s v="TRANS-0340"/>
        <s v="TRANS-0341"/>
        <s v="TRANS-0342"/>
        <s v="TRANS-0343"/>
        <s v="TRANS-0344"/>
        <s v="TRANS-0345"/>
        <s v="TRANS-0346"/>
        <s v="TRANS-0347"/>
        <s v="TRANS-0348"/>
        <s v="TRANS-0349"/>
        <s v="TRANS-0350"/>
        <s v="TRANS-0351"/>
        <s v="TRANS-0352"/>
        <s v="TRANS-0353"/>
        <s v="TRANS-0354"/>
        <s v="TRANS-0355"/>
        <s v="TRANS-0356"/>
        <s v="TRANS-0357"/>
        <s v="TRANS-0358"/>
        <s v="TRANS-0359"/>
        <s v="TRANS-0360"/>
        <s v="TRANS-0361"/>
        <s v="TRANS-0362"/>
        <s v="TRANS-0363"/>
        <s v="TRANS-0364"/>
        <s v="TRANS-0365"/>
        <s v="TRANS-0366"/>
        <s v="TRANS-0367"/>
        <s v="TRANS-0368"/>
        <s v="TRANS-0369"/>
        <s v="TRANS-0370"/>
        <s v="TRANS-0371"/>
        <s v="TRANS-0372"/>
        <s v="TRANS-0373"/>
        <s v="TRANS-0374"/>
        <s v="TRANS-0375"/>
        <s v="TRANS-0376"/>
        <s v="TRANS-0377"/>
        <s v="TRANS-0378"/>
        <s v="TRANS-0379"/>
        <s v="TRANS-0380"/>
        <s v="TRANS-0381"/>
        <s v="TRANS-0382"/>
        <s v="TRANS-0383"/>
        <s v="TRANS-0384"/>
        <s v="TRANS-0385"/>
        <s v="TRANS-0386"/>
        <s v="TRANS-0387"/>
        <s v="TRANS-0388"/>
        <s v="TRANS-0389"/>
        <s v="TRANS-0390"/>
        <s v="TRANS-0391"/>
        <s v="TRANS-0392"/>
        <s v="TRANS-0393"/>
        <s v="TRANS-0394"/>
        <s v="TRANS-0395"/>
        <s v="TRANS-0396"/>
        <s v="TRANS-0397"/>
        <s v="TRANS-0398"/>
        <s v="TRANS-0399"/>
        <s v="TRANS-0400"/>
        <s v="TRANS-0401"/>
        <s v="TRANS-0402"/>
        <s v="TRANS-0403"/>
        <s v="TRANS-0404"/>
        <s v="TRANS-0405"/>
        <s v="TRANS-0406"/>
        <s v="TRANS-0407"/>
        <s v="TRANS-0408"/>
        <s v="TRANS-0409"/>
        <s v="TRANS-0410"/>
        <s v="TRANS-0411"/>
        <s v="TRANS-0412"/>
        <s v="TRANS-0413"/>
        <s v="TRANS-0414"/>
        <s v="TRANS-0415"/>
        <s v="TRANS-0416"/>
        <s v="TRANS-0417"/>
        <s v="TRANS-0418"/>
        <s v="TRANS-0419"/>
        <s v="TRANS-0420"/>
        <s v="TRANS-0421"/>
        <s v="TRANS-0422"/>
        <s v="TRANS-0423"/>
        <s v="TRANS-0424"/>
        <s v="TRANS-0425"/>
        <s v="TRANS-0426"/>
        <s v="TRANS-0427"/>
        <s v="TRANS-0428"/>
        <s v="TRANS-0429"/>
        <s v="TRANS-0430"/>
        <s v="TRANS-0431"/>
        <s v="TRANS-0432"/>
        <s v="TRANS-0433"/>
        <s v="TRANS-0434"/>
        <s v="TRANS-0435"/>
        <s v="TRANS-0436"/>
        <s v="TRANS-0437"/>
        <s v="TRANS-0438"/>
        <s v="TRANS-0439"/>
        <s v="TRANS-0440"/>
        <s v="TRANS-0441"/>
        <s v="TRANS-0442"/>
        <s v="TRANS-0443"/>
        <s v="TRANS-0444"/>
        <s v="TRANS-0445"/>
        <s v="TRANS-0446"/>
        <s v="TRANS-0447"/>
        <s v="TRANS-0448"/>
        <s v="TRANS-0449"/>
        <s v="TRANS-0450"/>
        <s v="TRANS-0451"/>
        <s v="TRANS-0452"/>
        <s v="TRANS-0453"/>
        <s v="TRANS-0454"/>
        <s v="TRANS-0455"/>
        <s v="TRANS-0456"/>
        <s v="TRANS-0457"/>
        <s v="TRANS-0458"/>
        <s v="TRANS-0459"/>
        <s v="TRANS-0460"/>
        <s v="TRANS-0461"/>
        <s v="TRANS-0462"/>
        <s v="TRANS-0463"/>
        <s v="TRANS-0464"/>
        <s v="TRANS-0465"/>
        <s v="TRANS-0466"/>
        <s v="TRANS-0467"/>
        <s v="TRANS-0468"/>
        <s v="TRANS-0469"/>
        <s v="TRANS-0470"/>
        <s v="TRANS-0471"/>
        <s v="TRANS-0472"/>
        <s v="TRANS-0473"/>
        <s v="TRANS-0474"/>
        <s v="TRANS-0475"/>
        <s v="TRANS-0476"/>
        <s v="TRANS-0477"/>
        <s v="TRANS-0478"/>
        <s v="TRANS-0479"/>
        <s v="TRANS-0480"/>
        <s v="TRANS-0481"/>
        <s v="TRANS-0482"/>
        <s v="TRANS-0483"/>
        <s v="TRANS-0484"/>
        <s v="TRANS-0485"/>
        <s v="TRANS-0486"/>
        <s v="TRANS-0487"/>
        <s v="TRANS-0488"/>
        <s v="TRANS-0489"/>
        <s v="TRANS-0490"/>
        <s v="TRANS-0491"/>
        <s v="TRANS-0492"/>
        <s v="TRANS-0493"/>
        <s v="TRANS-0494"/>
        <s v="TRANS-0495"/>
        <s v="TRANS-0496"/>
        <s v="TRANS-0497"/>
        <s v="TRANS-0498"/>
        <s v="TRANS-0499"/>
        <s v="TRANS-0500"/>
        <s v="TRANS-0501"/>
        <s v="TRANS-0502"/>
        <s v="TRANS-0503"/>
        <s v="TRANS-0504"/>
        <s v="TRANS-0505"/>
        <s v="TRANS-0506"/>
        <s v="TRANS-0507"/>
        <s v="TRANS-0508"/>
        <s v="TRANS-0509"/>
        <s v="TRANS-0510"/>
        <s v="TRANS-0511"/>
        <s v="TRANS-0512"/>
        <s v="TRANS-0513"/>
        <s v="TRANS-0514"/>
        <s v="TRANS-0515"/>
        <s v="TRANS-0516"/>
        <s v="TRANS-0517"/>
        <s v="TRANS-0518"/>
        <s v="TRANS-0519"/>
        <s v="TRANS-0520"/>
        <s v="TRANS-0521"/>
        <s v="TRANS-0522"/>
        <s v="TRANS-0523"/>
        <s v="TRANS-0524"/>
        <s v="TRANS-0525"/>
        <s v="TRANS-0526"/>
        <s v="TRANS-0527"/>
        <s v="TRANS-0528"/>
        <s v="TRANS-0529"/>
        <s v="TRANS-0530"/>
        <s v="TRANS-0531"/>
        <s v="TRANS-0532"/>
        <s v="TRANS-0533"/>
        <s v="TRANS-0534"/>
        <s v="TRANS-0535"/>
        <s v="TRANS-0536"/>
        <s v="TRANS-0537"/>
        <s v="TRANS-0538"/>
        <s v="TRANS-0539"/>
        <s v="TRANS-0540"/>
        <s v="TRANS-0541"/>
        <s v="TRANS-0542"/>
        <s v="TRANS-0543"/>
        <s v="TRANS-0544"/>
        <s v="TRANS-0545"/>
        <s v="TRANS-0546"/>
        <s v="TRANS-0547"/>
        <s v="TRANS-0548"/>
        <s v="TRANS-0549"/>
        <s v="TRANS-0550"/>
        <s v="TRANS-0551"/>
        <s v="TRANS-0552"/>
        <s v="TRANS-0553"/>
        <s v="TRANS-0554"/>
        <s v="TRANS-0555"/>
        <s v="TRANS-0556"/>
        <s v="TRANS-0557"/>
        <s v="TRANS-0558"/>
        <s v="TRANS-0559"/>
        <s v="TRANS-0560"/>
        <s v="TRANS-0561"/>
        <s v="TRANS-0562"/>
        <s v="TRANS-0563"/>
        <s v="TRANS-0564"/>
        <s v="TRANS-0565"/>
        <s v="TRANS-0566"/>
        <s v="TRANS-0567"/>
        <s v="TRANS-0568"/>
        <s v="TRANS-0569"/>
        <s v="TRANS-0570"/>
        <s v="TRANS-0571"/>
        <s v="TRANS-0572"/>
        <s v="TRANS-0573"/>
        <s v="TRANS-0574"/>
        <s v="TRANS-0575"/>
        <s v="TRANS-0576"/>
        <s v="TRANS-0577"/>
        <s v="TRANS-0578"/>
        <s v="TRANS-0579"/>
        <s v="TRANS-0580"/>
        <s v="TRANS-0581"/>
        <s v="TRANS-0582"/>
        <s v="TRANS-0583"/>
        <s v="TRANS-0584"/>
        <s v="TRANS-0585"/>
        <s v="TRANS-0586"/>
        <s v="TRANS-0587"/>
        <s v="TRANS-0588"/>
        <s v="TRANS-0589"/>
        <s v="TRANS-0590"/>
        <s v="TRANS-0591"/>
        <s v="TRANS-0592"/>
        <s v="TRANS-0593"/>
        <s v="TRANS-0594"/>
        <s v="TRANS-0595"/>
        <s v="TRANS-0596"/>
        <s v="TRANS-0597"/>
        <s v="TRANS-0598"/>
        <s v="TRANS-0599"/>
        <s v="TRANS-0600"/>
        <s v="TRANS-0601"/>
        <s v="TRANS-0602"/>
        <s v="TRANS-0603"/>
        <s v="TRANS-0604"/>
        <s v="TRANS-0605"/>
        <s v="TRANS-0606"/>
        <s v="TRANS-0607"/>
        <s v="TRANS-0608"/>
        <s v="TRANS-0609"/>
        <s v="TRANS-0610"/>
        <s v="TRANS-0611"/>
        <s v="TRANS-0612"/>
        <s v="TRANS-0613"/>
        <s v="TRANS-0614"/>
        <s v="TRANS-0615"/>
        <s v="TRANS-0616"/>
        <s v="TRANS-0617"/>
        <s v="TRANS-0618"/>
        <s v="TRANS-0619"/>
        <s v="TRANS-0620"/>
        <s v="TRANS-0621"/>
        <s v="TRANS-0622"/>
        <s v="TRANS-0623"/>
        <s v="TRANS-0624"/>
        <s v="TRANS-0625"/>
        <s v="TRANS-0626"/>
        <s v="TRANS-0627"/>
        <s v="TRANS-0628"/>
        <s v="TRANS-0629"/>
        <s v="TRANS-0630"/>
        <s v="TRANS-0631"/>
        <s v="TRANS-0632"/>
        <s v="TRANS-0633"/>
        <s v="TRANS-0634"/>
        <s v="TRANS-0635"/>
        <s v="TRANS-0636"/>
        <s v="TRANS-0637"/>
        <s v="TRANS-0638"/>
        <s v="TRANS-0639"/>
        <s v="TRANS-0640"/>
        <s v="TRANS-0641"/>
        <s v="TRANS-0642"/>
        <s v="TRANS-0643"/>
        <s v="TRANS-0644"/>
        <s v="TRANS-0645"/>
        <s v="TRANS-0646"/>
        <s v="TRANS-0647"/>
        <s v="TRANS-0648"/>
        <s v="TRANS-0649"/>
        <s v="TRANS-0650"/>
        <s v="TRANS-0651"/>
        <s v="TRANS-0652"/>
        <s v="TRANS-0653"/>
        <s v="TRANS-0654"/>
        <s v="TRANS-0655"/>
        <s v="TRANS-0656"/>
        <s v="TRANS-0657"/>
        <s v="TRANS-0658"/>
        <s v="TRANS-0659"/>
        <s v="TRANS-0660"/>
        <s v="TRANS-0661"/>
        <s v="TRANS-0662"/>
        <s v="TRANS-0663"/>
        <s v="TRANS-0664"/>
        <s v="TRANS-0665"/>
        <s v="TRANS-0666"/>
        <s v="TRANS-0667"/>
        <s v="TRANS-0668"/>
        <s v="TRANS-0669"/>
        <s v="TRANS-0670"/>
        <s v="TRANS-0671"/>
        <s v="TRANS-0672"/>
        <s v="TRANS-0673"/>
        <s v="TRANS-0674"/>
        <s v="TRANS-0675"/>
        <s v="TRANS-0676"/>
        <s v="TRANS-0677"/>
        <s v="TRANS-0678"/>
        <s v="TRANS-0679"/>
        <s v="TRANS-0680"/>
        <s v="TRANS-0681"/>
        <s v="TRANS-0682"/>
        <s v="TRANS-0683"/>
        <s v="TRANS-0684"/>
        <s v="TRANS-0685"/>
        <s v="TRANS-0686"/>
        <s v="TRANS-0687"/>
        <s v="TRANS-0688"/>
        <s v="TRANS-0689"/>
        <s v="TRANS-0690"/>
        <s v="TRANS-0691"/>
        <s v="TRANS-0692"/>
        <s v="TRANS-0693"/>
        <s v="TRANS-0694"/>
        <s v="TRANS-0695"/>
        <s v="TRANS-0696"/>
        <s v="TRANS-0697"/>
        <s v="TRANS-0698"/>
        <s v="TRANS-0699"/>
        <s v="TRANS-0700"/>
        <s v="TRANS-0701"/>
        <s v="TRANS-0702"/>
        <s v="TRANS-0703"/>
        <s v="TRANS-0704"/>
        <s v="TRANS-0705"/>
        <s v="TRANS-0706"/>
        <s v="TRANS-0707"/>
        <s v="TRANS-0708"/>
        <s v="TRANS-0709"/>
        <s v="TRANS-0710"/>
        <s v="TRANS-0711"/>
        <s v="TRANS-0712"/>
        <s v="TRANS-0713"/>
        <s v="TRANS-0714"/>
        <s v="TRANS-0715"/>
        <s v="TRANS-0716"/>
        <s v="TRANS-0717"/>
        <s v="TRANS-0718"/>
        <s v="TRANS-0719"/>
        <s v="TRANS-0720"/>
        <s v="TRANS-0721"/>
        <s v="TRANS-0722"/>
        <s v="TRANS-0723"/>
        <s v="TRANS-0724"/>
        <s v="TRANS-0725"/>
        <s v="TRANS-0726"/>
        <s v="TRANS-0727"/>
        <s v="TRANS-0728"/>
        <s v="TRANS-0729"/>
        <s v="TRANS-0730"/>
        <s v="TRANS-0731"/>
        <s v="TRANS-0732"/>
        <s v="TRANS-0733"/>
        <s v="TRANS-0734"/>
        <s v="TRANS-0735"/>
        <s v="TRANS-0736"/>
        <s v="TRANS-0737"/>
        <s v="TRANS-0738"/>
        <s v="TRANS-0739"/>
        <s v="TRANS-0740"/>
        <s v="TRANS-0741"/>
        <s v="TRANS-0742"/>
        <s v="TRANS-0743"/>
        <s v="TRANS-0744"/>
        <s v="TRANS-0745"/>
        <s v="TRANS-0746"/>
        <s v="TRANS-0747"/>
        <s v="TRANS-0748"/>
        <s v="TRANS-0749"/>
        <s v="TRANS-0750"/>
        <s v="TRANS-0751"/>
        <s v="TRANS-0752"/>
        <s v="TRANS-0753"/>
        <s v="TRANS-0754"/>
        <s v="TRANS-0755"/>
        <s v="TRANS-0756"/>
        <s v="TRANS-0757"/>
        <s v="TRANS-0758"/>
        <s v="TRANS-0759"/>
        <s v="TRANS-0760"/>
        <s v="TRANS-0761"/>
        <s v="TRANS-0762"/>
        <s v="TRANS-0763"/>
        <s v="TRANS-0764"/>
        <s v="TRANS-0765"/>
        <s v="TRANS-0766"/>
        <s v="TRANS-0767"/>
        <s v="TRANS-0768"/>
        <s v="TRANS-0769"/>
        <s v="TRANS-0770"/>
        <s v="TRANS-0771"/>
        <s v="TRANS-0772"/>
        <s v="TRANS-0773"/>
        <s v="TRANS-0774"/>
        <s v="TRANS-0775"/>
        <s v="TRANS-0776"/>
        <s v="TRANS-0777"/>
        <s v="TRANS-0778"/>
        <s v="TRANS-0779"/>
        <s v="TRANS-0780"/>
        <s v="TRANS-0781"/>
        <s v="TRANS-0782"/>
        <s v="TRANS-0783"/>
        <s v="TRANS-0784"/>
        <s v="TRANS-0785"/>
        <s v="TRANS-0786"/>
        <s v="TRANS-0787"/>
        <s v="TRANS-0788"/>
        <s v="TRANS-0789"/>
        <s v="TRANS-0790"/>
        <s v="TRANS-0791"/>
        <s v="TRANS-0792"/>
        <s v="TRANS-0793"/>
        <s v="TRANS-0794"/>
        <s v="TRANS-0795"/>
        <s v="TRANS-0796"/>
        <s v="TRANS-0797"/>
        <s v="TRANS-0798"/>
        <s v="TRANS-0799"/>
        <s v="TRANS-0800"/>
        <s v="TRANS-0801"/>
        <s v="TRANS-0802"/>
        <s v="TRANS-0803"/>
        <s v="TRANS-0804"/>
        <s v="TRANS-0805"/>
        <s v="TRANS-0806"/>
        <s v="TRANS-0807"/>
        <s v="TRANS-0808"/>
        <s v="TRANS-0809"/>
        <s v="TRANS-0810"/>
        <s v="TRANS-0811"/>
        <s v="TRANS-0812"/>
        <s v="TRANS-0813"/>
        <s v="TRANS-0814"/>
        <s v="TRANS-0815"/>
        <s v="TRANS-0816"/>
        <s v="TRANS-0817"/>
        <s v="TRANS-0818"/>
        <s v="TRANS-0819"/>
        <s v="TRANS-0820"/>
        <s v="TRANS-0821"/>
        <s v="TRANS-0822"/>
        <s v="TRANS-0823"/>
        <s v="TRANS-0824"/>
        <s v="TRANS-0825"/>
        <s v="TRANS-0826"/>
        <s v="TRANS-0827"/>
        <s v="TRANS-0828"/>
        <s v="TRANS-0829"/>
        <s v="TRANS-0830"/>
        <s v="TRANS-0831"/>
        <s v="TRANS-0832"/>
        <s v="TRANS-0833"/>
        <s v="TRANS-0834"/>
        <s v="TRANS-0835"/>
        <s v="TRANS-0836"/>
        <s v="TRANS-0837"/>
        <s v="TRANS-0838"/>
        <s v="TRANS-0839"/>
        <s v="TRANS-0840"/>
        <s v="TRANS-0841"/>
        <s v="TRANS-0842"/>
        <s v="TRANS-0843"/>
        <s v="TRANS-0844"/>
        <s v="TRANS-0845"/>
        <s v="TRANS-0846"/>
        <s v="TRANS-0847"/>
        <s v="TRANS-0848"/>
        <s v="TRANS-0849"/>
        <s v="TRANS-0850"/>
        <s v="TRANS-0851"/>
        <s v="TRANS-0852"/>
        <s v="TRANS-0853"/>
        <s v="TRANS-0854"/>
        <s v="TRANS-0855"/>
        <s v="TRANS-0856"/>
        <s v="TRANS-0857"/>
        <s v="TRANS-0858"/>
        <s v="TRANS-0859"/>
        <s v="TRANS-0860"/>
        <s v="TRANS-0861"/>
        <s v="TRANS-0862"/>
        <s v="TRANS-0863"/>
        <s v="TRANS-0864"/>
        <s v="TRANS-0865"/>
        <s v="TRANS-0866"/>
        <s v="TRANS-0867"/>
        <s v="TRANS-0868"/>
        <s v="TRANS-0869"/>
        <s v="TRANS-0870"/>
        <s v="TRANS-0871"/>
        <s v="TRANS-0872"/>
        <s v="TRANS-0873"/>
        <s v="TRANS-0874"/>
        <s v="TRANS-0875"/>
        <s v="TRANS-0876"/>
        <s v="TRANS-0877"/>
        <s v="TRANS-0878"/>
        <s v="TRANS-0879"/>
        <s v="TRANS-0880"/>
        <s v="TRANS-0881"/>
        <s v="TRANS-0882"/>
        <s v="TRANS-0883"/>
        <s v="TRANS-0884"/>
        <s v="TRANS-0885"/>
        <s v="TRANS-0886"/>
        <s v="TRANS-0887"/>
        <s v="TRANS-0888"/>
        <s v="TRANS-0889"/>
        <s v="TRANS-0890"/>
        <s v="TRANS-0891"/>
        <s v="TRANS-0892"/>
        <s v="TRANS-0893"/>
        <s v="TRANS-0894"/>
        <s v="TRANS-0895"/>
        <s v="TRANS-0896"/>
        <s v="TRANS-0897"/>
        <s v="TRANS-0898"/>
        <s v="TRANS-0899"/>
        <s v="TRANS-0900"/>
        <s v="TRANS-0901"/>
        <s v="TRANS-0902"/>
        <s v="TRANS-0903"/>
        <s v="TRANS-0904"/>
        <s v="TRANS-0905"/>
        <s v="TRANS-0906"/>
        <s v="TRANS-0907"/>
        <s v="TRANS-0908"/>
        <s v="TRANS-0909"/>
        <s v="TRANS-0910"/>
        <s v="TRANS-0911"/>
        <s v="TRANS-0912"/>
        <s v="TRANS-0913"/>
        <s v="TRANS-0914"/>
        <s v="TRANS-0915"/>
        <s v="TRANS-0916"/>
        <s v="TRANS-0917"/>
        <s v="TRANS-0918"/>
        <s v="TRANS-0919"/>
        <s v="TRANS-0920"/>
        <s v="TRANS-0921"/>
        <s v="TRANS-0922"/>
        <s v="TRANS-0923"/>
        <s v="TRANS-0924"/>
        <s v="TRANS-0925"/>
        <s v="TRANS-0926"/>
        <s v="TRANS-0927"/>
        <s v="TRANS-0928"/>
        <s v="TRANS-0929"/>
        <s v="TRANS-0930"/>
        <s v="TRANS-0931"/>
        <s v="TRANS-0932"/>
        <s v="TRANS-0933"/>
        <s v="TRANS-0934"/>
        <s v="TRANS-0935"/>
        <s v="TRANS-0936"/>
        <s v="TRANS-0937"/>
        <s v="TRANS-0938"/>
        <s v="TRANS-0939"/>
        <s v="TRANS-0940"/>
        <s v="TRANS-0941"/>
        <s v="TRANS-0942"/>
        <s v="TRANS-0943"/>
        <s v="TRANS-0944"/>
        <s v="TRANS-0945"/>
        <s v="TRANS-0946"/>
        <s v="TRANS-0947"/>
        <s v="TRANS-0948"/>
        <s v="TRANS-0949"/>
        <s v="TRANS-0950"/>
        <s v="TRANS-0951"/>
        <s v="TRANS-0952"/>
        <s v="TRANS-0953"/>
        <s v="TRANS-0954"/>
        <s v="TRANS-0955"/>
        <s v="TRANS-0956"/>
        <s v="TRANS-0957"/>
        <s v="TRANS-0958"/>
        <s v="TRANS-0959"/>
        <s v="TRANS-0960"/>
        <s v="TRANS-0961"/>
        <s v="TRANS-0962"/>
        <s v="TRANS-0963"/>
        <s v="TRANS-0964"/>
        <s v="TRANS-0965"/>
        <s v="TRANS-0966"/>
        <s v="TRANS-0967"/>
        <s v="TRANS-0968"/>
        <s v="TRANS-0969"/>
        <s v="TRANS-0970"/>
        <s v="TRANS-0971"/>
        <s v="TRANS-0972"/>
        <s v="TRANS-0973"/>
        <s v="TRANS-0974"/>
        <s v="TRANS-0975"/>
        <s v="TRANS-0976"/>
        <s v="TRANS-0977"/>
        <s v="TRANS-0978"/>
        <s v="TRANS-0979"/>
        <s v="TRANS-0980"/>
        <s v="TRANS-0981"/>
        <s v="TRANS-0982"/>
        <s v="TRANS-0983"/>
        <s v="TRANS-0984"/>
        <s v="TRANS-0985"/>
        <s v="TRANS-0986"/>
        <s v="TRANS-0987"/>
        <s v="TRANS-0988"/>
        <s v="TRANS-0989"/>
        <s v="TRANS-0990"/>
        <s v="TRANS-0991"/>
        <s v="TRANS-0992"/>
        <s v="TRANS-0993"/>
        <s v="TRANS-0994"/>
        <s v="TRANS-0995"/>
        <s v="TRANS-0996"/>
        <s v="TRANS-0997"/>
        <s v="TRANS-0998"/>
        <s v="TRANS-0999"/>
        <s v="TRANS-1000"/>
        <s v="TRANS-1001"/>
        <s v="TRANS-1002"/>
        <s v="TRANS-1003"/>
        <s v="TRANS-1004"/>
        <s v="TRANS-1005"/>
        <s v="TRANS-1006"/>
        <s v="TRANS-1007"/>
        <s v="TRANS-1008"/>
        <s v="TRANS-1009"/>
        <s v="TRANS-1010"/>
        <s v="TRANS-1011"/>
        <s v="TRANS-1012"/>
        <s v="TRANS-1013"/>
        <s v="TRANS-1014"/>
        <s v="TRANS-1015"/>
        <s v="TRANS-1016"/>
        <s v="TRANS-1017"/>
        <s v="TRANS-1018"/>
        <s v="TRANS-1019"/>
        <s v="TRANS-1020"/>
        <s v="TRANS-1021"/>
        <s v="TRANS-1022"/>
        <s v="TRANS-1023"/>
        <s v="TRANS-1024"/>
        <s v="TRANS-1025"/>
        <s v="TRANS-1026"/>
        <s v="TRANS-1027"/>
        <s v="TRANS-1028"/>
        <s v="TRANS-1029"/>
        <s v="TRANS-1030"/>
        <s v="TRANS-1031"/>
        <s v="TRANS-1032"/>
        <s v="TRANS-1033"/>
        <s v="TRANS-1034"/>
        <s v="TRANS-1035"/>
        <s v="TRANS-1036"/>
        <s v="TRANS-1037"/>
        <s v="TRANS-1038"/>
        <s v="TRANS-1039"/>
        <s v="TRANS-1040"/>
        <s v="TRANS-1041"/>
        <s v="TRANS-1042"/>
        <s v="TRANS-1043"/>
        <s v="TRANS-1044"/>
        <s v="TRANS-1045"/>
        <s v="TRANS-1046"/>
        <s v="TRANS-1047"/>
        <s v="TRANS-1048"/>
        <s v="TRANS-1049"/>
        <s v="TRANS-1050"/>
        <s v="TRANS-1051"/>
        <s v="TRANS-1052"/>
        <s v="TRANS-1053"/>
        <s v="TRANS-1054"/>
        <s v="TRANS-1055"/>
        <s v="TRANS-1056"/>
        <s v="TRANS-1057"/>
        <s v="TRANS-1058"/>
        <s v="TRANS-1059"/>
        <s v="TRANS-1060"/>
        <s v="TRANS-1061"/>
        <s v="TRANS-1062"/>
        <s v="TRANS-1063"/>
        <s v="TRANS-1064"/>
        <s v="TRANS-1065"/>
        <s v="TRANS-1066"/>
        <s v="TRANS-1067"/>
        <s v="TRANS-1068"/>
        <s v="TRANS-1069"/>
        <s v="TRANS-1070"/>
        <s v="TRANS-1071"/>
        <s v="TRANS-1072"/>
        <s v="TRANS-1073"/>
        <s v="TRANS-1074"/>
        <s v="TRANS-1075"/>
        <s v="TRANS-1076"/>
        <s v="TRANS-1077"/>
        <s v="TRANS-1078"/>
        <s v="TRANS-1079"/>
        <s v="TRANS-1080"/>
        <s v="TRANS-1081"/>
        <s v="TRANS-1082"/>
        <s v="TRANS-1083"/>
        <s v="TRANS-1084"/>
        <s v="TRANS-1085"/>
        <s v="TRANS-1086"/>
        <s v="TRANS-1087"/>
        <s v="TRANS-1088"/>
        <s v="TRANS-1089"/>
        <s v="TRANS-1090"/>
        <s v="TRANS-1091"/>
        <s v="TRANS-1092"/>
        <s v="TRANS-1093"/>
        <s v="TRANS-1094"/>
        <s v="TRANS-1095"/>
        <s v="TRANS-1096"/>
        <s v="TRANS-1097"/>
        <s v="TRANS-1098"/>
        <s v="TRANS-1099"/>
        <s v="TRANS-1100"/>
        <s v="TRANS-1101"/>
        <s v="TRANS-1102"/>
        <s v="TRANS-1103"/>
        <s v="TRANS-1104"/>
        <s v="TRANS-1105"/>
        <s v="TRANS-1106"/>
        <s v="TRANS-1107"/>
        <s v="TRANS-1108"/>
        <s v="TRANS-1109"/>
        <s v="TRANS-1110"/>
        <s v="TRANS-1111"/>
        <s v="TRANS-1112"/>
        <s v="TRANS-1113"/>
        <s v="TRANS-1114"/>
        <s v="TRANS-1115"/>
        <s v="TRANS-1116"/>
        <s v="TRANS-1117"/>
        <s v="TRANS-1118"/>
        <s v="TRANS-1119"/>
        <s v="TRANS-1120"/>
        <s v="TRANS-1121"/>
        <s v="TRANS-1122"/>
        <s v="TRANS-1123"/>
        <s v="TRANS-1124"/>
        <s v="TRANS-1125"/>
        <s v="TRANS-1126"/>
        <s v="TRANS-1127"/>
        <s v="TRANS-1128"/>
        <s v="TRANS-1129"/>
        <s v="TRANS-1130"/>
        <s v="TRANS-1131"/>
        <s v="TRANS-1132"/>
        <s v="TRANS-1133"/>
        <s v="TRANS-1134"/>
        <s v="TRANS-1135"/>
        <s v="TRANS-1136"/>
        <s v="TRANS-1137"/>
        <s v="TRANS-1138"/>
        <s v="TRANS-1139"/>
        <s v="TRANS-1140"/>
        <s v="TRANS-1141"/>
        <s v="TRANS-1142"/>
        <s v="TRANS-1143"/>
        <s v="TRANS-1144"/>
        <s v="TRANS-1145"/>
        <s v="TRANS-1146"/>
        <s v="TRANS-1147"/>
        <s v="TRANS-1148"/>
        <s v="TRANS-1149"/>
        <s v="TRANS-1150"/>
        <s v="TRANS-1151"/>
        <s v="TRANS-1152"/>
        <s v="TRANS-1153"/>
        <s v="TRANS-1154"/>
        <s v="TRANS-1155"/>
        <s v="TRANS-1156"/>
        <s v="TRANS-1157"/>
        <s v="TRANS-1158"/>
        <s v="TRANS-1159"/>
        <s v="TRANS-1160"/>
        <s v="TRANS-1161"/>
        <s v="TRANS-1162"/>
        <s v="TRANS-1163"/>
        <s v="TRANS-1164"/>
        <s v="TRANS-1165"/>
        <s v="TRANS-1166"/>
        <s v="TRANS-1167"/>
        <s v="TRANS-1168"/>
        <s v="TRANS-1169"/>
        <s v="TRANS-1170"/>
        <s v="TRANS-1171"/>
        <s v="TRANS-1172"/>
        <s v="TRANS-1173"/>
        <s v="TRANS-1174"/>
        <s v="TRANS-1175"/>
        <s v="TRANS-1176"/>
        <s v="TRANS-1177"/>
        <s v="TRANS-1178"/>
        <s v="TRANS-1179"/>
        <s v="TRANS-1180"/>
        <s v="TRANS-1181"/>
        <s v="TRANS-1182"/>
        <s v="TRANS-1183"/>
        <s v="TRANS-1184"/>
        <s v="TRANS-1185"/>
        <s v="TRANS-1186"/>
        <s v="TRANS-1187"/>
        <s v="TRANS-1188"/>
        <s v="TRANS-1189"/>
        <s v="TRANS-1190"/>
        <s v="TRANS-1191"/>
        <s v="TRANS-1192"/>
        <s v="TRANS-1193"/>
        <s v="TRANS-1194"/>
        <s v="TRANS-1195"/>
        <s v="TRANS-1196"/>
        <s v="TRANS-1197"/>
        <s v="TRANS-1198"/>
        <s v="TRANS-1199"/>
        <s v="TRANS-1200"/>
        <s v="TRANS-1201"/>
        <s v="TRANS-1202"/>
        <s v="TRANS-1203"/>
        <s v="TRANS-1204"/>
        <s v="TRANS-1205"/>
        <s v="TRANS-1206"/>
        <s v="TRANS-1207"/>
        <s v="TRANS-1208"/>
        <s v="TRANS-1209"/>
        <s v="TRANS-1210"/>
        <s v="TRANS-1211"/>
        <s v="TRANS-1212"/>
        <s v="TRANS-1213"/>
        <s v="TRANS-1214"/>
        <s v="TRANS-1215"/>
        <s v="TRANS-1216"/>
        <s v="TRANS-1217"/>
        <s v="TRANS-1218"/>
        <s v="TRANS-1219"/>
        <s v="TRANS-1220"/>
        <s v="TRANS-1221"/>
        <s v="TRANS-1222"/>
        <s v="TRANS-1223"/>
        <s v="TRANS-1224"/>
        <s v="TRANS-1225"/>
        <s v="TRANS-1226"/>
        <s v="TRANS-1227"/>
        <s v="TRANS-1228"/>
        <s v="TRANS-1229"/>
        <s v="TRANS-1230"/>
        <s v="TRANS-1231"/>
        <s v="TRANS-1232"/>
        <s v="TRANS-1233"/>
        <s v="TRANS-1234"/>
        <s v="TRANS-1235"/>
        <s v="TRANS-1236"/>
        <s v="TRANS-1237"/>
        <s v="TRANS-1238"/>
        <s v="TRANS-1239"/>
        <s v="TRANS-1240"/>
        <s v="TRANS-1241"/>
        <s v="TRANS-1242"/>
        <s v="TRANS-1243"/>
        <s v="TRANS-1244"/>
        <s v="TRANS-1245"/>
        <s v="TRANS-1246"/>
        <s v="TRANS-1247"/>
        <s v="TRANS-1248"/>
        <s v="TRANS-1249"/>
        <s v="TRANS-1250"/>
        <s v="TRANS-1251"/>
        <s v="TRANS-1252"/>
        <s v="TRANS-1253"/>
        <s v="TRANS-1254"/>
        <s v="TRANS-1255"/>
        <s v="TRANS-1256"/>
        <s v="TRANS-1257"/>
        <s v="TRANS-1258"/>
        <s v="TRANS-1259"/>
        <s v="TRANS-1260"/>
        <s v="TRANS-1261"/>
        <s v="TRANS-1262"/>
        <s v="TRANS-1263"/>
        <s v="TRANS-1264"/>
        <s v="TRANS-1265"/>
        <s v="TRANS-1266"/>
        <s v="TRANS-1267"/>
        <s v="TRANS-1268"/>
        <s v="TRANS-1269"/>
        <s v="TRANS-1270"/>
        <s v="TRANS-1271"/>
        <s v="TRANS-1272"/>
        <s v="TRANS-1273"/>
        <s v="TRANS-1274"/>
        <s v="TRANS-1275"/>
        <s v="TRANS-1276"/>
        <s v="TRANS-1277"/>
        <s v="TRANS-1278"/>
        <s v="TRANS-1279"/>
        <s v="TRANS-1280"/>
        <s v="TRANS-1281"/>
        <s v="TRANS-1282"/>
        <s v="TRANS-1283"/>
        <s v="TRANS-1284"/>
        <s v="TRANS-1285"/>
        <s v="TRANS-1286"/>
        <s v="TRANS-1287"/>
        <s v="TRANS-1288"/>
        <s v="TRANS-1289"/>
        <s v="TRANS-1290"/>
        <s v="TRANS-1291"/>
        <s v="TRANS-1292"/>
        <s v="TRANS-1293"/>
        <s v="TRANS-1294"/>
        <s v="TRANS-1295"/>
        <s v="TRANS-1296"/>
        <s v="TRANS-1297"/>
        <s v="TRANS-1298"/>
        <s v="TRANS-1299"/>
        <s v="TRANS-1300"/>
        <s v="TRANS-1301"/>
        <s v="TRANS-1302"/>
        <s v="TRANS-1303"/>
        <s v="TRANS-1304"/>
        <s v="TRANS-1305"/>
        <s v="TRANS-1306"/>
        <s v="TRANS-1307"/>
        <s v="TRANS-1308"/>
        <s v="TRANS-1309"/>
        <s v="TRANS-1310"/>
        <s v="TRANS-1311"/>
        <s v="TRANS-1312"/>
        <s v="TRANS-1313"/>
        <s v="TRANS-1314"/>
        <s v="TRANS-1315"/>
        <s v="TRANS-1316"/>
        <s v="TRANS-1317"/>
        <s v="TRANS-1318"/>
        <s v="TRANS-1319"/>
        <s v="TRANS-1320"/>
        <s v="TRANS-1321"/>
        <s v="TRANS-1322"/>
        <s v="TRANS-1323"/>
        <s v="TRANS-1324"/>
        <s v="TRANS-1325"/>
        <s v="TRANS-1326"/>
        <s v="TRANS-1327"/>
        <s v="TRANS-1328"/>
        <s v="TRANS-1329"/>
        <s v="TRANS-1330"/>
        <s v="TRANS-1331"/>
        <s v="TRANS-1332"/>
        <s v="TRANS-1333"/>
        <s v="TRANS-1334"/>
        <s v="TRANS-1335"/>
        <s v="TRANS-1336"/>
        <s v="TRANS-1337"/>
        <s v="TRANS-1338"/>
        <s v="TRANS-1339"/>
        <s v="TRANS-1340"/>
        <s v="TRANS-1341"/>
        <s v="TRANS-1342"/>
        <s v="TRANS-1343"/>
        <s v="TRANS-1344"/>
        <s v="TRANS-1345"/>
        <s v="TRANS-1346"/>
        <s v="TRANS-1347"/>
        <s v="TRANS-1348"/>
        <s v="TRANS-1349"/>
        <s v="TRANS-1350"/>
        <s v="TRANS-1351"/>
        <s v="TRANS-1352"/>
        <s v="TRANS-1353"/>
        <s v="TRANS-1354"/>
        <s v="TRANS-1355"/>
        <s v="TRANS-1356"/>
        <s v="TRANS-1357"/>
        <s v="TRANS-1358"/>
        <s v="TRANS-1359"/>
        <s v="TRANS-1360"/>
        <s v="TRANS-1361"/>
        <s v="TRANS-1362"/>
        <s v="TRANS-1363"/>
        <s v="TRANS-1364"/>
        <s v="TRANS-1365"/>
        <s v="TRANS-1366"/>
        <s v="TRANS-1367"/>
        <s v="TRANS-1368"/>
        <s v="TRANS-1369"/>
        <s v="TRANS-1370"/>
        <s v="TRANS-1371"/>
        <s v="TRANS-1372"/>
        <s v="TRANS-1373"/>
        <s v="TRANS-1374"/>
        <s v="TRANS-1375"/>
        <s v="TRANS-1376"/>
        <s v="TRANS-1377"/>
        <s v="TRANS-1378"/>
        <s v="TRANS-1379"/>
        <s v="TRANS-1380"/>
        <s v="TRANS-1381"/>
        <s v="TRANS-1382"/>
        <s v="TRANS-1383"/>
        <s v="TRANS-1384"/>
        <s v="TRANS-1385"/>
        <s v="TRANS-1386"/>
        <s v="TRANS-1387"/>
        <s v="TRANS-1388"/>
        <s v="TRANS-1389"/>
        <s v="TRANS-1390"/>
        <s v="TRANS-1391"/>
        <s v="TRANS-1392"/>
        <s v="TRANS-1393"/>
        <s v="TRANS-1394"/>
        <s v="TRANS-1395"/>
        <s v="TRANS-1396"/>
        <s v="TRANS-1397"/>
        <s v="TRANS-1398"/>
        <s v="TRANS-1399"/>
        <s v="TRANS-1400"/>
        <s v="TRANS-1401"/>
        <s v="TRANS-1402"/>
        <s v="TRANS-1403"/>
        <s v="TRANS-1404"/>
        <s v="TRANS-1405"/>
        <s v="TRANS-1406"/>
        <s v="TRANS-1407"/>
        <s v="TRANS-1408"/>
        <s v="TRANS-1409"/>
        <s v="TRANS-1410"/>
        <s v="TRANS-1411"/>
        <s v="TRANS-1412"/>
        <s v="TRANS-1413"/>
        <s v="TRANS-1414"/>
        <s v="TRANS-1415"/>
        <s v="TRANS-1416"/>
        <s v="TRANS-1417"/>
        <s v="TRANS-1418"/>
        <s v="TRANS-1419"/>
        <s v="TRANS-1420"/>
        <s v="TRANS-1421"/>
        <s v="TRANS-1422"/>
        <s v="TRANS-1423"/>
        <s v="TRANS-1424"/>
        <s v="TRANS-1425"/>
        <s v="TRANS-1426"/>
        <s v="TRANS-1427"/>
        <s v="TRANS-1428"/>
        <s v="TRANS-1429"/>
        <s v="TRANS-1430"/>
        <s v="TRANS-1431"/>
        <s v="TRANS-1432"/>
        <s v="TRANS-1433"/>
        <s v="TRANS-1434"/>
        <s v="TRANS-1435"/>
        <s v="TRANS-1436"/>
        <s v="TRANS-1437"/>
        <s v="TRANS-1438"/>
        <s v="TRANS-1439"/>
        <s v="TRANS-1440"/>
        <s v="TRANS-1441"/>
        <s v="TRANS-1442"/>
        <s v="TRANS-1443"/>
        <s v="TRANS-1444"/>
        <s v="TRANS-1445"/>
        <s v="TRANS-1446"/>
        <s v="TRANS-1447"/>
        <s v="TRANS-1448"/>
        <s v="TRANS-1449"/>
        <s v="TRANS-1450"/>
        <s v="TRANS-1451"/>
        <s v="TRANS-1452"/>
        <s v="TRANS-1453"/>
        <s v="TRANS-1454"/>
        <s v="TRANS-1455"/>
        <s v="TRANS-1456"/>
        <s v="TRANS-1457"/>
        <s v="TRANS-1458"/>
        <s v="TRANS-1459"/>
        <s v="TRANS-1460"/>
        <s v="TRANS-1461"/>
        <s v="TRANS-1462"/>
        <s v="TRANS-1463"/>
        <s v="TRANS-1464"/>
        <s v="TRANS-1465"/>
        <s v="TRANS-1466"/>
        <s v="TRANS-1467"/>
        <s v="TRANS-1468"/>
        <s v="TRANS-1469"/>
        <s v="TRANS-1470"/>
        <s v="TRANS-1471"/>
        <s v="TRANS-1472"/>
        <s v="TRANS-1473"/>
        <s v="TRANS-1474"/>
        <s v="TRANS-1475"/>
        <s v="TRANS-1476"/>
        <s v="TRANS-1477"/>
        <s v="TRANS-1478"/>
        <s v="TRANS-1479"/>
        <s v="TRANS-1480"/>
        <s v="TRANS-1481"/>
        <s v="TRANS-1482"/>
        <s v="TRANS-1483"/>
        <s v="TRANS-1484"/>
        <s v="TRANS-1485"/>
        <s v="TRANS-1486"/>
        <s v="TRANS-1487"/>
        <s v="TRANS-1488"/>
        <s v="TRANS-1489"/>
        <s v="TRANS-1490"/>
        <s v="TRANS-1491"/>
        <s v="TRANS-1492"/>
        <s v="TRANS-1493"/>
        <s v="TRANS-1494"/>
        <s v="TRANS-1495"/>
        <s v="TRANS-1496"/>
        <s v="TRANS-1497"/>
        <s v="TRANS-1498"/>
        <s v="TRANS-1499"/>
        <s v="TRANS-1500"/>
        <s v="TRANS-1501"/>
        <s v="TRANS-1502"/>
        <s v="TRANS-1503"/>
        <s v="TRANS-1504"/>
        <s v="TRANS-1505"/>
        <s v="TRANS-1506"/>
        <s v="TRANS-1507"/>
        <s v="TRANS-1508"/>
        <s v="TRANS-1509"/>
        <s v="TRANS-1510"/>
        <s v="TRANS-1511"/>
        <s v="TRANS-1512"/>
        <s v="TRANS-1513"/>
        <s v="TRANS-1514"/>
        <s v="TRANS-1515"/>
        <s v="TRANS-1516"/>
        <s v="TRANS-1517"/>
        <s v="TRANS-1518"/>
        <s v="TRANS-1519"/>
        <s v="TRANS-1520"/>
        <s v="TRANS-1521"/>
        <s v="TRANS-1522"/>
        <s v="TRANS-1523"/>
        <s v="TRANS-1524"/>
        <s v="TRANS-1525"/>
        <s v="TRANS-1526"/>
        <s v="TRANS-1527"/>
        <s v="TRANS-1528"/>
        <s v="TRANS-1529"/>
        <s v="TRANS-1530"/>
        <s v="TRANS-1531"/>
        <s v="TRANS-1532"/>
        <s v="TRANS-1533"/>
        <s v="TRANS-1534"/>
        <s v="TRANS-1535"/>
        <s v="TRANS-1536"/>
        <s v="TRANS-1537"/>
        <s v="TRANS-1538"/>
        <s v="TRANS-1539"/>
        <s v="TRANS-1540"/>
        <s v="TRANS-1541"/>
        <s v="TRANS-1542"/>
        <s v="TRANS-1543"/>
        <s v="TRANS-1544"/>
        <s v="TRANS-1545"/>
        <s v="TRANS-1546"/>
        <s v="TRANS-1547"/>
        <s v="TRANS-1548"/>
        <s v="TRANS-1549"/>
        <s v="TRANS-1550"/>
        <s v="TRANS-1551"/>
        <s v="TRANS-1552"/>
        <s v="TRANS-1553"/>
        <s v="TRANS-1554"/>
        <s v="TRANS-1555"/>
        <s v="TRANS-1556"/>
        <s v="TRANS-1557"/>
        <s v="TRANS-1558"/>
        <s v="TRANS-1559"/>
        <s v="TRANS-1560"/>
        <s v="TRANS-1561"/>
        <s v="TRANS-1562"/>
        <s v="TRANS-1563"/>
        <s v="TRANS-1564"/>
        <s v="TRANS-1565"/>
        <s v="TRANS-1566"/>
        <s v="TRANS-1567"/>
        <s v="TRANS-1568"/>
        <s v="TRANS-1569"/>
        <s v="TRANS-1570"/>
        <s v="TRANS-1571"/>
        <s v="TRANS-1572"/>
        <s v="TRANS-1573"/>
        <s v="TRANS-1574"/>
        <s v="TRANS-1575"/>
        <s v="TRANS-1576"/>
        <s v="TRANS-1577"/>
        <s v="TRANS-1578"/>
        <s v="TRANS-1579"/>
        <s v="TRANS-1580"/>
        <s v="TRANS-1581"/>
        <s v="TRANS-1582"/>
        <s v="TRANS-1583"/>
        <s v="TRANS-1584"/>
        <s v="TRANS-1585"/>
        <s v="TRANS-1586"/>
        <s v="TRANS-1587"/>
        <s v="TRANS-1588"/>
        <s v="TRANS-1589"/>
        <s v="TRANS-1590"/>
        <s v="TRANS-1591"/>
        <s v="TRANS-1592"/>
        <s v="TRANS-1593"/>
        <s v="TRANS-1594"/>
        <s v="TRANS-1595"/>
        <s v="TRANS-1596"/>
        <s v="TRANS-1597"/>
        <s v="TRANS-1598"/>
        <s v="TRANS-1599"/>
        <s v="TRANS-1600"/>
        <s v="TRANS-1601"/>
        <s v="TRANS-1602"/>
        <s v="TRANS-1603"/>
        <s v="TRANS-1604"/>
        <s v="TRANS-1605"/>
        <s v="TRANS-1606"/>
        <s v="TRANS-1607"/>
        <s v="TRANS-1608"/>
        <s v="TRANS-1609"/>
        <s v="TRANS-1610"/>
        <s v="TRANS-1611"/>
        <s v="TRANS-1612"/>
        <s v="TRANS-1613"/>
        <s v="TRANS-1614"/>
        <s v="TRANS-1615"/>
        <s v="TRANS-1616"/>
        <s v="TRANS-1617"/>
        <s v="TRANS-1618"/>
        <s v="TRANS-1619"/>
        <s v="TRANS-1620"/>
        <s v="TRANS-1621"/>
        <s v="TRANS-1622"/>
        <s v="TRANS-1623"/>
        <s v="TRANS-1624"/>
        <s v="TRANS-1625"/>
        <s v="TRANS-1626"/>
        <s v="TRANS-1627"/>
        <s v="TRANS-1628"/>
        <s v="TRANS-1629"/>
        <s v="TRANS-1630"/>
        <s v="TRANS-1631"/>
        <s v="TRANS-1632"/>
        <s v="TRANS-1633"/>
        <s v="TRANS-1634"/>
        <s v="TRANS-1635"/>
        <s v="TRANS-1636"/>
        <s v="TRANS-1637"/>
        <s v="TRANS-1638"/>
        <s v="TRANS-1639"/>
        <s v="TRANS-1640"/>
        <s v="TRANS-1641"/>
        <s v="TRANS-1642"/>
        <s v="TRANS-1643"/>
        <s v="TRANS-1644"/>
        <s v="TRANS-1645"/>
        <s v="TRANS-1646"/>
        <s v="TRANS-1647"/>
        <s v="TRANS-1648"/>
        <s v="TRANS-1649"/>
        <s v="TRANS-1650"/>
        <s v="TRANS-1651"/>
        <s v="TRANS-1652"/>
        <s v="TRANS-1653"/>
        <s v="TRANS-1654"/>
        <s v="TRANS-1655"/>
        <s v="TRANS-1656"/>
        <s v="TRANS-1657"/>
        <s v="TRANS-1658"/>
        <s v="TRANS-1659"/>
        <s v="TRANS-1660"/>
        <s v="TRANS-1661"/>
        <s v="TRANS-1662"/>
        <s v="TRANS-1663"/>
        <s v="TRANS-1664"/>
        <s v="TRANS-1665"/>
        <s v="TRANS-1666"/>
        <s v="TRANS-1667"/>
        <s v="TRANS-1668"/>
        <s v="TRANS-1669"/>
        <s v="TRANS-1670"/>
        <s v="TRANS-1671"/>
        <s v="TRANS-1672"/>
        <s v="TRANS-1673"/>
        <s v="TRANS-1674"/>
        <s v="TRANS-1675"/>
        <s v="TRANS-1676"/>
        <s v="TRANS-1677"/>
        <s v="TRANS-1678"/>
        <s v="TRANS-1679"/>
        <s v="TRANS-1680"/>
        <s v="TRANS-1681"/>
        <s v="TRANS-1682"/>
        <s v="TRANS-1683"/>
        <s v="TRANS-1684"/>
        <s v="TRANS-1685"/>
        <s v="TRANS-1686"/>
        <s v="TRANS-1687"/>
        <s v="TRANS-1688"/>
        <s v="TRANS-1689"/>
        <s v="TRANS-1690"/>
        <s v="TRANS-1691"/>
        <s v="TRANS-1692"/>
        <s v="TRANS-1693"/>
        <s v="TRANS-1694"/>
        <s v="TRANS-1695"/>
        <s v="TRANS-1696"/>
        <s v="TRANS-1697"/>
        <s v="TRANS-1698"/>
        <s v="TRANS-1699"/>
        <s v="TRANS-1700"/>
        <s v="TRANS-1701"/>
        <s v="TRANS-1702"/>
        <s v="TRANS-1703"/>
        <s v="TRANS-1704"/>
        <s v="TRANS-1705"/>
        <s v="TRANS-1706"/>
        <s v="TRANS-1707"/>
        <s v="TRANS-1708"/>
        <s v="TRANS-1709"/>
        <s v="TRANS-1710"/>
        <s v="TRANS-1711"/>
        <s v="TRANS-1712"/>
        <s v="TRANS-1713"/>
        <s v="TRANS-1714"/>
        <s v="TRANS-1715"/>
        <s v="TRANS-1716"/>
        <s v="TRANS-1717"/>
        <s v="TRANS-1718"/>
        <s v="TRANS-1719"/>
        <s v="TRANS-1720"/>
        <s v="TRANS-1721"/>
        <s v="TRANS-1722"/>
        <s v="TRANS-1723"/>
        <s v="TRANS-1724"/>
        <s v="TRANS-1725"/>
        <s v="TRANS-1726"/>
        <s v="TRANS-1727"/>
        <s v="TRANS-1728"/>
        <s v="TRANS-1729"/>
        <s v="TRANS-1730"/>
        <s v="TRANS-1731"/>
        <s v="TRANS-1732"/>
        <s v="TRANS-1733"/>
        <s v="TRANS-1734"/>
        <s v="TRANS-1735"/>
        <s v="TRANS-1736"/>
        <s v="TRANS-1737"/>
        <s v="TRANS-1738"/>
        <s v="TRANS-1739"/>
        <s v="TRANS-1740"/>
        <s v="TRANS-1741"/>
        <s v="TRANS-1742"/>
        <s v="TRANS-1743"/>
        <s v="TRANS-1744"/>
        <s v="TRANS-1745"/>
        <s v="TRANS-1746"/>
        <s v="TRANS-1747"/>
        <s v="TRANS-1748"/>
        <s v="TRANS-1749"/>
        <s v="TRANS-1750"/>
        <s v="TRANS-1751"/>
        <s v="TRANS-1752"/>
        <s v="TRANS-1753"/>
        <s v="TRANS-1754"/>
        <s v="TRANS-1755"/>
        <s v="TRANS-1756"/>
        <s v="TRANS-1757"/>
        <s v="TRANS-1758"/>
        <s v="TRANS-1759"/>
        <s v="TRANS-1760"/>
        <s v="TRANS-1761"/>
        <s v="TRANS-1762"/>
        <s v="TRANS-1763"/>
        <s v="TRANS-1764"/>
        <s v="TRANS-1765"/>
        <s v="TRANS-1766"/>
        <s v="TRANS-1767"/>
        <s v="TRANS-1768"/>
        <s v="TRANS-1769"/>
        <s v="TRANS-1770"/>
        <s v="TRANS-1771"/>
        <s v="TRANS-1772"/>
        <s v="TRANS-1773"/>
        <s v="TRANS-1774"/>
        <s v="TRANS-1775"/>
        <s v="TRANS-1776"/>
        <s v="TRANS-1777"/>
        <s v="TRANS-1778"/>
        <s v="TRANS-1779"/>
        <s v="TRANS-1780"/>
        <s v="TRANS-1781"/>
        <s v="TRANS-1782"/>
        <s v="TRANS-1783"/>
        <s v="TRANS-1784"/>
        <s v="TRANS-1785"/>
        <s v="TRANS-1786"/>
        <s v="TRANS-1787"/>
        <s v="TRANS-1788"/>
        <s v="TRANS-1789"/>
        <s v="TRANS-1790"/>
        <s v="TRANS-1791"/>
        <s v="TRANS-1792"/>
        <s v="TRANS-1793"/>
        <s v="TRANS-1794"/>
        <s v="TRANS-1795"/>
        <s v="TRANS-1796"/>
        <s v="TRANS-1797"/>
        <s v="TRANS-1798"/>
        <s v="TRANS-1799"/>
        <s v="TRANS-1800"/>
        <s v="TRANS-1801"/>
        <s v="TRANS-1802"/>
        <s v="TRANS-1803"/>
        <s v="TRANS-1804"/>
        <s v="TRANS-1805"/>
        <s v="TRANS-1806"/>
        <s v="TRANS-1807"/>
        <s v="TRANS-1808"/>
        <s v="TRANS-1809"/>
        <s v="TRANS-1810"/>
        <s v="TRANS-1811"/>
        <s v="TRANS-1812"/>
        <s v="TRANS-1813"/>
        <s v="TRANS-1814"/>
        <s v="TRANS-1815"/>
        <s v="TRANS-1816"/>
        <s v="TRANS-1817"/>
        <s v="TRANS-1818"/>
        <s v="TRANS-1819"/>
        <s v="TRANS-1820"/>
        <s v="TRANS-1821"/>
        <s v="TRANS-1822"/>
        <s v="TRANS-1823"/>
        <s v="TRANS-1824"/>
        <s v="TRANS-1825"/>
        <s v="TRANS-1826"/>
        <s v="TRANS-1827"/>
        <s v="TRANS-1828"/>
        <s v="TRANS-1829"/>
        <s v="TRANS-1830"/>
        <s v="TRANS-1831"/>
        <s v="TRANS-1832"/>
        <s v="TRANS-1833"/>
        <s v="TRANS-1834"/>
        <s v="TRANS-1835"/>
        <s v="TRANS-1836"/>
        <s v="TRANS-1837"/>
        <s v="TRANS-1838"/>
        <s v="TRANS-1839"/>
        <s v="TRANS-1840"/>
        <s v="TRANS-1841"/>
        <s v="TRANS-1842"/>
        <s v="TRANS-1843"/>
        <s v="TRANS-1844"/>
        <s v="TRANS-1845"/>
        <s v="TRANS-1846"/>
        <s v="TRANS-1847"/>
        <s v="TRANS-1848"/>
        <s v="TRANS-1849"/>
        <s v="TRANS-1850"/>
        <s v="TRANS-1851"/>
        <s v="TRANS-1852"/>
        <s v="TRANS-1853"/>
        <s v="TRANS-1854"/>
        <s v="TRANS-1855"/>
        <s v="TRANS-1856"/>
        <s v="TRANS-1857"/>
        <s v="TRANS-1858"/>
        <s v="TRANS-1859"/>
        <s v="TRANS-1860"/>
        <s v="TRANS-1861"/>
        <s v="TRANS-1862"/>
        <s v="TRANS-1863"/>
        <s v="TRANS-1864"/>
        <s v="TRANS-1865"/>
        <s v="TRANS-1866"/>
        <s v="TRANS-1867"/>
        <s v="TRANS-1868"/>
        <s v="TRANS-1869"/>
        <s v="TRANS-1870"/>
        <s v="TRANS-1871"/>
        <s v="TRANS-1872"/>
        <s v="TRANS-1873"/>
        <s v="TRANS-1874"/>
        <s v="TRANS-1875"/>
        <s v="TRANS-1876"/>
        <s v="TRANS-1877"/>
        <s v="TRANS-1878"/>
        <s v="TRANS-1879"/>
        <s v="TRANS-1880"/>
        <s v="TRANS-1881"/>
        <s v="TRANS-1882"/>
        <s v="TRANS-1883"/>
        <s v="TRANS-1884"/>
        <s v="TRANS-1885"/>
        <s v="TRANS-1886"/>
        <s v="TRANS-1887"/>
        <s v="TRANS-1888"/>
        <s v="TRANS-1889"/>
        <s v="TRANS-1890"/>
        <s v="TRANS-1891"/>
        <s v="TRANS-1892"/>
        <s v="TRANS-1893"/>
        <s v="TRANS-1894"/>
        <s v="TRANS-1895"/>
        <s v="TRANS-1896"/>
        <s v="TRANS-1897"/>
        <s v="TRANS-1898"/>
        <s v="TRANS-1899"/>
        <s v="TRANS-1900"/>
        <s v="TRANS-1901"/>
        <s v="TRANS-1902"/>
        <s v="TRANS-1903"/>
        <s v="TRANS-1904"/>
        <s v="TRANS-1905"/>
        <s v="TRANS-1906"/>
        <s v="TRANS-1907"/>
        <s v="TRANS-1908"/>
        <s v="TRANS-1909"/>
        <s v="TRANS-1910"/>
        <s v="TRANS-1911"/>
        <s v="TRANS-1912"/>
        <s v="TRANS-1913"/>
        <s v="TRANS-1914"/>
        <s v="TRANS-1915"/>
        <s v="TRANS-1916"/>
        <s v="TRANS-1917"/>
        <s v="TRANS-1918"/>
        <s v="TRANS-1919"/>
        <s v="TRANS-1920"/>
        <s v="TRANS-1921"/>
        <s v="TRANS-1922"/>
        <s v="TRANS-1923"/>
        <s v="TRANS-1924"/>
        <s v="TRANS-1925"/>
        <s v="TRANS-1926"/>
        <s v="TRANS-1927"/>
        <s v="TRANS-1928"/>
        <s v="TRANS-1929"/>
        <s v="TRANS-1930"/>
        <s v="TRANS-1931"/>
        <s v="TRANS-1932"/>
        <s v="TRANS-1933"/>
        <s v="TRANS-1934"/>
        <s v="TRANS-1935"/>
        <s v="TRANS-1936"/>
        <s v="TRANS-1937"/>
        <s v="TRANS-1938"/>
        <s v="TRANS-1939"/>
        <s v="TRANS-1940"/>
        <s v="TRANS-1941"/>
        <s v="TRANS-1942"/>
        <s v="TRANS-1943"/>
        <s v="TRANS-1944"/>
        <s v="TRANS-1945"/>
        <s v="TRANS-1946"/>
        <s v="TRANS-1947"/>
        <s v="TRANS-1948"/>
        <s v="TRANS-1949"/>
        <s v="TRANS-1950"/>
        <s v="TRANS-1951"/>
        <s v="TRANS-1952"/>
        <s v="TRANS-1953"/>
        <s v="TRANS-1954"/>
        <s v="TRANS-1955"/>
        <s v="TRANS-1956"/>
        <s v="TRANS-1957"/>
        <s v="TRANS-1958"/>
        <s v="TRANS-1959"/>
        <s v="TRANS-1960"/>
        <s v="TRANS-1961"/>
        <s v="TRANS-1962"/>
        <s v="TRANS-1963"/>
        <s v="TRANS-1964"/>
        <s v="TRANS-1965"/>
        <s v="TRANS-1966"/>
        <s v="TRANS-1967"/>
        <s v="TRANS-1968"/>
        <s v="TRANS-1969"/>
        <s v="TRANS-1970"/>
        <s v="TRANS-1971"/>
        <s v="TRANS-1972"/>
        <s v="TRANS-1973"/>
        <s v="TRANS-1974"/>
        <s v="TRANS-1975"/>
        <s v="TRANS-1976"/>
        <s v="TRANS-1977"/>
        <s v="TRANS-1978"/>
        <s v="TRANS-1979"/>
        <s v="TRANS-1980"/>
        <s v="TRANS-1981"/>
        <s v="TRANS-1982"/>
        <s v="TRANS-1983"/>
        <s v="TRANS-1984"/>
        <s v="TRANS-1985"/>
        <s v="TRANS-1986"/>
        <s v="TRANS-1987"/>
        <s v="TRANS-1988"/>
        <s v="TRANS-1989"/>
        <s v="TRANS-1990"/>
        <s v="TRANS-1991"/>
        <s v="TRANS-1992"/>
        <s v="TRANS-1993"/>
        <s v="TRANS-1994"/>
        <s v="TRANS-1995"/>
        <s v="TRANS-1996"/>
        <s v="TRANS-1997"/>
        <s v="TRANS-1998"/>
        <s v="TRANS-1999"/>
        <s v="TRANS-2000"/>
        <s v="TRANS-2001"/>
        <s v="TRANS-2002"/>
        <s v="TRANS-2003"/>
        <s v="TRANS-2004"/>
        <s v="TRANS-2005"/>
        <s v="TRANS-2006"/>
        <s v="TRANS-2007"/>
        <s v="TRANS-2008"/>
        <s v="TRANS-2009"/>
        <s v="TRANS-2010"/>
        <s v="TRANS-2011"/>
        <s v="TRANS-2012"/>
        <s v="TRANS-2013"/>
        <s v="TRANS-2014"/>
        <s v="TRANS-2015"/>
        <s v="TRANS-2016"/>
        <s v="TRANS-2017"/>
        <s v="TRANS-2018"/>
        <s v="TRANS-2019"/>
        <s v="TRANS-2020"/>
        <s v="TRANS-2021"/>
        <s v="TRANS-2022"/>
        <s v="TRANS-2023"/>
        <s v="TRANS-2024"/>
        <s v="TRANS-2025"/>
        <s v="TRANS-2026"/>
        <s v="TRANS-2027"/>
        <s v="TRANS-2028"/>
        <s v="TRANS-2029"/>
        <s v="TRANS-2030"/>
        <s v="TRANS-2031"/>
        <s v="TRANS-2032"/>
        <s v="TRANS-2033"/>
        <s v="TRANS-2034"/>
        <s v="TRANS-2035"/>
        <s v="TRANS-2036"/>
        <s v="TRANS-2037"/>
        <s v="TRANS-2038"/>
        <s v="TRANS-2039"/>
        <s v="TRANS-2040"/>
        <s v="TRANS-2041"/>
        <s v="TRANS-2042"/>
        <s v="TRANS-2043"/>
        <s v="TRANS-2044"/>
        <s v="TRANS-2045"/>
        <s v="TRANS-2046"/>
        <s v="TRANS-2047"/>
        <s v="TRANS-2048"/>
        <s v="TRANS-2049"/>
        <s v="TRANS-2050"/>
        <s v="TRANS-2051"/>
        <s v="TRANS-2052"/>
        <s v="TRANS-2053"/>
        <s v="TRANS-2054"/>
        <s v="TRANS-2055"/>
        <s v="TRANS-2056"/>
        <s v="TRANS-2057"/>
        <s v="TRANS-2058"/>
        <s v="TRANS-2059"/>
        <s v="TRANS-2060"/>
        <s v="TRANS-2061"/>
        <s v="TRANS-2062"/>
        <s v="TRANS-2063"/>
        <s v="TRANS-2064"/>
        <s v="TRANS-2065"/>
        <s v="TRANS-2066"/>
        <s v="TRANS-2067"/>
        <s v="TRANS-2068"/>
        <s v="TRANS-2069"/>
        <s v="TRANS-2070"/>
        <s v="TRANS-2071"/>
        <s v="TRANS-2072"/>
        <s v="TRANS-2073"/>
        <s v="TRANS-2074"/>
        <s v="TRANS-2075"/>
        <s v="TRANS-2076"/>
        <s v="TRANS-2077"/>
        <s v="TRANS-2078"/>
        <s v="TRANS-2079"/>
        <s v="TRANS-2080"/>
        <s v="TRANS-2081"/>
        <s v="TRANS-2082"/>
        <s v="TRANS-2083"/>
        <s v="TRANS-2084"/>
        <s v="TRANS-2085"/>
        <s v="TRANS-2086"/>
        <s v="TRANS-2087"/>
        <s v="TRANS-2088"/>
        <s v="TRANS-2089"/>
        <s v="TRANS-2090"/>
        <s v="TRANS-2091"/>
        <s v="TRANS-2092"/>
        <s v="TRANS-2093"/>
        <s v="TRANS-2094"/>
        <s v="TRANS-2095"/>
        <s v="TRANS-2096"/>
        <s v="TRANS-2097"/>
        <s v="TRANS-2098"/>
        <s v="TRANS-2099"/>
        <s v="TRANS-2100"/>
        <s v="TRANS-2101"/>
        <s v="TRANS-2102"/>
        <s v="TRANS-2103"/>
        <s v="TRANS-2104"/>
        <s v="TRANS-2105"/>
        <s v="TRANS-2106"/>
        <s v="TRANS-2107"/>
        <s v="TRANS-2108"/>
        <s v="TRANS-2109"/>
        <s v="TRANS-2110"/>
        <s v="TRANS-2111"/>
        <s v="TRANS-2112"/>
        <s v="TRANS-2113"/>
        <s v="TRANS-2114"/>
        <s v="TRANS-2115"/>
        <s v="TRANS-2116"/>
        <s v="TRANS-2117"/>
        <s v="TRANS-2118"/>
        <s v="TRANS-2119"/>
        <s v="TRANS-2120"/>
        <s v="TRANS-2121"/>
        <s v="TRANS-2122"/>
        <s v="TRANS-2123"/>
        <s v="TRANS-2124"/>
        <s v="TRANS-2125"/>
        <s v="TRANS-2126"/>
        <s v="TRANS-2127"/>
        <s v="TRANS-2128"/>
        <s v="TRANS-2129"/>
        <s v="TRANS-2130"/>
        <s v="TRANS-2131"/>
        <s v="TRANS-2132"/>
        <s v="TRANS-2133"/>
        <s v="TRANS-2134"/>
        <s v="TRANS-2135"/>
        <s v="TRANS-2136"/>
        <s v="TRANS-2137"/>
        <s v="TRANS-2138"/>
        <s v="TRANS-2139"/>
        <s v="TRANS-2140"/>
        <s v="TRANS-2141"/>
        <s v="TRANS-2142"/>
        <s v="TRANS-2143"/>
        <s v="TRANS-2144"/>
        <s v="TRANS-2145"/>
        <s v="TRANS-2146"/>
        <s v="TRANS-2147"/>
        <s v="TRANS-2148"/>
        <s v="TRANS-2149"/>
        <s v="TRANS-2150"/>
        <s v="TRANS-2151"/>
        <s v="TRANS-2152"/>
        <s v="TRANS-2153"/>
        <s v="TRANS-2154"/>
        <s v="TRANS-2155"/>
        <s v="TRANS-2156"/>
        <s v="TRANS-2157"/>
        <s v="TRANS-2158"/>
        <s v="TRANS-2159"/>
        <s v="TRANS-2160"/>
        <s v="TRANS-2161"/>
        <s v="TRANS-2162"/>
        <s v="TRANS-2163"/>
        <s v="TRANS-2164"/>
        <s v="TRANS-2165"/>
        <s v="TRANS-2166"/>
        <s v="TRANS-2167"/>
        <s v="TRANS-2168"/>
        <s v="TRANS-2169"/>
        <s v="TRANS-2170"/>
        <s v="TRANS-2171"/>
        <s v="TRANS-2172"/>
        <s v="TRANS-2173"/>
        <s v="TRANS-2174"/>
        <s v="TRANS-2175"/>
        <s v="TRANS-2176"/>
        <s v="TRANS-2177"/>
        <s v="TRANS-2178"/>
        <s v="TRANS-2179"/>
        <s v="TRANS-2180"/>
        <s v="TRANS-2181"/>
        <s v="TRANS-2182"/>
        <s v="TRANS-2183"/>
        <s v="TRANS-2184"/>
        <s v="TRANS-2185"/>
        <s v="TRANS-2186"/>
        <s v="TRANS-2187"/>
        <s v="TRANS-2188"/>
        <s v="TRANS-2189"/>
        <s v="TRANS-2190"/>
        <s v="TRANS-2191"/>
        <s v="TRANS-2192"/>
        <s v="TRANS-2193"/>
        <s v="TRANS-2194"/>
        <s v="TRANS-2195"/>
        <s v="TRANS-2196"/>
        <s v="TRANS-2197"/>
        <s v="TRANS-2198"/>
        <s v="TRANS-2199"/>
        <s v="TRANS-2200"/>
        <s v="TRANS-2201"/>
        <s v="TRANS-2202"/>
        <s v="TRANS-2203"/>
        <s v="TRANS-2204"/>
        <s v="TRANS-2205"/>
        <s v="TRANS-2206"/>
        <s v="TRANS-2207"/>
        <s v="TRANS-2208"/>
        <s v="TRANS-2209"/>
        <s v="TRANS-2210"/>
        <s v="TRANS-2211"/>
        <s v="TRANS-2212"/>
        <s v="TRANS-2213"/>
        <s v="TRANS-2214"/>
        <s v="TRANS-2215"/>
        <s v="TRANS-2216"/>
        <s v="TRANS-2217"/>
        <s v="TRANS-2218"/>
        <s v="TRANS-2219"/>
        <s v="TRANS-2220"/>
        <s v="TRANS-2221"/>
        <s v="TRANS-2222"/>
        <s v="TRANS-2223"/>
        <s v="TRANS-2224"/>
        <s v="TRANS-2225"/>
        <s v="TRANS-2226"/>
        <s v="TRANS-2227"/>
        <s v="TRANS-2228"/>
        <s v="TRANS-2229"/>
        <s v="TRANS-2230"/>
        <s v="TRANS-2231"/>
        <s v="TRANS-2232"/>
        <s v="TRANS-2233"/>
        <s v="TRANS-2234"/>
        <s v="TRANS-2235"/>
        <s v="TRANS-2236"/>
        <s v="TRANS-2237"/>
        <s v="TRANS-2238"/>
        <s v="TRANS-2239"/>
        <s v="TRANS-2240"/>
        <s v="TRANS-2241"/>
        <s v="TRANS-2242"/>
        <s v="TRANS-2243"/>
        <s v="TRANS-2244"/>
        <s v="TRANS-2245"/>
        <s v="TRANS-2246"/>
        <s v="TRANS-2247"/>
        <s v="TRANS-2248"/>
        <s v="TRANS-2249"/>
        <s v="TRANS-2250"/>
        <s v="TRANS-2251"/>
        <s v="TRANS-2252"/>
        <s v="TRANS-2253"/>
        <s v="TRANS-2254"/>
        <s v="TRANS-2255"/>
        <s v="TRANS-2256"/>
        <s v="TRANS-2257"/>
        <s v="TRANS-2258"/>
        <s v="TRANS-2259"/>
        <s v="TRANS-2260"/>
        <s v="TRANS-2261"/>
        <s v="TRANS-2262"/>
        <s v="TRANS-2263"/>
        <s v="TRANS-2264"/>
        <s v="TRANS-2265"/>
        <s v="TRANS-2266"/>
        <s v="TRANS-2267"/>
        <s v="TRANS-2268"/>
        <s v="TRANS-2269"/>
        <s v="TRANS-2270"/>
        <s v="TRANS-2271"/>
        <s v="TRANS-2272"/>
        <s v="TRANS-2273"/>
        <s v="TRANS-2274"/>
        <s v="TRANS-2275"/>
        <s v="TRANS-2276"/>
        <s v="TRANS-2277"/>
        <s v="TRANS-2278"/>
        <s v="TRANS-2279"/>
        <s v="TRANS-2280"/>
        <s v="TRANS-2281"/>
        <s v="TRANS-2282"/>
        <s v="TRANS-2283"/>
        <s v="TRANS-2284"/>
        <s v="TRANS-2285"/>
        <s v="TRANS-2286"/>
        <s v="TRANS-2287"/>
        <s v="TRANS-2288"/>
        <s v="TRANS-2289"/>
        <s v="TRANS-2290"/>
        <s v="TRANS-2291"/>
        <s v="TRANS-2292"/>
        <s v="TRANS-2293"/>
        <s v="TRANS-2294"/>
        <s v="TRANS-2295"/>
        <s v="TRANS-2296"/>
        <s v="TRANS-2297"/>
        <s v="TRANS-2298"/>
        <s v="TRANS-2299"/>
        <s v="TRANS-2300"/>
        <s v="TRANS-2301"/>
        <s v="TRANS-2302"/>
        <s v="TRANS-2303"/>
        <s v="TRANS-2304"/>
        <s v="TRANS-2305"/>
        <s v="TRANS-2306"/>
        <s v="TRANS-2307"/>
        <s v="TRANS-2308"/>
        <s v="TRANS-2309"/>
        <s v="TRANS-2310"/>
        <s v="TRANS-2311"/>
        <s v="TRANS-2312"/>
        <s v="TRANS-2313"/>
        <s v="TRANS-2314"/>
        <s v="TRANS-2315"/>
        <s v="TRANS-2316"/>
        <s v="TRANS-2317"/>
        <s v="TRANS-2318"/>
        <s v="TRANS-2319"/>
        <s v="TRANS-2320"/>
        <s v="TRANS-2321"/>
        <s v="TRANS-2322"/>
        <s v="TRANS-2323"/>
        <s v="TRANS-2324"/>
        <s v="TRANS-2325"/>
        <s v="TRANS-2326"/>
        <s v="TRANS-2327"/>
        <s v="TRANS-2328"/>
        <s v="TRANS-2329"/>
        <s v="TRANS-2330"/>
        <s v="TRANS-2331"/>
        <s v="TRANS-2332"/>
        <s v="TRANS-2333"/>
        <s v="TRANS-2334"/>
        <s v="TRANS-2335"/>
        <s v="TRANS-2336"/>
        <s v="TRANS-2337"/>
        <s v="TRANS-2338"/>
        <s v="TRANS-2339"/>
        <s v="TRANS-2340"/>
        <s v="TRANS-2341"/>
        <s v="TRANS-2342"/>
        <s v="TRANS-2343"/>
        <s v="TRANS-2344"/>
        <s v="TRANS-2345"/>
        <s v="TRANS-2346"/>
        <s v="TRANS-2347"/>
        <s v="TRANS-2348"/>
        <s v="TRANS-2349"/>
        <s v="TRANS-2350"/>
        <s v="TRANS-2351"/>
        <s v="TRANS-2352"/>
        <s v="TRANS-2353"/>
        <s v="TRANS-2354"/>
        <s v="TRANS-2355"/>
        <s v="TRANS-2356"/>
        <s v="TRANS-2357"/>
        <s v="TRANS-2358"/>
        <s v="TRANS-2359"/>
        <s v="TRANS-2360"/>
        <s v="TRANS-2361"/>
        <s v="TRANS-2362"/>
        <s v="TRANS-2363"/>
        <s v="TRANS-2364"/>
        <s v="TRANS-2365"/>
        <s v="TRANS-2366"/>
        <s v="TRANS-2367"/>
        <s v="TRANS-2368"/>
        <s v="TRANS-2369"/>
        <s v="TRANS-2370"/>
        <s v="TRANS-2371"/>
        <s v="TRANS-2372"/>
        <s v="TRANS-2373"/>
        <s v="TRANS-2374"/>
        <s v="TRANS-2375"/>
        <s v="TRANS-2376"/>
        <s v="TRANS-2377"/>
        <s v="TRANS-2378"/>
        <s v="TRANS-2379"/>
        <s v="TRANS-2380"/>
        <s v="TRANS-2381"/>
        <s v="TRANS-2382"/>
        <s v="TRANS-2383"/>
        <s v="TRANS-2384"/>
        <s v="TRANS-2385"/>
        <s v="TRANS-2386"/>
        <s v="TRANS-2387"/>
        <s v="TRANS-2388"/>
        <s v="TRANS-2389"/>
        <s v="TRANS-2390"/>
        <s v="TRANS-2391"/>
        <s v="TRANS-2392"/>
        <s v="TRANS-2393"/>
        <s v="TRANS-2394"/>
        <s v="TRANS-2395"/>
        <s v="TRANS-2396"/>
        <s v="TRANS-2397"/>
        <s v="TRANS-2398"/>
        <s v="TRANS-2399"/>
        <s v="TRANS-2400"/>
        <s v="TRANS-2401"/>
        <s v="TRANS-2402"/>
        <s v="TRANS-2403"/>
        <s v="TRANS-2404"/>
        <s v="TRANS-2405"/>
        <s v="TRANS-2406"/>
        <s v="TRANS-2407"/>
        <s v="TRANS-2408"/>
        <s v="TRANS-2409"/>
        <s v="TRANS-2410"/>
        <s v="TRANS-2411"/>
        <s v="TRANS-2412"/>
        <s v="TRANS-2413"/>
        <s v="TRANS-2414"/>
        <s v="TRANS-2415"/>
        <s v="TRANS-2416"/>
        <s v="TRANS-2417"/>
        <s v="TRANS-2418"/>
        <s v="TRANS-2419"/>
        <s v="TRANS-2420"/>
        <s v="TRANS-2421"/>
        <s v="TRANS-2422"/>
        <s v="TRANS-2423"/>
        <s v="TRANS-2424"/>
        <s v="TRANS-2425"/>
        <s v="TRANS-2426"/>
        <s v="TRANS-2427"/>
        <s v="TRANS-2428"/>
        <s v="TRANS-2429"/>
        <s v="TRANS-2430"/>
        <s v="TRANS-2431"/>
        <s v="TRANS-2432"/>
        <s v="TRANS-2433"/>
        <s v="TRANS-2434"/>
        <s v="TRANS-2435"/>
        <s v="TRANS-2436"/>
        <s v="TRANS-2437"/>
        <s v="TRANS-2438"/>
        <s v="TRANS-2439"/>
        <s v="TRANS-2440"/>
        <s v="TRANS-2441"/>
        <s v="TRANS-2442"/>
        <s v="TRANS-2443"/>
        <s v="TRANS-2444"/>
        <s v="TRANS-2445"/>
        <s v="TRANS-2446"/>
        <s v="TRANS-2447"/>
        <s v="TRANS-2448"/>
        <s v="TRANS-2449"/>
        <s v="TRANS-2450"/>
        <s v="TRANS-2451"/>
        <s v="TRANS-2452"/>
        <s v="TRANS-2453"/>
        <s v="TRANS-2454"/>
        <s v="TRANS-2455"/>
        <s v="TRANS-2456"/>
        <s v="TRANS-2457"/>
        <s v="TRANS-2458"/>
        <s v="TRANS-2459"/>
        <s v="TRANS-2460"/>
        <s v="TRANS-2461"/>
        <s v="TRANS-2462"/>
        <s v="TRANS-2463"/>
        <s v="TRANS-2464"/>
        <s v="TRANS-2465"/>
        <s v="TRANS-2466"/>
        <s v="TRANS-2467"/>
        <s v="TRANS-2468"/>
        <s v="TRANS-2469"/>
        <s v="TRANS-2470"/>
        <s v="TRANS-2471"/>
        <s v="TRANS-2472"/>
        <s v="TRANS-2473"/>
        <s v="TRANS-2474"/>
        <s v="TRANS-2475"/>
        <s v="TRANS-2476"/>
        <s v="TRANS-2477"/>
        <s v="TRANS-2478"/>
        <s v="TRANS-2479"/>
        <s v="TRANS-2480"/>
        <s v="TRANS-2481"/>
        <s v="TRANS-2482"/>
        <s v="TRANS-2483"/>
        <s v="TRANS-2484"/>
        <s v="TRANS-2485"/>
        <s v="TRANS-2486"/>
        <s v="TRANS-2487"/>
        <s v="TRANS-2488"/>
        <s v="TRANS-2489"/>
        <s v="TRANS-2490"/>
        <s v="TRANS-2491"/>
        <s v="TRANS-2492"/>
        <s v="TRANS-2493"/>
        <s v="TRANS-2494"/>
        <s v="TRANS-2495"/>
        <s v="TRANS-2496"/>
        <s v="TRANS-2497"/>
        <s v="TRANS-2498"/>
        <s v="TRANS-2499"/>
        <s v="TRANS-2500"/>
        <s v="TRANS-2501"/>
        <s v="TRANS-2502"/>
        <s v="TRANS-2503"/>
        <s v="TRANS-2504"/>
        <s v="TRANS-2505"/>
        <s v="TRANS-2506"/>
        <s v="TRANS-2507"/>
        <s v="TRANS-2508"/>
        <s v="TRANS-2509"/>
        <s v="TRANS-2510"/>
        <s v="TRANS-2511"/>
        <s v="TRANS-2512"/>
        <s v="TRANS-2513"/>
        <s v="TRANS-2514"/>
        <s v="TRANS-2515"/>
        <s v="TRANS-2516"/>
        <s v="TRANS-2517"/>
        <s v="TRANS-2518"/>
        <s v="TRANS-2519"/>
        <s v="TRANS-2520"/>
        <s v="TRANS-2521"/>
        <s v="TRANS-2522"/>
        <s v="TRANS-2523"/>
        <s v="TRANS-2524"/>
        <s v="TRANS-2525"/>
        <s v="TRANS-2526"/>
        <s v="TRANS-2527"/>
        <s v="TRANS-2528"/>
        <s v="TRANS-2529"/>
        <s v="TRANS-2530"/>
        <s v="TRANS-2531"/>
        <s v="TRANS-2532"/>
        <s v="TRANS-2533"/>
        <s v="TRANS-2534"/>
        <s v="TRANS-2535"/>
        <s v="TRANS-2536"/>
        <s v="TRANS-2537"/>
        <s v="TRANS-2538"/>
        <s v="TRANS-2539"/>
        <s v="TRANS-2540"/>
        <s v="TRANS-2541"/>
        <s v="TRANS-2542"/>
        <s v="TRANS-2543"/>
        <s v="TRANS-2544"/>
        <s v="TRANS-2545"/>
        <s v="TRANS-2546"/>
        <s v="TRANS-2547"/>
        <s v="TRANS-2548"/>
        <s v="TRANS-2549"/>
        <s v="TRANS-2550"/>
        <s v="TRANS-2551"/>
        <s v="TRANS-2552"/>
        <s v="TRANS-2553"/>
        <s v="TRANS-2554"/>
        <s v="TRANS-2555"/>
        <s v="TRANS-2556"/>
        <s v="TRANS-2557"/>
        <s v="TRANS-2558"/>
        <s v="TRANS-2559"/>
        <s v="TRANS-2560"/>
        <s v="TRANS-2561"/>
        <s v="TRANS-2562"/>
        <s v="TRANS-2563"/>
        <s v="TRANS-2564"/>
        <s v="TRANS-2565"/>
        <s v="TRANS-2566"/>
        <s v="TRANS-2567"/>
        <s v="TRANS-2568"/>
        <s v="TRANS-2569"/>
        <s v="TRANS-2570"/>
        <s v="TRANS-2571"/>
        <s v="TRANS-2572"/>
        <s v="TRANS-2573"/>
        <s v="TRANS-2574"/>
        <s v="TRANS-2575"/>
        <s v="TRANS-2576"/>
        <s v="TRANS-2577"/>
        <s v="TRANS-2578"/>
        <s v="TRANS-2579"/>
        <s v="TRANS-2580"/>
        <s v="TRANS-2581"/>
        <s v="TRANS-2582"/>
        <s v="TRANS-2583"/>
        <s v="TRANS-2584"/>
        <s v="TRANS-2585"/>
        <s v="TRANS-2586"/>
        <s v="TRANS-2587"/>
        <s v="TRANS-2588"/>
        <s v="TRANS-2589"/>
        <s v="TRANS-2590"/>
        <s v="TRANS-2591"/>
        <s v="TRANS-2592"/>
        <s v="TRANS-2593"/>
        <s v="TRANS-2594"/>
        <s v="TRANS-2595"/>
        <s v="TRANS-2596"/>
        <s v="TRANS-2597"/>
        <s v="TRANS-2598"/>
        <s v="TRANS-2599"/>
        <s v="TRANS-2600"/>
        <s v="TRANS-2601"/>
        <s v="TRANS-2602"/>
        <s v="TRANS-2603"/>
        <s v="TRANS-2604"/>
        <s v="TRANS-2605"/>
        <s v="TRANS-2606"/>
        <s v="TRANS-2607"/>
        <s v="TRANS-2608"/>
        <s v="TRANS-2609"/>
        <s v="TRANS-2610"/>
        <s v="TRANS-2611"/>
        <s v="TRANS-2612"/>
        <s v="TRANS-2613"/>
        <s v="TRANS-2614"/>
        <s v="TRANS-2615"/>
        <s v="TRANS-2616"/>
        <s v="TRANS-2617"/>
        <s v="TRANS-2618"/>
        <s v="TRANS-2619"/>
        <s v="TRANS-2620"/>
        <s v="TRANS-2621"/>
        <s v="TRANS-2622"/>
        <s v="TRANS-2623"/>
        <s v="TRANS-2624"/>
        <s v="TRANS-2625"/>
        <s v="TRANS-2626"/>
        <s v="TRANS-2627"/>
        <s v="TRANS-2628"/>
        <s v="TRANS-2629"/>
        <s v="TRANS-2630"/>
        <s v="TRANS-2631"/>
        <s v="TRANS-2632"/>
        <s v="TRANS-2633"/>
        <s v="TRANS-2634"/>
        <s v="TRANS-2635"/>
        <s v="TRANS-2636"/>
        <s v="TRANS-2637"/>
        <s v="TRANS-2638"/>
        <s v="TRANS-2639"/>
        <s v="TRANS-2640"/>
        <s v="TRANS-2641"/>
        <s v="TRANS-2642"/>
        <s v="TRANS-2643"/>
        <s v="TRANS-2644"/>
        <s v="TRANS-2645"/>
        <s v="TRANS-2646"/>
        <s v="TRANS-2647"/>
        <s v="TRANS-2648"/>
        <s v="TRANS-2649"/>
        <s v="TRANS-2650"/>
        <s v="TRANS-2651"/>
        <s v="TRANS-2652"/>
        <s v="TRANS-2653"/>
        <s v="TRANS-2654"/>
        <s v="TRANS-2655"/>
        <s v="TRANS-2656"/>
        <s v="TRANS-2657"/>
        <s v="TRANS-2658"/>
        <s v="TRANS-2659"/>
        <s v="TRANS-2660"/>
        <s v="TRANS-2661"/>
        <s v="TRANS-2662"/>
        <s v="TRANS-2663"/>
        <s v="TRANS-2664"/>
        <s v="TRANS-2665"/>
        <s v="TRANS-2666"/>
        <s v="TRANS-2667"/>
        <s v="TRANS-2668"/>
        <s v="TRANS-2669"/>
        <s v="TRANS-2670"/>
        <s v="TRANS-2671"/>
        <s v="TRANS-2672"/>
        <s v="TRANS-2673"/>
        <s v="TRANS-2674"/>
        <s v="TRANS-2675"/>
        <s v="TRANS-2676"/>
        <s v="TRANS-2677"/>
        <s v="TRANS-2678"/>
        <s v="TRANS-2679"/>
        <s v="TRANS-2680"/>
        <s v="TRANS-2681"/>
        <s v="TRANS-2682"/>
        <s v="TRANS-2683"/>
        <s v="TRANS-2684"/>
        <s v="TRANS-2685"/>
        <s v="TRANS-2686"/>
        <s v="TRANS-2687"/>
        <s v="TRANS-2688"/>
        <s v="TRANS-2689"/>
        <s v="TRANS-2690"/>
        <s v="TRANS-2691"/>
        <s v="TRANS-2692"/>
        <s v="TRANS-2693"/>
        <s v="TRANS-2694"/>
        <s v="TRANS-2695"/>
        <s v="TRANS-2696"/>
        <s v="TRANS-2697"/>
        <s v="TRANS-2698"/>
        <s v="TRANS-2699"/>
        <s v="TRANS-2700"/>
        <s v="TRANS-2701"/>
        <s v="TRANS-2702"/>
        <s v="TRANS-2703"/>
        <s v="TRANS-2704"/>
        <s v="TRANS-2705"/>
        <s v="TRANS-2706"/>
        <s v="TRANS-2707"/>
        <s v="TRANS-2708"/>
        <s v="TRANS-2709"/>
        <s v="TRANS-2710"/>
        <s v="TRANS-2711"/>
        <s v="TRANS-2712"/>
        <s v="TRANS-2713"/>
        <s v="TRANS-2714"/>
        <s v="TRANS-2715"/>
        <s v="TRANS-2716"/>
        <s v="TRANS-2717"/>
        <s v="TRANS-2718"/>
        <s v="TRANS-2719"/>
        <s v="TRANS-2720"/>
        <s v="TRANS-2721"/>
        <s v="TRANS-2722"/>
        <s v="TRANS-2723"/>
        <s v="TRANS-2724"/>
        <s v="TRANS-2725"/>
        <s v="TRANS-2726"/>
        <s v="TRANS-2727"/>
        <s v="TRANS-2728"/>
        <s v="TRANS-2729"/>
        <s v="TRANS-2730"/>
        <s v="TRANS-2731"/>
        <s v="TRANS-2732"/>
        <s v="TRANS-2733"/>
        <s v="TRANS-2734"/>
        <s v="TRANS-2735"/>
        <s v="TRANS-2736"/>
        <s v="TRANS-2737"/>
        <s v="TRANS-2738"/>
        <s v="TRANS-2739"/>
        <s v="TRANS-2740"/>
        <s v="TRANS-2741"/>
        <s v="TRANS-2742"/>
        <s v="TRANS-2743"/>
        <s v="TRANS-2744"/>
        <s v="TRANS-2745"/>
        <s v="TRANS-2746"/>
        <s v="TRANS-2747"/>
        <s v="TRANS-2748"/>
        <s v="TRANS-2749"/>
        <s v="TRANS-2750"/>
        <s v="TRANS-2751"/>
        <s v="TRANS-2752"/>
        <s v="TRANS-2753"/>
        <s v="TRANS-2754"/>
        <s v="TRANS-2755"/>
        <s v="TRANS-2756"/>
        <s v="TRANS-2757"/>
        <s v="TRANS-2758"/>
        <s v="TRANS-2759"/>
        <s v="TRANS-2760"/>
        <s v="TRANS-2761"/>
        <s v="TRANS-2762"/>
        <s v="TRANS-2763"/>
        <s v="TRANS-2764"/>
        <s v="TRANS-2765"/>
        <s v="TRANS-2766"/>
        <s v="TRANS-2767"/>
        <s v="TRANS-2768"/>
        <s v="TRANS-2769"/>
        <s v="TRANS-2770"/>
        <s v="TRANS-2771"/>
        <s v="TRANS-2772"/>
        <s v="TRANS-2773"/>
        <s v="TRANS-2774"/>
        <s v="TRANS-2775"/>
        <s v="TRANS-2776"/>
        <s v="TRANS-2777"/>
        <s v="TRANS-2778"/>
        <s v="TRANS-2779"/>
        <s v="TRANS-2780"/>
        <s v="TRANS-2781"/>
        <s v="TRANS-2782"/>
        <s v="TRANS-2783"/>
        <s v="TRANS-2784"/>
        <s v="TRANS-2785"/>
        <s v="TRANS-2786"/>
        <s v="TRANS-2787"/>
        <s v="TRANS-2788"/>
        <s v="TRANS-2789"/>
        <s v="TRANS-2790"/>
        <s v="TRANS-2791"/>
        <s v="TRANS-2792"/>
        <s v="TRANS-2793"/>
        <s v="TRANS-2794"/>
        <s v="TRANS-2795"/>
        <s v="TRANS-2796"/>
        <s v="TRANS-2797"/>
        <s v="TRANS-2798"/>
        <s v="TRANS-2799"/>
        <s v="TRANS-2800"/>
        <s v="TRANS-2801"/>
        <s v="TRANS-2802"/>
        <s v="TRANS-2803"/>
        <s v="TRANS-2804"/>
        <s v="TRANS-2805"/>
        <s v="TRANS-2806"/>
        <s v="TRANS-2807"/>
        <s v="TRANS-2808"/>
        <s v="TRANS-2809"/>
        <s v="TRANS-2810"/>
        <s v="TRANS-2811"/>
        <s v="TRANS-2812"/>
        <s v="TRANS-2813"/>
        <s v="TRANS-2814"/>
        <s v="TRANS-2815"/>
        <s v="TRANS-2816"/>
        <s v="TRANS-2817"/>
        <s v="TRANS-2818"/>
        <s v="TRANS-2819"/>
        <s v="TRANS-2820"/>
        <s v="TRANS-2821"/>
        <s v="TRANS-2822"/>
        <s v="TRANS-2823"/>
        <s v="TRANS-2824"/>
        <s v="TRANS-2825"/>
        <s v="TRANS-2826"/>
        <s v="TRANS-2827"/>
        <s v="TRANS-2828"/>
        <s v="TRANS-2829"/>
        <s v="TRANS-2830"/>
        <s v="TRANS-2831"/>
        <s v="TRANS-2832"/>
        <s v="TRANS-2833"/>
        <s v="TRANS-2834"/>
        <s v="TRANS-2835"/>
        <s v="TRANS-2836"/>
        <s v="TRANS-2837"/>
        <s v="TRANS-2838"/>
        <s v="TRANS-2839"/>
        <s v="TRANS-2840"/>
        <s v="TRANS-2841"/>
        <s v="TRANS-2842"/>
        <s v="TRANS-2843"/>
        <s v="TRANS-2844"/>
        <s v="TRANS-2845"/>
        <s v="TRANS-2846"/>
        <s v="TRANS-2847"/>
        <s v="TRANS-2848"/>
        <s v="TRANS-2849"/>
        <s v="TRANS-2850"/>
        <s v="TRANS-2851"/>
        <s v="TRANS-2852"/>
        <s v="TRANS-2853"/>
        <s v="TRANS-2854"/>
        <s v="TRANS-2855"/>
        <s v="TRANS-2856"/>
        <s v="TRANS-2857"/>
        <s v="TRANS-2858"/>
        <s v="TRANS-2859"/>
        <s v="TRANS-2860"/>
        <s v="TRANS-2861"/>
        <s v="TRANS-2862"/>
        <s v="TRANS-2863"/>
        <s v="TRANS-2864"/>
        <s v="TRANS-2865"/>
        <s v="TRANS-2866"/>
        <s v="TRANS-2867"/>
        <s v="TRANS-2868"/>
        <s v="TRANS-2869"/>
        <s v="TRANS-2870"/>
        <s v="TRANS-2871"/>
        <s v="TRANS-2872"/>
        <s v="TRANS-2873"/>
        <s v="TRANS-2874"/>
        <s v="TRANS-2875"/>
        <s v="TRANS-2876"/>
        <s v="TRANS-2877"/>
        <s v="TRANS-2878"/>
        <s v="TRANS-2879"/>
        <s v="TRANS-2880"/>
        <s v="TRANS-2881"/>
        <s v="TRANS-2882"/>
        <s v="TRANS-2883"/>
        <s v="TRANS-2884"/>
        <s v="TRANS-2885"/>
        <s v="TRANS-2886"/>
        <s v="TRANS-2887"/>
        <s v="TRANS-2888"/>
        <s v="TRANS-2889"/>
        <s v="TRANS-2890"/>
        <s v="TRANS-2891"/>
        <s v="TRANS-2892"/>
        <s v="TRANS-2893"/>
        <s v="TRANS-2894"/>
        <s v="TRANS-2895"/>
        <s v="TRANS-2896"/>
        <s v="TRANS-2897"/>
        <s v="TRANS-2898"/>
        <s v="TRANS-2899"/>
        <s v="TRANS-2900"/>
        <s v="TRANS-2901"/>
        <s v="TRANS-2902"/>
        <s v="TRANS-2903"/>
        <s v="TRANS-2904"/>
        <s v="TRANS-2905"/>
        <s v="TRANS-2906"/>
        <s v="TRANS-2907"/>
        <s v="TRANS-2908"/>
        <s v="TRANS-2909"/>
        <s v="TRANS-2910"/>
        <s v="TRANS-2911"/>
        <s v="TRANS-2912"/>
        <s v="TRANS-2913"/>
        <s v="TRANS-2914"/>
        <s v="TRANS-2915"/>
        <s v="TRANS-2916"/>
        <s v="TRANS-2917"/>
        <s v="TRANS-2918"/>
        <s v="TRANS-2919"/>
        <s v="TRANS-2920"/>
        <s v="TRANS-2921"/>
        <s v="TRANS-2922"/>
        <s v="TRANS-2923"/>
        <s v="TRANS-2924"/>
        <s v="TRANS-2925"/>
        <s v="TRANS-2926"/>
        <s v="TRANS-2927"/>
        <s v="TRANS-2928"/>
        <s v="TRANS-2929"/>
        <s v="TRANS-2930"/>
        <s v="TRANS-2931"/>
        <s v="TRANS-2932"/>
        <s v="TRANS-2933"/>
        <s v="TRANS-2934"/>
        <s v="TRANS-2935"/>
        <s v="TRANS-2936"/>
        <s v="TRANS-2937"/>
        <s v="TRANS-2938"/>
        <s v="TRANS-2939"/>
        <s v="TRANS-2940"/>
        <s v="TRANS-2941"/>
        <s v="TRANS-2942"/>
        <s v="TRANS-2943"/>
        <s v="TRANS-2944"/>
        <s v="TRANS-2945"/>
        <s v="TRANS-2946"/>
        <s v="TRANS-2947"/>
        <s v="TRANS-2948"/>
        <s v="TRANS-2949"/>
        <s v="TRANS-2950"/>
        <s v="TRANS-2951"/>
        <s v="TRANS-2952"/>
        <s v="TRANS-2953"/>
        <s v="TRANS-2954"/>
        <s v="TRANS-2955"/>
        <s v="TRANS-2956"/>
        <s v="TRANS-2957"/>
        <s v="TRANS-2958"/>
        <s v="TRANS-2959"/>
        <s v="TRANS-2960"/>
        <s v="TRANS-2961"/>
        <s v="TRANS-2962"/>
        <s v="TRANS-2963"/>
        <s v="TRANS-2964"/>
        <s v="TRANS-2965"/>
        <s v="TRANS-2966"/>
        <s v="TRANS-2967"/>
        <s v="TRANS-2968"/>
        <s v="TRANS-2969"/>
        <s v="TRANS-2970"/>
        <s v="TRANS-2971"/>
        <s v="TRANS-2972"/>
        <s v="TRANS-2973"/>
        <s v="TRANS-2974"/>
        <s v="TRANS-2975"/>
        <s v="TRANS-2976"/>
        <s v="TRANS-2977"/>
        <s v="TRANS-2978"/>
        <s v="TRANS-2979"/>
        <s v="TRANS-2980"/>
        <s v="TRANS-2981"/>
        <s v="TRANS-2982"/>
        <s v="TRANS-2983"/>
        <s v="TRANS-2984"/>
        <s v="TRANS-2985"/>
        <s v="TRANS-2986"/>
        <s v="TRANS-2987"/>
        <s v="TRANS-2988"/>
        <s v="TRANS-2989"/>
        <s v="TRANS-2990"/>
        <s v="TRANS-2991"/>
        <s v="TRANS-2992"/>
        <s v="TRANS-2993"/>
        <s v="TRANS-2994"/>
        <s v="TRANS-2995"/>
        <s v="TRANS-2996"/>
        <s v="TRANS-2997"/>
        <s v="TRANS-2998"/>
        <s v="TRANS-2999"/>
        <s v="TRANS-3000"/>
        <s v="TRANS-3001"/>
        <s v="TRANS-3002"/>
        <s v="TRANS-3003"/>
        <s v="TRANS-3004"/>
        <s v="TRANS-3005"/>
        <s v="TRANS-3006"/>
        <s v="TRANS-3007"/>
        <s v="TRANS-3008"/>
        <s v="TRANS-3009"/>
        <s v="TRANS-3010"/>
        <s v="TRANS-3011"/>
        <s v="TRANS-3012"/>
        <s v="TRANS-3013"/>
        <s v="TRANS-3014"/>
        <s v="TRANS-3015"/>
        <s v="TRANS-3016"/>
        <s v="TRANS-3017"/>
        <s v="TRANS-3018"/>
        <s v="TRANS-3019"/>
        <s v="TRANS-3020"/>
        <s v="TRANS-3021"/>
        <s v="TRANS-3022"/>
        <s v="TRANS-3023"/>
        <s v="TRANS-3024"/>
        <s v="TRANS-3025"/>
        <s v="TRANS-3026"/>
        <s v="TRANS-3027"/>
        <s v="TRANS-3028"/>
        <s v="TRANS-3029"/>
        <s v="TRANS-3030"/>
        <s v="TRANS-3031"/>
        <s v="TRANS-3032"/>
        <s v="TRANS-3033"/>
        <s v="TRANS-3034"/>
        <s v="TRANS-3035"/>
        <s v="TRANS-3036"/>
        <s v="TRANS-3037"/>
        <s v="TRANS-3038"/>
        <s v="TRANS-3039"/>
        <s v="TRANS-3040"/>
        <s v="TRANS-3041"/>
        <s v="TRANS-3042"/>
        <s v="TRANS-3043"/>
        <s v="TRANS-3044"/>
        <s v="TRANS-3045"/>
        <s v="TRANS-3046"/>
        <s v="TRANS-3047"/>
        <s v="TRANS-3048"/>
        <s v="TRANS-3049"/>
        <s v="TRANS-3050"/>
        <s v="TRANS-3051"/>
        <s v="TRANS-3052"/>
        <s v="TRANS-3053"/>
        <s v="TRANS-3054"/>
        <s v="TRANS-3055"/>
        <s v="TRANS-3056"/>
        <s v="TRANS-3057"/>
        <s v="TRANS-3058"/>
        <s v="TRANS-3059"/>
        <s v="TRANS-3060"/>
        <s v="TRANS-3061"/>
        <s v="TRANS-3062"/>
        <s v="TRANS-3063"/>
        <s v="TRANS-3064"/>
        <s v="TRANS-3065"/>
        <s v="TRANS-3066"/>
        <s v="TRANS-3067"/>
        <s v="TRANS-3068"/>
        <s v="TRANS-3069"/>
        <s v="TRANS-3070"/>
        <s v="TRANS-3071"/>
        <s v="TRANS-3072"/>
        <s v="TRANS-3073"/>
        <s v="TRANS-3074"/>
        <s v="TRANS-3075"/>
        <s v="TRANS-3076"/>
        <s v="TRANS-3077"/>
        <s v="TRANS-3078"/>
        <s v="TRANS-3079"/>
        <s v="TRANS-3080"/>
        <s v="TRANS-3081"/>
        <s v="TRANS-3082"/>
        <s v="TRANS-3083"/>
        <s v="TRANS-3084"/>
        <s v="TRANS-3085"/>
        <s v="TRANS-3086"/>
        <s v="TRANS-3087"/>
        <s v="TRANS-3088"/>
        <s v="TRANS-3089"/>
        <s v="TRANS-3090"/>
        <s v="TRANS-3091"/>
        <s v="TRANS-3092"/>
        <s v="TRANS-3093"/>
        <s v="TRANS-3094"/>
        <s v="TRANS-3095"/>
        <s v="TRANS-3096"/>
        <s v="TRANS-3097"/>
        <s v="TRANS-3098"/>
        <s v="TRANS-3099"/>
        <s v="TRANS-3100"/>
        <s v="TRANS-3101"/>
        <s v="TRANS-3102"/>
        <s v="TRANS-3103"/>
        <s v="TRANS-3104"/>
        <s v="TRANS-3105"/>
        <s v="TRANS-3106"/>
        <s v="TRANS-3107"/>
        <s v="TRANS-3108"/>
        <s v="TRANS-3109"/>
        <s v="TRANS-3110"/>
        <s v="TRANS-3111"/>
        <s v="TRANS-3112"/>
        <s v="TRANS-3113"/>
        <s v="TRANS-3114"/>
        <s v="TRANS-3115"/>
        <s v="TRANS-3116"/>
        <s v="TRANS-3117"/>
        <s v="TRANS-3118"/>
        <s v="TRANS-3119"/>
        <s v="TRANS-3120"/>
        <s v="TRANS-3121"/>
        <s v="TRANS-3122"/>
        <s v="TRANS-3123"/>
        <s v="TRANS-3124"/>
        <s v="TRANS-3125"/>
        <s v="TRANS-3126"/>
        <s v="TRANS-3127"/>
        <s v="TRANS-3128"/>
        <s v="TRANS-3129"/>
        <s v="TRANS-3130"/>
        <s v="TRANS-3131"/>
        <s v="TRANS-3132"/>
        <s v="TRANS-3133"/>
        <s v="TRANS-3134"/>
        <s v="TRANS-3135"/>
        <s v="TRANS-3136"/>
        <s v="TRANS-3137"/>
        <s v="TRANS-3138"/>
        <s v="TRANS-3139"/>
        <s v="TRANS-3140"/>
        <s v="TRANS-3141"/>
        <s v="TRANS-3142"/>
        <s v="TRANS-3143"/>
        <s v="TRANS-3144"/>
        <s v="TRANS-3145"/>
        <s v="TRANS-3146"/>
        <s v="TRANS-3147"/>
        <s v="TRANS-3148"/>
        <s v="TRANS-3149"/>
        <s v="TRANS-3150"/>
        <s v="TRANS-3151"/>
        <s v="TRANS-3152"/>
        <s v="TRANS-3153"/>
        <s v="TRANS-3154"/>
        <s v="TRANS-3155"/>
        <s v="TRANS-3156"/>
        <s v="TRANS-3157"/>
        <s v="TRANS-3158"/>
        <s v="TRANS-3159"/>
        <s v="TRANS-3160"/>
        <s v="TRANS-3161"/>
        <s v="TRANS-3162"/>
        <s v="TRANS-3163"/>
        <s v="TRANS-3164"/>
        <s v="TRANS-3165"/>
        <s v="TRANS-3166"/>
        <s v="TRANS-3167"/>
        <s v="TRANS-3168"/>
        <s v="TRANS-3169"/>
        <s v="TRANS-3170"/>
        <s v="TRANS-3171"/>
        <s v="TRANS-3172"/>
        <s v="TRANS-3173"/>
        <s v="TRANS-3174"/>
        <s v="TRANS-3175"/>
        <s v="TRANS-3176"/>
        <s v="TRANS-3177"/>
        <s v="TRANS-3178"/>
        <s v="TRANS-3179"/>
        <s v="TRANS-3180"/>
        <s v="TRANS-3181"/>
        <s v="TRANS-3182"/>
        <s v="TRANS-3183"/>
        <s v="TRANS-3184"/>
        <s v="TRANS-3185"/>
        <s v="TRANS-3186"/>
        <s v="TRANS-3187"/>
        <s v="TRANS-3188"/>
        <s v="TRANS-3189"/>
        <s v="TRANS-3190"/>
        <s v="TRANS-3191"/>
        <s v="TRANS-3192"/>
        <s v="TRANS-3193"/>
        <s v="TRANS-3194"/>
        <s v="TRANS-3195"/>
        <s v="TRANS-3196"/>
        <s v="TRANS-3197"/>
        <s v="TRANS-3198"/>
        <s v="TRANS-3199"/>
        <s v="TRANS-3200"/>
        <s v="TRANS-3201"/>
        <s v="TRANS-3202"/>
        <s v="TRANS-3203"/>
        <s v="TRANS-3204"/>
        <s v="TRANS-3205"/>
        <s v="TRANS-3206"/>
        <s v="TRANS-3207"/>
        <s v="TRANS-3208"/>
        <s v="TRANS-3209"/>
        <s v="TRANS-3210"/>
        <s v="TRANS-3211"/>
        <s v="TRANS-3212"/>
        <s v="TRANS-3213"/>
        <s v="TRANS-3214"/>
        <s v="TRANS-3215"/>
        <s v="TRANS-3216"/>
        <s v="TRANS-3217"/>
        <s v="TRANS-3218"/>
        <s v="TRANS-3219"/>
        <s v="TRANS-3220"/>
        <s v="TRANS-3221"/>
        <s v="TRANS-3222"/>
        <s v="TRANS-3223"/>
        <s v="TRANS-3224"/>
        <s v="TRANS-3225"/>
        <s v="TRANS-3226"/>
        <s v="TRANS-3227"/>
        <s v="TRANS-3228"/>
        <s v="TRANS-3229"/>
        <s v="TRANS-3230"/>
        <s v="TRANS-3231"/>
        <s v="TRANS-3232"/>
        <s v="TRANS-3233"/>
        <s v="TRANS-3234"/>
        <s v="TRANS-3235"/>
        <s v="TRANS-3236"/>
        <s v="TRANS-3237"/>
        <s v="TRANS-3238"/>
        <s v="TRANS-3239"/>
        <s v="TRANS-3240"/>
        <s v="TRANS-3241"/>
        <s v="TRANS-3242"/>
        <s v="TRANS-3243"/>
        <s v="TRANS-3244"/>
        <s v="TRANS-3245"/>
        <s v="TRANS-3246"/>
        <s v="TRANS-3247"/>
        <s v="TRANS-3248"/>
        <s v="TRANS-3249"/>
        <s v="TRANS-3250"/>
        <s v="TRANS-3251"/>
        <s v="TRANS-3252"/>
        <s v="TRANS-3253"/>
        <s v="TRANS-3254"/>
        <s v="TRANS-3255"/>
        <s v="TRANS-3256"/>
        <s v="TRANS-3257"/>
        <s v="TRANS-3258"/>
        <s v="TRANS-3259"/>
        <s v="TRANS-3260"/>
        <s v="TRANS-3261"/>
        <s v="TRANS-3262"/>
        <s v="TRANS-3263"/>
        <s v="TRANS-3264"/>
        <s v="TRANS-3265"/>
        <s v="TRANS-3266"/>
        <s v="TRANS-3267"/>
        <s v="TRANS-3268"/>
        <s v="TRANS-3269"/>
        <s v="TRANS-3270"/>
        <s v="TRANS-3271"/>
        <s v="TRANS-3272"/>
        <s v="TRANS-3273"/>
        <s v="TRANS-3274"/>
        <s v="TRANS-3275"/>
        <s v="TRANS-3276"/>
        <s v="TRANS-3277"/>
        <s v="TRANS-3278"/>
        <s v="TRANS-3279"/>
        <s v="TRANS-3280"/>
        <s v="TRANS-3281"/>
        <s v="TRANS-3282"/>
        <s v="TRANS-3283"/>
        <s v="TRANS-3284"/>
        <s v="TRANS-3285"/>
        <s v="TRANS-3286"/>
        <s v="TRANS-3287"/>
        <s v="TRANS-3288"/>
        <s v="TRANS-3289"/>
        <s v="TRANS-3290"/>
        <s v="TRANS-3291"/>
        <s v="TRANS-3292"/>
        <s v="TRANS-3293"/>
        <s v="TRANS-3294"/>
        <s v="TRANS-3295"/>
        <s v="TRANS-3296"/>
        <s v="TRANS-3297"/>
        <s v="TRANS-3298"/>
        <s v="TRANS-3299"/>
        <s v="TRANS-3300"/>
        <s v="TRANS-3301"/>
        <s v="TRANS-3302"/>
        <s v="TRANS-3303"/>
        <s v="TRANS-3304"/>
        <s v="TRANS-3305"/>
        <s v="TRANS-3306"/>
        <s v="TRANS-3307"/>
        <s v="TRANS-3308"/>
        <s v="TRANS-3309"/>
        <s v="TRANS-3310"/>
        <s v="TRANS-3311"/>
        <s v="TRANS-3312"/>
        <s v="TRANS-3313"/>
        <s v="TRANS-3314"/>
        <s v="TRANS-3315"/>
        <s v="TRANS-3316"/>
        <s v="TRANS-3317"/>
        <s v="TRANS-3318"/>
        <s v="TRANS-3319"/>
        <s v="TRANS-3320"/>
        <s v="TRANS-3321"/>
        <s v="TRANS-3322"/>
        <s v="TRANS-3323"/>
        <s v="TRANS-3324"/>
        <s v="TRANS-3325"/>
        <s v="TRANS-3326"/>
        <s v="TRANS-3327"/>
        <s v="TRANS-3328"/>
        <s v="TRANS-3329"/>
        <s v="TRANS-3330"/>
        <s v="TRANS-3331"/>
        <s v="TRANS-3332"/>
        <s v="TRANS-3333"/>
        <s v="TRANS-3334"/>
        <s v="TRANS-3335"/>
        <s v="TRANS-3336"/>
        <s v="TRANS-3337"/>
        <s v="TRANS-3338"/>
        <s v="TRANS-3339"/>
        <s v="TRANS-3340"/>
        <s v="TRANS-3341"/>
        <s v="TRANS-3342"/>
        <s v="TRANS-3343"/>
        <s v="TRANS-3344"/>
        <s v="TRANS-3345"/>
        <s v="TRANS-3346"/>
        <s v="TRANS-3347"/>
        <s v="TRANS-3348"/>
        <s v="TRANS-3349"/>
        <s v="TRANS-3350"/>
        <s v="TRANS-3351"/>
        <s v="TRANS-3352"/>
        <s v="TRANS-3353"/>
        <s v="TRANS-3354"/>
        <s v="TRANS-3355"/>
        <s v="TRANS-3356"/>
        <s v="TRANS-3357"/>
        <s v="TRANS-3358"/>
        <s v="TRANS-3359"/>
        <s v="TRANS-3360"/>
        <s v="TRANS-3361"/>
        <s v="TRANS-3362"/>
        <s v="TRANS-3363"/>
        <s v="TRANS-3364"/>
        <s v="TRANS-3365"/>
        <s v="TRANS-3366"/>
        <s v="TRANS-3367"/>
        <s v="TRANS-3368"/>
        <s v="TRANS-3369"/>
        <s v="TRANS-3370"/>
        <s v="TRANS-3371"/>
        <s v="TRANS-3372"/>
        <s v="TRANS-3373"/>
        <s v="TRANS-3374"/>
        <s v="TRANS-3375"/>
        <s v="TRANS-3376"/>
        <s v="TRANS-3377"/>
        <s v="TRANS-3378"/>
        <s v="TRANS-3379"/>
        <s v="TRANS-3380"/>
        <s v="TRANS-3381"/>
        <s v="TRANS-3382"/>
        <s v="TRANS-3383"/>
        <s v="TRANS-3384"/>
        <s v="TRANS-3385"/>
        <s v="TRANS-3386"/>
        <s v="TRANS-3387"/>
        <s v="TRANS-3388"/>
        <s v="TRANS-3389"/>
        <s v="TRANS-3390"/>
        <s v="TRANS-3391"/>
        <s v="TRANS-3392"/>
        <s v="TRANS-3393"/>
        <s v="TRANS-3394"/>
        <s v="TRANS-3395"/>
        <s v="TRANS-3396"/>
        <s v="TRANS-3397"/>
        <s v="TRANS-3398"/>
        <s v="TRANS-3399"/>
        <s v="TRANS-3400"/>
        <s v="TRANS-3401"/>
        <s v="TRANS-3402"/>
        <s v="TRANS-3403"/>
        <s v="TRANS-3404"/>
        <s v="TRANS-3405"/>
        <s v="TRANS-3406"/>
        <s v="TRANS-3407"/>
        <s v="TRANS-3408"/>
        <s v="TRANS-3409"/>
        <s v="TRANS-3410"/>
        <s v="TRANS-3411"/>
        <s v="TRANS-3412"/>
        <s v="TRANS-3413"/>
        <s v="TRANS-3414"/>
        <s v="TRANS-3415"/>
        <s v="TRANS-3416"/>
        <s v="TRANS-3417"/>
        <s v="TRANS-3418"/>
        <s v="TRANS-3419"/>
        <s v="TRANS-3420"/>
        <s v="TRANS-3421"/>
        <s v="TRANS-3422"/>
        <s v="TRANS-3423"/>
        <s v="TRANS-3424"/>
        <s v="TRANS-3425"/>
        <s v="TRANS-3426"/>
        <s v="TRANS-3427"/>
        <s v="TRANS-3428"/>
        <s v="TRANS-3429"/>
        <s v="TRANS-3430"/>
        <s v="TRANS-3431"/>
        <s v="TRANS-3432"/>
        <s v="TRANS-3433"/>
        <s v="TRANS-3434"/>
        <s v="TRANS-3435"/>
        <s v="TRANS-3436"/>
        <s v="TRANS-3437"/>
        <s v="TRANS-3438"/>
        <s v="TRANS-3439"/>
        <s v="TRANS-3440"/>
        <s v="TRANS-3441"/>
        <s v="TRANS-3442"/>
        <s v="TRANS-3443"/>
        <s v="TRANS-3444"/>
        <s v="TRANS-3445"/>
        <s v="TRANS-3446"/>
        <s v="TRANS-3447"/>
        <s v="TRANS-3448"/>
        <s v="TRANS-3449"/>
        <s v="TRANS-3450"/>
        <s v="TRANS-3451"/>
        <s v="TRANS-3452"/>
        <s v="TRANS-3453"/>
        <s v="TRANS-3454"/>
        <s v="TRANS-3455"/>
        <s v="TRANS-3456"/>
        <s v="TRANS-3457"/>
        <s v="TRANS-3458"/>
        <s v="TRANS-3459"/>
        <s v="TRANS-3460"/>
        <s v="TRANS-3461"/>
        <s v="TRANS-3462"/>
        <s v="TRANS-3463"/>
        <s v="TRANS-3464"/>
        <s v="TRANS-3465"/>
        <s v="TRANS-3466"/>
        <s v="TRANS-3467"/>
        <s v="TRANS-3468"/>
        <s v="TRANS-3469"/>
        <s v="TRANS-3470"/>
        <s v="TRANS-3471"/>
        <s v="TRANS-3472"/>
        <s v="TRANS-3473"/>
        <s v="TRANS-3474"/>
        <s v="TRANS-3475"/>
        <s v="TRANS-3476"/>
        <s v="TRANS-3477"/>
        <s v="TRANS-3478"/>
        <s v="TRANS-3479"/>
        <s v="TRANS-3480"/>
        <s v="TRANS-3481"/>
        <s v="TRANS-3482"/>
        <s v="TRANS-3483"/>
        <s v="TRANS-3484"/>
        <s v="TRANS-3485"/>
        <s v="TRANS-3486"/>
        <s v="TRANS-3487"/>
        <s v="TRANS-3488"/>
        <s v="TRANS-3489"/>
        <s v="TRANS-3490"/>
        <s v="TRANS-3491"/>
        <s v="TRANS-3492"/>
        <s v="TRANS-3493"/>
        <s v="TRANS-3494"/>
        <s v="TRANS-3495"/>
        <s v="TRANS-3496"/>
        <s v="TRANS-3497"/>
        <s v="TRANS-3498"/>
        <s v="TRANS-3499"/>
        <s v="TRANS-3500"/>
        <s v="TRANS-3501"/>
        <s v="TRANS-3502"/>
        <s v="TRANS-3503"/>
        <s v="TRANS-3504"/>
        <s v="TRANS-3505"/>
        <s v="TRANS-3506"/>
        <s v="TRANS-3507"/>
        <s v="TRANS-3508"/>
        <s v="TRANS-3509"/>
        <s v="TRANS-3510"/>
        <s v="TRANS-3511"/>
        <s v="TRANS-3512"/>
        <s v="TRANS-3513"/>
        <s v="TRANS-3514"/>
        <s v="TRANS-3515"/>
        <s v="TRANS-3516"/>
        <s v="TRANS-3517"/>
        <s v="TRANS-3518"/>
        <s v="TRANS-3519"/>
        <s v="TRANS-3520"/>
        <s v="TRANS-3521"/>
        <s v="TRANS-3522"/>
        <s v="TRANS-3523"/>
        <s v="TRANS-3524"/>
        <s v="TRANS-3525"/>
        <s v="TRANS-3526"/>
        <s v="TRANS-3527"/>
        <s v="TRANS-3528"/>
        <s v="TRANS-3529"/>
        <s v="TRANS-3530"/>
        <s v="TRANS-3531"/>
        <s v="TRANS-3532"/>
        <s v="TRANS-3533"/>
        <s v="TRANS-3534"/>
        <s v="TRANS-3535"/>
        <s v="TRANS-3536"/>
        <s v="TRANS-3537"/>
        <s v="TRANS-3538"/>
        <s v="TRANS-3539"/>
        <s v="TRANS-3540"/>
        <s v="TRANS-3541"/>
        <s v="TRANS-3542"/>
        <s v="TRANS-3543"/>
        <s v="TRANS-3544"/>
        <s v="TRANS-3545"/>
        <s v="TRANS-3546"/>
        <s v="TRANS-3547"/>
        <s v="TRANS-3548"/>
        <s v="TRANS-3549"/>
        <s v="TRANS-3550"/>
        <s v="TRANS-3551"/>
        <s v="TRANS-3552"/>
        <s v="TRANS-3553"/>
        <s v="TRANS-3554"/>
        <s v="TRANS-3555"/>
        <s v="TRANS-3556"/>
        <s v="TRANS-3557"/>
        <s v="TRANS-3558"/>
        <s v="TRANS-3559"/>
        <s v="TRANS-3560"/>
        <s v="TRANS-3561"/>
        <s v="TRANS-3562"/>
        <s v="TRANS-3563"/>
        <s v="TRANS-3564"/>
        <s v="TRANS-3565"/>
        <s v="TRANS-3566"/>
        <s v="TRANS-3567"/>
        <s v="TRANS-3568"/>
        <s v="TRANS-3569"/>
        <s v="TRANS-3570"/>
        <s v="TRANS-3571"/>
        <s v="TRANS-3572"/>
        <s v="TRANS-3573"/>
        <s v="TRANS-3574"/>
        <s v="TRANS-3575"/>
        <s v="TRANS-3576"/>
        <s v="TRANS-3577"/>
        <s v="TRANS-3578"/>
        <s v="TRANS-3579"/>
        <s v="TRANS-3580"/>
        <s v="TRANS-3581"/>
        <s v="TRANS-3582"/>
        <s v="TRANS-3583"/>
        <s v="TRANS-3584"/>
        <s v="TRANS-3585"/>
        <s v="TRANS-3586"/>
        <s v="TRANS-3587"/>
        <s v="TRANS-3588"/>
        <s v="TRANS-3589"/>
        <s v="TRANS-3590"/>
        <s v="TRANS-3591"/>
        <s v="TRANS-3592"/>
        <s v="TRANS-3593"/>
        <s v="TRANS-3594"/>
        <s v="TRANS-3595"/>
        <s v="TRANS-3596"/>
        <s v="TRANS-3597"/>
        <s v="TRANS-3598"/>
        <s v="TRANS-3599"/>
        <s v="TRANS-3600"/>
        <s v="TRANS-3601"/>
        <s v="TRANS-3602"/>
        <s v="TRANS-3603"/>
        <s v="TRANS-3604"/>
        <s v="TRANS-3605"/>
        <s v="TRANS-3606"/>
        <s v="TRANS-3607"/>
        <s v="TRANS-3608"/>
        <s v="TRANS-3609"/>
        <s v="TRANS-3610"/>
        <s v="TRANS-3611"/>
        <s v="TRANS-3612"/>
        <s v="TRANS-3613"/>
        <s v="TRANS-3614"/>
        <s v="TRANS-3615"/>
        <s v="TRANS-3616"/>
        <s v="TRANS-3617"/>
        <s v="TRANS-3618"/>
        <s v="TRANS-3619"/>
        <s v="TRANS-3620"/>
        <s v="TRANS-3621"/>
        <s v="TRANS-3622"/>
        <s v="TRANS-3623"/>
        <s v="TRANS-3624"/>
        <s v="TRANS-3625"/>
        <s v="TRANS-3626"/>
        <s v="TRANS-3627"/>
        <s v="TRANS-3628"/>
        <s v="TRANS-3629"/>
        <s v="TRANS-3630"/>
        <s v="TRANS-3631"/>
        <s v="TRANS-3632"/>
        <s v="TRANS-3633"/>
        <s v="TRANS-3634"/>
        <s v="TRANS-3635"/>
        <s v="TRANS-3636"/>
      </sharedItems>
    </cacheField>
    <cacheField name="Seconds (Time)" numFmtId="0" databaseField="0">
      <fieldGroup base="1">
        <rangePr groupBy="seconds" startDate="1899-12-30T06:50:04" endDate="1899-12-30T22:59:18"/>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
        <rangePr groupBy="minutes" startDate="1899-12-30T06:50:04" endDate="1899-12-30T22:59:18"/>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
        <rangePr groupBy="hours" startDate="1899-12-30T06:50:04" endDate="1899-12-30T22:59:18"/>
        <groupItems count="26">
          <s v="&lt;00/01/1900"/>
          <s v="00"/>
          <s v="01"/>
          <s v="02"/>
          <s v="03"/>
          <s v="04"/>
          <s v="05"/>
          <s v="06"/>
          <s v="07"/>
          <s v="08"/>
          <s v="09"/>
          <s v="10"/>
          <s v="11"/>
          <s v="12"/>
          <s v="13"/>
          <s v="14"/>
          <s v="15"/>
          <s v="16"/>
          <s v="17"/>
          <s v="18"/>
          <s v="19"/>
          <s v="20"/>
          <s v="21"/>
          <s v="22"/>
          <s v="23"/>
          <s v="&gt;00/01/1900"/>
        </groupItems>
      </fieldGroup>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2093834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x v="0"/>
    <x v="0"/>
    <x v="0"/>
    <n v="38.700000000000003"/>
    <x v="0"/>
    <s v="Mar 2024"/>
    <n v="10"/>
    <s v="Repeat"/>
    <x v="0"/>
    <x v="0"/>
  </r>
  <r>
    <x v="0"/>
    <x v="1"/>
    <x v="0"/>
    <x v="1"/>
    <n v="38.700000000000003"/>
    <x v="1"/>
    <s v="Mar 2024"/>
    <n v="12"/>
    <s v="Repeat"/>
    <x v="0"/>
    <x v="1"/>
  </r>
  <r>
    <x v="0"/>
    <x v="2"/>
    <x v="0"/>
    <x v="1"/>
    <n v="38.700000000000003"/>
    <x v="1"/>
    <s v="Mar 2024"/>
    <n v="12"/>
    <s v="Repeat"/>
    <x v="0"/>
    <x v="2"/>
  </r>
  <r>
    <x v="0"/>
    <x v="3"/>
    <x v="0"/>
    <x v="2"/>
    <n v="28.9"/>
    <x v="2"/>
    <s v="Mar 2024"/>
    <n v="13"/>
    <s v="Repeat"/>
    <x v="0"/>
    <x v="3"/>
  </r>
  <r>
    <x v="0"/>
    <x v="4"/>
    <x v="0"/>
    <x v="3"/>
    <n v="38.700000000000003"/>
    <x v="0"/>
    <s v="Mar 2024"/>
    <n v="13"/>
    <s v="Repeat"/>
    <x v="0"/>
    <x v="4"/>
  </r>
  <r>
    <x v="0"/>
    <x v="5"/>
    <x v="0"/>
    <x v="4"/>
    <n v="33.799999999999997"/>
    <x v="3"/>
    <s v="Mar 2024"/>
    <n v="15"/>
    <s v="Single"/>
    <x v="1"/>
    <x v="5"/>
  </r>
  <r>
    <x v="0"/>
    <x v="6"/>
    <x v="0"/>
    <x v="5"/>
    <n v="38.700000000000003"/>
    <x v="1"/>
    <s v="Mar 2024"/>
    <n v="16"/>
    <s v="Single"/>
    <x v="1"/>
    <x v="6"/>
  </r>
  <r>
    <x v="0"/>
    <x v="7"/>
    <x v="0"/>
    <x v="6"/>
    <n v="33.799999999999997"/>
    <x v="3"/>
    <s v="Mar 2024"/>
    <n v="18"/>
    <s v="Single"/>
    <x v="1"/>
    <x v="7"/>
  </r>
  <r>
    <x v="0"/>
    <x v="8"/>
    <x v="0"/>
    <x v="7"/>
    <n v="38.700000000000003"/>
    <x v="4"/>
    <s v="Mar 2024"/>
    <n v="19"/>
    <s v="Repeat"/>
    <x v="0"/>
    <x v="8"/>
  </r>
  <r>
    <x v="0"/>
    <x v="9"/>
    <x v="0"/>
    <x v="7"/>
    <n v="33.799999999999997"/>
    <x v="3"/>
    <s v="Mar 2024"/>
    <n v="19"/>
    <s v="Repeat"/>
    <x v="0"/>
    <x v="9"/>
  </r>
  <r>
    <x v="0"/>
    <x v="10"/>
    <x v="0"/>
    <x v="8"/>
    <n v="33.799999999999997"/>
    <x v="3"/>
    <s v="Mar 2024"/>
    <n v="19"/>
    <s v="Repeat"/>
    <x v="0"/>
    <x v="10"/>
  </r>
  <r>
    <x v="1"/>
    <x v="11"/>
    <x v="0"/>
    <x v="9"/>
    <n v="28.9"/>
    <x v="2"/>
    <s v="Mar 2024"/>
    <n v="10"/>
    <s v="Single"/>
    <x v="1"/>
    <x v="11"/>
  </r>
  <r>
    <x v="1"/>
    <x v="12"/>
    <x v="1"/>
    <x v="10"/>
    <n v="40"/>
    <x v="0"/>
    <s v="Mar 2024"/>
    <n v="10"/>
    <s v="Repeat"/>
    <x v="2"/>
    <x v="12"/>
  </r>
  <r>
    <x v="1"/>
    <x v="13"/>
    <x v="0"/>
    <x v="11"/>
    <n v="33.799999999999997"/>
    <x v="3"/>
    <s v="Mar 2024"/>
    <n v="10"/>
    <s v="Single"/>
    <x v="1"/>
    <x v="13"/>
  </r>
  <r>
    <x v="1"/>
    <x v="14"/>
    <x v="0"/>
    <x v="12"/>
    <n v="33.799999999999997"/>
    <x v="3"/>
    <s v="Mar 2024"/>
    <n v="11"/>
    <s v="Repeat"/>
    <x v="0"/>
    <x v="14"/>
  </r>
  <r>
    <x v="1"/>
    <x v="15"/>
    <x v="0"/>
    <x v="13"/>
    <n v="28.9"/>
    <x v="2"/>
    <s v="Mar 2024"/>
    <n v="14"/>
    <s v="Single"/>
    <x v="1"/>
    <x v="15"/>
  </r>
  <r>
    <x v="1"/>
    <x v="16"/>
    <x v="0"/>
    <x v="14"/>
    <n v="33.799999999999997"/>
    <x v="3"/>
    <s v="Mar 2024"/>
    <n v="16"/>
    <s v="Single"/>
    <x v="1"/>
    <x v="16"/>
  </r>
  <r>
    <x v="1"/>
    <x v="17"/>
    <x v="0"/>
    <x v="3"/>
    <n v="28.9"/>
    <x v="2"/>
    <s v="Mar 2024"/>
    <n v="17"/>
    <s v="Repeat"/>
    <x v="0"/>
    <x v="17"/>
  </r>
  <r>
    <x v="2"/>
    <x v="18"/>
    <x v="1"/>
    <x v="10"/>
    <n v="40"/>
    <x v="0"/>
    <s v="Mar 2024"/>
    <n v="10"/>
    <s v="Repeat"/>
    <x v="2"/>
    <x v="18"/>
  </r>
  <r>
    <x v="2"/>
    <x v="19"/>
    <x v="0"/>
    <x v="15"/>
    <n v="38.700000000000003"/>
    <x v="0"/>
    <s v="Mar 2024"/>
    <n v="10"/>
    <s v="Single"/>
    <x v="1"/>
    <x v="19"/>
  </r>
  <r>
    <x v="2"/>
    <x v="20"/>
    <x v="0"/>
    <x v="16"/>
    <n v="28.9"/>
    <x v="5"/>
    <s v="Mar 2024"/>
    <n v="11"/>
    <s v="Single"/>
    <x v="1"/>
    <x v="20"/>
  </r>
  <r>
    <x v="2"/>
    <x v="21"/>
    <x v="0"/>
    <x v="12"/>
    <n v="28.9"/>
    <x v="2"/>
    <s v="Mar 2024"/>
    <n v="12"/>
    <s v="Repeat"/>
    <x v="0"/>
    <x v="21"/>
  </r>
  <r>
    <x v="2"/>
    <x v="22"/>
    <x v="0"/>
    <x v="17"/>
    <n v="38.700000000000003"/>
    <x v="1"/>
    <s v="Mar 2024"/>
    <n v="13"/>
    <s v="Repeat"/>
    <x v="0"/>
    <x v="22"/>
  </r>
  <r>
    <x v="2"/>
    <x v="23"/>
    <x v="0"/>
    <x v="18"/>
    <n v="38.700000000000003"/>
    <x v="4"/>
    <s v="Mar 2024"/>
    <n v="17"/>
    <s v="Single"/>
    <x v="1"/>
    <x v="23"/>
  </r>
  <r>
    <x v="2"/>
    <x v="24"/>
    <x v="0"/>
    <x v="19"/>
    <n v="28.9"/>
    <x v="5"/>
    <s v="Mar 2024"/>
    <n v="17"/>
    <s v="Repeat"/>
    <x v="0"/>
    <x v="24"/>
  </r>
  <r>
    <x v="2"/>
    <x v="25"/>
    <x v="0"/>
    <x v="20"/>
    <n v="33.799999999999997"/>
    <x v="3"/>
    <s v="Mar 2024"/>
    <n v="18"/>
    <s v="Repeat"/>
    <x v="0"/>
    <x v="25"/>
  </r>
  <r>
    <x v="2"/>
    <x v="26"/>
    <x v="0"/>
    <x v="20"/>
    <n v="33.799999999999997"/>
    <x v="3"/>
    <s v="Mar 2024"/>
    <n v="18"/>
    <s v="Repeat"/>
    <x v="0"/>
    <x v="26"/>
  </r>
  <r>
    <x v="2"/>
    <x v="27"/>
    <x v="0"/>
    <x v="20"/>
    <n v="38.700000000000003"/>
    <x v="1"/>
    <s v="Mar 2024"/>
    <n v="18"/>
    <s v="Repeat"/>
    <x v="0"/>
    <x v="27"/>
  </r>
  <r>
    <x v="3"/>
    <x v="28"/>
    <x v="0"/>
    <x v="0"/>
    <n v="38.700000000000003"/>
    <x v="0"/>
    <s v="Mar 2024"/>
    <n v="10"/>
    <s v="Repeat"/>
    <x v="0"/>
    <x v="28"/>
  </r>
  <r>
    <x v="3"/>
    <x v="29"/>
    <x v="0"/>
    <x v="21"/>
    <n v="38.700000000000003"/>
    <x v="0"/>
    <s v="Mar 2024"/>
    <n v="10"/>
    <s v="Single"/>
    <x v="1"/>
    <x v="29"/>
  </r>
  <r>
    <x v="3"/>
    <x v="30"/>
    <x v="0"/>
    <x v="12"/>
    <n v="33.799999999999997"/>
    <x v="3"/>
    <s v="Mar 2024"/>
    <n v="11"/>
    <s v="Repeat"/>
    <x v="0"/>
    <x v="30"/>
  </r>
  <r>
    <x v="3"/>
    <x v="31"/>
    <x v="0"/>
    <x v="22"/>
    <n v="24"/>
    <x v="6"/>
    <s v="Mar 2024"/>
    <n v="14"/>
    <s v="Single"/>
    <x v="1"/>
    <x v="31"/>
  </r>
  <r>
    <x v="4"/>
    <x v="32"/>
    <x v="0"/>
    <x v="0"/>
    <n v="38.700000000000003"/>
    <x v="0"/>
    <s v="Mar 2024"/>
    <n v="9"/>
    <s v="Repeat"/>
    <x v="0"/>
    <x v="32"/>
  </r>
  <r>
    <x v="4"/>
    <x v="33"/>
    <x v="0"/>
    <x v="23"/>
    <n v="38.700000000000003"/>
    <x v="0"/>
    <s v="Mar 2024"/>
    <n v="14"/>
    <s v="Single"/>
    <x v="1"/>
    <x v="33"/>
  </r>
  <r>
    <x v="4"/>
    <x v="34"/>
    <x v="0"/>
    <x v="24"/>
    <n v="38.700000000000003"/>
    <x v="0"/>
    <s v="Mar 2024"/>
    <n v="17"/>
    <s v="Repeat"/>
    <x v="0"/>
    <x v="34"/>
  </r>
  <r>
    <x v="4"/>
    <x v="35"/>
    <x v="0"/>
    <x v="25"/>
    <n v="38.700000000000003"/>
    <x v="1"/>
    <s v="Mar 2024"/>
    <n v="17"/>
    <s v="Repeat"/>
    <x v="0"/>
    <x v="35"/>
  </r>
  <r>
    <x v="4"/>
    <x v="36"/>
    <x v="0"/>
    <x v="26"/>
    <n v="38.700000000000003"/>
    <x v="4"/>
    <s v="Mar 2024"/>
    <n v="17"/>
    <s v="Repeat"/>
    <x v="0"/>
    <x v="36"/>
  </r>
  <r>
    <x v="4"/>
    <x v="37"/>
    <x v="0"/>
    <x v="27"/>
    <n v="38.700000000000003"/>
    <x v="1"/>
    <s v="Mar 2024"/>
    <n v="17"/>
    <s v="Single"/>
    <x v="1"/>
    <x v="37"/>
  </r>
  <r>
    <x v="4"/>
    <x v="38"/>
    <x v="0"/>
    <x v="8"/>
    <n v="38.700000000000003"/>
    <x v="1"/>
    <s v="Mar 2024"/>
    <n v="17"/>
    <s v="Repeat"/>
    <x v="0"/>
    <x v="38"/>
  </r>
  <r>
    <x v="4"/>
    <x v="39"/>
    <x v="0"/>
    <x v="28"/>
    <n v="28.9"/>
    <x v="5"/>
    <s v="Mar 2024"/>
    <n v="17"/>
    <s v="Repeat"/>
    <x v="0"/>
    <x v="39"/>
  </r>
  <r>
    <x v="4"/>
    <x v="40"/>
    <x v="0"/>
    <x v="28"/>
    <n v="38.700000000000003"/>
    <x v="1"/>
    <s v="Mar 2024"/>
    <n v="18"/>
    <s v="Repeat"/>
    <x v="0"/>
    <x v="40"/>
  </r>
  <r>
    <x v="5"/>
    <x v="41"/>
    <x v="1"/>
    <x v="10"/>
    <n v="35"/>
    <x v="3"/>
    <s v="Mar 2024"/>
    <n v="12"/>
    <s v="Repeat"/>
    <x v="2"/>
    <x v="41"/>
  </r>
  <r>
    <x v="5"/>
    <x v="42"/>
    <x v="0"/>
    <x v="12"/>
    <n v="28.9"/>
    <x v="2"/>
    <s v="Mar 2024"/>
    <n v="13"/>
    <s v="Repeat"/>
    <x v="0"/>
    <x v="42"/>
  </r>
  <r>
    <x v="5"/>
    <x v="43"/>
    <x v="0"/>
    <x v="12"/>
    <n v="28.9"/>
    <x v="5"/>
    <s v="Mar 2024"/>
    <n v="13"/>
    <s v="Repeat"/>
    <x v="0"/>
    <x v="43"/>
  </r>
  <r>
    <x v="5"/>
    <x v="44"/>
    <x v="0"/>
    <x v="29"/>
    <n v="38.700000000000003"/>
    <x v="7"/>
    <s v="Mar 2024"/>
    <n v="14"/>
    <s v="Repeat"/>
    <x v="0"/>
    <x v="44"/>
  </r>
  <r>
    <x v="5"/>
    <x v="45"/>
    <x v="0"/>
    <x v="29"/>
    <n v="38.700000000000003"/>
    <x v="7"/>
    <s v="Mar 2024"/>
    <n v="14"/>
    <s v="Repeat"/>
    <x v="0"/>
    <x v="45"/>
  </r>
  <r>
    <x v="6"/>
    <x v="46"/>
    <x v="1"/>
    <x v="10"/>
    <n v="40"/>
    <x v="0"/>
    <s v="Mar 2024"/>
    <n v="10"/>
    <s v="Repeat"/>
    <x v="2"/>
    <x v="46"/>
  </r>
  <r>
    <x v="6"/>
    <x v="47"/>
    <x v="0"/>
    <x v="30"/>
    <n v="38.700000000000003"/>
    <x v="1"/>
    <s v="Mar 2024"/>
    <n v="10"/>
    <s v="Single"/>
    <x v="1"/>
    <x v="47"/>
  </r>
  <r>
    <x v="6"/>
    <x v="48"/>
    <x v="0"/>
    <x v="31"/>
    <n v="38.700000000000003"/>
    <x v="0"/>
    <s v="Mar 2024"/>
    <n v="11"/>
    <s v="Single"/>
    <x v="1"/>
    <x v="48"/>
  </r>
  <r>
    <x v="6"/>
    <x v="49"/>
    <x v="1"/>
    <x v="10"/>
    <n v="40"/>
    <x v="0"/>
    <s v="Mar 2024"/>
    <n v="11"/>
    <s v="Repeat"/>
    <x v="2"/>
    <x v="49"/>
  </r>
  <r>
    <x v="6"/>
    <x v="50"/>
    <x v="0"/>
    <x v="32"/>
    <n v="28.9"/>
    <x v="2"/>
    <s v="Mar 2024"/>
    <n v="15"/>
    <s v="Repeat"/>
    <x v="0"/>
    <x v="50"/>
  </r>
  <r>
    <x v="6"/>
    <x v="51"/>
    <x v="0"/>
    <x v="33"/>
    <n v="33.799999999999997"/>
    <x v="3"/>
    <s v="Mar 2024"/>
    <n v="15"/>
    <s v="Repeat"/>
    <x v="0"/>
    <x v="51"/>
  </r>
  <r>
    <x v="7"/>
    <x v="52"/>
    <x v="0"/>
    <x v="12"/>
    <n v="28.9"/>
    <x v="5"/>
    <s v="Mar 2024"/>
    <n v="10"/>
    <s v="Repeat"/>
    <x v="0"/>
    <x v="52"/>
  </r>
  <r>
    <x v="7"/>
    <x v="53"/>
    <x v="0"/>
    <x v="34"/>
    <n v="38.700000000000003"/>
    <x v="7"/>
    <s v="Mar 2024"/>
    <n v="12"/>
    <s v="Single"/>
    <x v="1"/>
    <x v="53"/>
  </r>
  <r>
    <x v="7"/>
    <x v="54"/>
    <x v="0"/>
    <x v="35"/>
    <n v="28.9"/>
    <x v="2"/>
    <s v="Mar 2024"/>
    <n v="13"/>
    <s v="Repeat"/>
    <x v="0"/>
    <x v="54"/>
  </r>
  <r>
    <x v="7"/>
    <x v="55"/>
    <x v="0"/>
    <x v="12"/>
    <n v="28.9"/>
    <x v="2"/>
    <s v="Mar 2024"/>
    <n v="14"/>
    <s v="Repeat"/>
    <x v="0"/>
    <x v="55"/>
  </r>
  <r>
    <x v="7"/>
    <x v="56"/>
    <x v="0"/>
    <x v="33"/>
    <n v="28.9"/>
    <x v="2"/>
    <s v="Mar 2024"/>
    <n v="14"/>
    <s v="Repeat"/>
    <x v="0"/>
    <x v="56"/>
  </r>
  <r>
    <x v="7"/>
    <x v="57"/>
    <x v="0"/>
    <x v="12"/>
    <n v="33.799999999999997"/>
    <x v="3"/>
    <s v="Mar 2024"/>
    <n v="14"/>
    <s v="Repeat"/>
    <x v="0"/>
    <x v="57"/>
  </r>
  <r>
    <x v="7"/>
    <x v="58"/>
    <x v="0"/>
    <x v="36"/>
    <n v="38.700000000000003"/>
    <x v="0"/>
    <s v="Mar 2024"/>
    <n v="18"/>
    <s v="Single"/>
    <x v="1"/>
    <x v="58"/>
  </r>
  <r>
    <x v="7"/>
    <x v="59"/>
    <x v="0"/>
    <x v="37"/>
    <n v="38.700000000000003"/>
    <x v="0"/>
    <s v="Mar 2024"/>
    <n v="18"/>
    <s v="Single"/>
    <x v="1"/>
    <x v="59"/>
  </r>
  <r>
    <x v="8"/>
    <x v="60"/>
    <x v="1"/>
    <x v="10"/>
    <n v="40"/>
    <x v="1"/>
    <s v="Mar 2024"/>
    <n v="11"/>
    <s v="Repeat"/>
    <x v="2"/>
    <x v="60"/>
  </r>
  <r>
    <x v="8"/>
    <x v="61"/>
    <x v="0"/>
    <x v="38"/>
    <n v="24"/>
    <x v="6"/>
    <s v="Mar 2024"/>
    <n v="12"/>
    <s v="Single"/>
    <x v="1"/>
    <x v="61"/>
  </r>
  <r>
    <x v="8"/>
    <x v="62"/>
    <x v="0"/>
    <x v="39"/>
    <n v="28.9"/>
    <x v="2"/>
    <s v="Mar 2024"/>
    <n v="12"/>
    <s v="Single"/>
    <x v="1"/>
    <x v="62"/>
  </r>
  <r>
    <x v="8"/>
    <x v="63"/>
    <x v="0"/>
    <x v="12"/>
    <n v="38.700000000000003"/>
    <x v="7"/>
    <s v="Mar 2024"/>
    <n v="12"/>
    <s v="Repeat"/>
    <x v="0"/>
    <x v="63"/>
  </r>
  <r>
    <x v="8"/>
    <x v="64"/>
    <x v="0"/>
    <x v="40"/>
    <n v="28.9"/>
    <x v="2"/>
    <s v="Mar 2024"/>
    <n v="12"/>
    <s v="Repeat"/>
    <x v="0"/>
    <x v="64"/>
  </r>
  <r>
    <x v="8"/>
    <x v="65"/>
    <x v="0"/>
    <x v="40"/>
    <n v="28.9"/>
    <x v="2"/>
    <s v="Mar 2024"/>
    <n v="12"/>
    <s v="Repeat"/>
    <x v="0"/>
    <x v="65"/>
  </r>
  <r>
    <x v="8"/>
    <x v="66"/>
    <x v="0"/>
    <x v="41"/>
    <n v="38.700000000000003"/>
    <x v="0"/>
    <s v="Mar 2024"/>
    <n v="13"/>
    <s v="Single"/>
    <x v="1"/>
    <x v="66"/>
  </r>
  <r>
    <x v="8"/>
    <x v="67"/>
    <x v="0"/>
    <x v="42"/>
    <n v="33.799999999999997"/>
    <x v="3"/>
    <s v="Mar 2024"/>
    <n v="13"/>
    <s v="Repeat"/>
    <x v="0"/>
    <x v="67"/>
  </r>
  <r>
    <x v="8"/>
    <x v="68"/>
    <x v="0"/>
    <x v="43"/>
    <n v="28.9"/>
    <x v="5"/>
    <s v="Mar 2024"/>
    <n v="13"/>
    <s v="Repeat"/>
    <x v="0"/>
    <x v="68"/>
  </r>
  <r>
    <x v="8"/>
    <x v="69"/>
    <x v="0"/>
    <x v="43"/>
    <n v="38.700000000000003"/>
    <x v="7"/>
    <s v="Mar 2024"/>
    <n v="13"/>
    <s v="Repeat"/>
    <x v="0"/>
    <x v="69"/>
  </r>
  <r>
    <x v="8"/>
    <x v="70"/>
    <x v="0"/>
    <x v="8"/>
    <n v="33.799999999999997"/>
    <x v="3"/>
    <s v="Mar 2024"/>
    <n v="14"/>
    <s v="Repeat"/>
    <x v="0"/>
    <x v="70"/>
  </r>
  <r>
    <x v="8"/>
    <x v="71"/>
    <x v="0"/>
    <x v="44"/>
    <n v="38.700000000000003"/>
    <x v="1"/>
    <s v="Mar 2024"/>
    <n v="14"/>
    <s v="Single"/>
    <x v="1"/>
    <x v="71"/>
  </r>
  <r>
    <x v="8"/>
    <x v="72"/>
    <x v="0"/>
    <x v="8"/>
    <n v="38.700000000000003"/>
    <x v="7"/>
    <s v="Mar 2024"/>
    <n v="19"/>
    <s v="Repeat"/>
    <x v="0"/>
    <x v="72"/>
  </r>
  <r>
    <x v="8"/>
    <x v="73"/>
    <x v="0"/>
    <x v="8"/>
    <n v="38.700000000000003"/>
    <x v="1"/>
    <s v="Mar 2024"/>
    <n v="19"/>
    <s v="Repeat"/>
    <x v="0"/>
    <x v="73"/>
  </r>
  <r>
    <x v="9"/>
    <x v="74"/>
    <x v="1"/>
    <x v="10"/>
    <n v="30"/>
    <x v="2"/>
    <s v="Mar 2024"/>
    <n v="7"/>
    <s v="Repeat"/>
    <x v="2"/>
    <x v="74"/>
  </r>
  <r>
    <x v="9"/>
    <x v="75"/>
    <x v="1"/>
    <x v="10"/>
    <n v="35"/>
    <x v="3"/>
    <s v="Mar 2024"/>
    <n v="7"/>
    <s v="Repeat"/>
    <x v="2"/>
    <x v="75"/>
  </r>
  <r>
    <x v="9"/>
    <x v="76"/>
    <x v="1"/>
    <x v="10"/>
    <n v="40"/>
    <x v="0"/>
    <s v="Mar 2024"/>
    <n v="10"/>
    <s v="Repeat"/>
    <x v="2"/>
    <x v="76"/>
  </r>
  <r>
    <x v="9"/>
    <x v="77"/>
    <x v="0"/>
    <x v="45"/>
    <n v="24"/>
    <x v="6"/>
    <s v="Mar 2024"/>
    <n v="11"/>
    <s v="Single"/>
    <x v="1"/>
    <x v="77"/>
  </r>
  <r>
    <x v="9"/>
    <x v="78"/>
    <x v="1"/>
    <x v="10"/>
    <n v="35"/>
    <x v="3"/>
    <s v="Mar 2024"/>
    <n v="17"/>
    <s v="Repeat"/>
    <x v="2"/>
    <x v="78"/>
  </r>
  <r>
    <x v="9"/>
    <x v="79"/>
    <x v="0"/>
    <x v="46"/>
    <n v="38.700000000000003"/>
    <x v="0"/>
    <s v="Mar 2024"/>
    <n v="19"/>
    <s v="Repeat"/>
    <x v="0"/>
    <x v="79"/>
  </r>
  <r>
    <x v="9"/>
    <x v="80"/>
    <x v="0"/>
    <x v="46"/>
    <n v="28.9"/>
    <x v="5"/>
    <s v="Mar 2024"/>
    <n v="19"/>
    <s v="Repeat"/>
    <x v="0"/>
    <x v="80"/>
  </r>
  <r>
    <x v="10"/>
    <x v="81"/>
    <x v="1"/>
    <x v="10"/>
    <n v="40"/>
    <x v="0"/>
    <s v="Mar 2024"/>
    <n v="10"/>
    <s v="Repeat"/>
    <x v="2"/>
    <x v="81"/>
  </r>
  <r>
    <x v="10"/>
    <x v="82"/>
    <x v="1"/>
    <x v="10"/>
    <n v="40"/>
    <x v="7"/>
    <s v="Mar 2024"/>
    <n v="11"/>
    <s v="Repeat"/>
    <x v="2"/>
    <x v="82"/>
  </r>
  <r>
    <x v="10"/>
    <x v="83"/>
    <x v="1"/>
    <x v="10"/>
    <n v="30"/>
    <x v="5"/>
    <s v="Mar 2024"/>
    <n v="11"/>
    <s v="Repeat"/>
    <x v="2"/>
    <x v="83"/>
  </r>
  <r>
    <x v="10"/>
    <x v="84"/>
    <x v="1"/>
    <x v="10"/>
    <n v="30"/>
    <x v="2"/>
    <s v="Mar 2024"/>
    <n v="11"/>
    <s v="Repeat"/>
    <x v="2"/>
    <x v="84"/>
  </r>
  <r>
    <x v="10"/>
    <x v="85"/>
    <x v="0"/>
    <x v="35"/>
    <n v="38.700000000000003"/>
    <x v="7"/>
    <s v="Mar 2024"/>
    <n v="11"/>
    <s v="Repeat"/>
    <x v="0"/>
    <x v="85"/>
  </r>
  <r>
    <x v="10"/>
    <x v="86"/>
    <x v="0"/>
    <x v="47"/>
    <n v="28.9"/>
    <x v="2"/>
    <s v="Mar 2024"/>
    <n v="16"/>
    <s v="Repeat"/>
    <x v="0"/>
    <x v="86"/>
  </r>
  <r>
    <x v="10"/>
    <x v="87"/>
    <x v="0"/>
    <x v="47"/>
    <n v="38.700000000000003"/>
    <x v="0"/>
    <s v="Mar 2024"/>
    <n v="16"/>
    <s v="Repeat"/>
    <x v="0"/>
    <x v="87"/>
  </r>
  <r>
    <x v="10"/>
    <x v="88"/>
    <x v="0"/>
    <x v="48"/>
    <n v="28.9"/>
    <x v="5"/>
    <s v="Mar 2024"/>
    <n v="16"/>
    <s v="Repeat"/>
    <x v="0"/>
    <x v="88"/>
  </r>
  <r>
    <x v="11"/>
    <x v="89"/>
    <x v="1"/>
    <x v="10"/>
    <n v="40"/>
    <x v="0"/>
    <s v="Mar 2024"/>
    <n v="10"/>
    <s v="Repeat"/>
    <x v="2"/>
    <x v="89"/>
  </r>
  <r>
    <x v="11"/>
    <x v="90"/>
    <x v="0"/>
    <x v="33"/>
    <n v="28.9"/>
    <x v="2"/>
    <s v="Mar 2024"/>
    <n v="10"/>
    <s v="Repeat"/>
    <x v="0"/>
    <x v="90"/>
  </r>
  <r>
    <x v="11"/>
    <x v="91"/>
    <x v="0"/>
    <x v="33"/>
    <n v="28.9"/>
    <x v="5"/>
    <s v="Mar 2024"/>
    <n v="10"/>
    <s v="Repeat"/>
    <x v="0"/>
    <x v="91"/>
  </r>
  <r>
    <x v="11"/>
    <x v="92"/>
    <x v="0"/>
    <x v="49"/>
    <n v="38.700000000000003"/>
    <x v="1"/>
    <s v="Mar 2024"/>
    <n v="11"/>
    <s v="Repeat"/>
    <x v="0"/>
    <x v="92"/>
  </r>
  <r>
    <x v="11"/>
    <x v="93"/>
    <x v="0"/>
    <x v="3"/>
    <n v="33.799999999999997"/>
    <x v="3"/>
    <s v="Mar 2024"/>
    <n v="12"/>
    <s v="Repeat"/>
    <x v="0"/>
    <x v="93"/>
  </r>
  <r>
    <x v="11"/>
    <x v="94"/>
    <x v="0"/>
    <x v="3"/>
    <n v="28.9"/>
    <x v="2"/>
    <s v="Mar 2024"/>
    <n v="12"/>
    <s v="Repeat"/>
    <x v="0"/>
    <x v="94"/>
  </r>
  <r>
    <x v="11"/>
    <x v="95"/>
    <x v="0"/>
    <x v="50"/>
    <n v="28.9"/>
    <x v="2"/>
    <s v="Mar 2024"/>
    <n v="16"/>
    <s v="Repeat"/>
    <x v="0"/>
    <x v="95"/>
  </r>
  <r>
    <x v="12"/>
    <x v="96"/>
    <x v="0"/>
    <x v="48"/>
    <n v="38.700000000000003"/>
    <x v="1"/>
    <s v="Mar 2024"/>
    <n v="11"/>
    <s v="Repeat"/>
    <x v="0"/>
    <x v="96"/>
  </r>
  <r>
    <x v="12"/>
    <x v="97"/>
    <x v="0"/>
    <x v="3"/>
    <n v="28.9"/>
    <x v="2"/>
    <s v="Mar 2024"/>
    <n v="11"/>
    <s v="Repeat"/>
    <x v="0"/>
    <x v="97"/>
  </r>
  <r>
    <x v="12"/>
    <x v="98"/>
    <x v="0"/>
    <x v="51"/>
    <n v="28.9"/>
    <x v="2"/>
    <s v="Mar 2024"/>
    <n v="12"/>
    <s v="Repeat"/>
    <x v="0"/>
    <x v="98"/>
  </r>
  <r>
    <x v="12"/>
    <x v="99"/>
    <x v="0"/>
    <x v="51"/>
    <n v="28.9"/>
    <x v="2"/>
    <s v="Mar 2024"/>
    <n v="12"/>
    <s v="Repeat"/>
    <x v="0"/>
    <x v="99"/>
  </r>
  <r>
    <x v="12"/>
    <x v="100"/>
    <x v="1"/>
    <x v="10"/>
    <n v="25"/>
    <x v="6"/>
    <s v="Mar 2024"/>
    <n v="12"/>
    <s v="Repeat"/>
    <x v="2"/>
    <x v="100"/>
  </r>
  <r>
    <x v="12"/>
    <x v="101"/>
    <x v="0"/>
    <x v="52"/>
    <n v="33.799999999999997"/>
    <x v="3"/>
    <s v="Mar 2024"/>
    <n v="14"/>
    <s v="Single"/>
    <x v="1"/>
    <x v="101"/>
  </r>
  <r>
    <x v="12"/>
    <x v="50"/>
    <x v="0"/>
    <x v="53"/>
    <n v="24"/>
    <x v="6"/>
    <s v="Mar 2024"/>
    <n v="15"/>
    <s v="Repeat"/>
    <x v="0"/>
    <x v="102"/>
  </r>
  <r>
    <x v="12"/>
    <x v="102"/>
    <x v="0"/>
    <x v="53"/>
    <n v="24"/>
    <x v="6"/>
    <s v="Mar 2024"/>
    <n v="15"/>
    <s v="Repeat"/>
    <x v="0"/>
    <x v="103"/>
  </r>
  <r>
    <x v="12"/>
    <x v="103"/>
    <x v="0"/>
    <x v="54"/>
    <n v="24"/>
    <x v="6"/>
    <s v="Mar 2024"/>
    <n v="16"/>
    <s v="Repeat"/>
    <x v="0"/>
    <x v="104"/>
  </r>
  <r>
    <x v="13"/>
    <x v="104"/>
    <x v="1"/>
    <x v="10"/>
    <n v="40"/>
    <x v="0"/>
    <s v="Mar 2024"/>
    <n v="10"/>
    <s v="Repeat"/>
    <x v="2"/>
    <x v="105"/>
  </r>
  <r>
    <x v="13"/>
    <x v="105"/>
    <x v="0"/>
    <x v="55"/>
    <n v="38.700000000000003"/>
    <x v="0"/>
    <s v="Mar 2024"/>
    <n v="10"/>
    <s v="Repeat"/>
    <x v="0"/>
    <x v="106"/>
  </r>
  <r>
    <x v="13"/>
    <x v="106"/>
    <x v="0"/>
    <x v="55"/>
    <n v="38.700000000000003"/>
    <x v="1"/>
    <s v="Mar 2024"/>
    <n v="10"/>
    <s v="Repeat"/>
    <x v="0"/>
    <x v="107"/>
  </r>
  <r>
    <x v="13"/>
    <x v="107"/>
    <x v="0"/>
    <x v="12"/>
    <n v="28.9"/>
    <x v="5"/>
    <s v="Mar 2024"/>
    <n v="13"/>
    <s v="Repeat"/>
    <x v="0"/>
    <x v="108"/>
  </r>
  <r>
    <x v="13"/>
    <x v="108"/>
    <x v="0"/>
    <x v="12"/>
    <n v="28.9"/>
    <x v="2"/>
    <s v="Mar 2024"/>
    <n v="13"/>
    <s v="Repeat"/>
    <x v="0"/>
    <x v="109"/>
  </r>
  <r>
    <x v="13"/>
    <x v="109"/>
    <x v="0"/>
    <x v="56"/>
    <n v="33.799999999999997"/>
    <x v="3"/>
    <s v="Mar 2024"/>
    <n v="13"/>
    <s v="Single"/>
    <x v="1"/>
    <x v="110"/>
  </r>
  <r>
    <x v="13"/>
    <x v="110"/>
    <x v="0"/>
    <x v="57"/>
    <n v="24"/>
    <x v="6"/>
    <s v="Mar 2024"/>
    <n v="13"/>
    <s v="Single"/>
    <x v="1"/>
    <x v="111"/>
  </r>
  <r>
    <x v="13"/>
    <x v="111"/>
    <x v="0"/>
    <x v="58"/>
    <n v="38.700000000000003"/>
    <x v="0"/>
    <s v="Mar 2024"/>
    <n v="15"/>
    <s v="Repeat"/>
    <x v="0"/>
    <x v="112"/>
  </r>
  <r>
    <x v="13"/>
    <x v="112"/>
    <x v="0"/>
    <x v="59"/>
    <n v="33.799999999999997"/>
    <x v="3"/>
    <s v="Mar 2024"/>
    <n v="16"/>
    <s v="Repeat"/>
    <x v="0"/>
    <x v="113"/>
  </r>
  <r>
    <x v="13"/>
    <x v="113"/>
    <x v="0"/>
    <x v="50"/>
    <n v="24"/>
    <x v="6"/>
    <s v="Mar 2024"/>
    <n v="16"/>
    <s v="Repeat"/>
    <x v="0"/>
    <x v="114"/>
  </r>
  <r>
    <x v="13"/>
    <x v="114"/>
    <x v="0"/>
    <x v="19"/>
    <n v="38.700000000000003"/>
    <x v="1"/>
    <s v="Mar 2024"/>
    <n v="18"/>
    <s v="Repeat"/>
    <x v="0"/>
    <x v="115"/>
  </r>
  <r>
    <x v="13"/>
    <x v="115"/>
    <x v="0"/>
    <x v="12"/>
    <n v="28.9"/>
    <x v="5"/>
    <s v="Mar 2024"/>
    <n v="19"/>
    <s v="Repeat"/>
    <x v="0"/>
    <x v="116"/>
  </r>
  <r>
    <x v="14"/>
    <x v="116"/>
    <x v="1"/>
    <x v="10"/>
    <n v="40"/>
    <x v="0"/>
    <s v="Mar 2024"/>
    <n v="10"/>
    <s v="Repeat"/>
    <x v="2"/>
    <x v="117"/>
  </r>
  <r>
    <x v="14"/>
    <x v="117"/>
    <x v="0"/>
    <x v="60"/>
    <n v="38.700000000000003"/>
    <x v="1"/>
    <s v="Mar 2024"/>
    <n v="10"/>
    <s v="Single"/>
    <x v="1"/>
    <x v="118"/>
  </r>
  <r>
    <x v="14"/>
    <x v="118"/>
    <x v="0"/>
    <x v="12"/>
    <n v="28.9"/>
    <x v="2"/>
    <s v="Mar 2024"/>
    <n v="18"/>
    <s v="Repeat"/>
    <x v="0"/>
    <x v="119"/>
  </r>
  <r>
    <x v="15"/>
    <x v="119"/>
    <x v="0"/>
    <x v="61"/>
    <n v="33.799999999999997"/>
    <x v="3"/>
    <s v="Mar 2024"/>
    <n v="12"/>
    <s v="Repeat"/>
    <x v="0"/>
    <x v="120"/>
  </r>
  <r>
    <x v="15"/>
    <x v="120"/>
    <x v="0"/>
    <x v="61"/>
    <n v="28.9"/>
    <x v="2"/>
    <s v="Mar 2024"/>
    <n v="12"/>
    <s v="Repeat"/>
    <x v="0"/>
    <x v="121"/>
  </r>
  <r>
    <x v="15"/>
    <x v="121"/>
    <x v="0"/>
    <x v="8"/>
    <n v="28.9"/>
    <x v="5"/>
    <s v="Mar 2024"/>
    <n v="15"/>
    <s v="Repeat"/>
    <x v="0"/>
    <x v="122"/>
  </r>
  <r>
    <x v="15"/>
    <x v="122"/>
    <x v="0"/>
    <x v="8"/>
    <n v="28.9"/>
    <x v="5"/>
    <s v="Mar 2024"/>
    <n v="16"/>
    <s v="Repeat"/>
    <x v="0"/>
    <x v="123"/>
  </r>
  <r>
    <x v="15"/>
    <x v="123"/>
    <x v="0"/>
    <x v="12"/>
    <n v="28.9"/>
    <x v="5"/>
    <s v="Mar 2024"/>
    <n v="16"/>
    <s v="Repeat"/>
    <x v="0"/>
    <x v="124"/>
  </r>
  <r>
    <x v="15"/>
    <x v="124"/>
    <x v="0"/>
    <x v="62"/>
    <n v="33.799999999999997"/>
    <x v="3"/>
    <s v="Mar 2024"/>
    <n v="17"/>
    <s v="Single"/>
    <x v="1"/>
    <x v="125"/>
  </r>
  <r>
    <x v="16"/>
    <x v="125"/>
    <x v="1"/>
    <x v="10"/>
    <n v="40"/>
    <x v="0"/>
    <s v="Mar 2024"/>
    <n v="10"/>
    <s v="Repeat"/>
    <x v="2"/>
    <x v="126"/>
  </r>
  <r>
    <x v="16"/>
    <x v="126"/>
    <x v="0"/>
    <x v="63"/>
    <n v="28.9"/>
    <x v="5"/>
    <s v="Mar 2024"/>
    <n v="12"/>
    <s v="Single"/>
    <x v="1"/>
    <x v="127"/>
  </r>
  <r>
    <x v="17"/>
    <x v="127"/>
    <x v="0"/>
    <x v="64"/>
    <n v="28.9"/>
    <x v="5"/>
    <s v="Mar 2024"/>
    <n v="11"/>
    <s v="Repeat"/>
    <x v="0"/>
    <x v="128"/>
  </r>
  <r>
    <x v="17"/>
    <x v="128"/>
    <x v="0"/>
    <x v="2"/>
    <n v="28.9"/>
    <x v="2"/>
    <s v="Mar 2024"/>
    <n v="15"/>
    <s v="Repeat"/>
    <x v="0"/>
    <x v="129"/>
  </r>
  <r>
    <x v="17"/>
    <x v="129"/>
    <x v="0"/>
    <x v="2"/>
    <n v="28.9"/>
    <x v="2"/>
    <s v="Mar 2024"/>
    <n v="15"/>
    <s v="Repeat"/>
    <x v="0"/>
    <x v="130"/>
  </r>
  <r>
    <x v="17"/>
    <x v="130"/>
    <x v="0"/>
    <x v="2"/>
    <n v="28.9"/>
    <x v="2"/>
    <s v="Mar 2024"/>
    <n v="15"/>
    <s v="Repeat"/>
    <x v="0"/>
    <x v="131"/>
  </r>
  <r>
    <x v="18"/>
    <x v="131"/>
    <x v="1"/>
    <x v="10"/>
    <n v="30"/>
    <x v="5"/>
    <s v="Mar 2024"/>
    <n v="10"/>
    <s v="Repeat"/>
    <x v="2"/>
    <x v="132"/>
  </r>
  <r>
    <x v="18"/>
    <x v="132"/>
    <x v="0"/>
    <x v="65"/>
    <n v="38.700000000000003"/>
    <x v="0"/>
    <s v="Mar 2024"/>
    <n v="14"/>
    <s v="Repeat"/>
    <x v="0"/>
    <x v="133"/>
  </r>
  <r>
    <x v="18"/>
    <x v="133"/>
    <x v="0"/>
    <x v="65"/>
    <n v="38.700000000000003"/>
    <x v="0"/>
    <s v="Mar 2024"/>
    <n v="14"/>
    <s v="Repeat"/>
    <x v="0"/>
    <x v="134"/>
  </r>
  <r>
    <x v="18"/>
    <x v="134"/>
    <x v="0"/>
    <x v="49"/>
    <n v="38.700000000000003"/>
    <x v="1"/>
    <s v="Mar 2024"/>
    <n v="15"/>
    <s v="Repeat"/>
    <x v="0"/>
    <x v="135"/>
  </r>
  <r>
    <x v="18"/>
    <x v="135"/>
    <x v="0"/>
    <x v="66"/>
    <n v="33.799999999999997"/>
    <x v="3"/>
    <s v="Mar 2024"/>
    <n v="16"/>
    <s v="Single"/>
    <x v="1"/>
    <x v="136"/>
  </r>
  <r>
    <x v="18"/>
    <x v="136"/>
    <x v="1"/>
    <x v="10"/>
    <n v="40"/>
    <x v="1"/>
    <s v="Mar 2024"/>
    <n v="19"/>
    <s v="Repeat"/>
    <x v="2"/>
    <x v="137"/>
  </r>
  <r>
    <x v="19"/>
    <x v="137"/>
    <x v="0"/>
    <x v="12"/>
    <n v="28.9"/>
    <x v="5"/>
    <s v="Mar 2024"/>
    <n v="11"/>
    <s v="Repeat"/>
    <x v="0"/>
    <x v="138"/>
  </r>
  <r>
    <x v="19"/>
    <x v="138"/>
    <x v="1"/>
    <x v="10"/>
    <n v="40"/>
    <x v="0"/>
    <s v="Mar 2024"/>
    <n v="12"/>
    <s v="Repeat"/>
    <x v="2"/>
    <x v="139"/>
  </r>
  <r>
    <x v="19"/>
    <x v="139"/>
    <x v="0"/>
    <x v="49"/>
    <n v="28.9"/>
    <x v="5"/>
    <s v="Mar 2024"/>
    <n v="12"/>
    <s v="Repeat"/>
    <x v="0"/>
    <x v="140"/>
  </r>
  <r>
    <x v="19"/>
    <x v="140"/>
    <x v="0"/>
    <x v="67"/>
    <n v="38.700000000000003"/>
    <x v="7"/>
    <s v="Mar 2024"/>
    <n v="13"/>
    <s v="Single"/>
    <x v="1"/>
    <x v="141"/>
  </r>
  <r>
    <x v="19"/>
    <x v="141"/>
    <x v="0"/>
    <x v="50"/>
    <n v="38.700000000000003"/>
    <x v="4"/>
    <s v="Mar 2024"/>
    <n v="16"/>
    <s v="Repeat"/>
    <x v="0"/>
    <x v="142"/>
  </r>
  <r>
    <x v="19"/>
    <x v="142"/>
    <x v="0"/>
    <x v="68"/>
    <n v="38.700000000000003"/>
    <x v="0"/>
    <s v="Mar 2024"/>
    <n v="17"/>
    <s v="Single"/>
    <x v="1"/>
    <x v="143"/>
  </r>
  <r>
    <x v="20"/>
    <x v="143"/>
    <x v="1"/>
    <x v="10"/>
    <n v="40"/>
    <x v="7"/>
    <s v="Mar 2024"/>
    <n v="10"/>
    <s v="Repeat"/>
    <x v="2"/>
    <x v="144"/>
  </r>
  <r>
    <x v="20"/>
    <x v="144"/>
    <x v="0"/>
    <x v="12"/>
    <n v="28.9"/>
    <x v="5"/>
    <s v="Mar 2024"/>
    <n v="12"/>
    <s v="Repeat"/>
    <x v="0"/>
    <x v="145"/>
  </r>
  <r>
    <x v="20"/>
    <x v="145"/>
    <x v="0"/>
    <x v="12"/>
    <n v="38.700000000000003"/>
    <x v="7"/>
    <s v="Mar 2024"/>
    <n v="12"/>
    <s v="Repeat"/>
    <x v="0"/>
    <x v="146"/>
  </r>
  <r>
    <x v="20"/>
    <x v="146"/>
    <x v="1"/>
    <x v="10"/>
    <n v="30"/>
    <x v="2"/>
    <s v="Mar 2024"/>
    <n v="17"/>
    <s v="Repeat"/>
    <x v="2"/>
    <x v="147"/>
  </r>
  <r>
    <x v="20"/>
    <x v="147"/>
    <x v="0"/>
    <x v="12"/>
    <n v="28.9"/>
    <x v="5"/>
    <s v="Mar 2024"/>
    <n v="17"/>
    <s v="Repeat"/>
    <x v="0"/>
    <x v="148"/>
  </r>
  <r>
    <x v="20"/>
    <x v="148"/>
    <x v="0"/>
    <x v="69"/>
    <n v="38.700000000000003"/>
    <x v="0"/>
    <s v="Mar 2024"/>
    <n v="19"/>
    <s v="Repeat"/>
    <x v="0"/>
    <x v="149"/>
  </r>
  <r>
    <x v="21"/>
    <x v="149"/>
    <x v="0"/>
    <x v="70"/>
    <n v="33.799999999999997"/>
    <x v="3"/>
    <s v="Mar 2024"/>
    <n v="10"/>
    <s v="Single"/>
    <x v="1"/>
    <x v="150"/>
  </r>
  <r>
    <x v="21"/>
    <x v="150"/>
    <x v="0"/>
    <x v="71"/>
    <n v="33.799999999999997"/>
    <x v="3"/>
    <s v="Mar 2024"/>
    <n v="13"/>
    <s v="Single"/>
    <x v="1"/>
    <x v="151"/>
  </r>
  <r>
    <x v="21"/>
    <x v="151"/>
    <x v="1"/>
    <x v="10"/>
    <n v="40"/>
    <x v="7"/>
    <s v="Mar 2024"/>
    <n v="16"/>
    <s v="Repeat"/>
    <x v="2"/>
    <x v="152"/>
  </r>
  <r>
    <x v="21"/>
    <x v="152"/>
    <x v="0"/>
    <x v="12"/>
    <n v="28.9"/>
    <x v="2"/>
    <s v="Mar 2024"/>
    <n v="17"/>
    <s v="Repeat"/>
    <x v="0"/>
    <x v="153"/>
  </r>
  <r>
    <x v="21"/>
    <x v="153"/>
    <x v="0"/>
    <x v="12"/>
    <n v="24"/>
    <x v="6"/>
    <s v="Mar 2024"/>
    <n v="17"/>
    <s v="Repeat"/>
    <x v="0"/>
    <x v="154"/>
  </r>
  <r>
    <x v="21"/>
    <x v="154"/>
    <x v="0"/>
    <x v="50"/>
    <n v="28.9"/>
    <x v="2"/>
    <s v="Mar 2024"/>
    <n v="17"/>
    <s v="Repeat"/>
    <x v="0"/>
    <x v="155"/>
  </r>
  <r>
    <x v="22"/>
    <x v="155"/>
    <x v="0"/>
    <x v="72"/>
    <n v="38.700000000000003"/>
    <x v="0"/>
    <s v="Mar 2024"/>
    <n v="10"/>
    <s v="Single"/>
    <x v="1"/>
    <x v="156"/>
  </r>
  <r>
    <x v="22"/>
    <x v="156"/>
    <x v="0"/>
    <x v="73"/>
    <n v="33.799999999999997"/>
    <x v="3"/>
    <s v="Mar 2024"/>
    <n v="10"/>
    <s v="Single"/>
    <x v="1"/>
    <x v="157"/>
  </r>
  <r>
    <x v="22"/>
    <x v="157"/>
    <x v="0"/>
    <x v="74"/>
    <n v="38.700000000000003"/>
    <x v="7"/>
    <s v="Mar 2024"/>
    <n v="13"/>
    <s v="Repeat"/>
    <x v="0"/>
    <x v="158"/>
  </r>
  <r>
    <x v="22"/>
    <x v="158"/>
    <x v="0"/>
    <x v="74"/>
    <n v="38.700000000000003"/>
    <x v="4"/>
    <s v="Mar 2024"/>
    <n v="13"/>
    <s v="Repeat"/>
    <x v="0"/>
    <x v="159"/>
  </r>
  <r>
    <x v="22"/>
    <x v="159"/>
    <x v="0"/>
    <x v="75"/>
    <n v="33.799999999999997"/>
    <x v="3"/>
    <s v="Mar 2024"/>
    <n v="14"/>
    <s v="Single"/>
    <x v="1"/>
    <x v="160"/>
  </r>
  <r>
    <x v="22"/>
    <x v="160"/>
    <x v="0"/>
    <x v="76"/>
    <n v="38.700000000000003"/>
    <x v="0"/>
    <s v="Mar 2024"/>
    <n v="15"/>
    <s v="Repeat"/>
    <x v="0"/>
    <x v="161"/>
  </r>
  <r>
    <x v="22"/>
    <x v="161"/>
    <x v="0"/>
    <x v="76"/>
    <n v="33.799999999999997"/>
    <x v="3"/>
    <s v="Mar 2024"/>
    <n v="15"/>
    <s v="Repeat"/>
    <x v="0"/>
    <x v="162"/>
  </r>
  <r>
    <x v="22"/>
    <x v="162"/>
    <x v="0"/>
    <x v="8"/>
    <n v="28.9"/>
    <x v="5"/>
    <s v="Mar 2024"/>
    <n v="16"/>
    <s v="Repeat"/>
    <x v="0"/>
    <x v="163"/>
  </r>
  <r>
    <x v="23"/>
    <x v="163"/>
    <x v="1"/>
    <x v="10"/>
    <n v="40"/>
    <x v="0"/>
    <s v="Mar 2024"/>
    <n v="10"/>
    <s v="Repeat"/>
    <x v="2"/>
    <x v="164"/>
  </r>
  <r>
    <x v="23"/>
    <x v="164"/>
    <x v="0"/>
    <x v="77"/>
    <n v="38.700000000000003"/>
    <x v="0"/>
    <s v="Mar 2024"/>
    <n v="18"/>
    <s v="Repeat"/>
    <x v="0"/>
    <x v="165"/>
  </r>
  <r>
    <x v="24"/>
    <x v="165"/>
    <x v="0"/>
    <x v="8"/>
    <n v="38.700000000000003"/>
    <x v="0"/>
    <s v="Mar 2024"/>
    <n v="10"/>
    <s v="Repeat"/>
    <x v="0"/>
    <x v="166"/>
  </r>
  <r>
    <x v="24"/>
    <x v="166"/>
    <x v="1"/>
    <x v="10"/>
    <n v="35"/>
    <x v="3"/>
    <s v="Mar 2024"/>
    <n v="11"/>
    <s v="Repeat"/>
    <x v="2"/>
    <x v="167"/>
  </r>
  <r>
    <x v="24"/>
    <x v="167"/>
    <x v="0"/>
    <x v="78"/>
    <n v="38.700000000000003"/>
    <x v="0"/>
    <s v="Mar 2024"/>
    <n v="14"/>
    <s v="Single"/>
    <x v="1"/>
    <x v="168"/>
  </r>
  <r>
    <x v="24"/>
    <x v="168"/>
    <x v="0"/>
    <x v="17"/>
    <n v="38.700000000000003"/>
    <x v="0"/>
    <s v="Mar 2024"/>
    <n v="14"/>
    <s v="Repeat"/>
    <x v="0"/>
    <x v="169"/>
  </r>
  <r>
    <x v="24"/>
    <x v="169"/>
    <x v="0"/>
    <x v="24"/>
    <n v="33.799999999999997"/>
    <x v="3"/>
    <s v="Mar 2024"/>
    <n v="18"/>
    <s v="Repeat"/>
    <x v="0"/>
    <x v="170"/>
  </r>
  <r>
    <x v="24"/>
    <x v="170"/>
    <x v="0"/>
    <x v="79"/>
    <n v="38.700000000000003"/>
    <x v="7"/>
    <s v="Mar 2024"/>
    <n v="19"/>
    <s v="Single"/>
    <x v="1"/>
    <x v="171"/>
  </r>
  <r>
    <x v="25"/>
    <x v="171"/>
    <x v="0"/>
    <x v="55"/>
    <n v="38.700000000000003"/>
    <x v="4"/>
    <s v="Mar 2024"/>
    <n v="10"/>
    <s v="Repeat"/>
    <x v="0"/>
    <x v="172"/>
  </r>
  <r>
    <x v="25"/>
    <x v="172"/>
    <x v="0"/>
    <x v="55"/>
    <n v="38.700000000000003"/>
    <x v="0"/>
    <s v="Mar 2024"/>
    <n v="10"/>
    <s v="Repeat"/>
    <x v="0"/>
    <x v="173"/>
  </r>
  <r>
    <x v="25"/>
    <x v="173"/>
    <x v="0"/>
    <x v="80"/>
    <n v="38.700000000000003"/>
    <x v="0"/>
    <s v="Mar 2024"/>
    <n v="10"/>
    <s v="Single"/>
    <x v="1"/>
    <x v="174"/>
  </r>
  <r>
    <x v="25"/>
    <x v="174"/>
    <x v="0"/>
    <x v="8"/>
    <n v="28.9"/>
    <x v="5"/>
    <s v="Mar 2024"/>
    <n v="11"/>
    <s v="Repeat"/>
    <x v="0"/>
    <x v="175"/>
  </r>
  <r>
    <x v="25"/>
    <x v="175"/>
    <x v="0"/>
    <x v="2"/>
    <n v="28.9"/>
    <x v="2"/>
    <s v="Mar 2024"/>
    <n v="13"/>
    <s v="Repeat"/>
    <x v="0"/>
    <x v="176"/>
  </r>
  <r>
    <x v="25"/>
    <x v="176"/>
    <x v="0"/>
    <x v="32"/>
    <n v="28.9"/>
    <x v="5"/>
    <s v="Mar 2024"/>
    <n v="13"/>
    <s v="Repeat"/>
    <x v="0"/>
    <x v="177"/>
  </r>
  <r>
    <x v="25"/>
    <x v="177"/>
    <x v="0"/>
    <x v="59"/>
    <n v="28.9"/>
    <x v="5"/>
    <s v="Mar 2024"/>
    <n v="13"/>
    <s v="Repeat"/>
    <x v="0"/>
    <x v="178"/>
  </r>
  <r>
    <x v="25"/>
    <x v="178"/>
    <x v="0"/>
    <x v="50"/>
    <n v="28.9"/>
    <x v="2"/>
    <s v="Mar 2024"/>
    <n v="13"/>
    <s v="Repeat"/>
    <x v="0"/>
    <x v="179"/>
  </r>
  <r>
    <x v="25"/>
    <x v="179"/>
    <x v="0"/>
    <x v="81"/>
    <n v="38.700000000000003"/>
    <x v="0"/>
    <s v="Mar 2024"/>
    <n v="15"/>
    <s v="Repeat"/>
    <x v="0"/>
    <x v="180"/>
  </r>
  <r>
    <x v="25"/>
    <x v="180"/>
    <x v="0"/>
    <x v="24"/>
    <n v="38.700000000000003"/>
    <x v="0"/>
    <s v="Mar 2024"/>
    <n v="18"/>
    <s v="Repeat"/>
    <x v="0"/>
    <x v="181"/>
  </r>
  <r>
    <x v="25"/>
    <x v="181"/>
    <x v="0"/>
    <x v="8"/>
    <n v="38.700000000000003"/>
    <x v="1"/>
    <s v="Mar 2024"/>
    <n v="18"/>
    <s v="Repeat"/>
    <x v="0"/>
    <x v="182"/>
  </r>
  <r>
    <x v="26"/>
    <x v="182"/>
    <x v="0"/>
    <x v="2"/>
    <n v="28.9"/>
    <x v="5"/>
    <s v="Mar 2024"/>
    <n v="11"/>
    <s v="Repeat"/>
    <x v="0"/>
    <x v="183"/>
  </r>
  <r>
    <x v="26"/>
    <x v="183"/>
    <x v="0"/>
    <x v="2"/>
    <n v="33.799999999999997"/>
    <x v="3"/>
    <s v="Mar 2024"/>
    <n v="11"/>
    <s v="Repeat"/>
    <x v="0"/>
    <x v="184"/>
  </r>
  <r>
    <x v="26"/>
    <x v="184"/>
    <x v="0"/>
    <x v="82"/>
    <n v="33.799999999999997"/>
    <x v="3"/>
    <s v="Mar 2024"/>
    <n v="12"/>
    <s v="Single"/>
    <x v="1"/>
    <x v="185"/>
  </r>
  <r>
    <x v="26"/>
    <x v="185"/>
    <x v="0"/>
    <x v="83"/>
    <n v="38.700000000000003"/>
    <x v="1"/>
    <s v="Mar 2024"/>
    <n v="13"/>
    <s v="Single"/>
    <x v="1"/>
    <x v="186"/>
  </r>
  <r>
    <x v="26"/>
    <x v="186"/>
    <x v="0"/>
    <x v="12"/>
    <n v="38.700000000000003"/>
    <x v="7"/>
    <s v="Mar 2024"/>
    <n v="14"/>
    <s v="Repeat"/>
    <x v="0"/>
    <x v="187"/>
  </r>
  <r>
    <x v="26"/>
    <x v="187"/>
    <x v="0"/>
    <x v="12"/>
    <n v="28.9"/>
    <x v="2"/>
    <s v="Mar 2024"/>
    <n v="14"/>
    <s v="Repeat"/>
    <x v="0"/>
    <x v="188"/>
  </r>
  <r>
    <x v="26"/>
    <x v="188"/>
    <x v="0"/>
    <x v="84"/>
    <n v="28.9"/>
    <x v="5"/>
    <s v="Mar 2024"/>
    <n v="18"/>
    <s v="Repeat"/>
    <x v="0"/>
    <x v="189"/>
  </r>
  <r>
    <x v="26"/>
    <x v="189"/>
    <x v="1"/>
    <x v="10"/>
    <n v="40"/>
    <x v="0"/>
    <s v="Mar 2024"/>
    <n v="19"/>
    <s v="Repeat"/>
    <x v="2"/>
    <x v="190"/>
  </r>
  <r>
    <x v="27"/>
    <x v="190"/>
    <x v="0"/>
    <x v="85"/>
    <n v="28.9"/>
    <x v="5"/>
    <s v="Mar 2024"/>
    <n v="14"/>
    <s v="Repeat"/>
    <x v="0"/>
    <x v="191"/>
  </r>
  <r>
    <x v="27"/>
    <x v="191"/>
    <x v="0"/>
    <x v="12"/>
    <n v="28.9"/>
    <x v="5"/>
    <s v="Mar 2024"/>
    <n v="17"/>
    <s v="Repeat"/>
    <x v="0"/>
    <x v="192"/>
  </r>
  <r>
    <x v="27"/>
    <x v="192"/>
    <x v="0"/>
    <x v="12"/>
    <n v="28.9"/>
    <x v="2"/>
    <s v="Mar 2024"/>
    <n v="17"/>
    <s v="Repeat"/>
    <x v="0"/>
    <x v="193"/>
  </r>
  <r>
    <x v="27"/>
    <x v="193"/>
    <x v="0"/>
    <x v="86"/>
    <n v="38.700000000000003"/>
    <x v="0"/>
    <s v="Mar 2024"/>
    <n v="17"/>
    <s v="Single"/>
    <x v="1"/>
    <x v="194"/>
  </r>
  <r>
    <x v="28"/>
    <x v="194"/>
    <x v="0"/>
    <x v="87"/>
    <n v="38.700000000000003"/>
    <x v="0"/>
    <s v="Mar 2024"/>
    <n v="10"/>
    <s v="Single"/>
    <x v="1"/>
    <x v="195"/>
  </r>
  <r>
    <x v="28"/>
    <x v="195"/>
    <x v="0"/>
    <x v="88"/>
    <n v="38.700000000000003"/>
    <x v="7"/>
    <s v="Mar 2024"/>
    <n v="12"/>
    <s v="Repeat"/>
    <x v="0"/>
    <x v="196"/>
  </r>
  <r>
    <x v="28"/>
    <x v="196"/>
    <x v="0"/>
    <x v="88"/>
    <n v="38.700000000000003"/>
    <x v="7"/>
    <s v="Mar 2024"/>
    <n v="12"/>
    <s v="Repeat"/>
    <x v="0"/>
    <x v="197"/>
  </r>
  <r>
    <x v="28"/>
    <x v="197"/>
    <x v="1"/>
    <x v="10"/>
    <n v="40"/>
    <x v="7"/>
    <s v="Mar 2024"/>
    <n v="13"/>
    <s v="Repeat"/>
    <x v="2"/>
    <x v="198"/>
  </r>
  <r>
    <x v="29"/>
    <x v="198"/>
    <x v="0"/>
    <x v="69"/>
    <n v="38.700000000000003"/>
    <x v="0"/>
    <s v="Mar 2024"/>
    <n v="11"/>
    <s v="Repeat"/>
    <x v="0"/>
    <x v="199"/>
  </r>
  <r>
    <x v="29"/>
    <x v="199"/>
    <x v="1"/>
    <x v="10"/>
    <n v="40"/>
    <x v="7"/>
    <s v="Mar 2024"/>
    <n v="13"/>
    <s v="Repeat"/>
    <x v="2"/>
    <x v="200"/>
  </r>
  <r>
    <x v="29"/>
    <x v="200"/>
    <x v="0"/>
    <x v="17"/>
    <n v="38.700000000000003"/>
    <x v="0"/>
    <s v="Mar 2024"/>
    <n v="16"/>
    <s v="Repeat"/>
    <x v="0"/>
    <x v="201"/>
  </r>
  <r>
    <x v="29"/>
    <x v="201"/>
    <x v="0"/>
    <x v="8"/>
    <n v="38.700000000000003"/>
    <x v="0"/>
    <s v="Mar 2024"/>
    <n v="16"/>
    <s v="Repeat"/>
    <x v="0"/>
    <x v="202"/>
  </r>
  <r>
    <x v="29"/>
    <x v="202"/>
    <x v="0"/>
    <x v="8"/>
    <n v="33.799999999999997"/>
    <x v="3"/>
    <s v="Mar 2024"/>
    <n v="16"/>
    <s v="Repeat"/>
    <x v="0"/>
    <x v="203"/>
  </r>
  <r>
    <x v="30"/>
    <x v="203"/>
    <x v="0"/>
    <x v="89"/>
    <n v="38.700000000000003"/>
    <x v="7"/>
    <s v="Mar 2024"/>
    <n v="10"/>
    <s v="Single"/>
    <x v="1"/>
    <x v="204"/>
  </r>
  <r>
    <x v="30"/>
    <x v="204"/>
    <x v="1"/>
    <x v="10"/>
    <n v="30"/>
    <x v="2"/>
    <s v="Mar 2024"/>
    <n v="19"/>
    <s v="Repeat"/>
    <x v="2"/>
    <x v="205"/>
  </r>
  <r>
    <x v="31"/>
    <x v="205"/>
    <x v="0"/>
    <x v="3"/>
    <n v="28.9"/>
    <x v="2"/>
    <s v="Apr 2024"/>
    <n v="10"/>
    <s v="Repeat"/>
    <x v="0"/>
    <x v="206"/>
  </r>
  <r>
    <x v="31"/>
    <x v="206"/>
    <x v="0"/>
    <x v="3"/>
    <n v="33.799999999999997"/>
    <x v="3"/>
    <s v="Apr 2024"/>
    <n v="10"/>
    <s v="Repeat"/>
    <x v="0"/>
    <x v="207"/>
  </r>
  <r>
    <x v="31"/>
    <x v="207"/>
    <x v="0"/>
    <x v="3"/>
    <n v="33.799999999999997"/>
    <x v="3"/>
    <s v="Apr 2024"/>
    <n v="10"/>
    <s v="Repeat"/>
    <x v="0"/>
    <x v="208"/>
  </r>
  <r>
    <x v="31"/>
    <x v="208"/>
    <x v="0"/>
    <x v="8"/>
    <n v="33.799999999999997"/>
    <x v="3"/>
    <s v="Apr 2024"/>
    <n v="11"/>
    <s v="Repeat"/>
    <x v="0"/>
    <x v="209"/>
  </r>
  <r>
    <x v="31"/>
    <x v="209"/>
    <x v="1"/>
    <x v="10"/>
    <n v="40"/>
    <x v="7"/>
    <s v="Apr 2024"/>
    <n v="17"/>
    <s v="Repeat"/>
    <x v="2"/>
    <x v="210"/>
  </r>
  <r>
    <x v="31"/>
    <x v="210"/>
    <x v="0"/>
    <x v="24"/>
    <n v="33.799999999999997"/>
    <x v="3"/>
    <s v="Apr 2024"/>
    <n v="18"/>
    <s v="Repeat"/>
    <x v="0"/>
    <x v="211"/>
  </r>
  <r>
    <x v="31"/>
    <x v="211"/>
    <x v="0"/>
    <x v="90"/>
    <n v="38.700000000000003"/>
    <x v="1"/>
    <s v="Apr 2024"/>
    <n v="18"/>
    <s v="Single"/>
    <x v="1"/>
    <x v="212"/>
  </r>
  <r>
    <x v="32"/>
    <x v="212"/>
    <x v="0"/>
    <x v="0"/>
    <n v="38.700000000000003"/>
    <x v="0"/>
    <s v="Apr 2024"/>
    <n v="10"/>
    <s v="Repeat"/>
    <x v="0"/>
    <x v="213"/>
  </r>
  <r>
    <x v="32"/>
    <x v="213"/>
    <x v="0"/>
    <x v="2"/>
    <n v="28.9"/>
    <x v="2"/>
    <s v="Apr 2024"/>
    <n v="16"/>
    <s v="Repeat"/>
    <x v="0"/>
    <x v="214"/>
  </r>
  <r>
    <x v="32"/>
    <x v="214"/>
    <x v="0"/>
    <x v="2"/>
    <n v="28.9"/>
    <x v="5"/>
    <s v="Apr 2024"/>
    <n v="16"/>
    <s v="Repeat"/>
    <x v="0"/>
    <x v="215"/>
  </r>
  <r>
    <x v="32"/>
    <x v="215"/>
    <x v="1"/>
    <x v="10"/>
    <n v="40"/>
    <x v="7"/>
    <s v="Apr 2024"/>
    <n v="19"/>
    <s v="Repeat"/>
    <x v="2"/>
    <x v="216"/>
  </r>
  <r>
    <x v="33"/>
    <x v="216"/>
    <x v="0"/>
    <x v="2"/>
    <n v="28.9"/>
    <x v="5"/>
    <s v="Apr 2024"/>
    <n v="10"/>
    <s v="Repeat"/>
    <x v="0"/>
    <x v="217"/>
  </r>
  <r>
    <x v="33"/>
    <x v="217"/>
    <x v="0"/>
    <x v="2"/>
    <n v="28.9"/>
    <x v="2"/>
    <s v="Apr 2024"/>
    <n v="10"/>
    <s v="Repeat"/>
    <x v="0"/>
    <x v="218"/>
  </r>
  <r>
    <x v="33"/>
    <x v="218"/>
    <x v="0"/>
    <x v="12"/>
    <n v="38.700000000000003"/>
    <x v="7"/>
    <s v="Apr 2024"/>
    <n v="13"/>
    <s v="Repeat"/>
    <x v="0"/>
    <x v="219"/>
  </r>
  <r>
    <x v="33"/>
    <x v="219"/>
    <x v="1"/>
    <x v="10"/>
    <n v="30"/>
    <x v="5"/>
    <s v="Apr 2024"/>
    <n v="15"/>
    <s v="Repeat"/>
    <x v="2"/>
    <x v="220"/>
  </r>
  <r>
    <x v="34"/>
    <x v="220"/>
    <x v="0"/>
    <x v="91"/>
    <n v="38.700000000000003"/>
    <x v="0"/>
    <s v="Apr 2024"/>
    <n v="10"/>
    <s v="Repeat"/>
    <x v="0"/>
    <x v="221"/>
  </r>
  <r>
    <x v="34"/>
    <x v="221"/>
    <x v="0"/>
    <x v="92"/>
    <n v="38.700000000000003"/>
    <x v="0"/>
    <s v="Apr 2024"/>
    <n v="11"/>
    <s v="Single"/>
    <x v="1"/>
    <x v="222"/>
  </r>
  <r>
    <x v="34"/>
    <x v="222"/>
    <x v="0"/>
    <x v="93"/>
    <n v="38.700000000000003"/>
    <x v="7"/>
    <s v="Apr 2024"/>
    <n v="11"/>
    <s v="Single"/>
    <x v="1"/>
    <x v="223"/>
  </r>
  <r>
    <x v="34"/>
    <x v="223"/>
    <x v="0"/>
    <x v="94"/>
    <n v="28.9"/>
    <x v="5"/>
    <s v="Apr 2024"/>
    <n v="12"/>
    <s v="Single"/>
    <x v="1"/>
    <x v="224"/>
  </r>
  <r>
    <x v="34"/>
    <x v="224"/>
    <x v="1"/>
    <x v="10"/>
    <n v="40"/>
    <x v="0"/>
    <s v="Apr 2024"/>
    <n v="19"/>
    <s v="Repeat"/>
    <x v="2"/>
    <x v="225"/>
  </r>
  <r>
    <x v="35"/>
    <x v="225"/>
    <x v="0"/>
    <x v="95"/>
    <n v="28.9"/>
    <x v="2"/>
    <s v="Apr 2024"/>
    <n v="10"/>
    <s v="Repeat"/>
    <x v="0"/>
    <x v="226"/>
  </r>
  <r>
    <x v="35"/>
    <x v="226"/>
    <x v="0"/>
    <x v="12"/>
    <n v="28.9"/>
    <x v="2"/>
    <s v="Apr 2024"/>
    <n v="10"/>
    <s v="Repeat"/>
    <x v="0"/>
    <x v="227"/>
  </r>
  <r>
    <x v="35"/>
    <x v="227"/>
    <x v="0"/>
    <x v="96"/>
    <n v="28.9"/>
    <x v="5"/>
    <s v="Apr 2024"/>
    <n v="11"/>
    <s v="Single"/>
    <x v="1"/>
    <x v="228"/>
  </r>
  <r>
    <x v="35"/>
    <x v="228"/>
    <x v="0"/>
    <x v="97"/>
    <n v="33.799999999999997"/>
    <x v="3"/>
    <s v="Apr 2024"/>
    <n v="12"/>
    <s v="Repeat"/>
    <x v="0"/>
    <x v="229"/>
  </r>
  <r>
    <x v="35"/>
    <x v="229"/>
    <x v="0"/>
    <x v="98"/>
    <n v="38.700000000000003"/>
    <x v="0"/>
    <s v="Apr 2024"/>
    <n v="14"/>
    <s v="Repeat"/>
    <x v="0"/>
    <x v="230"/>
  </r>
  <r>
    <x v="35"/>
    <x v="230"/>
    <x v="0"/>
    <x v="98"/>
    <n v="28.9"/>
    <x v="5"/>
    <s v="Apr 2024"/>
    <n v="14"/>
    <s v="Repeat"/>
    <x v="0"/>
    <x v="231"/>
  </r>
  <r>
    <x v="35"/>
    <x v="231"/>
    <x v="1"/>
    <x v="10"/>
    <n v="40"/>
    <x v="0"/>
    <s v="Apr 2024"/>
    <n v="15"/>
    <s v="Repeat"/>
    <x v="2"/>
    <x v="232"/>
  </r>
  <r>
    <x v="35"/>
    <x v="232"/>
    <x v="1"/>
    <x v="10"/>
    <n v="40"/>
    <x v="7"/>
    <s v="Apr 2024"/>
    <n v="15"/>
    <s v="Repeat"/>
    <x v="2"/>
    <x v="233"/>
  </r>
  <r>
    <x v="35"/>
    <x v="233"/>
    <x v="1"/>
    <x v="10"/>
    <n v="30"/>
    <x v="2"/>
    <s v="Apr 2024"/>
    <n v="15"/>
    <s v="Repeat"/>
    <x v="2"/>
    <x v="234"/>
  </r>
  <r>
    <x v="35"/>
    <x v="234"/>
    <x v="1"/>
    <x v="10"/>
    <n v="40"/>
    <x v="4"/>
    <s v="Apr 2024"/>
    <n v="16"/>
    <s v="Repeat"/>
    <x v="2"/>
    <x v="235"/>
  </r>
  <r>
    <x v="35"/>
    <x v="235"/>
    <x v="0"/>
    <x v="2"/>
    <n v="24"/>
    <x v="6"/>
    <s v="Apr 2024"/>
    <n v="16"/>
    <s v="Repeat"/>
    <x v="0"/>
    <x v="236"/>
  </r>
  <r>
    <x v="36"/>
    <x v="236"/>
    <x v="0"/>
    <x v="99"/>
    <n v="33.799999999999997"/>
    <x v="3"/>
    <s v="Apr 2024"/>
    <n v="12"/>
    <s v="Repeat"/>
    <x v="0"/>
    <x v="237"/>
  </r>
  <r>
    <x v="36"/>
    <x v="237"/>
    <x v="0"/>
    <x v="40"/>
    <n v="38.700000000000003"/>
    <x v="7"/>
    <s v="Apr 2024"/>
    <n v="14"/>
    <s v="Repeat"/>
    <x v="0"/>
    <x v="238"/>
  </r>
  <r>
    <x v="36"/>
    <x v="238"/>
    <x v="0"/>
    <x v="40"/>
    <n v="28.9"/>
    <x v="2"/>
    <s v="Apr 2024"/>
    <n v="14"/>
    <s v="Repeat"/>
    <x v="0"/>
    <x v="239"/>
  </r>
  <r>
    <x v="36"/>
    <x v="239"/>
    <x v="0"/>
    <x v="8"/>
    <n v="38.700000000000003"/>
    <x v="0"/>
    <s v="Apr 2024"/>
    <n v="14"/>
    <s v="Repeat"/>
    <x v="0"/>
    <x v="240"/>
  </r>
  <r>
    <x v="37"/>
    <x v="240"/>
    <x v="0"/>
    <x v="91"/>
    <n v="38.700000000000003"/>
    <x v="0"/>
    <s v="Apr 2024"/>
    <n v="10"/>
    <s v="Repeat"/>
    <x v="0"/>
    <x v="241"/>
  </r>
  <r>
    <x v="37"/>
    <x v="241"/>
    <x v="0"/>
    <x v="40"/>
    <n v="38.700000000000003"/>
    <x v="7"/>
    <s v="Apr 2024"/>
    <n v="12"/>
    <s v="Repeat"/>
    <x v="0"/>
    <x v="242"/>
  </r>
  <r>
    <x v="37"/>
    <x v="242"/>
    <x v="0"/>
    <x v="40"/>
    <n v="38.700000000000003"/>
    <x v="7"/>
    <s v="Apr 2024"/>
    <n v="12"/>
    <s v="Repeat"/>
    <x v="0"/>
    <x v="243"/>
  </r>
  <r>
    <x v="37"/>
    <x v="243"/>
    <x v="0"/>
    <x v="100"/>
    <n v="28.9"/>
    <x v="5"/>
    <s v="Apr 2024"/>
    <n v="14"/>
    <s v="Repeat"/>
    <x v="0"/>
    <x v="244"/>
  </r>
  <r>
    <x v="37"/>
    <x v="244"/>
    <x v="0"/>
    <x v="100"/>
    <n v="24"/>
    <x v="6"/>
    <s v="Apr 2024"/>
    <n v="14"/>
    <s v="Repeat"/>
    <x v="0"/>
    <x v="245"/>
  </r>
  <r>
    <x v="37"/>
    <x v="245"/>
    <x v="0"/>
    <x v="101"/>
    <n v="38.700000000000003"/>
    <x v="1"/>
    <s v="Apr 2024"/>
    <n v="18"/>
    <s v="Repeat"/>
    <x v="0"/>
    <x v="246"/>
  </r>
  <r>
    <x v="37"/>
    <x v="246"/>
    <x v="0"/>
    <x v="101"/>
    <n v="33.799999999999997"/>
    <x v="3"/>
    <s v="Apr 2024"/>
    <n v="18"/>
    <s v="Repeat"/>
    <x v="0"/>
    <x v="247"/>
  </r>
  <r>
    <x v="38"/>
    <x v="247"/>
    <x v="0"/>
    <x v="102"/>
    <n v="33.799999999999997"/>
    <x v="3"/>
    <s v="Apr 2024"/>
    <n v="10"/>
    <s v="Single"/>
    <x v="1"/>
    <x v="248"/>
  </r>
  <r>
    <x v="38"/>
    <x v="248"/>
    <x v="0"/>
    <x v="103"/>
    <n v="38.700000000000003"/>
    <x v="7"/>
    <s v="Apr 2024"/>
    <n v="10"/>
    <s v="Single"/>
    <x v="1"/>
    <x v="249"/>
  </r>
  <r>
    <x v="38"/>
    <x v="249"/>
    <x v="0"/>
    <x v="12"/>
    <n v="28.9"/>
    <x v="2"/>
    <s v="Apr 2024"/>
    <n v="11"/>
    <s v="Repeat"/>
    <x v="0"/>
    <x v="250"/>
  </r>
  <r>
    <x v="38"/>
    <x v="250"/>
    <x v="0"/>
    <x v="104"/>
    <n v="38.700000000000003"/>
    <x v="7"/>
    <s v="Apr 2024"/>
    <n v="11"/>
    <s v="Single"/>
    <x v="1"/>
    <x v="251"/>
  </r>
  <r>
    <x v="38"/>
    <x v="251"/>
    <x v="1"/>
    <x v="10"/>
    <n v="25"/>
    <x v="6"/>
    <s v="Apr 2024"/>
    <n v="12"/>
    <s v="Repeat"/>
    <x v="2"/>
    <x v="252"/>
  </r>
  <r>
    <x v="38"/>
    <x v="252"/>
    <x v="1"/>
    <x v="10"/>
    <n v="35"/>
    <x v="3"/>
    <s v="Apr 2024"/>
    <n v="15"/>
    <s v="Repeat"/>
    <x v="2"/>
    <x v="253"/>
  </r>
  <r>
    <x v="38"/>
    <x v="253"/>
    <x v="0"/>
    <x v="17"/>
    <n v="38.700000000000003"/>
    <x v="0"/>
    <s v="Apr 2024"/>
    <n v="16"/>
    <s v="Repeat"/>
    <x v="0"/>
    <x v="254"/>
  </r>
  <r>
    <x v="38"/>
    <x v="254"/>
    <x v="0"/>
    <x v="105"/>
    <n v="28.9"/>
    <x v="2"/>
    <s v="Apr 2024"/>
    <n v="18"/>
    <s v="Single"/>
    <x v="1"/>
    <x v="255"/>
  </r>
  <r>
    <x v="38"/>
    <x v="255"/>
    <x v="0"/>
    <x v="24"/>
    <n v="33.799999999999997"/>
    <x v="3"/>
    <s v="Apr 2024"/>
    <n v="19"/>
    <s v="Repeat"/>
    <x v="0"/>
    <x v="256"/>
  </r>
  <r>
    <x v="38"/>
    <x v="256"/>
    <x v="0"/>
    <x v="106"/>
    <n v="38.700000000000003"/>
    <x v="7"/>
    <s v="Apr 2024"/>
    <n v="19"/>
    <s v="Repeat"/>
    <x v="0"/>
    <x v="257"/>
  </r>
  <r>
    <x v="39"/>
    <x v="257"/>
    <x v="1"/>
    <x v="10"/>
    <n v="40"/>
    <x v="7"/>
    <s v="Apr 2024"/>
    <n v="10"/>
    <s v="Repeat"/>
    <x v="2"/>
    <x v="258"/>
  </r>
  <r>
    <x v="39"/>
    <x v="258"/>
    <x v="1"/>
    <x v="10"/>
    <n v="30"/>
    <x v="2"/>
    <s v="Apr 2024"/>
    <n v="10"/>
    <s v="Repeat"/>
    <x v="2"/>
    <x v="259"/>
  </r>
  <r>
    <x v="39"/>
    <x v="259"/>
    <x v="0"/>
    <x v="91"/>
    <n v="38.700000000000003"/>
    <x v="0"/>
    <s v="Apr 2024"/>
    <n v="11"/>
    <s v="Repeat"/>
    <x v="0"/>
    <x v="260"/>
  </r>
  <r>
    <x v="39"/>
    <x v="260"/>
    <x v="0"/>
    <x v="107"/>
    <n v="38.700000000000003"/>
    <x v="1"/>
    <s v="Apr 2024"/>
    <n v="15"/>
    <s v="Single"/>
    <x v="1"/>
    <x v="261"/>
  </r>
  <r>
    <x v="39"/>
    <x v="261"/>
    <x v="0"/>
    <x v="49"/>
    <n v="38.700000000000003"/>
    <x v="1"/>
    <s v="Apr 2024"/>
    <n v="17"/>
    <s v="Repeat"/>
    <x v="0"/>
    <x v="262"/>
  </r>
  <r>
    <x v="40"/>
    <x v="262"/>
    <x v="1"/>
    <x v="10"/>
    <n v="25"/>
    <x v="6"/>
    <s v="Apr 2024"/>
    <n v="10"/>
    <s v="Repeat"/>
    <x v="2"/>
    <x v="263"/>
  </r>
  <r>
    <x v="40"/>
    <x v="263"/>
    <x v="1"/>
    <x v="10"/>
    <n v="40"/>
    <x v="1"/>
    <s v="Apr 2024"/>
    <n v="17"/>
    <s v="Repeat"/>
    <x v="2"/>
    <x v="264"/>
  </r>
  <r>
    <x v="40"/>
    <x v="264"/>
    <x v="0"/>
    <x v="108"/>
    <n v="24"/>
    <x v="6"/>
    <s v="Apr 2024"/>
    <n v="17"/>
    <s v="Single"/>
    <x v="1"/>
    <x v="265"/>
  </r>
  <r>
    <x v="40"/>
    <x v="265"/>
    <x v="0"/>
    <x v="8"/>
    <n v="38.700000000000003"/>
    <x v="7"/>
    <s v="Apr 2024"/>
    <n v="18"/>
    <s v="Repeat"/>
    <x v="0"/>
    <x v="266"/>
  </r>
  <r>
    <x v="40"/>
    <x v="266"/>
    <x v="0"/>
    <x v="109"/>
    <n v="38.700000000000003"/>
    <x v="0"/>
    <s v="Apr 2024"/>
    <n v="20"/>
    <s v="Single"/>
    <x v="1"/>
    <x v="267"/>
  </r>
  <r>
    <x v="41"/>
    <x v="267"/>
    <x v="0"/>
    <x v="110"/>
    <n v="28.9"/>
    <x v="2"/>
    <s v="Apr 2024"/>
    <n v="10"/>
    <s v="Repeat"/>
    <x v="0"/>
    <x v="268"/>
  </r>
  <r>
    <x v="41"/>
    <x v="268"/>
    <x v="0"/>
    <x v="110"/>
    <n v="28.9"/>
    <x v="2"/>
    <s v="Apr 2024"/>
    <n v="10"/>
    <s v="Repeat"/>
    <x v="0"/>
    <x v="269"/>
  </r>
  <r>
    <x v="41"/>
    <x v="269"/>
    <x v="0"/>
    <x v="17"/>
    <n v="38.700000000000003"/>
    <x v="0"/>
    <s v="Apr 2024"/>
    <n v="16"/>
    <s v="Repeat"/>
    <x v="0"/>
    <x v="270"/>
  </r>
  <r>
    <x v="41"/>
    <x v="270"/>
    <x v="0"/>
    <x v="106"/>
    <n v="38.700000000000003"/>
    <x v="7"/>
    <s v="Apr 2024"/>
    <n v="19"/>
    <s v="Repeat"/>
    <x v="0"/>
    <x v="271"/>
  </r>
  <r>
    <x v="41"/>
    <x v="271"/>
    <x v="0"/>
    <x v="24"/>
    <n v="33.799999999999997"/>
    <x v="3"/>
    <s v="Apr 2024"/>
    <n v="19"/>
    <s v="Repeat"/>
    <x v="0"/>
    <x v="272"/>
  </r>
  <r>
    <x v="42"/>
    <x v="272"/>
    <x v="0"/>
    <x v="19"/>
    <n v="38.700000000000003"/>
    <x v="1"/>
    <s v="Apr 2024"/>
    <n v="19"/>
    <s v="Repeat"/>
    <x v="0"/>
    <x v="273"/>
  </r>
  <r>
    <x v="42"/>
    <x v="273"/>
    <x v="0"/>
    <x v="8"/>
    <n v="28.9"/>
    <x v="5"/>
    <s v="Apr 2024"/>
    <n v="19"/>
    <s v="Repeat"/>
    <x v="0"/>
    <x v="274"/>
  </r>
  <r>
    <x v="43"/>
    <x v="274"/>
    <x v="0"/>
    <x v="8"/>
    <n v="38.700000000000003"/>
    <x v="0"/>
    <s v="Apr 2024"/>
    <n v="12"/>
    <s v="Repeat"/>
    <x v="0"/>
    <x v="275"/>
  </r>
  <r>
    <x v="43"/>
    <x v="275"/>
    <x v="0"/>
    <x v="12"/>
    <n v="28.9"/>
    <x v="2"/>
    <s v="Apr 2024"/>
    <n v="12"/>
    <s v="Repeat"/>
    <x v="0"/>
    <x v="276"/>
  </r>
  <r>
    <x v="43"/>
    <x v="276"/>
    <x v="1"/>
    <x v="10"/>
    <n v="40"/>
    <x v="1"/>
    <s v="Apr 2024"/>
    <n v="15"/>
    <s v="Repeat"/>
    <x v="2"/>
    <x v="277"/>
  </r>
  <r>
    <x v="43"/>
    <x v="277"/>
    <x v="1"/>
    <x v="10"/>
    <n v="40"/>
    <x v="1"/>
    <s v="Apr 2024"/>
    <n v="15"/>
    <s v="Repeat"/>
    <x v="2"/>
    <x v="278"/>
  </r>
  <r>
    <x v="43"/>
    <x v="278"/>
    <x v="0"/>
    <x v="111"/>
    <n v="38.700000000000003"/>
    <x v="7"/>
    <s v="Apr 2024"/>
    <n v="16"/>
    <s v="Repeat"/>
    <x v="0"/>
    <x v="279"/>
  </r>
  <r>
    <x v="43"/>
    <x v="279"/>
    <x v="0"/>
    <x v="111"/>
    <n v="38.700000000000003"/>
    <x v="0"/>
    <s v="Apr 2024"/>
    <n v="16"/>
    <s v="Repeat"/>
    <x v="0"/>
    <x v="280"/>
  </r>
  <r>
    <x v="43"/>
    <x v="280"/>
    <x v="0"/>
    <x v="112"/>
    <n v="38.700000000000003"/>
    <x v="7"/>
    <s v="Apr 2024"/>
    <n v="17"/>
    <s v="Single"/>
    <x v="1"/>
    <x v="281"/>
  </r>
  <r>
    <x v="43"/>
    <x v="281"/>
    <x v="0"/>
    <x v="12"/>
    <n v="38.700000000000003"/>
    <x v="7"/>
    <s v="Apr 2024"/>
    <n v="17"/>
    <s v="Repeat"/>
    <x v="0"/>
    <x v="282"/>
  </r>
  <r>
    <x v="44"/>
    <x v="282"/>
    <x v="1"/>
    <x v="10"/>
    <n v="40"/>
    <x v="0"/>
    <s v="Apr 2024"/>
    <n v="10"/>
    <s v="Repeat"/>
    <x v="2"/>
    <x v="283"/>
  </r>
  <r>
    <x v="44"/>
    <x v="283"/>
    <x v="0"/>
    <x v="113"/>
    <n v="38.700000000000003"/>
    <x v="7"/>
    <s v="Apr 2024"/>
    <n v="12"/>
    <s v="Single"/>
    <x v="1"/>
    <x v="284"/>
  </r>
  <r>
    <x v="44"/>
    <x v="284"/>
    <x v="1"/>
    <x v="10"/>
    <n v="30"/>
    <x v="5"/>
    <s v="Apr 2024"/>
    <n v="12"/>
    <s v="Repeat"/>
    <x v="2"/>
    <x v="285"/>
  </r>
  <r>
    <x v="44"/>
    <x v="285"/>
    <x v="1"/>
    <x v="10"/>
    <n v="30"/>
    <x v="5"/>
    <s v="Apr 2024"/>
    <n v="12"/>
    <s v="Repeat"/>
    <x v="2"/>
    <x v="286"/>
  </r>
  <r>
    <x v="44"/>
    <x v="286"/>
    <x v="1"/>
    <x v="10"/>
    <n v="35"/>
    <x v="3"/>
    <s v="Apr 2024"/>
    <n v="12"/>
    <s v="Repeat"/>
    <x v="2"/>
    <x v="287"/>
  </r>
  <r>
    <x v="44"/>
    <x v="287"/>
    <x v="0"/>
    <x v="114"/>
    <n v="28.9"/>
    <x v="5"/>
    <s v="Apr 2024"/>
    <n v="13"/>
    <s v="Single"/>
    <x v="1"/>
    <x v="288"/>
  </r>
  <r>
    <x v="44"/>
    <x v="288"/>
    <x v="0"/>
    <x v="12"/>
    <n v="28.9"/>
    <x v="2"/>
    <s v="Apr 2024"/>
    <n v="14"/>
    <s v="Repeat"/>
    <x v="0"/>
    <x v="289"/>
  </r>
  <r>
    <x v="44"/>
    <x v="289"/>
    <x v="0"/>
    <x v="12"/>
    <n v="28.9"/>
    <x v="2"/>
    <s v="Apr 2024"/>
    <n v="14"/>
    <s v="Repeat"/>
    <x v="0"/>
    <x v="290"/>
  </r>
  <r>
    <x v="44"/>
    <x v="290"/>
    <x v="0"/>
    <x v="12"/>
    <n v="28.9"/>
    <x v="2"/>
    <s v="Apr 2024"/>
    <n v="14"/>
    <s v="Repeat"/>
    <x v="0"/>
    <x v="291"/>
  </r>
  <r>
    <x v="44"/>
    <x v="291"/>
    <x v="0"/>
    <x v="17"/>
    <n v="38.700000000000003"/>
    <x v="7"/>
    <s v="Apr 2024"/>
    <n v="15"/>
    <s v="Repeat"/>
    <x v="0"/>
    <x v="292"/>
  </r>
  <r>
    <x v="44"/>
    <x v="292"/>
    <x v="0"/>
    <x v="12"/>
    <n v="28.9"/>
    <x v="5"/>
    <s v="Apr 2024"/>
    <n v="16"/>
    <s v="Repeat"/>
    <x v="0"/>
    <x v="293"/>
  </r>
  <r>
    <x v="44"/>
    <x v="293"/>
    <x v="0"/>
    <x v="19"/>
    <n v="38.700000000000003"/>
    <x v="0"/>
    <s v="Apr 2024"/>
    <n v="17"/>
    <s v="Repeat"/>
    <x v="0"/>
    <x v="294"/>
  </r>
  <r>
    <x v="44"/>
    <x v="294"/>
    <x v="0"/>
    <x v="115"/>
    <n v="38.700000000000003"/>
    <x v="7"/>
    <s v="Apr 2024"/>
    <n v="18"/>
    <s v="Repeat"/>
    <x v="0"/>
    <x v="295"/>
  </r>
  <r>
    <x v="45"/>
    <x v="295"/>
    <x v="0"/>
    <x v="64"/>
    <n v="28.9"/>
    <x v="2"/>
    <s v="Apr 2024"/>
    <n v="11"/>
    <s v="Repeat"/>
    <x v="0"/>
    <x v="296"/>
  </r>
  <r>
    <x v="45"/>
    <x v="296"/>
    <x v="0"/>
    <x v="2"/>
    <n v="28.9"/>
    <x v="2"/>
    <s v="Apr 2024"/>
    <n v="17"/>
    <s v="Repeat"/>
    <x v="0"/>
    <x v="297"/>
  </r>
  <r>
    <x v="45"/>
    <x v="297"/>
    <x v="0"/>
    <x v="3"/>
    <n v="33.799999999999997"/>
    <x v="3"/>
    <s v="Apr 2024"/>
    <n v="17"/>
    <s v="Repeat"/>
    <x v="0"/>
    <x v="298"/>
  </r>
  <r>
    <x v="45"/>
    <x v="298"/>
    <x v="0"/>
    <x v="8"/>
    <n v="33.799999999999997"/>
    <x v="3"/>
    <s v="Apr 2024"/>
    <n v="19"/>
    <s v="Repeat"/>
    <x v="0"/>
    <x v="299"/>
  </r>
  <r>
    <x v="45"/>
    <x v="299"/>
    <x v="1"/>
    <x v="10"/>
    <n v="25"/>
    <x v="6"/>
    <s v="Apr 2024"/>
    <n v="19"/>
    <s v="Repeat"/>
    <x v="2"/>
    <x v="300"/>
  </r>
  <r>
    <x v="46"/>
    <x v="300"/>
    <x v="1"/>
    <x v="10"/>
    <n v="35"/>
    <x v="3"/>
    <s v="Apr 2024"/>
    <n v="10"/>
    <s v="Repeat"/>
    <x v="2"/>
    <x v="301"/>
  </r>
  <r>
    <x v="46"/>
    <x v="301"/>
    <x v="0"/>
    <x v="116"/>
    <n v="33.799999999999997"/>
    <x v="3"/>
    <s v="Apr 2024"/>
    <n v="10"/>
    <s v="Single"/>
    <x v="1"/>
    <x v="302"/>
  </r>
  <r>
    <x v="46"/>
    <x v="302"/>
    <x v="0"/>
    <x v="117"/>
    <n v="38.700000000000003"/>
    <x v="4"/>
    <s v="Apr 2024"/>
    <n v="12"/>
    <s v="Single"/>
    <x v="1"/>
    <x v="303"/>
  </r>
  <r>
    <x v="46"/>
    <x v="303"/>
    <x v="0"/>
    <x v="64"/>
    <n v="28.9"/>
    <x v="5"/>
    <s v="Apr 2024"/>
    <n v="12"/>
    <s v="Repeat"/>
    <x v="0"/>
    <x v="304"/>
  </r>
  <r>
    <x v="46"/>
    <x v="304"/>
    <x v="0"/>
    <x v="118"/>
    <n v="28.9"/>
    <x v="2"/>
    <s v="Apr 2024"/>
    <n v="15"/>
    <s v="Repeat"/>
    <x v="0"/>
    <x v="305"/>
  </r>
  <r>
    <x v="46"/>
    <x v="305"/>
    <x v="0"/>
    <x v="24"/>
    <n v="33.799999999999997"/>
    <x v="3"/>
    <s v="Apr 2024"/>
    <n v="17"/>
    <s v="Repeat"/>
    <x v="0"/>
    <x v="306"/>
  </r>
  <r>
    <x v="46"/>
    <x v="306"/>
    <x v="0"/>
    <x v="8"/>
    <n v="38.700000000000003"/>
    <x v="7"/>
    <s v="Apr 2024"/>
    <n v="17"/>
    <s v="Repeat"/>
    <x v="0"/>
    <x v="307"/>
  </r>
  <r>
    <x v="46"/>
    <x v="307"/>
    <x v="0"/>
    <x v="50"/>
    <n v="38.700000000000003"/>
    <x v="4"/>
    <s v="Apr 2024"/>
    <n v="18"/>
    <s v="Repeat"/>
    <x v="0"/>
    <x v="308"/>
  </r>
  <r>
    <x v="47"/>
    <x v="308"/>
    <x v="0"/>
    <x v="12"/>
    <n v="28.9"/>
    <x v="2"/>
    <s v="Apr 2024"/>
    <n v="13"/>
    <s v="Repeat"/>
    <x v="0"/>
    <x v="309"/>
  </r>
  <r>
    <x v="47"/>
    <x v="309"/>
    <x v="0"/>
    <x v="119"/>
    <n v="24"/>
    <x v="6"/>
    <s v="Apr 2024"/>
    <n v="13"/>
    <s v="Single"/>
    <x v="1"/>
    <x v="310"/>
  </r>
  <r>
    <x v="47"/>
    <x v="310"/>
    <x v="1"/>
    <x v="10"/>
    <n v="40"/>
    <x v="7"/>
    <s v="Apr 2024"/>
    <n v="16"/>
    <s v="Repeat"/>
    <x v="2"/>
    <x v="311"/>
  </r>
  <r>
    <x v="47"/>
    <x v="311"/>
    <x v="0"/>
    <x v="120"/>
    <n v="38.700000000000003"/>
    <x v="7"/>
    <s v="Apr 2024"/>
    <n v="17"/>
    <s v="Repeat"/>
    <x v="0"/>
    <x v="312"/>
  </r>
  <r>
    <x v="47"/>
    <x v="312"/>
    <x v="0"/>
    <x v="120"/>
    <n v="38.700000000000003"/>
    <x v="7"/>
    <s v="Apr 2024"/>
    <n v="17"/>
    <s v="Repeat"/>
    <x v="0"/>
    <x v="313"/>
  </r>
  <r>
    <x v="47"/>
    <x v="313"/>
    <x v="0"/>
    <x v="121"/>
    <n v="28.9"/>
    <x v="5"/>
    <s v="Apr 2024"/>
    <n v="18"/>
    <s v="Single"/>
    <x v="1"/>
    <x v="314"/>
  </r>
  <r>
    <x v="48"/>
    <x v="314"/>
    <x v="0"/>
    <x v="2"/>
    <n v="28.9"/>
    <x v="2"/>
    <s v="Apr 2024"/>
    <n v="11"/>
    <s v="Repeat"/>
    <x v="0"/>
    <x v="315"/>
  </r>
  <r>
    <x v="48"/>
    <x v="315"/>
    <x v="0"/>
    <x v="2"/>
    <n v="28.9"/>
    <x v="2"/>
    <s v="Apr 2024"/>
    <n v="11"/>
    <s v="Repeat"/>
    <x v="0"/>
    <x v="316"/>
  </r>
  <r>
    <x v="48"/>
    <x v="316"/>
    <x v="0"/>
    <x v="122"/>
    <n v="33.799999999999997"/>
    <x v="3"/>
    <s v="Apr 2024"/>
    <n v="13"/>
    <s v="Repeat"/>
    <x v="0"/>
    <x v="317"/>
  </r>
  <r>
    <x v="48"/>
    <x v="317"/>
    <x v="0"/>
    <x v="122"/>
    <n v="28.9"/>
    <x v="5"/>
    <s v="Apr 2024"/>
    <n v="13"/>
    <s v="Repeat"/>
    <x v="0"/>
    <x v="318"/>
  </r>
  <r>
    <x v="48"/>
    <x v="318"/>
    <x v="0"/>
    <x v="123"/>
    <n v="38.700000000000003"/>
    <x v="7"/>
    <s v="Apr 2024"/>
    <n v="14"/>
    <s v="Repeat"/>
    <x v="0"/>
    <x v="319"/>
  </r>
  <r>
    <x v="48"/>
    <x v="319"/>
    <x v="0"/>
    <x v="123"/>
    <n v="38.700000000000003"/>
    <x v="0"/>
    <s v="Apr 2024"/>
    <n v="14"/>
    <s v="Repeat"/>
    <x v="0"/>
    <x v="320"/>
  </r>
  <r>
    <x v="48"/>
    <x v="320"/>
    <x v="0"/>
    <x v="69"/>
    <n v="38.700000000000003"/>
    <x v="0"/>
    <s v="Apr 2024"/>
    <n v="17"/>
    <s v="Repeat"/>
    <x v="0"/>
    <x v="321"/>
  </r>
  <r>
    <x v="48"/>
    <x v="321"/>
    <x v="0"/>
    <x v="85"/>
    <n v="38.700000000000003"/>
    <x v="7"/>
    <s v="Apr 2024"/>
    <n v="18"/>
    <s v="Repeat"/>
    <x v="0"/>
    <x v="322"/>
  </r>
  <r>
    <x v="48"/>
    <x v="322"/>
    <x v="0"/>
    <x v="24"/>
    <n v="38.700000000000003"/>
    <x v="1"/>
    <s v="Apr 2024"/>
    <n v="19"/>
    <s v="Repeat"/>
    <x v="0"/>
    <x v="323"/>
  </r>
  <r>
    <x v="48"/>
    <x v="323"/>
    <x v="0"/>
    <x v="8"/>
    <n v="38.700000000000003"/>
    <x v="1"/>
    <s v="Apr 2024"/>
    <n v="19"/>
    <s v="Repeat"/>
    <x v="0"/>
    <x v="324"/>
  </r>
  <r>
    <x v="49"/>
    <x v="324"/>
    <x v="0"/>
    <x v="0"/>
    <n v="38.700000000000003"/>
    <x v="0"/>
    <s v="Apr 2024"/>
    <n v="10"/>
    <s v="Repeat"/>
    <x v="0"/>
    <x v="325"/>
  </r>
  <r>
    <x v="49"/>
    <x v="325"/>
    <x v="0"/>
    <x v="40"/>
    <n v="33.799999999999997"/>
    <x v="3"/>
    <s v="Apr 2024"/>
    <n v="13"/>
    <s v="Repeat"/>
    <x v="0"/>
    <x v="326"/>
  </r>
  <r>
    <x v="49"/>
    <x v="326"/>
    <x v="0"/>
    <x v="40"/>
    <n v="38.700000000000003"/>
    <x v="7"/>
    <s v="Apr 2024"/>
    <n v="13"/>
    <s v="Repeat"/>
    <x v="0"/>
    <x v="327"/>
  </r>
  <r>
    <x v="49"/>
    <x v="327"/>
    <x v="0"/>
    <x v="124"/>
    <n v="38.700000000000003"/>
    <x v="1"/>
    <s v="Apr 2024"/>
    <n v="13"/>
    <s v="Repeat"/>
    <x v="0"/>
    <x v="328"/>
  </r>
  <r>
    <x v="49"/>
    <x v="328"/>
    <x v="0"/>
    <x v="124"/>
    <n v="38.700000000000003"/>
    <x v="7"/>
    <s v="Apr 2024"/>
    <n v="13"/>
    <s v="Repeat"/>
    <x v="0"/>
    <x v="329"/>
  </r>
  <r>
    <x v="49"/>
    <x v="329"/>
    <x v="0"/>
    <x v="24"/>
    <n v="38.700000000000003"/>
    <x v="4"/>
    <s v="Apr 2024"/>
    <n v="18"/>
    <s v="Repeat"/>
    <x v="0"/>
    <x v="330"/>
  </r>
  <r>
    <x v="49"/>
    <x v="330"/>
    <x v="0"/>
    <x v="8"/>
    <n v="33.799999999999997"/>
    <x v="3"/>
    <s v="Apr 2024"/>
    <n v="18"/>
    <s v="Repeat"/>
    <x v="0"/>
    <x v="331"/>
  </r>
  <r>
    <x v="50"/>
    <x v="331"/>
    <x v="1"/>
    <x v="10"/>
    <n v="35"/>
    <x v="3"/>
    <s v="Apr 2024"/>
    <n v="11"/>
    <s v="Repeat"/>
    <x v="2"/>
    <x v="332"/>
  </r>
  <r>
    <x v="50"/>
    <x v="332"/>
    <x v="0"/>
    <x v="125"/>
    <n v="33.799999999999997"/>
    <x v="3"/>
    <s v="Apr 2024"/>
    <n v="12"/>
    <s v="Repeat"/>
    <x v="0"/>
    <x v="333"/>
  </r>
  <r>
    <x v="50"/>
    <x v="333"/>
    <x v="0"/>
    <x v="125"/>
    <n v="33.799999999999997"/>
    <x v="3"/>
    <s v="Apr 2024"/>
    <n v="12"/>
    <s v="Repeat"/>
    <x v="0"/>
    <x v="334"/>
  </r>
  <r>
    <x v="50"/>
    <x v="334"/>
    <x v="0"/>
    <x v="118"/>
    <n v="28.9"/>
    <x v="2"/>
    <s v="Apr 2024"/>
    <n v="13"/>
    <s v="Repeat"/>
    <x v="0"/>
    <x v="335"/>
  </r>
  <r>
    <x v="50"/>
    <x v="335"/>
    <x v="0"/>
    <x v="118"/>
    <n v="33.799999999999997"/>
    <x v="3"/>
    <s v="Apr 2024"/>
    <n v="13"/>
    <s v="Repeat"/>
    <x v="0"/>
    <x v="336"/>
  </r>
  <r>
    <x v="50"/>
    <x v="336"/>
    <x v="0"/>
    <x v="118"/>
    <n v="38.700000000000003"/>
    <x v="1"/>
    <s v="Apr 2024"/>
    <n v="13"/>
    <s v="Repeat"/>
    <x v="0"/>
    <x v="337"/>
  </r>
  <r>
    <x v="50"/>
    <x v="337"/>
    <x v="0"/>
    <x v="40"/>
    <n v="38.700000000000003"/>
    <x v="7"/>
    <s v="Apr 2024"/>
    <n v="14"/>
    <s v="Repeat"/>
    <x v="0"/>
    <x v="338"/>
  </r>
  <r>
    <x v="50"/>
    <x v="338"/>
    <x v="0"/>
    <x v="8"/>
    <n v="33.799999999999997"/>
    <x v="3"/>
    <s v="Apr 2024"/>
    <n v="15"/>
    <s v="Repeat"/>
    <x v="0"/>
    <x v="339"/>
  </r>
  <r>
    <x v="50"/>
    <x v="339"/>
    <x v="0"/>
    <x v="12"/>
    <n v="32.82"/>
    <x v="3"/>
    <s v="Apr 2024"/>
    <n v="15"/>
    <s v="Repeat"/>
    <x v="0"/>
    <x v="340"/>
  </r>
  <r>
    <x v="50"/>
    <x v="340"/>
    <x v="0"/>
    <x v="126"/>
    <n v="32.82"/>
    <x v="3"/>
    <s v="Apr 2024"/>
    <n v="15"/>
    <s v="Single"/>
    <x v="1"/>
    <x v="341"/>
  </r>
  <r>
    <x v="50"/>
    <x v="341"/>
    <x v="1"/>
    <x v="10"/>
    <n v="39"/>
    <x v="4"/>
    <s v="Apr 2024"/>
    <n v="17"/>
    <s v="Repeat"/>
    <x v="2"/>
    <x v="342"/>
  </r>
  <r>
    <x v="50"/>
    <x v="342"/>
    <x v="0"/>
    <x v="127"/>
    <n v="37.72"/>
    <x v="7"/>
    <s v="Apr 2024"/>
    <n v="18"/>
    <s v="Repeat"/>
    <x v="0"/>
    <x v="343"/>
  </r>
  <r>
    <x v="50"/>
    <x v="343"/>
    <x v="0"/>
    <x v="127"/>
    <n v="37.72"/>
    <x v="7"/>
    <s v="Apr 2024"/>
    <n v="18"/>
    <s v="Repeat"/>
    <x v="0"/>
    <x v="344"/>
  </r>
  <r>
    <x v="50"/>
    <x v="344"/>
    <x v="0"/>
    <x v="128"/>
    <n v="37.72"/>
    <x v="0"/>
    <s v="Apr 2024"/>
    <n v="19"/>
    <s v="Single"/>
    <x v="1"/>
    <x v="345"/>
  </r>
  <r>
    <x v="51"/>
    <x v="345"/>
    <x v="0"/>
    <x v="0"/>
    <n v="37.72"/>
    <x v="0"/>
    <s v="Apr 2024"/>
    <n v="11"/>
    <s v="Repeat"/>
    <x v="0"/>
    <x v="346"/>
  </r>
  <r>
    <x v="51"/>
    <x v="346"/>
    <x v="0"/>
    <x v="99"/>
    <n v="27.92"/>
    <x v="2"/>
    <s v="Apr 2024"/>
    <n v="14"/>
    <s v="Repeat"/>
    <x v="0"/>
    <x v="347"/>
  </r>
  <r>
    <x v="51"/>
    <x v="347"/>
    <x v="1"/>
    <x v="10"/>
    <n v="39"/>
    <x v="7"/>
    <s v="Apr 2024"/>
    <n v="17"/>
    <s v="Repeat"/>
    <x v="2"/>
    <x v="348"/>
  </r>
  <r>
    <x v="52"/>
    <x v="348"/>
    <x v="0"/>
    <x v="12"/>
    <n v="27.92"/>
    <x v="2"/>
    <s v="Apr 2024"/>
    <n v="11"/>
    <s v="Repeat"/>
    <x v="0"/>
    <x v="349"/>
  </r>
  <r>
    <x v="52"/>
    <x v="349"/>
    <x v="0"/>
    <x v="129"/>
    <n v="32.82"/>
    <x v="3"/>
    <s v="Apr 2024"/>
    <n v="11"/>
    <s v="Single"/>
    <x v="1"/>
    <x v="350"/>
  </r>
  <r>
    <x v="52"/>
    <x v="350"/>
    <x v="1"/>
    <x v="10"/>
    <n v="39"/>
    <x v="0"/>
    <s v="Apr 2024"/>
    <n v="18"/>
    <s v="Repeat"/>
    <x v="2"/>
    <x v="351"/>
  </r>
  <r>
    <x v="52"/>
    <x v="351"/>
    <x v="0"/>
    <x v="8"/>
    <n v="37.72"/>
    <x v="0"/>
    <s v="Apr 2024"/>
    <n v="19"/>
    <s v="Repeat"/>
    <x v="0"/>
    <x v="352"/>
  </r>
  <r>
    <x v="52"/>
    <x v="352"/>
    <x v="1"/>
    <x v="10"/>
    <n v="39"/>
    <x v="7"/>
    <s v="Apr 2024"/>
    <n v="20"/>
    <s v="Repeat"/>
    <x v="2"/>
    <x v="353"/>
  </r>
  <r>
    <x v="53"/>
    <x v="353"/>
    <x v="0"/>
    <x v="25"/>
    <n v="37.72"/>
    <x v="7"/>
    <s v="Apr 2024"/>
    <n v="14"/>
    <s v="Repeat"/>
    <x v="0"/>
    <x v="354"/>
  </r>
  <r>
    <x v="53"/>
    <x v="354"/>
    <x v="0"/>
    <x v="24"/>
    <n v="32.82"/>
    <x v="3"/>
    <s v="Apr 2024"/>
    <n v="14"/>
    <s v="Repeat"/>
    <x v="0"/>
    <x v="355"/>
  </r>
  <r>
    <x v="53"/>
    <x v="355"/>
    <x v="0"/>
    <x v="8"/>
    <n v="37.72"/>
    <x v="7"/>
    <s v="Apr 2024"/>
    <n v="14"/>
    <s v="Repeat"/>
    <x v="0"/>
    <x v="356"/>
  </r>
  <r>
    <x v="53"/>
    <x v="356"/>
    <x v="0"/>
    <x v="130"/>
    <n v="32.82"/>
    <x v="3"/>
    <s v="Apr 2024"/>
    <n v="19"/>
    <s v="Repeat"/>
    <x v="0"/>
    <x v="357"/>
  </r>
  <r>
    <x v="53"/>
    <x v="357"/>
    <x v="0"/>
    <x v="130"/>
    <n v="32.82"/>
    <x v="3"/>
    <s v="Apr 2024"/>
    <n v="19"/>
    <s v="Repeat"/>
    <x v="0"/>
    <x v="358"/>
  </r>
  <r>
    <x v="54"/>
    <x v="358"/>
    <x v="0"/>
    <x v="0"/>
    <n v="37.72"/>
    <x v="0"/>
    <s v="Apr 2024"/>
    <n v="10"/>
    <s v="Repeat"/>
    <x v="0"/>
    <x v="359"/>
  </r>
  <r>
    <x v="54"/>
    <x v="359"/>
    <x v="0"/>
    <x v="131"/>
    <n v="32.82"/>
    <x v="3"/>
    <s v="Apr 2024"/>
    <n v="10"/>
    <s v="Single"/>
    <x v="1"/>
    <x v="360"/>
  </r>
  <r>
    <x v="54"/>
    <x v="360"/>
    <x v="0"/>
    <x v="132"/>
    <n v="32.82"/>
    <x v="3"/>
    <s v="Apr 2024"/>
    <n v="11"/>
    <s v="Single"/>
    <x v="1"/>
    <x v="361"/>
  </r>
  <r>
    <x v="54"/>
    <x v="361"/>
    <x v="0"/>
    <x v="133"/>
    <n v="32.82"/>
    <x v="3"/>
    <s v="Apr 2024"/>
    <n v="11"/>
    <s v="Repeat"/>
    <x v="0"/>
    <x v="362"/>
  </r>
  <r>
    <x v="54"/>
    <x v="362"/>
    <x v="0"/>
    <x v="59"/>
    <n v="32.82"/>
    <x v="3"/>
    <s v="Apr 2024"/>
    <n v="12"/>
    <s v="Repeat"/>
    <x v="0"/>
    <x v="363"/>
  </r>
  <r>
    <x v="54"/>
    <x v="363"/>
    <x v="0"/>
    <x v="8"/>
    <n v="32.82"/>
    <x v="3"/>
    <s v="Apr 2024"/>
    <n v="16"/>
    <s v="Repeat"/>
    <x v="0"/>
    <x v="364"/>
  </r>
  <r>
    <x v="54"/>
    <x v="364"/>
    <x v="0"/>
    <x v="134"/>
    <n v="32.82"/>
    <x v="3"/>
    <s v="Apr 2024"/>
    <n v="19"/>
    <s v="Repeat"/>
    <x v="0"/>
    <x v="365"/>
  </r>
  <r>
    <x v="54"/>
    <x v="365"/>
    <x v="0"/>
    <x v="134"/>
    <n v="37.72"/>
    <x v="7"/>
    <s v="Apr 2024"/>
    <n v="19"/>
    <s v="Repeat"/>
    <x v="0"/>
    <x v="366"/>
  </r>
  <r>
    <x v="55"/>
    <x v="366"/>
    <x v="0"/>
    <x v="135"/>
    <n v="27.92"/>
    <x v="2"/>
    <s v="Apr 2024"/>
    <n v="10"/>
    <s v="Single"/>
    <x v="1"/>
    <x v="367"/>
  </r>
  <r>
    <x v="55"/>
    <x v="367"/>
    <x v="0"/>
    <x v="8"/>
    <n v="37.72"/>
    <x v="0"/>
    <s v="Apr 2024"/>
    <n v="15"/>
    <s v="Repeat"/>
    <x v="0"/>
    <x v="368"/>
  </r>
  <r>
    <x v="55"/>
    <x v="368"/>
    <x v="0"/>
    <x v="12"/>
    <n v="27.92"/>
    <x v="2"/>
    <s v="Apr 2024"/>
    <n v="17"/>
    <s v="Repeat"/>
    <x v="0"/>
    <x v="369"/>
  </r>
  <r>
    <x v="55"/>
    <x v="369"/>
    <x v="0"/>
    <x v="12"/>
    <n v="27.92"/>
    <x v="2"/>
    <s v="Apr 2024"/>
    <n v="17"/>
    <s v="Repeat"/>
    <x v="0"/>
    <x v="370"/>
  </r>
  <r>
    <x v="56"/>
    <x v="370"/>
    <x v="0"/>
    <x v="0"/>
    <n v="37.72"/>
    <x v="0"/>
    <s v="Apr 2024"/>
    <n v="10"/>
    <s v="Repeat"/>
    <x v="0"/>
    <x v="371"/>
  </r>
  <r>
    <x v="56"/>
    <x v="371"/>
    <x v="0"/>
    <x v="136"/>
    <n v="37.72"/>
    <x v="0"/>
    <s v="Apr 2024"/>
    <n v="12"/>
    <s v="Single"/>
    <x v="1"/>
    <x v="372"/>
  </r>
  <r>
    <x v="56"/>
    <x v="372"/>
    <x v="0"/>
    <x v="137"/>
    <n v="37.72"/>
    <x v="7"/>
    <s v="Apr 2024"/>
    <n v="13"/>
    <s v="Repeat"/>
    <x v="0"/>
    <x v="373"/>
  </r>
  <r>
    <x v="56"/>
    <x v="373"/>
    <x v="0"/>
    <x v="12"/>
    <n v="27.92"/>
    <x v="2"/>
    <s v="Apr 2024"/>
    <n v="15"/>
    <s v="Repeat"/>
    <x v="0"/>
    <x v="374"/>
  </r>
  <r>
    <x v="56"/>
    <x v="374"/>
    <x v="0"/>
    <x v="12"/>
    <n v="27.92"/>
    <x v="2"/>
    <s v="Apr 2024"/>
    <n v="15"/>
    <s v="Repeat"/>
    <x v="0"/>
    <x v="375"/>
  </r>
  <r>
    <x v="56"/>
    <x v="375"/>
    <x v="0"/>
    <x v="138"/>
    <n v="27.92"/>
    <x v="5"/>
    <s v="Apr 2024"/>
    <n v="16"/>
    <s v="Single"/>
    <x v="1"/>
    <x v="376"/>
  </r>
  <r>
    <x v="56"/>
    <x v="376"/>
    <x v="0"/>
    <x v="139"/>
    <n v="27.92"/>
    <x v="2"/>
    <s v="Apr 2024"/>
    <n v="16"/>
    <s v="Single"/>
    <x v="1"/>
    <x v="377"/>
  </r>
  <r>
    <x v="56"/>
    <x v="377"/>
    <x v="0"/>
    <x v="8"/>
    <n v="37.72"/>
    <x v="1"/>
    <s v="Apr 2024"/>
    <n v="19"/>
    <s v="Repeat"/>
    <x v="0"/>
    <x v="378"/>
  </r>
  <r>
    <x v="56"/>
    <x v="378"/>
    <x v="0"/>
    <x v="8"/>
    <n v="37.72"/>
    <x v="4"/>
    <s v="Apr 2024"/>
    <n v="19"/>
    <s v="Repeat"/>
    <x v="0"/>
    <x v="379"/>
  </r>
  <r>
    <x v="57"/>
    <x v="379"/>
    <x v="0"/>
    <x v="8"/>
    <n v="37.72"/>
    <x v="7"/>
    <s v="Apr 2024"/>
    <n v="15"/>
    <s v="Repeat"/>
    <x v="0"/>
    <x v="380"/>
  </r>
  <r>
    <x v="58"/>
    <x v="380"/>
    <x v="0"/>
    <x v="0"/>
    <n v="37.72"/>
    <x v="0"/>
    <s v="Apr 2024"/>
    <n v="10"/>
    <s v="Repeat"/>
    <x v="0"/>
    <x v="381"/>
  </r>
  <r>
    <x v="58"/>
    <x v="381"/>
    <x v="0"/>
    <x v="140"/>
    <n v="37.72"/>
    <x v="7"/>
    <s v="Apr 2024"/>
    <n v="12"/>
    <s v="Repeat"/>
    <x v="0"/>
    <x v="382"/>
  </r>
  <r>
    <x v="58"/>
    <x v="382"/>
    <x v="0"/>
    <x v="12"/>
    <n v="27.92"/>
    <x v="2"/>
    <s v="Apr 2024"/>
    <n v="18"/>
    <s v="Repeat"/>
    <x v="0"/>
    <x v="383"/>
  </r>
  <r>
    <x v="58"/>
    <x v="383"/>
    <x v="0"/>
    <x v="12"/>
    <n v="27.92"/>
    <x v="2"/>
    <s v="Apr 2024"/>
    <n v="18"/>
    <s v="Repeat"/>
    <x v="0"/>
    <x v="384"/>
  </r>
  <r>
    <x v="58"/>
    <x v="384"/>
    <x v="0"/>
    <x v="19"/>
    <n v="37.72"/>
    <x v="0"/>
    <s v="Apr 2024"/>
    <n v="18"/>
    <s v="Repeat"/>
    <x v="0"/>
    <x v="385"/>
  </r>
  <r>
    <x v="59"/>
    <x v="385"/>
    <x v="0"/>
    <x v="141"/>
    <n v="27.92"/>
    <x v="5"/>
    <s v="Apr 2024"/>
    <n v="11"/>
    <s v="Repeat"/>
    <x v="0"/>
    <x v="386"/>
  </r>
  <r>
    <x v="59"/>
    <x v="386"/>
    <x v="0"/>
    <x v="2"/>
    <n v="27.92"/>
    <x v="2"/>
    <s v="Apr 2024"/>
    <n v="13"/>
    <s v="Repeat"/>
    <x v="0"/>
    <x v="387"/>
  </r>
  <r>
    <x v="59"/>
    <x v="387"/>
    <x v="0"/>
    <x v="2"/>
    <n v="27.92"/>
    <x v="5"/>
    <s v="Apr 2024"/>
    <n v="13"/>
    <s v="Repeat"/>
    <x v="0"/>
    <x v="388"/>
  </r>
  <r>
    <x v="59"/>
    <x v="388"/>
    <x v="0"/>
    <x v="141"/>
    <n v="27.92"/>
    <x v="5"/>
    <s v="Apr 2024"/>
    <n v="13"/>
    <s v="Repeat"/>
    <x v="0"/>
    <x v="389"/>
  </r>
  <r>
    <x v="59"/>
    <x v="389"/>
    <x v="0"/>
    <x v="141"/>
    <n v="32.82"/>
    <x v="3"/>
    <s v="Apr 2024"/>
    <n v="13"/>
    <s v="Repeat"/>
    <x v="0"/>
    <x v="390"/>
  </r>
  <r>
    <x v="59"/>
    <x v="390"/>
    <x v="0"/>
    <x v="140"/>
    <n v="37.72"/>
    <x v="7"/>
    <s v="Apr 2024"/>
    <n v="18"/>
    <s v="Repeat"/>
    <x v="0"/>
    <x v="391"/>
  </r>
  <r>
    <x v="59"/>
    <x v="391"/>
    <x v="0"/>
    <x v="134"/>
    <n v="37.72"/>
    <x v="7"/>
    <s v="Apr 2024"/>
    <n v="19"/>
    <s v="Repeat"/>
    <x v="0"/>
    <x v="392"/>
  </r>
  <r>
    <x v="59"/>
    <x v="392"/>
    <x v="0"/>
    <x v="134"/>
    <n v="37.72"/>
    <x v="7"/>
    <s v="Apr 2024"/>
    <n v="19"/>
    <s v="Repeat"/>
    <x v="0"/>
    <x v="393"/>
  </r>
  <r>
    <x v="60"/>
    <x v="393"/>
    <x v="0"/>
    <x v="142"/>
    <n v="37.72"/>
    <x v="0"/>
    <s v="Apr 2024"/>
    <n v="10"/>
    <s v="Repeat"/>
    <x v="0"/>
    <x v="394"/>
  </r>
  <r>
    <x v="60"/>
    <x v="394"/>
    <x v="0"/>
    <x v="142"/>
    <n v="32.82"/>
    <x v="3"/>
    <s v="Apr 2024"/>
    <n v="10"/>
    <s v="Repeat"/>
    <x v="0"/>
    <x v="395"/>
  </r>
  <r>
    <x v="60"/>
    <x v="395"/>
    <x v="0"/>
    <x v="142"/>
    <n v="32.82"/>
    <x v="3"/>
    <s v="Apr 2024"/>
    <n v="10"/>
    <s v="Repeat"/>
    <x v="0"/>
    <x v="396"/>
  </r>
  <r>
    <x v="60"/>
    <x v="396"/>
    <x v="0"/>
    <x v="142"/>
    <n v="27.92"/>
    <x v="2"/>
    <s v="Apr 2024"/>
    <n v="13"/>
    <s v="Repeat"/>
    <x v="0"/>
    <x v="397"/>
  </r>
  <r>
    <x v="60"/>
    <x v="397"/>
    <x v="0"/>
    <x v="142"/>
    <n v="32.82"/>
    <x v="3"/>
    <s v="Apr 2024"/>
    <n v="13"/>
    <s v="Repeat"/>
    <x v="0"/>
    <x v="398"/>
  </r>
  <r>
    <x v="60"/>
    <x v="398"/>
    <x v="0"/>
    <x v="142"/>
    <n v="37.72"/>
    <x v="7"/>
    <s v="Apr 2024"/>
    <n v="19"/>
    <s v="Repeat"/>
    <x v="0"/>
    <x v="399"/>
  </r>
  <r>
    <x v="60"/>
    <x v="399"/>
    <x v="0"/>
    <x v="142"/>
    <n v="32.82"/>
    <x v="3"/>
    <s v="Apr 2024"/>
    <n v="19"/>
    <s v="Repeat"/>
    <x v="0"/>
    <x v="400"/>
  </r>
  <r>
    <x v="60"/>
    <x v="400"/>
    <x v="0"/>
    <x v="142"/>
    <n v="37.72"/>
    <x v="0"/>
    <s v="Apr 2024"/>
    <n v="19"/>
    <s v="Repeat"/>
    <x v="0"/>
    <x v="401"/>
  </r>
  <r>
    <x v="61"/>
    <x v="401"/>
    <x v="0"/>
    <x v="143"/>
    <n v="27.92"/>
    <x v="2"/>
    <s v="May 2024"/>
    <n v="10"/>
    <s v="Repeat"/>
    <x v="0"/>
    <x v="402"/>
  </r>
  <r>
    <x v="61"/>
    <x v="402"/>
    <x v="1"/>
    <x v="10"/>
    <n v="39"/>
    <x v="0"/>
    <s v="May 2024"/>
    <n v="11"/>
    <s v="Repeat"/>
    <x v="2"/>
    <x v="403"/>
  </r>
  <r>
    <x v="61"/>
    <x v="403"/>
    <x v="0"/>
    <x v="133"/>
    <n v="32.82"/>
    <x v="3"/>
    <s v="May 2024"/>
    <n v="13"/>
    <s v="Repeat"/>
    <x v="0"/>
    <x v="404"/>
  </r>
  <r>
    <x v="61"/>
    <x v="404"/>
    <x v="0"/>
    <x v="144"/>
    <n v="37.72"/>
    <x v="7"/>
    <s v="May 2024"/>
    <n v="18"/>
    <s v="Single"/>
    <x v="1"/>
    <x v="405"/>
  </r>
  <r>
    <x v="61"/>
    <x v="405"/>
    <x v="0"/>
    <x v="24"/>
    <n v="32.82"/>
    <x v="3"/>
    <s v="May 2024"/>
    <n v="18"/>
    <s v="Repeat"/>
    <x v="0"/>
    <x v="406"/>
  </r>
  <r>
    <x v="61"/>
    <x v="406"/>
    <x v="0"/>
    <x v="145"/>
    <n v="37.72"/>
    <x v="0"/>
    <s v="May 2024"/>
    <n v="19"/>
    <s v="Repeat"/>
    <x v="0"/>
    <x v="407"/>
  </r>
  <r>
    <x v="61"/>
    <x v="407"/>
    <x v="0"/>
    <x v="145"/>
    <n v="37.72"/>
    <x v="7"/>
    <s v="May 2024"/>
    <n v="19"/>
    <s v="Repeat"/>
    <x v="0"/>
    <x v="408"/>
  </r>
  <r>
    <x v="62"/>
    <x v="408"/>
    <x v="1"/>
    <x v="10"/>
    <n v="39"/>
    <x v="0"/>
    <s v="May 2024"/>
    <n v="10"/>
    <s v="Repeat"/>
    <x v="2"/>
    <x v="409"/>
  </r>
  <r>
    <x v="62"/>
    <x v="409"/>
    <x v="0"/>
    <x v="146"/>
    <n v="37.72"/>
    <x v="0"/>
    <s v="May 2024"/>
    <n v="14"/>
    <s v="Single"/>
    <x v="1"/>
    <x v="410"/>
  </r>
  <r>
    <x v="62"/>
    <x v="410"/>
    <x v="0"/>
    <x v="147"/>
    <n v="37.72"/>
    <x v="0"/>
    <s v="May 2024"/>
    <n v="17"/>
    <s v="Single"/>
    <x v="1"/>
    <x v="411"/>
  </r>
  <r>
    <x v="63"/>
    <x v="411"/>
    <x v="0"/>
    <x v="148"/>
    <n v="27.92"/>
    <x v="2"/>
    <s v="May 2024"/>
    <n v="10"/>
    <s v="Repeat"/>
    <x v="0"/>
    <x v="412"/>
  </r>
  <r>
    <x v="63"/>
    <x v="412"/>
    <x v="0"/>
    <x v="149"/>
    <n v="37.72"/>
    <x v="7"/>
    <s v="May 2024"/>
    <n v="10"/>
    <s v="Repeat"/>
    <x v="0"/>
    <x v="413"/>
  </r>
  <r>
    <x v="63"/>
    <x v="413"/>
    <x v="0"/>
    <x v="149"/>
    <n v="32.82"/>
    <x v="3"/>
    <s v="May 2024"/>
    <n v="10"/>
    <s v="Repeat"/>
    <x v="0"/>
    <x v="414"/>
  </r>
  <r>
    <x v="63"/>
    <x v="414"/>
    <x v="0"/>
    <x v="150"/>
    <n v="27.92"/>
    <x v="2"/>
    <s v="May 2024"/>
    <n v="10"/>
    <s v="Single"/>
    <x v="1"/>
    <x v="415"/>
  </r>
  <r>
    <x v="63"/>
    <x v="415"/>
    <x v="0"/>
    <x v="141"/>
    <n v="27.92"/>
    <x v="5"/>
    <s v="May 2024"/>
    <n v="10"/>
    <s v="Repeat"/>
    <x v="0"/>
    <x v="416"/>
  </r>
  <r>
    <x v="63"/>
    <x v="416"/>
    <x v="1"/>
    <x v="10"/>
    <n v="29"/>
    <x v="2"/>
    <s v="May 2024"/>
    <n v="11"/>
    <s v="Repeat"/>
    <x v="2"/>
    <x v="417"/>
  </r>
  <r>
    <x v="63"/>
    <x v="417"/>
    <x v="0"/>
    <x v="148"/>
    <n v="27.92"/>
    <x v="5"/>
    <s v="May 2024"/>
    <n v="13"/>
    <s v="Repeat"/>
    <x v="0"/>
    <x v="418"/>
  </r>
  <r>
    <x v="63"/>
    <x v="418"/>
    <x v="0"/>
    <x v="148"/>
    <n v="27.92"/>
    <x v="2"/>
    <s v="May 2024"/>
    <n v="13"/>
    <s v="Repeat"/>
    <x v="0"/>
    <x v="419"/>
  </r>
  <r>
    <x v="63"/>
    <x v="419"/>
    <x v="0"/>
    <x v="151"/>
    <n v="37.72"/>
    <x v="7"/>
    <s v="May 2024"/>
    <n v="19"/>
    <s v="Repeat"/>
    <x v="0"/>
    <x v="420"/>
  </r>
  <r>
    <x v="63"/>
    <x v="420"/>
    <x v="0"/>
    <x v="151"/>
    <n v="37.72"/>
    <x v="7"/>
    <s v="May 2024"/>
    <n v="19"/>
    <s v="Repeat"/>
    <x v="0"/>
    <x v="421"/>
  </r>
  <r>
    <x v="64"/>
    <x v="220"/>
    <x v="0"/>
    <x v="148"/>
    <n v="37.72"/>
    <x v="4"/>
    <s v="May 2024"/>
    <n v="10"/>
    <s v="Repeat"/>
    <x v="0"/>
    <x v="422"/>
  </r>
  <r>
    <x v="64"/>
    <x v="421"/>
    <x v="0"/>
    <x v="141"/>
    <n v="27.92"/>
    <x v="5"/>
    <s v="May 2024"/>
    <n v="11"/>
    <s v="Repeat"/>
    <x v="0"/>
    <x v="423"/>
  </r>
  <r>
    <x v="64"/>
    <x v="422"/>
    <x v="0"/>
    <x v="77"/>
    <n v="27.92"/>
    <x v="5"/>
    <s v="May 2024"/>
    <n v="13"/>
    <s v="Repeat"/>
    <x v="0"/>
    <x v="424"/>
  </r>
  <r>
    <x v="64"/>
    <x v="423"/>
    <x v="0"/>
    <x v="148"/>
    <n v="37.72"/>
    <x v="4"/>
    <s v="May 2024"/>
    <n v="16"/>
    <s v="Repeat"/>
    <x v="0"/>
    <x v="425"/>
  </r>
  <r>
    <x v="64"/>
    <x v="424"/>
    <x v="0"/>
    <x v="152"/>
    <n v="27.92"/>
    <x v="2"/>
    <s v="May 2024"/>
    <n v="16"/>
    <s v="Single"/>
    <x v="1"/>
    <x v="426"/>
  </r>
  <r>
    <x v="64"/>
    <x v="425"/>
    <x v="0"/>
    <x v="153"/>
    <n v="37.72"/>
    <x v="7"/>
    <s v="May 2024"/>
    <n v="17"/>
    <s v="Repeat"/>
    <x v="0"/>
    <x v="427"/>
  </r>
  <r>
    <x v="64"/>
    <x v="426"/>
    <x v="0"/>
    <x v="153"/>
    <n v="37.72"/>
    <x v="0"/>
    <s v="May 2024"/>
    <n v="17"/>
    <s v="Repeat"/>
    <x v="0"/>
    <x v="428"/>
  </r>
  <r>
    <x v="64"/>
    <x v="427"/>
    <x v="1"/>
    <x v="10"/>
    <n v="34"/>
    <x v="3"/>
    <s v="May 2024"/>
    <n v="18"/>
    <s v="Repeat"/>
    <x v="2"/>
    <x v="429"/>
  </r>
  <r>
    <x v="64"/>
    <x v="428"/>
    <x v="0"/>
    <x v="154"/>
    <n v="37.72"/>
    <x v="7"/>
    <s v="May 2024"/>
    <n v="19"/>
    <s v="Repeat"/>
    <x v="0"/>
    <x v="430"/>
  </r>
  <r>
    <x v="64"/>
    <x v="429"/>
    <x v="0"/>
    <x v="154"/>
    <n v="37.72"/>
    <x v="7"/>
    <s v="May 2024"/>
    <n v="19"/>
    <s v="Repeat"/>
    <x v="0"/>
    <x v="431"/>
  </r>
  <r>
    <x v="65"/>
    <x v="430"/>
    <x v="0"/>
    <x v="0"/>
    <n v="37.72"/>
    <x v="0"/>
    <s v="May 2024"/>
    <n v="10"/>
    <s v="Repeat"/>
    <x v="0"/>
    <x v="432"/>
  </r>
  <r>
    <x v="66"/>
    <x v="431"/>
    <x v="0"/>
    <x v="155"/>
    <n v="37.72"/>
    <x v="7"/>
    <s v="May 2024"/>
    <n v="12"/>
    <s v="Single"/>
    <x v="1"/>
    <x v="433"/>
  </r>
  <r>
    <x v="66"/>
    <x v="432"/>
    <x v="0"/>
    <x v="156"/>
    <n v="27.92"/>
    <x v="2"/>
    <s v="May 2024"/>
    <n v="13"/>
    <s v="Repeat"/>
    <x v="0"/>
    <x v="434"/>
  </r>
  <r>
    <x v="66"/>
    <x v="433"/>
    <x v="0"/>
    <x v="156"/>
    <n v="37.72"/>
    <x v="0"/>
    <s v="May 2024"/>
    <n v="13"/>
    <s v="Repeat"/>
    <x v="0"/>
    <x v="435"/>
  </r>
  <r>
    <x v="66"/>
    <x v="434"/>
    <x v="0"/>
    <x v="156"/>
    <n v="37.72"/>
    <x v="0"/>
    <s v="May 2024"/>
    <n v="13"/>
    <s v="Repeat"/>
    <x v="0"/>
    <x v="436"/>
  </r>
  <r>
    <x v="66"/>
    <x v="435"/>
    <x v="0"/>
    <x v="156"/>
    <n v="37.72"/>
    <x v="0"/>
    <s v="May 2024"/>
    <n v="13"/>
    <s v="Repeat"/>
    <x v="0"/>
    <x v="437"/>
  </r>
  <r>
    <x v="66"/>
    <x v="436"/>
    <x v="0"/>
    <x v="118"/>
    <n v="27.92"/>
    <x v="2"/>
    <s v="May 2024"/>
    <n v="16"/>
    <s v="Repeat"/>
    <x v="0"/>
    <x v="438"/>
  </r>
  <r>
    <x v="66"/>
    <x v="437"/>
    <x v="0"/>
    <x v="118"/>
    <n v="27.92"/>
    <x v="2"/>
    <s v="May 2024"/>
    <n v="16"/>
    <s v="Repeat"/>
    <x v="0"/>
    <x v="439"/>
  </r>
  <r>
    <x v="66"/>
    <x v="438"/>
    <x v="0"/>
    <x v="157"/>
    <n v="27.92"/>
    <x v="2"/>
    <s v="May 2024"/>
    <n v="18"/>
    <s v="Single"/>
    <x v="1"/>
    <x v="440"/>
  </r>
  <r>
    <x v="66"/>
    <x v="439"/>
    <x v="0"/>
    <x v="143"/>
    <n v="32.82"/>
    <x v="3"/>
    <s v="May 2024"/>
    <n v="18"/>
    <s v="Repeat"/>
    <x v="0"/>
    <x v="441"/>
  </r>
  <r>
    <x v="67"/>
    <x v="440"/>
    <x v="1"/>
    <x v="10"/>
    <n v="39"/>
    <x v="0"/>
    <s v="May 2024"/>
    <n v="10"/>
    <s v="Repeat"/>
    <x v="2"/>
    <x v="442"/>
  </r>
  <r>
    <x v="67"/>
    <x v="441"/>
    <x v="0"/>
    <x v="158"/>
    <n v="37.72"/>
    <x v="0"/>
    <s v="May 2024"/>
    <n v="15"/>
    <s v="Repeat"/>
    <x v="0"/>
    <x v="443"/>
  </r>
  <r>
    <x v="67"/>
    <x v="442"/>
    <x v="0"/>
    <x v="158"/>
    <n v="37.72"/>
    <x v="0"/>
    <s v="May 2024"/>
    <n v="15"/>
    <s v="Repeat"/>
    <x v="0"/>
    <x v="444"/>
  </r>
  <r>
    <x v="67"/>
    <x v="443"/>
    <x v="1"/>
    <x v="10"/>
    <n v="34"/>
    <x v="3"/>
    <s v="May 2024"/>
    <n v="16"/>
    <s v="Repeat"/>
    <x v="2"/>
    <x v="445"/>
  </r>
  <r>
    <x v="68"/>
    <x v="444"/>
    <x v="0"/>
    <x v="69"/>
    <n v="37.72"/>
    <x v="0"/>
    <s v="May 2024"/>
    <n v="11"/>
    <s v="Repeat"/>
    <x v="0"/>
    <x v="446"/>
  </r>
  <r>
    <x v="68"/>
    <x v="445"/>
    <x v="1"/>
    <x v="10"/>
    <n v="39"/>
    <x v="0"/>
    <s v="May 2024"/>
    <n v="17"/>
    <s v="Repeat"/>
    <x v="2"/>
    <x v="447"/>
  </r>
  <r>
    <x v="68"/>
    <x v="446"/>
    <x v="0"/>
    <x v="8"/>
    <n v="32.82"/>
    <x v="3"/>
    <s v="May 2024"/>
    <n v="17"/>
    <s v="Repeat"/>
    <x v="0"/>
    <x v="448"/>
  </r>
  <r>
    <x v="68"/>
    <x v="447"/>
    <x v="0"/>
    <x v="26"/>
    <n v="37.72"/>
    <x v="4"/>
    <s v="May 2024"/>
    <n v="17"/>
    <s v="Repeat"/>
    <x v="0"/>
    <x v="449"/>
  </r>
  <r>
    <x v="68"/>
    <x v="448"/>
    <x v="0"/>
    <x v="40"/>
    <n v="37.72"/>
    <x v="7"/>
    <s v="May 2024"/>
    <n v="17"/>
    <s v="Repeat"/>
    <x v="0"/>
    <x v="450"/>
  </r>
  <r>
    <x v="68"/>
    <x v="449"/>
    <x v="0"/>
    <x v="12"/>
    <n v="32.82"/>
    <x v="3"/>
    <s v="May 2024"/>
    <n v="17"/>
    <s v="Repeat"/>
    <x v="0"/>
    <x v="451"/>
  </r>
  <r>
    <x v="68"/>
    <x v="450"/>
    <x v="0"/>
    <x v="115"/>
    <n v="37.72"/>
    <x v="7"/>
    <s v="May 2024"/>
    <n v="18"/>
    <s v="Repeat"/>
    <x v="0"/>
    <x v="452"/>
  </r>
  <r>
    <x v="68"/>
    <x v="451"/>
    <x v="0"/>
    <x v="159"/>
    <n v="37.72"/>
    <x v="0"/>
    <s v="May 2024"/>
    <n v="19"/>
    <s v="Repeat"/>
    <x v="0"/>
    <x v="453"/>
  </r>
  <r>
    <x v="69"/>
    <x v="452"/>
    <x v="0"/>
    <x v="0"/>
    <n v="37.72"/>
    <x v="0"/>
    <s v="May 2024"/>
    <n v="10"/>
    <s v="Repeat"/>
    <x v="0"/>
    <x v="454"/>
  </r>
  <r>
    <x v="69"/>
    <x v="453"/>
    <x v="0"/>
    <x v="160"/>
    <n v="37.72"/>
    <x v="0"/>
    <s v="May 2024"/>
    <n v="13"/>
    <s v="Single"/>
    <x v="1"/>
    <x v="455"/>
  </r>
  <r>
    <x v="69"/>
    <x v="454"/>
    <x v="0"/>
    <x v="161"/>
    <n v="27.92"/>
    <x v="2"/>
    <s v="May 2024"/>
    <n v="13"/>
    <s v="Single"/>
    <x v="1"/>
    <x v="456"/>
  </r>
  <r>
    <x v="69"/>
    <x v="455"/>
    <x v="0"/>
    <x v="77"/>
    <n v="37.72"/>
    <x v="0"/>
    <s v="May 2024"/>
    <n v="15"/>
    <s v="Repeat"/>
    <x v="0"/>
    <x v="457"/>
  </r>
  <r>
    <x v="69"/>
    <x v="456"/>
    <x v="0"/>
    <x v="162"/>
    <n v="32.82"/>
    <x v="3"/>
    <s v="May 2024"/>
    <n v="15"/>
    <s v="Single"/>
    <x v="1"/>
    <x v="458"/>
  </r>
  <r>
    <x v="69"/>
    <x v="457"/>
    <x v="0"/>
    <x v="163"/>
    <n v="32.82"/>
    <x v="3"/>
    <s v="May 2024"/>
    <n v="15"/>
    <s v="Single"/>
    <x v="1"/>
    <x v="459"/>
  </r>
  <r>
    <x v="69"/>
    <x v="458"/>
    <x v="0"/>
    <x v="12"/>
    <n v="32.82"/>
    <x v="3"/>
    <s v="May 2024"/>
    <n v="16"/>
    <s v="Repeat"/>
    <x v="0"/>
    <x v="460"/>
  </r>
  <r>
    <x v="69"/>
    <x v="459"/>
    <x v="0"/>
    <x v="8"/>
    <n v="32.82"/>
    <x v="3"/>
    <s v="May 2024"/>
    <n v="19"/>
    <s v="Repeat"/>
    <x v="0"/>
    <x v="461"/>
  </r>
  <r>
    <x v="70"/>
    <x v="460"/>
    <x v="0"/>
    <x v="164"/>
    <n v="32.82"/>
    <x v="3"/>
    <s v="May 2024"/>
    <n v="11"/>
    <s v="Repeat"/>
    <x v="0"/>
    <x v="462"/>
  </r>
  <r>
    <x v="70"/>
    <x v="461"/>
    <x v="1"/>
    <x v="10"/>
    <n v="29"/>
    <x v="2"/>
    <s v="May 2024"/>
    <n v="15"/>
    <s v="Repeat"/>
    <x v="2"/>
    <x v="463"/>
  </r>
  <r>
    <x v="70"/>
    <x v="462"/>
    <x v="1"/>
    <x v="10"/>
    <n v="29"/>
    <x v="2"/>
    <s v="May 2024"/>
    <n v="15"/>
    <s v="Repeat"/>
    <x v="2"/>
    <x v="464"/>
  </r>
  <r>
    <x v="71"/>
    <x v="463"/>
    <x v="0"/>
    <x v="12"/>
    <n v="27.92"/>
    <x v="2"/>
    <s v="May 2024"/>
    <n v="8"/>
    <s v="Repeat"/>
    <x v="0"/>
    <x v="465"/>
  </r>
  <r>
    <x v="71"/>
    <x v="464"/>
    <x v="0"/>
    <x v="12"/>
    <n v="27.92"/>
    <x v="2"/>
    <s v="May 2024"/>
    <n v="8"/>
    <s v="Repeat"/>
    <x v="0"/>
    <x v="466"/>
  </r>
  <r>
    <x v="71"/>
    <x v="465"/>
    <x v="0"/>
    <x v="12"/>
    <n v="27.92"/>
    <x v="2"/>
    <s v="May 2024"/>
    <n v="8"/>
    <s v="Repeat"/>
    <x v="0"/>
    <x v="467"/>
  </r>
  <r>
    <x v="71"/>
    <x v="466"/>
    <x v="0"/>
    <x v="12"/>
    <n v="37.72"/>
    <x v="7"/>
    <s v="May 2024"/>
    <n v="10"/>
    <s v="Repeat"/>
    <x v="0"/>
    <x v="468"/>
  </r>
  <r>
    <x v="71"/>
    <x v="467"/>
    <x v="0"/>
    <x v="165"/>
    <n v="37.72"/>
    <x v="0"/>
    <s v="May 2024"/>
    <n v="11"/>
    <s v="Repeat"/>
    <x v="0"/>
    <x v="469"/>
  </r>
  <r>
    <x v="71"/>
    <x v="468"/>
    <x v="0"/>
    <x v="165"/>
    <n v="37.72"/>
    <x v="7"/>
    <s v="May 2024"/>
    <n v="11"/>
    <s v="Repeat"/>
    <x v="0"/>
    <x v="470"/>
  </r>
  <r>
    <x v="71"/>
    <x v="469"/>
    <x v="0"/>
    <x v="25"/>
    <n v="37.72"/>
    <x v="7"/>
    <s v="May 2024"/>
    <n v="14"/>
    <s v="Repeat"/>
    <x v="0"/>
    <x v="471"/>
  </r>
  <r>
    <x v="71"/>
    <x v="470"/>
    <x v="0"/>
    <x v="8"/>
    <n v="32.82"/>
    <x v="3"/>
    <s v="May 2024"/>
    <n v="14"/>
    <s v="Repeat"/>
    <x v="0"/>
    <x v="472"/>
  </r>
  <r>
    <x v="71"/>
    <x v="471"/>
    <x v="0"/>
    <x v="40"/>
    <n v="27.92"/>
    <x v="2"/>
    <s v="May 2024"/>
    <n v="15"/>
    <s v="Repeat"/>
    <x v="0"/>
    <x v="473"/>
  </r>
  <r>
    <x v="71"/>
    <x v="472"/>
    <x v="0"/>
    <x v="166"/>
    <n v="32.82"/>
    <x v="3"/>
    <s v="May 2024"/>
    <n v="16"/>
    <s v="Repeat"/>
    <x v="0"/>
    <x v="474"/>
  </r>
  <r>
    <x v="71"/>
    <x v="473"/>
    <x v="0"/>
    <x v="166"/>
    <n v="37.72"/>
    <x v="7"/>
    <s v="May 2024"/>
    <n v="16"/>
    <s v="Repeat"/>
    <x v="0"/>
    <x v="475"/>
  </r>
  <r>
    <x v="71"/>
    <x v="474"/>
    <x v="0"/>
    <x v="167"/>
    <n v="37.72"/>
    <x v="1"/>
    <s v="May 2024"/>
    <n v="22"/>
    <s v="Single"/>
    <x v="1"/>
    <x v="476"/>
  </r>
  <r>
    <x v="72"/>
    <x v="475"/>
    <x v="0"/>
    <x v="168"/>
    <n v="37.72"/>
    <x v="0"/>
    <s v="May 2024"/>
    <n v="8"/>
    <s v="Repeat"/>
    <x v="0"/>
    <x v="477"/>
  </r>
  <r>
    <x v="72"/>
    <x v="476"/>
    <x v="0"/>
    <x v="12"/>
    <n v="23.02"/>
    <x v="6"/>
    <s v="May 2024"/>
    <n v="11"/>
    <s v="Repeat"/>
    <x v="0"/>
    <x v="478"/>
  </r>
  <r>
    <x v="72"/>
    <x v="477"/>
    <x v="0"/>
    <x v="12"/>
    <n v="27.92"/>
    <x v="2"/>
    <s v="May 2024"/>
    <n v="11"/>
    <s v="Repeat"/>
    <x v="0"/>
    <x v="479"/>
  </r>
  <r>
    <x v="72"/>
    <x v="478"/>
    <x v="0"/>
    <x v="2"/>
    <n v="27.92"/>
    <x v="2"/>
    <s v="May 2024"/>
    <n v="13"/>
    <s v="Repeat"/>
    <x v="0"/>
    <x v="480"/>
  </r>
  <r>
    <x v="72"/>
    <x v="479"/>
    <x v="0"/>
    <x v="2"/>
    <n v="27.92"/>
    <x v="2"/>
    <s v="May 2024"/>
    <n v="13"/>
    <s v="Repeat"/>
    <x v="0"/>
    <x v="481"/>
  </r>
  <r>
    <x v="72"/>
    <x v="480"/>
    <x v="0"/>
    <x v="2"/>
    <n v="27.92"/>
    <x v="2"/>
    <s v="May 2024"/>
    <n v="13"/>
    <s v="Repeat"/>
    <x v="0"/>
    <x v="482"/>
  </r>
  <r>
    <x v="72"/>
    <x v="481"/>
    <x v="0"/>
    <x v="164"/>
    <n v="32.82"/>
    <x v="3"/>
    <s v="May 2024"/>
    <n v="13"/>
    <s v="Repeat"/>
    <x v="0"/>
    <x v="483"/>
  </r>
  <r>
    <x v="72"/>
    <x v="482"/>
    <x v="1"/>
    <x v="10"/>
    <n v="29"/>
    <x v="2"/>
    <s v="May 2024"/>
    <n v="14"/>
    <s v="Repeat"/>
    <x v="2"/>
    <x v="484"/>
  </r>
  <r>
    <x v="72"/>
    <x v="483"/>
    <x v="0"/>
    <x v="169"/>
    <n v="27.92"/>
    <x v="5"/>
    <s v="May 2024"/>
    <n v="14"/>
    <s v="Single"/>
    <x v="1"/>
    <x v="485"/>
  </r>
  <r>
    <x v="72"/>
    <x v="484"/>
    <x v="0"/>
    <x v="12"/>
    <n v="27.92"/>
    <x v="5"/>
    <s v="May 2024"/>
    <n v="14"/>
    <s v="Repeat"/>
    <x v="0"/>
    <x v="486"/>
  </r>
  <r>
    <x v="72"/>
    <x v="485"/>
    <x v="0"/>
    <x v="170"/>
    <n v="23.02"/>
    <x v="6"/>
    <s v="May 2024"/>
    <n v="17"/>
    <s v="Single"/>
    <x v="1"/>
    <x v="487"/>
  </r>
  <r>
    <x v="72"/>
    <x v="486"/>
    <x v="0"/>
    <x v="171"/>
    <n v="37.72"/>
    <x v="7"/>
    <s v="May 2024"/>
    <n v="20"/>
    <s v="Single"/>
    <x v="1"/>
    <x v="488"/>
  </r>
  <r>
    <x v="73"/>
    <x v="487"/>
    <x v="0"/>
    <x v="97"/>
    <n v="32.82"/>
    <x v="3"/>
    <s v="May 2024"/>
    <n v="10"/>
    <s v="Repeat"/>
    <x v="0"/>
    <x v="489"/>
  </r>
  <r>
    <x v="73"/>
    <x v="488"/>
    <x v="0"/>
    <x v="172"/>
    <n v="32.82"/>
    <x v="3"/>
    <s v="May 2024"/>
    <n v="10"/>
    <s v="Repeat"/>
    <x v="0"/>
    <x v="490"/>
  </r>
  <r>
    <x v="73"/>
    <x v="489"/>
    <x v="1"/>
    <x v="10"/>
    <n v="39"/>
    <x v="0"/>
    <s v="May 2024"/>
    <n v="11"/>
    <s v="Repeat"/>
    <x v="2"/>
    <x v="491"/>
  </r>
  <r>
    <x v="73"/>
    <x v="490"/>
    <x v="1"/>
    <x v="10"/>
    <n v="39"/>
    <x v="7"/>
    <s v="May 2024"/>
    <n v="11"/>
    <s v="Repeat"/>
    <x v="2"/>
    <x v="492"/>
  </r>
  <r>
    <x v="73"/>
    <x v="491"/>
    <x v="0"/>
    <x v="173"/>
    <n v="32.82"/>
    <x v="3"/>
    <s v="May 2024"/>
    <n v="12"/>
    <s v="Single"/>
    <x v="1"/>
    <x v="493"/>
  </r>
  <r>
    <x v="73"/>
    <x v="492"/>
    <x v="0"/>
    <x v="174"/>
    <n v="37.72"/>
    <x v="1"/>
    <s v="May 2024"/>
    <n v="15"/>
    <s v="Single"/>
    <x v="1"/>
    <x v="494"/>
  </r>
  <r>
    <x v="73"/>
    <x v="493"/>
    <x v="0"/>
    <x v="69"/>
    <n v="37.72"/>
    <x v="0"/>
    <s v="May 2024"/>
    <n v="17"/>
    <s v="Repeat"/>
    <x v="0"/>
    <x v="495"/>
  </r>
  <r>
    <x v="73"/>
    <x v="494"/>
    <x v="0"/>
    <x v="175"/>
    <n v="37.72"/>
    <x v="1"/>
    <s v="May 2024"/>
    <n v="18"/>
    <s v="Repeat"/>
    <x v="0"/>
    <x v="496"/>
  </r>
  <r>
    <x v="73"/>
    <x v="495"/>
    <x v="0"/>
    <x v="175"/>
    <n v="37.72"/>
    <x v="0"/>
    <s v="May 2024"/>
    <n v="18"/>
    <s v="Repeat"/>
    <x v="0"/>
    <x v="497"/>
  </r>
  <r>
    <x v="74"/>
    <x v="496"/>
    <x v="0"/>
    <x v="33"/>
    <n v="27.92"/>
    <x v="2"/>
    <s v="May 2024"/>
    <n v="9"/>
    <s v="Repeat"/>
    <x v="0"/>
    <x v="498"/>
  </r>
  <r>
    <x v="74"/>
    <x v="497"/>
    <x v="0"/>
    <x v="164"/>
    <n v="32.82"/>
    <x v="3"/>
    <s v="May 2024"/>
    <n v="11"/>
    <s v="Repeat"/>
    <x v="0"/>
    <x v="499"/>
  </r>
  <r>
    <x v="74"/>
    <x v="498"/>
    <x v="1"/>
    <x v="10"/>
    <n v="34"/>
    <x v="3"/>
    <s v="May 2024"/>
    <n v="14"/>
    <s v="Repeat"/>
    <x v="2"/>
    <x v="500"/>
  </r>
  <r>
    <x v="74"/>
    <x v="499"/>
    <x v="0"/>
    <x v="12"/>
    <n v="32.82"/>
    <x v="3"/>
    <s v="May 2024"/>
    <n v="19"/>
    <s v="Repeat"/>
    <x v="0"/>
    <x v="501"/>
  </r>
  <r>
    <x v="74"/>
    <x v="500"/>
    <x v="0"/>
    <x v="8"/>
    <n v="37.72"/>
    <x v="7"/>
    <s v="May 2024"/>
    <n v="19"/>
    <s v="Repeat"/>
    <x v="0"/>
    <x v="502"/>
  </r>
  <r>
    <x v="74"/>
    <x v="501"/>
    <x v="0"/>
    <x v="176"/>
    <n v="37.72"/>
    <x v="7"/>
    <s v="May 2024"/>
    <n v="20"/>
    <s v="Single"/>
    <x v="1"/>
    <x v="503"/>
  </r>
  <r>
    <x v="74"/>
    <x v="502"/>
    <x v="0"/>
    <x v="177"/>
    <n v="27.92"/>
    <x v="2"/>
    <s v="May 2024"/>
    <n v="22"/>
    <s v="Repeat"/>
    <x v="0"/>
    <x v="504"/>
  </r>
  <r>
    <x v="74"/>
    <x v="503"/>
    <x v="0"/>
    <x v="178"/>
    <n v="37.72"/>
    <x v="0"/>
    <s v="May 2024"/>
    <n v="22"/>
    <s v="Repeat"/>
    <x v="0"/>
    <x v="505"/>
  </r>
  <r>
    <x v="74"/>
    <x v="504"/>
    <x v="0"/>
    <x v="179"/>
    <n v="37.72"/>
    <x v="0"/>
    <s v="May 2024"/>
    <n v="22"/>
    <s v="Repeat"/>
    <x v="0"/>
    <x v="506"/>
  </r>
  <r>
    <x v="75"/>
    <x v="505"/>
    <x v="0"/>
    <x v="180"/>
    <n v="37.72"/>
    <x v="7"/>
    <s v="May 2024"/>
    <n v="8"/>
    <s v="Repeat"/>
    <x v="0"/>
    <x v="507"/>
  </r>
  <r>
    <x v="75"/>
    <x v="506"/>
    <x v="0"/>
    <x v="180"/>
    <n v="37.72"/>
    <x v="7"/>
    <s v="May 2024"/>
    <n v="8"/>
    <s v="Repeat"/>
    <x v="0"/>
    <x v="508"/>
  </r>
  <r>
    <x v="75"/>
    <x v="507"/>
    <x v="0"/>
    <x v="181"/>
    <n v="32.82"/>
    <x v="3"/>
    <s v="May 2024"/>
    <n v="11"/>
    <s v="Repeat"/>
    <x v="0"/>
    <x v="509"/>
  </r>
  <r>
    <x v="75"/>
    <x v="508"/>
    <x v="0"/>
    <x v="172"/>
    <n v="32.82"/>
    <x v="3"/>
    <s v="May 2024"/>
    <n v="16"/>
    <s v="Repeat"/>
    <x v="0"/>
    <x v="510"/>
  </r>
  <r>
    <x v="75"/>
    <x v="509"/>
    <x v="0"/>
    <x v="97"/>
    <n v="32.82"/>
    <x v="3"/>
    <s v="May 2024"/>
    <n v="16"/>
    <s v="Repeat"/>
    <x v="0"/>
    <x v="511"/>
  </r>
  <r>
    <x v="75"/>
    <x v="510"/>
    <x v="0"/>
    <x v="40"/>
    <n v="32.82"/>
    <x v="3"/>
    <s v="May 2024"/>
    <n v="19"/>
    <s v="Repeat"/>
    <x v="0"/>
    <x v="512"/>
  </r>
  <r>
    <x v="75"/>
    <x v="511"/>
    <x v="0"/>
    <x v="8"/>
    <n v="37.72"/>
    <x v="0"/>
    <s v="May 2024"/>
    <n v="20"/>
    <s v="Repeat"/>
    <x v="0"/>
    <x v="513"/>
  </r>
  <r>
    <x v="75"/>
    <x v="512"/>
    <x v="1"/>
    <x v="10"/>
    <n v="39"/>
    <x v="7"/>
    <s v="May 2024"/>
    <n v="22"/>
    <s v="Repeat"/>
    <x v="2"/>
    <x v="514"/>
  </r>
  <r>
    <x v="76"/>
    <x v="513"/>
    <x v="0"/>
    <x v="182"/>
    <n v="27.92"/>
    <x v="2"/>
    <s v="May 2024"/>
    <n v="7"/>
    <s v="Repeat"/>
    <x v="0"/>
    <x v="515"/>
  </r>
  <r>
    <x v="76"/>
    <x v="514"/>
    <x v="0"/>
    <x v="182"/>
    <n v="27.92"/>
    <x v="2"/>
    <s v="May 2024"/>
    <n v="7"/>
    <s v="Repeat"/>
    <x v="0"/>
    <x v="516"/>
  </r>
  <r>
    <x v="76"/>
    <x v="515"/>
    <x v="0"/>
    <x v="183"/>
    <n v="37.72"/>
    <x v="7"/>
    <s v="May 2024"/>
    <n v="8"/>
    <s v="Single"/>
    <x v="1"/>
    <x v="517"/>
  </r>
  <r>
    <x v="76"/>
    <x v="516"/>
    <x v="1"/>
    <x v="10"/>
    <n v="24"/>
    <x v="6"/>
    <s v="May 2024"/>
    <n v="9"/>
    <s v="Repeat"/>
    <x v="2"/>
    <x v="518"/>
  </r>
  <r>
    <x v="76"/>
    <x v="65"/>
    <x v="0"/>
    <x v="184"/>
    <n v="32.82"/>
    <x v="3"/>
    <s v="May 2024"/>
    <n v="12"/>
    <s v="Single"/>
    <x v="1"/>
    <x v="519"/>
  </r>
  <r>
    <x v="76"/>
    <x v="517"/>
    <x v="0"/>
    <x v="12"/>
    <n v="27.92"/>
    <x v="2"/>
    <s v="May 2024"/>
    <n v="14"/>
    <s v="Repeat"/>
    <x v="0"/>
    <x v="520"/>
  </r>
  <r>
    <x v="76"/>
    <x v="518"/>
    <x v="0"/>
    <x v="185"/>
    <n v="32.82"/>
    <x v="3"/>
    <s v="May 2024"/>
    <n v="15"/>
    <s v="Single"/>
    <x v="1"/>
    <x v="521"/>
  </r>
  <r>
    <x v="76"/>
    <x v="519"/>
    <x v="0"/>
    <x v="186"/>
    <n v="32.82"/>
    <x v="3"/>
    <s v="May 2024"/>
    <n v="18"/>
    <s v="Repeat"/>
    <x v="0"/>
    <x v="522"/>
  </r>
  <r>
    <x v="76"/>
    <x v="520"/>
    <x v="0"/>
    <x v="186"/>
    <n v="23.02"/>
    <x v="6"/>
    <s v="May 2024"/>
    <n v="18"/>
    <s v="Repeat"/>
    <x v="0"/>
    <x v="523"/>
  </r>
  <r>
    <x v="76"/>
    <x v="521"/>
    <x v="0"/>
    <x v="186"/>
    <n v="37.72"/>
    <x v="1"/>
    <s v="May 2024"/>
    <n v="18"/>
    <s v="Repeat"/>
    <x v="0"/>
    <x v="524"/>
  </r>
  <r>
    <x v="76"/>
    <x v="522"/>
    <x v="0"/>
    <x v="187"/>
    <n v="37.72"/>
    <x v="7"/>
    <s v="May 2024"/>
    <n v="19"/>
    <s v="Single"/>
    <x v="1"/>
    <x v="525"/>
  </r>
  <r>
    <x v="76"/>
    <x v="523"/>
    <x v="0"/>
    <x v="188"/>
    <n v="37.72"/>
    <x v="7"/>
    <s v="May 2024"/>
    <n v="21"/>
    <s v="Single"/>
    <x v="1"/>
    <x v="526"/>
  </r>
  <r>
    <x v="76"/>
    <x v="524"/>
    <x v="0"/>
    <x v="189"/>
    <n v="37.72"/>
    <x v="7"/>
    <s v="May 2024"/>
    <n v="21"/>
    <s v="Single"/>
    <x v="1"/>
    <x v="527"/>
  </r>
  <r>
    <x v="77"/>
    <x v="525"/>
    <x v="0"/>
    <x v="190"/>
    <n v="32.82"/>
    <x v="3"/>
    <s v="May 2024"/>
    <n v="10"/>
    <s v="Single"/>
    <x v="1"/>
    <x v="528"/>
  </r>
  <r>
    <x v="77"/>
    <x v="526"/>
    <x v="0"/>
    <x v="191"/>
    <n v="37.72"/>
    <x v="0"/>
    <s v="May 2024"/>
    <n v="10"/>
    <s v="Repeat"/>
    <x v="0"/>
    <x v="529"/>
  </r>
  <r>
    <x v="77"/>
    <x v="527"/>
    <x v="0"/>
    <x v="0"/>
    <n v="37.72"/>
    <x v="0"/>
    <s v="May 2024"/>
    <n v="10"/>
    <s v="Repeat"/>
    <x v="0"/>
    <x v="530"/>
  </r>
  <r>
    <x v="77"/>
    <x v="528"/>
    <x v="0"/>
    <x v="143"/>
    <n v="27.92"/>
    <x v="2"/>
    <s v="May 2024"/>
    <n v="11"/>
    <s v="Repeat"/>
    <x v="0"/>
    <x v="531"/>
  </r>
  <r>
    <x v="77"/>
    <x v="529"/>
    <x v="0"/>
    <x v="143"/>
    <n v="27.92"/>
    <x v="2"/>
    <s v="May 2024"/>
    <n v="11"/>
    <s v="Repeat"/>
    <x v="0"/>
    <x v="532"/>
  </r>
  <r>
    <x v="77"/>
    <x v="530"/>
    <x v="0"/>
    <x v="2"/>
    <n v="27.92"/>
    <x v="2"/>
    <s v="May 2024"/>
    <n v="13"/>
    <s v="Repeat"/>
    <x v="0"/>
    <x v="533"/>
  </r>
  <r>
    <x v="77"/>
    <x v="531"/>
    <x v="0"/>
    <x v="2"/>
    <n v="27.92"/>
    <x v="2"/>
    <s v="May 2024"/>
    <n v="13"/>
    <s v="Repeat"/>
    <x v="0"/>
    <x v="534"/>
  </r>
  <r>
    <x v="77"/>
    <x v="532"/>
    <x v="0"/>
    <x v="192"/>
    <n v="32.82"/>
    <x v="3"/>
    <s v="May 2024"/>
    <n v="14"/>
    <s v="Repeat"/>
    <x v="0"/>
    <x v="535"/>
  </r>
  <r>
    <x v="77"/>
    <x v="533"/>
    <x v="0"/>
    <x v="192"/>
    <n v="37.72"/>
    <x v="7"/>
    <s v="May 2024"/>
    <n v="14"/>
    <s v="Repeat"/>
    <x v="0"/>
    <x v="536"/>
  </r>
  <r>
    <x v="77"/>
    <x v="534"/>
    <x v="1"/>
    <x v="10"/>
    <n v="29"/>
    <x v="2"/>
    <s v="May 2024"/>
    <n v="14"/>
    <s v="Repeat"/>
    <x v="2"/>
    <x v="537"/>
  </r>
  <r>
    <x v="77"/>
    <x v="535"/>
    <x v="0"/>
    <x v="120"/>
    <n v="37.72"/>
    <x v="0"/>
    <s v="May 2024"/>
    <n v="17"/>
    <s v="Repeat"/>
    <x v="0"/>
    <x v="538"/>
  </r>
  <r>
    <x v="77"/>
    <x v="536"/>
    <x v="0"/>
    <x v="193"/>
    <n v="37.72"/>
    <x v="0"/>
    <s v="May 2024"/>
    <n v="17"/>
    <s v="Single"/>
    <x v="1"/>
    <x v="539"/>
  </r>
  <r>
    <x v="77"/>
    <x v="537"/>
    <x v="0"/>
    <x v="194"/>
    <n v="32.82"/>
    <x v="3"/>
    <s v="May 2024"/>
    <n v="20"/>
    <s v="Repeat"/>
    <x v="0"/>
    <x v="540"/>
  </r>
  <r>
    <x v="77"/>
    <x v="538"/>
    <x v="0"/>
    <x v="194"/>
    <n v="37.72"/>
    <x v="4"/>
    <s v="May 2024"/>
    <n v="20"/>
    <s v="Repeat"/>
    <x v="0"/>
    <x v="541"/>
  </r>
  <r>
    <x v="77"/>
    <x v="539"/>
    <x v="0"/>
    <x v="195"/>
    <n v="27.92"/>
    <x v="5"/>
    <s v="May 2024"/>
    <n v="20"/>
    <s v="Repeat"/>
    <x v="0"/>
    <x v="542"/>
  </r>
  <r>
    <x v="77"/>
    <x v="540"/>
    <x v="0"/>
    <x v="12"/>
    <n v="32.82"/>
    <x v="3"/>
    <s v="May 2024"/>
    <n v="21"/>
    <s v="Repeat"/>
    <x v="0"/>
    <x v="543"/>
  </r>
  <r>
    <x v="77"/>
    <x v="541"/>
    <x v="0"/>
    <x v="12"/>
    <n v="32.82"/>
    <x v="3"/>
    <s v="May 2024"/>
    <n v="21"/>
    <s v="Repeat"/>
    <x v="0"/>
    <x v="544"/>
  </r>
  <r>
    <x v="78"/>
    <x v="542"/>
    <x v="0"/>
    <x v="196"/>
    <n v="37.72"/>
    <x v="0"/>
    <s v="May 2024"/>
    <n v="8"/>
    <s v="Single"/>
    <x v="1"/>
    <x v="545"/>
  </r>
  <r>
    <x v="78"/>
    <x v="543"/>
    <x v="1"/>
    <x v="10"/>
    <n v="29"/>
    <x v="2"/>
    <s v="May 2024"/>
    <n v="9"/>
    <s v="Repeat"/>
    <x v="2"/>
    <x v="546"/>
  </r>
  <r>
    <x v="78"/>
    <x v="544"/>
    <x v="1"/>
    <x v="10"/>
    <n v="34"/>
    <x v="3"/>
    <s v="May 2024"/>
    <n v="9"/>
    <s v="Repeat"/>
    <x v="2"/>
    <x v="547"/>
  </r>
  <r>
    <x v="78"/>
    <x v="545"/>
    <x v="1"/>
    <x v="10"/>
    <n v="39"/>
    <x v="4"/>
    <s v="May 2024"/>
    <n v="9"/>
    <s v="Repeat"/>
    <x v="2"/>
    <x v="548"/>
  </r>
  <r>
    <x v="78"/>
    <x v="546"/>
    <x v="1"/>
    <x v="10"/>
    <n v="39"/>
    <x v="0"/>
    <s v="May 2024"/>
    <n v="10"/>
    <s v="Repeat"/>
    <x v="2"/>
    <x v="549"/>
  </r>
  <r>
    <x v="78"/>
    <x v="547"/>
    <x v="0"/>
    <x v="197"/>
    <n v="37.72"/>
    <x v="0"/>
    <s v="May 2024"/>
    <n v="16"/>
    <s v="Repeat"/>
    <x v="0"/>
    <x v="550"/>
  </r>
  <r>
    <x v="78"/>
    <x v="548"/>
    <x v="0"/>
    <x v="12"/>
    <n v="23.02"/>
    <x v="6"/>
    <s v="May 2024"/>
    <n v="18"/>
    <s v="Repeat"/>
    <x v="0"/>
    <x v="551"/>
  </r>
  <r>
    <x v="78"/>
    <x v="549"/>
    <x v="0"/>
    <x v="198"/>
    <n v="37.72"/>
    <x v="7"/>
    <s v="May 2024"/>
    <n v="19"/>
    <s v="Single"/>
    <x v="1"/>
    <x v="552"/>
  </r>
  <r>
    <x v="78"/>
    <x v="550"/>
    <x v="0"/>
    <x v="199"/>
    <n v="37.72"/>
    <x v="7"/>
    <s v="May 2024"/>
    <n v="20"/>
    <s v="Single"/>
    <x v="1"/>
    <x v="553"/>
  </r>
  <r>
    <x v="79"/>
    <x v="551"/>
    <x v="0"/>
    <x v="200"/>
    <n v="37.72"/>
    <x v="7"/>
    <s v="May 2024"/>
    <n v="9"/>
    <s v="Single"/>
    <x v="1"/>
    <x v="554"/>
  </r>
  <r>
    <x v="79"/>
    <x v="552"/>
    <x v="0"/>
    <x v="191"/>
    <n v="32.82"/>
    <x v="3"/>
    <s v="May 2024"/>
    <n v="10"/>
    <s v="Repeat"/>
    <x v="0"/>
    <x v="555"/>
  </r>
  <r>
    <x v="79"/>
    <x v="553"/>
    <x v="0"/>
    <x v="141"/>
    <n v="27.92"/>
    <x v="5"/>
    <s v="May 2024"/>
    <n v="11"/>
    <s v="Repeat"/>
    <x v="0"/>
    <x v="556"/>
  </r>
  <r>
    <x v="79"/>
    <x v="554"/>
    <x v="0"/>
    <x v="97"/>
    <n v="32.82"/>
    <x v="3"/>
    <s v="May 2024"/>
    <n v="11"/>
    <s v="Repeat"/>
    <x v="0"/>
    <x v="557"/>
  </r>
  <r>
    <x v="79"/>
    <x v="555"/>
    <x v="0"/>
    <x v="12"/>
    <n v="27.92"/>
    <x v="2"/>
    <s v="May 2024"/>
    <n v="12"/>
    <s v="Repeat"/>
    <x v="0"/>
    <x v="558"/>
  </r>
  <r>
    <x v="79"/>
    <x v="556"/>
    <x v="0"/>
    <x v="12"/>
    <n v="27.92"/>
    <x v="2"/>
    <s v="May 2024"/>
    <n v="12"/>
    <s v="Repeat"/>
    <x v="0"/>
    <x v="559"/>
  </r>
  <r>
    <x v="79"/>
    <x v="557"/>
    <x v="0"/>
    <x v="8"/>
    <n v="32.82"/>
    <x v="3"/>
    <s v="May 2024"/>
    <n v="14"/>
    <s v="Repeat"/>
    <x v="0"/>
    <x v="560"/>
  </r>
  <r>
    <x v="79"/>
    <x v="558"/>
    <x v="0"/>
    <x v="134"/>
    <n v="37.72"/>
    <x v="7"/>
    <s v="May 2024"/>
    <n v="19"/>
    <s v="Repeat"/>
    <x v="0"/>
    <x v="561"/>
  </r>
  <r>
    <x v="79"/>
    <x v="559"/>
    <x v="0"/>
    <x v="134"/>
    <n v="37.72"/>
    <x v="7"/>
    <s v="May 2024"/>
    <n v="19"/>
    <s v="Repeat"/>
    <x v="0"/>
    <x v="562"/>
  </r>
  <r>
    <x v="79"/>
    <x v="560"/>
    <x v="0"/>
    <x v="180"/>
    <n v="37.72"/>
    <x v="1"/>
    <s v="May 2024"/>
    <n v="21"/>
    <s v="Repeat"/>
    <x v="0"/>
    <x v="563"/>
  </r>
  <r>
    <x v="79"/>
    <x v="561"/>
    <x v="0"/>
    <x v="180"/>
    <n v="37.72"/>
    <x v="7"/>
    <s v="May 2024"/>
    <n v="21"/>
    <s v="Repeat"/>
    <x v="0"/>
    <x v="564"/>
  </r>
  <r>
    <x v="80"/>
    <x v="562"/>
    <x v="0"/>
    <x v="201"/>
    <n v="37.72"/>
    <x v="7"/>
    <s v="May 2024"/>
    <n v="10"/>
    <s v="Single"/>
    <x v="1"/>
    <x v="565"/>
  </r>
  <r>
    <x v="80"/>
    <x v="563"/>
    <x v="0"/>
    <x v="202"/>
    <n v="23.02"/>
    <x v="6"/>
    <s v="May 2024"/>
    <n v="12"/>
    <s v="Single"/>
    <x v="1"/>
    <x v="566"/>
  </r>
  <r>
    <x v="80"/>
    <x v="564"/>
    <x v="0"/>
    <x v="180"/>
    <n v="37.72"/>
    <x v="7"/>
    <s v="May 2024"/>
    <n v="15"/>
    <s v="Repeat"/>
    <x v="0"/>
    <x v="567"/>
  </r>
  <r>
    <x v="80"/>
    <x v="565"/>
    <x v="0"/>
    <x v="203"/>
    <n v="37.72"/>
    <x v="7"/>
    <s v="May 2024"/>
    <n v="15"/>
    <s v="Repeat"/>
    <x v="0"/>
    <x v="568"/>
  </r>
  <r>
    <x v="80"/>
    <x v="566"/>
    <x v="0"/>
    <x v="180"/>
    <n v="37.72"/>
    <x v="7"/>
    <s v="May 2024"/>
    <n v="16"/>
    <s v="Repeat"/>
    <x v="0"/>
    <x v="569"/>
  </r>
  <r>
    <x v="80"/>
    <x v="567"/>
    <x v="0"/>
    <x v="77"/>
    <n v="37.72"/>
    <x v="0"/>
    <s v="May 2024"/>
    <n v="16"/>
    <s v="Repeat"/>
    <x v="0"/>
    <x v="570"/>
  </r>
  <r>
    <x v="80"/>
    <x v="568"/>
    <x v="0"/>
    <x v="153"/>
    <n v="37.72"/>
    <x v="7"/>
    <s v="May 2024"/>
    <n v="17"/>
    <s v="Repeat"/>
    <x v="0"/>
    <x v="571"/>
  </r>
  <r>
    <x v="80"/>
    <x v="569"/>
    <x v="0"/>
    <x v="153"/>
    <n v="37.72"/>
    <x v="0"/>
    <s v="May 2024"/>
    <n v="17"/>
    <s v="Repeat"/>
    <x v="0"/>
    <x v="572"/>
  </r>
  <r>
    <x v="80"/>
    <x v="570"/>
    <x v="0"/>
    <x v="204"/>
    <n v="27.92"/>
    <x v="5"/>
    <s v="May 2024"/>
    <n v="19"/>
    <s v="Single"/>
    <x v="1"/>
    <x v="573"/>
  </r>
  <r>
    <x v="80"/>
    <x v="571"/>
    <x v="0"/>
    <x v="134"/>
    <n v="37.72"/>
    <x v="7"/>
    <s v="May 2024"/>
    <n v="19"/>
    <s v="Repeat"/>
    <x v="0"/>
    <x v="574"/>
  </r>
  <r>
    <x v="80"/>
    <x v="572"/>
    <x v="0"/>
    <x v="205"/>
    <n v="37.72"/>
    <x v="7"/>
    <s v="May 2024"/>
    <n v="19"/>
    <s v="Repeat"/>
    <x v="0"/>
    <x v="575"/>
  </r>
  <r>
    <x v="80"/>
    <x v="573"/>
    <x v="0"/>
    <x v="206"/>
    <n v="37.72"/>
    <x v="7"/>
    <s v="May 2024"/>
    <n v="19"/>
    <s v="Repeat"/>
    <x v="0"/>
    <x v="576"/>
  </r>
  <r>
    <x v="80"/>
    <x v="574"/>
    <x v="0"/>
    <x v="207"/>
    <n v="37.72"/>
    <x v="7"/>
    <s v="May 2024"/>
    <n v="20"/>
    <s v="Repeat"/>
    <x v="0"/>
    <x v="577"/>
  </r>
  <r>
    <x v="80"/>
    <x v="575"/>
    <x v="0"/>
    <x v="207"/>
    <n v="37.72"/>
    <x v="0"/>
    <s v="May 2024"/>
    <n v="20"/>
    <s v="Repeat"/>
    <x v="0"/>
    <x v="578"/>
  </r>
  <r>
    <x v="80"/>
    <x v="576"/>
    <x v="0"/>
    <x v="208"/>
    <n v="32.82"/>
    <x v="3"/>
    <s v="May 2024"/>
    <n v="22"/>
    <s v="Single"/>
    <x v="1"/>
    <x v="579"/>
  </r>
  <r>
    <x v="80"/>
    <x v="577"/>
    <x v="1"/>
    <x v="10"/>
    <n v="39"/>
    <x v="1"/>
    <s v="May 2024"/>
    <n v="22"/>
    <s v="Repeat"/>
    <x v="2"/>
    <x v="580"/>
  </r>
  <r>
    <x v="81"/>
    <x v="578"/>
    <x v="0"/>
    <x v="141"/>
    <n v="27.92"/>
    <x v="5"/>
    <s v="May 2024"/>
    <n v="11"/>
    <s v="Repeat"/>
    <x v="0"/>
    <x v="581"/>
  </r>
  <r>
    <x v="81"/>
    <x v="579"/>
    <x v="0"/>
    <x v="12"/>
    <n v="27.92"/>
    <x v="2"/>
    <s v="May 2024"/>
    <n v="11"/>
    <s v="Repeat"/>
    <x v="0"/>
    <x v="582"/>
  </r>
  <r>
    <x v="81"/>
    <x v="580"/>
    <x v="0"/>
    <x v="12"/>
    <n v="27.92"/>
    <x v="2"/>
    <s v="May 2024"/>
    <n v="11"/>
    <s v="Repeat"/>
    <x v="0"/>
    <x v="583"/>
  </r>
  <r>
    <x v="81"/>
    <x v="581"/>
    <x v="0"/>
    <x v="81"/>
    <n v="37.72"/>
    <x v="1"/>
    <s v="May 2024"/>
    <n v="16"/>
    <s v="Repeat"/>
    <x v="0"/>
    <x v="584"/>
  </r>
  <r>
    <x v="81"/>
    <x v="582"/>
    <x v="0"/>
    <x v="209"/>
    <n v="27.92"/>
    <x v="5"/>
    <s v="May 2024"/>
    <n v="18"/>
    <s v="Repeat"/>
    <x v="0"/>
    <x v="585"/>
  </r>
  <r>
    <x v="81"/>
    <x v="583"/>
    <x v="0"/>
    <x v="209"/>
    <n v="27.92"/>
    <x v="5"/>
    <s v="May 2024"/>
    <n v="18"/>
    <s v="Repeat"/>
    <x v="0"/>
    <x v="586"/>
  </r>
  <r>
    <x v="81"/>
    <x v="584"/>
    <x v="0"/>
    <x v="210"/>
    <n v="32.82"/>
    <x v="3"/>
    <s v="May 2024"/>
    <n v="22"/>
    <s v="Single"/>
    <x v="1"/>
    <x v="587"/>
  </r>
  <r>
    <x v="82"/>
    <x v="585"/>
    <x v="1"/>
    <x v="10"/>
    <n v="29"/>
    <x v="2"/>
    <s v="May 2024"/>
    <n v="7"/>
    <s v="Repeat"/>
    <x v="2"/>
    <x v="588"/>
  </r>
  <r>
    <x v="82"/>
    <x v="586"/>
    <x v="0"/>
    <x v="211"/>
    <n v="37.72"/>
    <x v="0"/>
    <s v="May 2024"/>
    <n v="12"/>
    <s v="Single"/>
    <x v="1"/>
    <x v="589"/>
  </r>
  <r>
    <x v="82"/>
    <x v="587"/>
    <x v="1"/>
    <x v="10"/>
    <n v="29"/>
    <x v="2"/>
    <s v="May 2024"/>
    <n v="12"/>
    <s v="Repeat"/>
    <x v="2"/>
    <x v="590"/>
  </r>
  <r>
    <x v="82"/>
    <x v="588"/>
    <x v="0"/>
    <x v="212"/>
    <n v="32.82"/>
    <x v="3"/>
    <s v="May 2024"/>
    <n v="12"/>
    <s v="Repeat"/>
    <x v="0"/>
    <x v="591"/>
  </r>
  <r>
    <x v="82"/>
    <x v="589"/>
    <x v="0"/>
    <x v="212"/>
    <n v="32.82"/>
    <x v="3"/>
    <s v="May 2024"/>
    <n v="12"/>
    <s v="Repeat"/>
    <x v="0"/>
    <x v="592"/>
  </r>
  <r>
    <x v="82"/>
    <x v="590"/>
    <x v="0"/>
    <x v="213"/>
    <n v="32.82"/>
    <x v="3"/>
    <s v="May 2024"/>
    <n v="12"/>
    <s v="Single"/>
    <x v="1"/>
    <x v="593"/>
  </r>
  <r>
    <x v="82"/>
    <x v="103"/>
    <x v="0"/>
    <x v="40"/>
    <n v="32.82"/>
    <x v="3"/>
    <s v="May 2024"/>
    <n v="16"/>
    <s v="Repeat"/>
    <x v="0"/>
    <x v="594"/>
  </r>
  <r>
    <x v="82"/>
    <x v="591"/>
    <x v="0"/>
    <x v="40"/>
    <n v="27.92"/>
    <x v="2"/>
    <s v="May 2024"/>
    <n v="16"/>
    <s v="Repeat"/>
    <x v="0"/>
    <x v="595"/>
  </r>
  <r>
    <x v="83"/>
    <x v="592"/>
    <x v="0"/>
    <x v="0"/>
    <n v="37.72"/>
    <x v="0"/>
    <s v="May 2024"/>
    <n v="10"/>
    <s v="Repeat"/>
    <x v="0"/>
    <x v="596"/>
  </r>
  <r>
    <x v="83"/>
    <x v="593"/>
    <x v="0"/>
    <x v="214"/>
    <n v="32.82"/>
    <x v="3"/>
    <s v="May 2024"/>
    <n v="14"/>
    <s v="Single"/>
    <x v="1"/>
    <x v="597"/>
  </r>
  <r>
    <x v="83"/>
    <x v="594"/>
    <x v="0"/>
    <x v="215"/>
    <n v="27.92"/>
    <x v="5"/>
    <s v="May 2024"/>
    <n v="14"/>
    <s v="Single"/>
    <x v="1"/>
    <x v="598"/>
  </r>
  <r>
    <x v="83"/>
    <x v="595"/>
    <x v="0"/>
    <x v="216"/>
    <n v="32.82"/>
    <x v="3"/>
    <s v="May 2024"/>
    <n v="14"/>
    <s v="Single"/>
    <x v="1"/>
    <x v="599"/>
  </r>
  <r>
    <x v="83"/>
    <x v="596"/>
    <x v="0"/>
    <x v="217"/>
    <n v="37.72"/>
    <x v="7"/>
    <s v="May 2024"/>
    <n v="17"/>
    <s v="Single"/>
    <x v="1"/>
    <x v="600"/>
  </r>
  <r>
    <x v="83"/>
    <x v="597"/>
    <x v="0"/>
    <x v="218"/>
    <n v="37.72"/>
    <x v="1"/>
    <s v="May 2024"/>
    <n v="18"/>
    <s v="Repeat"/>
    <x v="0"/>
    <x v="601"/>
  </r>
  <r>
    <x v="83"/>
    <x v="598"/>
    <x v="0"/>
    <x v="218"/>
    <n v="37.72"/>
    <x v="1"/>
    <s v="May 2024"/>
    <n v="18"/>
    <s v="Repeat"/>
    <x v="0"/>
    <x v="602"/>
  </r>
  <r>
    <x v="83"/>
    <x v="599"/>
    <x v="0"/>
    <x v="218"/>
    <n v="27.92"/>
    <x v="2"/>
    <s v="May 2024"/>
    <n v="18"/>
    <s v="Repeat"/>
    <x v="0"/>
    <x v="603"/>
  </r>
  <r>
    <x v="83"/>
    <x v="600"/>
    <x v="0"/>
    <x v="219"/>
    <n v="37.72"/>
    <x v="0"/>
    <s v="May 2024"/>
    <n v="18"/>
    <s v="Single"/>
    <x v="1"/>
    <x v="604"/>
  </r>
  <r>
    <x v="83"/>
    <x v="601"/>
    <x v="0"/>
    <x v="220"/>
    <n v="37.72"/>
    <x v="1"/>
    <s v="May 2024"/>
    <n v="20"/>
    <s v="Repeat"/>
    <x v="0"/>
    <x v="605"/>
  </r>
  <r>
    <x v="83"/>
    <x v="602"/>
    <x v="0"/>
    <x v="220"/>
    <n v="37.72"/>
    <x v="7"/>
    <s v="May 2024"/>
    <n v="21"/>
    <s v="Repeat"/>
    <x v="0"/>
    <x v="606"/>
  </r>
  <r>
    <x v="83"/>
    <x v="603"/>
    <x v="0"/>
    <x v="221"/>
    <n v="27.92"/>
    <x v="5"/>
    <s v="May 2024"/>
    <n v="21"/>
    <s v="Repeat"/>
    <x v="0"/>
    <x v="607"/>
  </r>
  <r>
    <x v="83"/>
    <x v="604"/>
    <x v="0"/>
    <x v="222"/>
    <n v="37.72"/>
    <x v="7"/>
    <s v="May 2024"/>
    <n v="21"/>
    <s v="Single"/>
    <x v="1"/>
    <x v="608"/>
  </r>
  <r>
    <x v="83"/>
    <x v="605"/>
    <x v="0"/>
    <x v="221"/>
    <n v="37.72"/>
    <x v="0"/>
    <s v="May 2024"/>
    <n v="21"/>
    <s v="Repeat"/>
    <x v="0"/>
    <x v="609"/>
  </r>
  <r>
    <x v="83"/>
    <x v="606"/>
    <x v="0"/>
    <x v="223"/>
    <n v="37.72"/>
    <x v="7"/>
    <s v="May 2024"/>
    <n v="21"/>
    <s v="Single"/>
    <x v="1"/>
    <x v="610"/>
  </r>
  <r>
    <x v="84"/>
    <x v="607"/>
    <x v="0"/>
    <x v="12"/>
    <n v="27.92"/>
    <x v="2"/>
    <s v="May 2024"/>
    <n v="11"/>
    <s v="Repeat"/>
    <x v="0"/>
    <x v="611"/>
  </r>
  <r>
    <x v="84"/>
    <x v="608"/>
    <x v="0"/>
    <x v="224"/>
    <n v="32.82"/>
    <x v="3"/>
    <s v="May 2024"/>
    <n v="14"/>
    <s v="Repeat"/>
    <x v="0"/>
    <x v="612"/>
  </r>
  <r>
    <x v="84"/>
    <x v="609"/>
    <x v="0"/>
    <x v="224"/>
    <n v="37.72"/>
    <x v="4"/>
    <s v="May 2024"/>
    <n v="14"/>
    <s v="Repeat"/>
    <x v="0"/>
    <x v="613"/>
  </r>
  <r>
    <x v="84"/>
    <x v="610"/>
    <x v="0"/>
    <x v="225"/>
    <n v="27.92"/>
    <x v="2"/>
    <s v="May 2024"/>
    <n v="15"/>
    <s v="Repeat"/>
    <x v="0"/>
    <x v="614"/>
  </r>
  <r>
    <x v="84"/>
    <x v="611"/>
    <x v="0"/>
    <x v="225"/>
    <n v="27.92"/>
    <x v="2"/>
    <s v="May 2024"/>
    <n v="15"/>
    <s v="Repeat"/>
    <x v="0"/>
    <x v="615"/>
  </r>
  <r>
    <x v="84"/>
    <x v="612"/>
    <x v="0"/>
    <x v="203"/>
    <n v="37.72"/>
    <x v="0"/>
    <s v="May 2024"/>
    <n v="17"/>
    <s v="Repeat"/>
    <x v="0"/>
    <x v="616"/>
  </r>
  <r>
    <x v="84"/>
    <x v="613"/>
    <x v="0"/>
    <x v="226"/>
    <n v="27.92"/>
    <x v="2"/>
    <s v="May 2024"/>
    <n v="18"/>
    <s v="Single"/>
    <x v="1"/>
    <x v="617"/>
  </r>
  <r>
    <x v="84"/>
    <x v="614"/>
    <x v="0"/>
    <x v="227"/>
    <n v="37.72"/>
    <x v="0"/>
    <s v="May 2024"/>
    <n v="19"/>
    <s v="Single"/>
    <x v="1"/>
    <x v="618"/>
  </r>
  <r>
    <x v="84"/>
    <x v="615"/>
    <x v="0"/>
    <x v="228"/>
    <n v="37.72"/>
    <x v="0"/>
    <s v="May 2024"/>
    <n v="19"/>
    <s v="Repeat"/>
    <x v="0"/>
    <x v="619"/>
  </r>
  <r>
    <x v="84"/>
    <x v="616"/>
    <x v="0"/>
    <x v="192"/>
    <n v="32.82"/>
    <x v="3"/>
    <s v="May 2024"/>
    <n v="21"/>
    <s v="Repeat"/>
    <x v="0"/>
    <x v="620"/>
  </r>
  <r>
    <x v="84"/>
    <x v="617"/>
    <x v="0"/>
    <x v="206"/>
    <n v="37.72"/>
    <x v="7"/>
    <s v="May 2024"/>
    <n v="21"/>
    <s v="Repeat"/>
    <x v="0"/>
    <x v="621"/>
  </r>
  <r>
    <x v="85"/>
    <x v="618"/>
    <x v="0"/>
    <x v="12"/>
    <n v="32.82"/>
    <x v="3"/>
    <s v="May 2024"/>
    <n v="8"/>
    <s v="Repeat"/>
    <x v="0"/>
    <x v="622"/>
  </r>
  <r>
    <x v="85"/>
    <x v="619"/>
    <x v="0"/>
    <x v="97"/>
    <n v="32.82"/>
    <x v="3"/>
    <s v="May 2024"/>
    <n v="9"/>
    <s v="Repeat"/>
    <x v="0"/>
    <x v="623"/>
  </r>
  <r>
    <x v="85"/>
    <x v="620"/>
    <x v="0"/>
    <x v="229"/>
    <n v="37.72"/>
    <x v="7"/>
    <s v="May 2024"/>
    <n v="11"/>
    <s v="Single"/>
    <x v="1"/>
    <x v="624"/>
  </r>
  <r>
    <x v="85"/>
    <x v="621"/>
    <x v="0"/>
    <x v="230"/>
    <n v="37.72"/>
    <x v="7"/>
    <s v="May 2024"/>
    <n v="13"/>
    <s v="Single"/>
    <x v="1"/>
    <x v="625"/>
  </r>
  <r>
    <x v="85"/>
    <x v="622"/>
    <x v="0"/>
    <x v="194"/>
    <n v="37.72"/>
    <x v="4"/>
    <s v="May 2024"/>
    <n v="14"/>
    <s v="Repeat"/>
    <x v="0"/>
    <x v="626"/>
  </r>
  <r>
    <x v="85"/>
    <x v="623"/>
    <x v="0"/>
    <x v="141"/>
    <n v="27.92"/>
    <x v="5"/>
    <s v="May 2024"/>
    <n v="16"/>
    <s v="Repeat"/>
    <x v="0"/>
    <x v="627"/>
  </r>
  <r>
    <x v="85"/>
    <x v="624"/>
    <x v="1"/>
    <x v="10"/>
    <n v="39"/>
    <x v="7"/>
    <s v="May 2024"/>
    <n v="17"/>
    <s v="Repeat"/>
    <x v="2"/>
    <x v="628"/>
  </r>
  <r>
    <x v="85"/>
    <x v="625"/>
    <x v="0"/>
    <x v="231"/>
    <n v="27.92"/>
    <x v="2"/>
    <s v="May 2024"/>
    <n v="19"/>
    <s v="Repeat"/>
    <x v="0"/>
    <x v="629"/>
  </r>
  <r>
    <x v="85"/>
    <x v="626"/>
    <x v="0"/>
    <x v="231"/>
    <n v="37.72"/>
    <x v="0"/>
    <s v="May 2024"/>
    <n v="19"/>
    <s v="Repeat"/>
    <x v="0"/>
    <x v="630"/>
  </r>
  <r>
    <x v="85"/>
    <x v="627"/>
    <x v="0"/>
    <x v="8"/>
    <n v="32.82"/>
    <x v="3"/>
    <s v="May 2024"/>
    <n v="20"/>
    <s v="Repeat"/>
    <x v="0"/>
    <x v="631"/>
  </r>
  <r>
    <x v="85"/>
    <x v="628"/>
    <x v="0"/>
    <x v="12"/>
    <n v="27.92"/>
    <x v="2"/>
    <s v="May 2024"/>
    <n v="20"/>
    <s v="Repeat"/>
    <x v="0"/>
    <x v="632"/>
  </r>
  <r>
    <x v="86"/>
    <x v="629"/>
    <x v="0"/>
    <x v="232"/>
    <n v="37.72"/>
    <x v="0"/>
    <s v="May 2024"/>
    <n v="9"/>
    <s v="Repeat"/>
    <x v="0"/>
    <x v="633"/>
  </r>
  <r>
    <x v="86"/>
    <x v="630"/>
    <x v="1"/>
    <x v="10"/>
    <n v="39"/>
    <x v="0"/>
    <s v="May 2024"/>
    <n v="10"/>
    <s v="Repeat"/>
    <x v="2"/>
    <x v="634"/>
  </r>
  <r>
    <x v="86"/>
    <x v="631"/>
    <x v="0"/>
    <x v="233"/>
    <n v="37.72"/>
    <x v="1"/>
    <s v="May 2024"/>
    <n v="11"/>
    <s v="Single"/>
    <x v="1"/>
    <x v="635"/>
  </r>
  <r>
    <x v="86"/>
    <x v="632"/>
    <x v="0"/>
    <x v="234"/>
    <n v="27.92"/>
    <x v="2"/>
    <s v="May 2024"/>
    <n v="15"/>
    <s v="Single"/>
    <x v="1"/>
    <x v="636"/>
  </r>
  <r>
    <x v="86"/>
    <x v="633"/>
    <x v="0"/>
    <x v="235"/>
    <n v="37.72"/>
    <x v="0"/>
    <s v="May 2024"/>
    <n v="15"/>
    <s v="Single"/>
    <x v="1"/>
    <x v="637"/>
  </r>
  <r>
    <x v="86"/>
    <x v="634"/>
    <x v="0"/>
    <x v="236"/>
    <n v="37.72"/>
    <x v="7"/>
    <s v="May 2024"/>
    <n v="15"/>
    <s v="Single"/>
    <x v="1"/>
    <x v="638"/>
  </r>
  <r>
    <x v="86"/>
    <x v="635"/>
    <x v="0"/>
    <x v="237"/>
    <n v="37.72"/>
    <x v="0"/>
    <s v="May 2024"/>
    <n v="16"/>
    <s v="Single"/>
    <x v="1"/>
    <x v="639"/>
  </r>
  <r>
    <x v="86"/>
    <x v="636"/>
    <x v="0"/>
    <x v="238"/>
    <n v="27.92"/>
    <x v="5"/>
    <s v="May 2024"/>
    <n v="18"/>
    <s v="Repeat"/>
    <x v="0"/>
    <x v="640"/>
  </r>
  <r>
    <x v="86"/>
    <x v="265"/>
    <x v="0"/>
    <x v="238"/>
    <n v="37.72"/>
    <x v="0"/>
    <s v="May 2024"/>
    <n v="18"/>
    <s v="Repeat"/>
    <x v="0"/>
    <x v="641"/>
  </r>
  <r>
    <x v="86"/>
    <x v="637"/>
    <x v="0"/>
    <x v="239"/>
    <n v="37.72"/>
    <x v="1"/>
    <s v="May 2024"/>
    <n v="20"/>
    <s v="Single"/>
    <x v="1"/>
    <x v="642"/>
  </r>
  <r>
    <x v="86"/>
    <x v="638"/>
    <x v="0"/>
    <x v="240"/>
    <n v="37.72"/>
    <x v="4"/>
    <s v="May 2024"/>
    <n v="20"/>
    <s v="Single"/>
    <x v="1"/>
    <x v="643"/>
  </r>
  <r>
    <x v="87"/>
    <x v="639"/>
    <x v="0"/>
    <x v="241"/>
    <n v="37.72"/>
    <x v="7"/>
    <s v="May 2024"/>
    <n v="8"/>
    <s v="Repeat"/>
    <x v="0"/>
    <x v="644"/>
  </r>
  <r>
    <x v="87"/>
    <x v="640"/>
    <x v="0"/>
    <x v="241"/>
    <n v="37.72"/>
    <x v="0"/>
    <s v="May 2024"/>
    <n v="8"/>
    <s v="Repeat"/>
    <x v="0"/>
    <x v="645"/>
  </r>
  <r>
    <x v="87"/>
    <x v="641"/>
    <x v="0"/>
    <x v="242"/>
    <n v="32.82"/>
    <x v="3"/>
    <s v="May 2024"/>
    <n v="8"/>
    <s v="Repeat"/>
    <x v="0"/>
    <x v="646"/>
  </r>
  <r>
    <x v="87"/>
    <x v="642"/>
    <x v="0"/>
    <x v="0"/>
    <n v="37.72"/>
    <x v="0"/>
    <s v="May 2024"/>
    <n v="9"/>
    <s v="Repeat"/>
    <x v="0"/>
    <x v="647"/>
  </r>
  <r>
    <x v="87"/>
    <x v="643"/>
    <x v="0"/>
    <x v="97"/>
    <n v="32.82"/>
    <x v="3"/>
    <s v="May 2024"/>
    <n v="14"/>
    <s v="Repeat"/>
    <x v="0"/>
    <x v="648"/>
  </r>
  <r>
    <x v="87"/>
    <x v="644"/>
    <x v="0"/>
    <x v="243"/>
    <n v="23.02"/>
    <x v="6"/>
    <s v="May 2024"/>
    <n v="15"/>
    <s v="Single"/>
    <x v="1"/>
    <x v="649"/>
  </r>
  <r>
    <x v="87"/>
    <x v="645"/>
    <x v="0"/>
    <x v="12"/>
    <n v="23.02"/>
    <x v="6"/>
    <s v="May 2024"/>
    <n v="15"/>
    <s v="Repeat"/>
    <x v="0"/>
    <x v="650"/>
  </r>
  <r>
    <x v="87"/>
    <x v="646"/>
    <x v="0"/>
    <x v="206"/>
    <n v="37.72"/>
    <x v="7"/>
    <s v="May 2024"/>
    <n v="19"/>
    <s v="Repeat"/>
    <x v="0"/>
    <x v="651"/>
  </r>
  <r>
    <x v="87"/>
    <x v="647"/>
    <x v="0"/>
    <x v="244"/>
    <n v="37.72"/>
    <x v="0"/>
    <s v="May 2024"/>
    <n v="20"/>
    <s v="Single"/>
    <x v="1"/>
    <x v="652"/>
  </r>
  <r>
    <x v="87"/>
    <x v="648"/>
    <x v="0"/>
    <x v="8"/>
    <n v="37.72"/>
    <x v="1"/>
    <s v="May 2024"/>
    <n v="20"/>
    <s v="Repeat"/>
    <x v="0"/>
    <x v="653"/>
  </r>
  <r>
    <x v="87"/>
    <x v="649"/>
    <x v="0"/>
    <x v="8"/>
    <n v="32.82"/>
    <x v="3"/>
    <s v="May 2024"/>
    <n v="20"/>
    <s v="Repeat"/>
    <x v="0"/>
    <x v="654"/>
  </r>
  <r>
    <x v="88"/>
    <x v="650"/>
    <x v="0"/>
    <x v="245"/>
    <n v="32.82"/>
    <x v="3"/>
    <s v="May 2024"/>
    <n v="7"/>
    <s v="Single"/>
    <x v="1"/>
    <x v="655"/>
  </r>
  <r>
    <x v="88"/>
    <x v="651"/>
    <x v="0"/>
    <x v="246"/>
    <n v="37.72"/>
    <x v="0"/>
    <s v="May 2024"/>
    <n v="9"/>
    <s v="Single"/>
    <x v="1"/>
    <x v="656"/>
  </r>
  <r>
    <x v="88"/>
    <x v="652"/>
    <x v="1"/>
    <x v="10"/>
    <n v="39"/>
    <x v="0"/>
    <s v="May 2024"/>
    <n v="9"/>
    <s v="Repeat"/>
    <x v="2"/>
    <x v="657"/>
  </r>
  <r>
    <x v="88"/>
    <x v="653"/>
    <x v="0"/>
    <x v="247"/>
    <n v="37.72"/>
    <x v="1"/>
    <s v="May 2024"/>
    <n v="10"/>
    <s v="Single"/>
    <x v="1"/>
    <x v="658"/>
  </r>
  <r>
    <x v="88"/>
    <x v="654"/>
    <x v="0"/>
    <x v="248"/>
    <n v="37.72"/>
    <x v="4"/>
    <s v="May 2024"/>
    <n v="10"/>
    <s v="Single"/>
    <x v="1"/>
    <x v="659"/>
  </r>
  <r>
    <x v="88"/>
    <x v="655"/>
    <x v="0"/>
    <x v="249"/>
    <n v="32.82"/>
    <x v="3"/>
    <s v="May 2024"/>
    <n v="14"/>
    <s v="Single"/>
    <x v="1"/>
    <x v="660"/>
  </r>
  <r>
    <x v="88"/>
    <x v="656"/>
    <x v="0"/>
    <x v="250"/>
    <n v="37.72"/>
    <x v="0"/>
    <s v="May 2024"/>
    <n v="18"/>
    <s v="Repeat"/>
    <x v="0"/>
    <x v="661"/>
  </r>
  <r>
    <x v="88"/>
    <x v="657"/>
    <x v="0"/>
    <x v="250"/>
    <n v="37.72"/>
    <x v="0"/>
    <s v="May 2024"/>
    <n v="18"/>
    <s v="Repeat"/>
    <x v="0"/>
    <x v="662"/>
  </r>
  <r>
    <x v="88"/>
    <x v="658"/>
    <x v="0"/>
    <x v="180"/>
    <n v="37.72"/>
    <x v="7"/>
    <s v="May 2024"/>
    <n v="20"/>
    <s v="Repeat"/>
    <x v="0"/>
    <x v="663"/>
  </r>
  <r>
    <x v="88"/>
    <x v="659"/>
    <x v="0"/>
    <x v="134"/>
    <n v="32.82"/>
    <x v="3"/>
    <s v="May 2024"/>
    <n v="20"/>
    <s v="Repeat"/>
    <x v="0"/>
    <x v="664"/>
  </r>
  <r>
    <x v="88"/>
    <x v="660"/>
    <x v="0"/>
    <x v="134"/>
    <n v="37.72"/>
    <x v="0"/>
    <s v="May 2024"/>
    <n v="20"/>
    <s v="Repeat"/>
    <x v="0"/>
    <x v="665"/>
  </r>
  <r>
    <x v="88"/>
    <x v="661"/>
    <x v="0"/>
    <x v="206"/>
    <n v="37.72"/>
    <x v="7"/>
    <s v="May 2024"/>
    <n v="22"/>
    <s v="Repeat"/>
    <x v="0"/>
    <x v="666"/>
  </r>
  <r>
    <x v="88"/>
    <x v="662"/>
    <x v="0"/>
    <x v="206"/>
    <n v="32.82"/>
    <x v="3"/>
    <s v="May 2024"/>
    <n v="22"/>
    <s v="Repeat"/>
    <x v="0"/>
    <x v="667"/>
  </r>
  <r>
    <x v="88"/>
    <x v="663"/>
    <x v="0"/>
    <x v="206"/>
    <n v="27.92"/>
    <x v="5"/>
    <s v="May 2024"/>
    <n v="22"/>
    <s v="Repeat"/>
    <x v="0"/>
    <x v="668"/>
  </r>
  <r>
    <x v="89"/>
    <x v="664"/>
    <x v="0"/>
    <x v="141"/>
    <n v="27.92"/>
    <x v="5"/>
    <s v="Jun 2024"/>
    <n v="8"/>
    <s v="Repeat"/>
    <x v="0"/>
    <x v="669"/>
  </r>
  <r>
    <x v="89"/>
    <x v="665"/>
    <x v="0"/>
    <x v="232"/>
    <n v="37.72"/>
    <x v="0"/>
    <s v="Jun 2024"/>
    <n v="9"/>
    <s v="Repeat"/>
    <x v="0"/>
    <x v="670"/>
  </r>
  <r>
    <x v="89"/>
    <x v="666"/>
    <x v="0"/>
    <x v="250"/>
    <n v="37.72"/>
    <x v="0"/>
    <s v="Jun 2024"/>
    <n v="11"/>
    <s v="Repeat"/>
    <x v="0"/>
    <x v="671"/>
  </r>
  <r>
    <x v="89"/>
    <x v="667"/>
    <x v="0"/>
    <x v="97"/>
    <n v="32.82"/>
    <x v="3"/>
    <s v="Jun 2024"/>
    <n v="14"/>
    <s v="Repeat"/>
    <x v="0"/>
    <x v="672"/>
  </r>
  <r>
    <x v="89"/>
    <x v="668"/>
    <x v="0"/>
    <x v="251"/>
    <n v="32.82"/>
    <x v="3"/>
    <s v="Jun 2024"/>
    <n v="18"/>
    <s v="Repeat"/>
    <x v="0"/>
    <x v="673"/>
  </r>
  <r>
    <x v="89"/>
    <x v="669"/>
    <x v="0"/>
    <x v="251"/>
    <n v="32.82"/>
    <x v="3"/>
    <s v="Jun 2024"/>
    <n v="18"/>
    <s v="Repeat"/>
    <x v="0"/>
    <x v="674"/>
  </r>
  <r>
    <x v="89"/>
    <x v="670"/>
    <x v="0"/>
    <x v="154"/>
    <n v="37.72"/>
    <x v="7"/>
    <s v="Jun 2024"/>
    <n v="20"/>
    <s v="Repeat"/>
    <x v="0"/>
    <x v="675"/>
  </r>
  <r>
    <x v="89"/>
    <x v="671"/>
    <x v="0"/>
    <x v="154"/>
    <n v="37.72"/>
    <x v="7"/>
    <s v="Jun 2024"/>
    <n v="20"/>
    <s v="Repeat"/>
    <x v="0"/>
    <x v="676"/>
  </r>
  <r>
    <x v="89"/>
    <x v="672"/>
    <x v="1"/>
    <x v="10"/>
    <n v="39"/>
    <x v="4"/>
    <s v="Jun 2024"/>
    <n v="20"/>
    <s v="Repeat"/>
    <x v="2"/>
    <x v="677"/>
  </r>
  <r>
    <x v="89"/>
    <x v="673"/>
    <x v="0"/>
    <x v="252"/>
    <n v="37.72"/>
    <x v="4"/>
    <s v="Jun 2024"/>
    <n v="20"/>
    <s v="Single"/>
    <x v="1"/>
    <x v="678"/>
  </r>
  <r>
    <x v="89"/>
    <x v="674"/>
    <x v="0"/>
    <x v="8"/>
    <n v="32.82"/>
    <x v="3"/>
    <s v="Jun 2024"/>
    <n v="21"/>
    <s v="Repeat"/>
    <x v="0"/>
    <x v="679"/>
  </r>
  <r>
    <x v="90"/>
    <x v="675"/>
    <x v="0"/>
    <x v="8"/>
    <n v="37.72"/>
    <x v="0"/>
    <s v="Jun 2024"/>
    <n v="20"/>
    <s v="Repeat"/>
    <x v="0"/>
    <x v="680"/>
  </r>
  <r>
    <x v="90"/>
    <x v="676"/>
    <x v="0"/>
    <x v="40"/>
    <n v="32.82"/>
    <x v="3"/>
    <s v="Jun 2024"/>
    <n v="20"/>
    <s v="Repeat"/>
    <x v="0"/>
    <x v="681"/>
  </r>
  <r>
    <x v="90"/>
    <x v="677"/>
    <x v="0"/>
    <x v="40"/>
    <n v="37.72"/>
    <x v="7"/>
    <s v="Jun 2024"/>
    <n v="20"/>
    <s v="Repeat"/>
    <x v="0"/>
    <x v="682"/>
  </r>
  <r>
    <x v="90"/>
    <x v="678"/>
    <x v="0"/>
    <x v="97"/>
    <n v="32.82"/>
    <x v="3"/>
    <s v="Jun 2024"/>
    <n v="21"/>
    <s v="Repeat"/>
    <x v="0"/>
    <x v="683"/>
  </r>
  <r>
    <x v="90"/>
    <x v="679"/>
    <x v="0"/>
    <x v="253"/>
    <n v="37.72"/>
    <x v="0"/>
    <s v="Jun 2024"/>
    <n v="21"/>
    <s v="Single"/>
    <x v="1"/>
    <x v="684"/>
  </r>
  <r>
    <x v="90"/>
    <x v="680"/>
    <x v="1"/>
    <x v="10"/>
    <n v="34"/>
    <x v="3"/>
    <s v="Jun 2024"/>
    <n v="22"/>
    <s v="Repeat"/>
    <x v="2"/>
    <x v="685"/>
  </r>
  <r>
    <x v="91"/>
    <x v="681"/>
    <x v="0"/>
    <x v="0"/>
    <n v="37.72"/>
    <x v="0"/>
    <s v="Jun 2024"/>
    <n v="10"/>
    <s v="Repeat"/>
    <x v="0"/>
    <x v="686"/>
  </r>
  <r>
    <x v="91"/>
    <x v="682"/>
    <x v="0"/>
    <x v="191"/>
    <n v="37.72"/>
    <x v="0"/>
    <s v="Jun 2024"/>
    <n v="10"/>
    <s v="Repeat"/>
    <x v="0"/>
    <x v="687"/>
  </r>
  <r>
    <x v="91"/>
    <x v="683"/>
    <x v="0"/>
    <x v="25"/>
    <n v="37.72"/>
    <x v="7"/>
    <s v="Jun 2024"/>
    <n v="14"/>
    <s v="Repeat"/>
    <x v="0"/>
    <x v="688"/>
  </r>
  <r>
    <x v="91"/>
    <x v="684"/>
    <x v="0"/>
    <x v="24"/>
    <n v="32.82"/>
    <x v="3"/>
    <s v="Jun 2024"/>
    <n v="14"/>
    <s v="Repeat"/>
    <x v="0"/>
    <x v="689"/>
  </r>
  <r>
    <x v="91"/>
    <x v="685"/>
    <x v="0"/>
    <x v="8"/>
    <n v="37.72"/>
    <x v="0"/>
    <s v="Jun 2024"/>
    <n v="14"/>
    <s v="Repeat"/>
    <x v="0"/>
    <x v="690"/>
  </r>
  <r>
    <x v="91"/>
    <x v="686"/>
    <x v="1"/>
    <x v="10"/>
    <n v="34"/>
    <x v="3"/>
    <s v="Jun 2024"/>
    <n v="21"/>
    <s v="Repeat"/>
    <x v="2"/>
    <x v="691"/>
  </r>
  <r>
    <x v="91"/>
    <x v="687"/>
    <x v="1"/>
    <x v="10"/>
    <n v="34"/>
    <x v="3"/>
    <s v="Jun 2024"/>
    <n v="21"/>
    <s v="Repeat"/>
    <x v="2"/>
    <x v="692"/>
  </r>
  <r>
    <x v="92"/>
    <x v="688"/>
    <x v="0"/>
    <x v="141"/>
    <n v="27.92"/>
    <x v="5"/>
    <s v="Jun 2024"/>
    <n v="9"/>
    <s v="Repeat"/>
    <x v="0"/>
    <x v="693"/>
  </r>
  <r>
    <x v="92"/>
    <x v="689"/>
    <x v="0"/>
    <x v="97"/>
    <n v="32.82"/>
    <x v="3"/>
    <s v="Jun 2024"/>
    <n v="10"/>
    <s v="Repeat"/>
    <x v="0"/>
    <x v="694"/>
  </r>
  <r>
    <x v="92"/>
    <x v="690"/>
    <x v="0"/>
    <x v="254"/>
    <n v="37.72"/>
    <x v="0"/>
    <s v="Jun 2024"/>
    <n v="12"/>
    <s v="Repeat"/>
    <x v="0"/>
    <x v="695"/>
  </r>
  <r>
    <x v="92"/>
    <x v="691"/>
    <x v="0"/>
    <x v="254"/>
    <n v="37.72"/>
    <x v="1"/>
    <s v="Jun 2024"/>
    <n v="12"/>
    <s v="Repeat"/>
    <x v="0"/>
    <x v="696"/>
  </r>
  <r>
    <x v="92"/>
    <x v="692"/>
    <x v="0"/>
    <x v="255"/>
    <n v="37.72"/>
    <x v="0"/>
    <s v="Jun 2024"/>
    <n v="15"/>
    <s v="Repeat"/>
    <x v="0"/>
    <x v="697"/>
  </r>
  <r>
    <x v="92"/>
    <x v="693"/>
    <x v="0"/>
    <x v="192"/>
    <n v="27.92"/>
    <x v="5"/>
    <s v="Jun 2024"/>
    <n v="17"/>
    <s v="Repeat"/>
    <x v="0"/>
    <x v="698"/>
  </r>
  <r>
    <x v="92"/>
    <x v="694"/>
    <x v="0"/>
    <x v="192"/>
    <n v="37.72"/>
    <x v="7"/>
    <s v="Jun 2024"/>
    <n v="17"/>
    <s v="Repeat"/>
    <x v="0"/>
    <x v="699"/>
  </r>
  <r>
    <x v="92"/>
    <x v="695"/>
    <x v="0"/>
    <x v="256"/>
    <n v="37.72"/>
    <x v="1"/>
    <s v="Jun 2024"/>
    <n v="20"/>
    <s v="Repeat"/>
    <x v="0"/>
    <x v="700"/>
  </r>
  <r>
    <x v="92"/>
    <x v="696"/>
    <x v="0"/>
    <x v="257"/>
    <n v="37.72"/>
    <x v="7"/>
    <s v="Jun 2024"/>
    <n v="20"/>
    <s v="Repeat"/>
    <x v="0"/>
    <x v="701"/>
  </r>
  <r>
    <x v="92"/>
    <x v="697"/>
    <x v="0"/>
    <x v="258"/>
    <n v="27.92"/>
    <x v="5"/>
    <s v="Jun 2024"/>
    <n v="21"/>
    <s v="Repeat"/>
    <x v="0"/>
    <x v="702"/>
  </r>
  <r>
    <x v="92"/>
    <x v="698"/>
    <x v="0"/>
    <x v="259"/>
    <n v="32.82"/>
    <x v="3"/>
    <s v="Jun 2024"/>
    <n v="21"/>
    <s v="Single"/>
    <x v="1"/>
    <x v="703"/>
  </r>
  <r>
    <x v="92"/>
    <x v="699"/>
    <x v="0"/>
    <x v="260"/>
    <n v="32.82"/>
    <x v="3"/>
    <s v="Jun 2024"/>
    <n v="21"/>
    <s v="Repeat"/>
    <x v="0"/>
    <x v="704"/>
  </r>
  <r>
    <x v="92"/>
    <x v="700"/>
    <x v="0"/>
    <x v="260"/>
    <n v="32.82"/>
    <x v="3"/>
    <s v="Jun 2024"/>
    <n v="21"/>
    <s v="Repeat"/>
    <x v="0"/>
    <x v="705"/>
  </r>
  <r>
    <x v="92"/>
    <x v="701"/>
    <x v="0"/>
    <x v="260"/>
    <n v="32.82"/>
    <x v="3"/>
    <s v="Jun 2024"/>
    <n v="21"/>
    <s v="Repeat"/>
    <x v="0"/>
    <x v="706"/>
  </r>
  <r>
    <x v="93"/>
    <x v="702"/>
    <x v="0"/>
    <x v="261"/>
    <n v="37.72"/>
    <x v="7"/>
    <s v="Jun 2024"/>
    <n v="8"/>
    <s v="Repeat"/>
    <x v="0"/>
    <x v="707"/>
  </r>
  <r>
    <x v="93"/>
    <x v="703"/>
    <x v="0"/>
    <x v="261"/>
    <n v="37.72"/>
    <x v="7"/>
    <s v="Jun 2024"/>
    <n v="8"/>
    <s v="Repeat"/>
    <x v="0"/>
    <x v="708"/>
  </r>
  <r>
    <x v="93"/>
    <x v="704"/>
    <x v="0"/>
    <x v="262"/>
    <n v="27.92"/>
    <x v="2"/>
    <s v="Jun 2024"/>
    <n v="9"/>
    <s v="Single"/>
    <x v="1"/>
    <x v="709"/>
  </r>
  <r>
    <x v="93"/>
    <x v="705"/>
    <x v="0"/>
    <x v="0"/>
    <n v="37.72"/>
    <x v="0"/>
    <s v="Jun 2024"/>
    <n v="10"/>
    <s v="Repeat"/>
    <x v="0"/>
    <x v="710"/>
  </r>
  <r>
    <x v="93"/>
    <x v="706"/>
    <x v="0"/>
    <x v="97"/>
    <n v="32.82"/>
    <x v="3"/>
    <s v="Jun 2024"/>
    <n v="10"/>
    <s v="Repeat"/>
    <x v="0"/>
    <x v="711"/>
  </r>
  <r>
    <x v="93"/>
    <x v="707"/>
    <x v="0"/>
    <x v="263"/>
    <n v="32.82"/>
    <x v="3"/>
    <s v="Jun 2024"/>
    <n v="19"/>
    <s v="Single"/>
    <x v="1"/>
    <x v="712"/>
  </r>
  <r>
    <x v="93"/>
    <x v="708"/>
    <x v="0"/>
    <x v="264"/>
    <n v="37.72"/>
    <x v="0"/>
    <s v="Jun 2024"/>
    <n v="19"/>
    <s v="Single"/>
    <x v="1"/>
    <x v="713"/>
  </r>
  <r>
    <x v="93"/>
    <x v="709"/>
    <x v="0"/>
    <x v="220"/>
    <n v="37.72"/>
    <x v="4"/>
    <s v="Jun 2024"/>
    <n v="20"/>
    <s v="Repeat"/>
    <x v="0"/>
    <x v="714"/>
  </r>
  <r>
    <x v="93"/>
    <x v="710"/>
    <x v="0"/>
    <x v="220"/>
    <n v="27.92"/>
    <x v="5"/>
    <s v="Jun 2024"/>
    <n v="20"/>
    <s v="Repeat"/>
    <x v="0"/>
    <x v="715"/>
  </r>
  <r>
    <x v="94"/>
    <x v="711"/>
    <x v="0"/>
    <x v="97"/>
    <n v="32.82"/>
    <x v="3"/>
    <s v="Jun 2024"/>
    <n v="8"/>
    <s v="Repeat"/>
    <x v="0"/>
    <x v="716"/>
  </r>
  <r>
    <x v="94"/>
    <x v="712"/>
    <x v="0"/>
    <x v="97"/>
    <n v="32.82"/>
    <x v="3"/>
    <s v="Jun 2024"/>
    <n v="8"/>
    <s v="Repeat"/>
    <x v="0"/>
    <x v="717"/>
  </r>
  <r>
    <x v="94"/>
    <x v="713"/>
    <x v="0"/>
    <x v="0"/>
    <n v="37.72"/>
    <x v="0"/>
    <s v="Jun 2024"/>
    <n v="10"/>
    <s v="Repeat"/>
    <x v="0"/>
    <x v="718"/>
  </r>
  <r>
    <x v="94"/>
    <x v="714"/>
    <x v="0"/>
    <x v="265"/>
    <n v="27.92"/>
    <x v="2"/>
    <s v="Jun 2024"/>
    <n v="12"/>
    <s v="Repeat"/>
    <x v="0"/>
    <x v="719"/>
  </r>
  <r>
    <x v="94"/>
    <x v="715"/>
    <x v="0"/>
    <x v="224"/>
    <n v="32.82"/>
    <x v="3"/>
    <s v="Jun 2024"/>
    <n v="15"/>
    <s v="Repeat"/>
    <x v="0"/>
    <x v="720"/>
  </r>
  <r>
    <x v="94"/>
    <x v="716"/>
    <x v="0"/>
    <x v="266"/>
    <n v="37.72"/>
    <x v="7"/>
    <s v="Jun 2024"/>
    <n v="15"/>
    <s v="Single"/>
    <x v="1"/>
    <x v="721"/>
  </r>
  <r>
    <x v="94"/>
    <x v="717"/>
    <x v="0"/>
    <x v="267"/>
    <n v="37.72"/>
    <x v="0"/>
    <s v="Jun 2024"/>
    <n v="21"/>
    <s v="Repeat"/>
    <x v="0"/>
    <x v="722"/>
  </r>
  <r>
    <x v="94"/>
    <x v="718"/>
    <x v="0"/>
    <x v="267"/>
    <n v="37.72"/>
    <x v="0"/>
    <s v="Jun 2024"/>
    <n v="21"/>
    <s v="Repeat"/>
    <x v="0"/>
    <x v="723"/>
  </r>
  <r>
    <x v="94"/>
    <x v="719"/>
    <x v="0"/>
    <x v="206"/>
    <n v="37.72"/>
    <x v="7"/>
    <s v="Jun 2024"/>
    <n v="21"/>
    <s v="Repeat"/>
    <x v="0"/>
    <x v="724"/>
  </r>
  <r>
    <x v="94"/>
    <x v="720"/>
    <x v="0"/>
    <x v="206"/>
    <n v="32.82"/>
    <x v="3"/>
    <s v="Jun 2024"/>
    <n v="21"/>
    <s v="Repeat"/>
    <x v="0"/>
    <x v="725"/>
  </r>
  <r>
    <x v="94"/>
    <x v="721"/>
    <x v="0"/>
    <x v="267"/>
    <n v="37.72"/>
    <x v="0"/>
    <s v="Jun 2024"/>
    <n v="21"/>
    <s v="Repeat"/>
    <x v="0"/>
    <x v="726"/>
  </r>
  <r>
    <x v="95"/>
    <x v="722"/>
    <x v="0"/>
    <x v="268"/>
    <n v="37.72"/>
    <x v="7"/>
    <s v="Jun 2024"/>
    <n v="8"/>
    <s v="Repeat"/>
    <x v="0"/>
    <x v="727"/>
  </r>
  <r>
    <x v="95"/>
    <x v="723"/>
    <x v="0"/>
    <x v="269"/>
    <n v="23.02"/>
    <x v="6"/>
    <s v="Jun 2024"/>
    <n v="10"/>
    <s v="Single"/>
    <x v="1"/>
    <x v="728"/>
  </r>
  <r>
    <x v="95"/>
    <x v="724"/>
    <x v="0"/>
    <x v="164"/>
    <n v="32.82"/>
    <x v="3"/>
    <s v="Jun 2024"/>
    <n v="13"/>
    <s v="Repeat"/>
    <x v="0"/>
    <x v="729"/>
  </r>
  <r>
    <x v="95"/>
    <x v="725"/>
    <x v="0"/>
    <x v="270"/>
    <n v="27.92"/>
    <x v="5"/>
    <s v="Jun 2024"/>
    <n v="16"/>
    <s v="Repeat"/>
    <x v="0"/>
    <x v="730"/>
  </r>
  <r>
    <x v="95"/>
    <x v="726"/>
    <x v="0"/>
    <x v="270"/>
    <n v="27.92"/>
    <x v="5"/>
    <s v="Jun 2024"/>
    <n v="16"/>
    <s v="Repeat"/>
    <x v="0"/>
    <x v="731"/>
  </r>
  <r>
    <x v="96"/>
    <x v="727"/>
    <x v="0"/>
    <x v="271"/>
    <n v="27.92"/>
    <x v="5"/>
    <s v="Jun 2024"/>
    <n v="9"/>
    <s v="Single"/>
    <x v="1"/>
    <x v="732"/>
  </r>
  <r>
    <x v="96"/>
    <x v="728"/>
    <x v="0"/>
    <x v="97"/>
    <n v="32.82"/>
    <x v="3"/>
    <s v="Jun 2024"/>
    <n v="9"/>
    <s v="Repeat"/>
    <x v="0"/>
    <x v="733"/>
  </r>
  <r>
    <x v="96"/>
    <x v="729"/>
    <x v="0"/>
    <x v="134"/>
    <n v="37.72"/>
    <x v="7"/>
    <s v="Jun 2024"/>
    <n v="20"/>
    <s v="Repeat"/>
    <x v="0"/>
    <x v="734"/>
  </r>
  <r>
    <x v="96"/>
    <x v="730"/>
    <x v="0"/>
    <x v="134"/>
    <n v="37.72"/>
    <x v="7"/>
    <s v="Jun 2024"/>
    <n v="20"/>
    <s v="Repeat"/>
    <x v="0"/>
    <x v="735"/>
  </r>
  <r>
    <x v="97"/>
    <x v="731"/>
    <x v="0"/>
    <x v="97"/>
    <n v="37.72"/>
    <x v="0"/>
    <s v="Jun 2024"/>
    <n v="8"/>
    <s v="Repeat"/>
    <x v="0"/>
    <x v="736"/>
  </r>
  <r>
    <x v="97"/>
    <x v="732"/>
    <x v="0"/>
    <x v="272"/>
    <n v="37.72"/>
    <x v="0"/>
    <s v="Jun 2024"/>
    <n v="10"/>
    <s v="Single"/>
    <x v="1"/>
    <x v="737"/>
  </r>
  <r>
    <x v="97"/>
    <x v="733"/>
    <x v="0"/>
    <x v="273"/>
    <n v="37.72"/>
    <x v="7"/>
    <s v="Jun 2024"/>
    <n v="10"/>
    <s v="Single"/>
    <x v="1"/>
    <x v="738"/>
  </r>
  <r>
    <x v="97"/>
    <x v="734"/>
    <x v="0"/>
    <x v="141"/>
    <n v="27.92"/>
    <x v="5"/>
    <s v="Jun 2024"/>
    <n v="11"/>
    <s v="Repeat"/>
    <x v="0"/>
    <x v="739"/>
  </r>
  <r>
    <x v="97"/>
    <x v="735"/>
    <x v="0"/>
    <x v="274"/>
    <n v="23.02"/>
    <x v="6"/>
    <s v="Jun 2024"/>
    <n v="11"/>
    <s v="Repeat"/>
    <x v="0"/>
    <x v="740"/>
  </r>
  <r>
    <x v="97"/>
    <x v="736"/>
    <x v="0"/>
    <x v="275"/>
    <n v="37.72"/>
    <x v="7"/>
    <s v="Jun 2024"/>
    <n v="11"/>
    <s v="Single"/>
    <x v="1"/>
    <x v="741"/>
  </r>
  <r>
    <x v="97"/>
    <x v="737"/>
    <x v="0"/>
    <x v="276"/>
    <n v="32.82"/>
    <x v="3"/>
    <s v="Jun 2024"/>
    <n v="12"/>
    <s v="Repeat"/>
    <x v="0"/>
    <x v="742"/>
  </r>
  <r>
    <x v="97"/>
    <x v="738"/>
    <x v="0"/>
    <x v="276"/>
    <n v="37.72"/>
    <x v="0"/>
    <s v="Jun 2024"/>
    <n v="12"/>
    <s v="Repeat"/>
    <x v="0"/>
    <x v="743"/>
  </r>
  <r>
    <x v="97"/>
    <x v="739"/>
    <x v="0"/>
    <x v="276"/>
    <n v="37.72"/>
    <x v="0"/>
    <s v="Jun 2024"/>
    <n v="12"/>
    <s v="Repeat"/>
    <x v="0"/>
    <x v="744"/>
  </r>
  <r>
    <x v="97"/>
    <x v="740"/>
    <x v="0"/>
    <x v="277"/>
    <n v="27.92"/>
    <x v="5"/>
    <s v="Jun 2024"/>
    <n v="15"/>
    <s v="Repeat"/>
    <x v="0"/>
    <x v="745"/>
  </r>
  <r>
    <x v="97"/>
    <x v="741"/>
    <x v="0"/>
    <x v="278"/>
    <n v="37.72"/>
    <x v="7"/>
    <s v="Jun 2024"/>
    <n v="16"/>
    <s v="Single"/>
    <x v="1"/>
    <x v="746"/>
  </r>
  <r>
    <x v="97"/>
    <x v="742"/>
    <x v="0"/>
    <x v="279"/>
    <n v="32.82"/>
    <x v="3"/>
    <s v="Jun 2024"/>
    <n v="19"/>
    <s v="Single"/>
    <x v="1"/>
    <x v="747"/>
  </r>
  <r>
    <x v="97"/>
    <x v="743"/>
    <x v="0"/>
    <x v="280"/>
    <n v="27.92"/>
    <x v="2"/>
    <s v="Jun 2024"/>
    <n v="21"/>
    <s v="Single"/>
    <x v="1"/>
    <x v="748"/>
  </r>
  <r>
    <x v="98"/>
    <x v="744"/>
    <x v="0"/>
    <x v="281"/>
    <n v="37.72"/>
    <x v="7"/>
    <s v="Jun 2024"/>
    <n v="12"/>
    <s v="Single"/>
    <x v="1"/>
    <x v="749"/>
  </r>
  <r>
    <x v="98"/>
    <x v="745"/>
    <x v="0"/>
    <x v="97"/>
    <n v="37.72"/>
    <x v="0"/>
    <s v="Jun 2024"/>
    <n v="12"/>
    <s v="Repeat"/>
    <x v="0"/>
    <x v="750"/>
  </r>
  <r>
    <x v="98"/>
    <x v="746"/>
    <x v="0"/>
    <x v="282"/>
    <n v="37.72"/>
    <x v="1"/>
    <s v="Jun 2024"/>
    <n v="19"/>
    <s v="Repeat"/>
    <x v="0"/>
    <x v="751"/>
  </r>
  <r>
    <x v="98"/>
    <x v="747"/>
    <x v="0"/>
    <x v="282"/>
    <n v="37.72"/>
    <x v="1"/>
    <s v="Jun 2024"/>
    <n v="19"/>
    <s v="Repeat"/>
    <x v="0"/>
    <x v="752"/>
  </r>
  <r>
    <x v="98"/>
    <x v="748"/>
    <x v="0"/>
    <x v="283"/>
    <n v="37.72"/>
    <x v="0"/>
    <s v="Jun 2024"/>
    <n v="19"/>
    <s v="Repeat"/>
    <x v="0"/>
    <x v="753"/>
  </r>
  <r>
    <x v="98"/>
    <x v="749"/>
    <x v="0"/>
    <x v="283"/>
    <n v="37.72"/>
    <x v="0"/>
    <s v="Jun 2024"/>
    <n v="19"/>
    <s v="Repeat"/>
    <x v="0"/>
    <x v="754"/>
  </r>
  <r>
    <x v="99"/>
    <x v="750"/>
    <x v="0"/>
    <x v="284"/>
    <n v="32.82"/>
    <x v="3"/>
    <s v="Jun 2024"/>
    <n v="10"/>
    <s v="Single"/>
    <x v="1"/>
    <x v="755"/>
  </r>
  <r>
    <x v="99"/>
    <x v="751"/>
    <x v="0"/>
    <x v="285"/>
    <n v="37.72"/>
    <x v="0"/>
    <s v="Jun 2024"/>
    <n v="18"/>
    <s v="Repeat"/>
    <x v="0"/>
    <x v="756"/>
  </r>
  <r>
    <x v="99"/>
    <x v="752"/>
    <x v="0"/>
    <x v="285"/>
    <n v="37.72"/>
    <x v="0"/>
    <s v="Jun 2024"/>
    <n v="18"/>
    <s v="Repeat"/>
    <x v="0"/>
    <x v="757"/>
  </r>
  <r>
    <x v="99"/>
    <x v="753"/>
    <x v="0"/>
    <x v="286"/>
    <n v="37.72"/>
    <x v="1"/>
    <s v="Jun 2024"/>
    <n v="21"/>
    <s v="Single"/>
    <x v="1"/>
    <x v="758"/>
  </r>
  <r>
    <x v="99"/>
    <x v="754"/>
    <x v="0"/>
    <x v="287"/>
    <n v="32.82"/>
    <x v="3"/>
    <s v="Jun 2024"/>
    <n v="21"/>
    <s v="Repeat"/>
    <x v="0"/>
    <x v="759"/>
  </r>
  <r>
    <x v="99"/>
    <x v="755"/>
    <x v="0"/>
    <x v="287"/>
    <n v="32.82"/>
    <x v="3"/>
    <s v="Jun 2024"/>
    <n v="21"/>
    <s v="Repeat"/>
    <x v="0"/>
    <x v="760"/>
  </r>
  <r>
    <x v="100"/>
    <x v="756"/>
    <x v="0"/>
    <x v="288"/>
    <n v="37.72"/>
    <x v="1"/>
    <s v="Jun 2024"/>
    <n v="10"/>
    <s v="Single"/>
    <x v="1"/>
    <x v="761"/>
  </r>
  <r>
    <x v="100"/>
    <x v="757"/>
    <x v="0"/>
    <x v="289"/>
    <n v="37.72"/>
    <x v="7"/>
    <s v="Jun 2024"/>
    <n v="11"/>
    <s v="Single"/>
    <x v="1"/>
    <x v="762"/>
  </r>
  <r>
    <x v="100"/>
    <x v="758"/>
    <x v="0"/>
    <x v="283"/>
    <n v="37.72"/>
    <x v="0"/>
    <s v="Jun 2024"/>
    <n v="17"/>
    <s v="Repeat"/>
    <x v="0"/>
    <x v="763"/>
  </r>
  <r>
    <x v="100"/>
    <x v="759"/>
    <x v="0"/>
    <x v="290"/>
    <n v="37.72"/>
    <x v="0"/>
    <s v="Jun 2024"/>
    <n v="17"/>
    <s v="Single"/>
    <x v="1"/>
    <x v="764"/>
  </r>
  <r>
    <x v="100"/>
    <x v="760"/>
    <x v="0"/>
    <x v="256"/>
    <n v="37.72"/>
    <x v="1"/>
    <s v="Jun 2024"/>
    <n v="20"/>
    <s v="Repeat"/>
    <x v="0"/>
    <x v="765"/>
  </r>
  <r>
    <x v="100"/>
    <x v="761"/>
    <x v="0"/>
    <x v="291"/>
    <n v="32.82"/>
    <x v="3"/>
    <s v="Jun 2024"/>
    <n v="20"/>
    <s v="Single"/>
    <x v="1"/>
    <x v="766"/>
  </r>
  <r>
    <x v="101"/>
    <x v="762"/>
    <x v="0"/>
    <x v="292"/>
    <n v="27.92"/>
    <x v="2"/>
    <s v="Jun 2024"/>
    <n v="8"/>
    <s v="Single"/>
    <x v="1"/>
    <x v="767"/>
  </r>
  <r>
    <x v="101"/>
    <x v="763"/>
    <x v="0"/>
    <x v="97"/>
    <n v="37.72"/>
    <x v="0"/>
    <s v="Jun 2024"/>
    <n v="8"/>
    <s v="Repeat"/>
    <x v="0"/>
    <x v="768"/>
  </r>
  <r>
    <x v="101"/>
    <x v="764"/>
    <x v="0"/>
    <x v="293"/>
    <n v="32.82"/>
    <x v="3"/>
    <s v="Jun 2024"/>
    <n v="9"/>
    <s v="Single"/>
    <x v="1"/>
    <x v="769"/>
  </r>
  <r>
    <x v="101"/>
    <x v="765"/>
    <x v="0"/>
    <x v="141"/>
    <n v="27.92"/>
    <x v="5"/>
    <s v="Jun 2024"/>
    <n v="9"/>
    <s v="Repeat"/>
    <x v="0"/>
    <x v="770"/>
  </r>
  <r>
    <x v="101"/>
    <x v="766"/>
    <x v="0"/>
    <x v="294"/>
    <n v="32.82"/>
    <x v="3"/>
    <s v="Jun 2024"/>
    <n v="17"/>
    <s v="Single"/>
    <x v="1"/>
    <x v="771"/>
  </r>
  <r>
    <x v="101"/>
    <x v="767"/>
    <x v="0"/>
    <x v="295"/>
    <n v="37.72"/>
    <x v="1"/>
    <s v="Jun 2024"/>
    <n v="17"/>
    <s v="Repeat"/>
    <x v="0"/>
    <x v="772"/>
  </r>
  <r>
    <x v="101"/>
    <x v="768"/>
    <x v="0"/>
    <x v="296"/>
    <n v="37.72"/>
    <x v="0"/>
    <s v="Jun 2024"/>
    <n v="19"/>
    <s v="Single"/>
    <x v="1"/>
    <x v="773"/>
  </r>
  <r>
    <x v="101"/>
    <x v="769"/>
    <x v="0"/>
    <x v="12"/>
    <n v="32.82"/>
    <x v="3"/>
    <s v="Jun 2024"/>
    <n v="20"/>
    <s v="Repeat"/>
    <x v="0"/>
    <x v="774"/>
  </r>
  <r>
    <x v="101"/>
    <x v="770"/>
    <x v="0"/>
    <x v="12"/>
    <n v="23.02"/>
    <x v="6"/>
    <s v="Jun 2024"/>
    <n v="20"/>
    <s v="Repeat"/>
    <x v="0"/>
    <x v="775"/>
  </r>
  <r>
    <x v="101"/>
    <x v="771"/>
    <x v="0"/>
    <x v="295"/>
    <n v="23.02"/>
    <x v="6"/>
    <s v="Jun 2024"/>
    <n v="20"/>
    <s v="Repeat"/>
    <x v="0"/>
    <x v="776"/>
  </r>
  <r>
    <x v="101"/>
    <x v="772"/>
    <x v="0"/>
    <x v="8"/>
    <n v="32.82"/>
    <x v="3"/>
    <s v="Jun 2024"/>
    <n v="20"/>
    <s v="Repeat"/>
    <x v="0"/>
    <x v="777"/>
  </r>
  <r>
    <x v="101"/>
    <x v="773"/>
    <x v="0"/>
    <x v="8"/>
    <n v="32.82"/>
    <x v="3"/>
    <s v="Jun 2024"/>
    <n v="21"/>
    <s v="Repeat"/>
    <x v="0"/>
    <x v="778"/>
  </r>
  <r>
    <x v="102"/>
    <x v="774"/>
    <x v="0"/>
    <x v="141"/>
    <n v="27.92"/>
    <x v="5"/>
    <s v="Jun 2024"/>
    <n v="7"/>
    <s v="Repeat"/>
    <x v="0"/>
    <x v="779"/>
  </r>
  <r>
    <x v="102"/>
    <x v="775"/>
    <x v="0"/>
    <x v="297"/>
    <n v="27.92"/>
    <x v="2"/>
    <s v="Jun 2024"/>
    <n v="10"/>
    <s v="Single"/>
    <x v="1"/>
    <x v="780"/>
  </r>
  <r>
    <x v="102"/>
    <x v="776"/>
    <x v="0"/>
    <x v="97"/>
    <n v="37.72"/>
    <x v="0"/>
    <s v="Jun 2024"/>
    <n v="12"/>
    <s v="Repeat"/>
    <x v="0"/>
    <x v="781"/>
  </r>
  <r>
    <x v="102"/>
    <x v="777"/>
    <x v="0"/>
    <x v="298"/>
    <n v="32.82"/>
    <x v="3"/>
    <s v="Jun 2024"/>
    <n v="18"/>
    <s v="Single"/>
    <x v="1"/>
    <x v="782"/>
  </r>
  <r>
    <x v="103"/>
    <x v="778"/>
    <x v="0"/>
    <x v="299"/>
    <n v="37.72"/>
    <x v="7"/>
    <s v="Jun 2024"/>
    <n v="11"/>
    <s v="Repeat"/>
    <x v="0"/>
    <x v="783"/>
  </r>
  <r>
    <x v="103"/>
    <x v="779"/>
    <x v="0"/>
    <x v="300"/>
    <n v="37.72"/>
    <x v="0"/>
    <s v="Jun 2024"/>
    <n v="12"/>
    <s v="Repeat"/>
    <x v="0"/>
    <x v="784"/>
  </r>
  <r>
    <x v="103"/>
    <x v="780"/>
    <x v="0"/>
    <x v="300"/>
    <n v="32.82"/>
    <x v="3"/>
    <s v="Jun 2024"/>
    <n v="12"/>
    <s v="Repeat"/>
    <x v="0"/>
    <x v="785"/>
  </r>
  <r>
    <x v="103"/>
    <x v="781"/>
    <x v="0"/>
    <x v="300"/>
    <n v="23.02"/>
    <x v="6"/>
    <s v="Jun 2024"/>
    <n v="12"/>
    <s v="Repeat"/>
    <x v="0"/>
    <x v="786"/>
  </r>
  <r>
    <x v="103"/>
    <x v="782"/>
    <x v="0"/>
    <x v="300"/>
    <n v="37.72"/>
    <x v="4"/>
    <s v="Jun 2024"/>
    <n v="12"/>
    <s v="Repeat"/>
    <x v="0"/>
    <x v="787"/>
  </r>
  <r>
    <x v="103"/>
    <x v="783"/>
    <x v="0"/>
    <x v="300"/>
    <n v="32.82"/>
    <x v="3"/>
    <s v="Jun 2024"/>
    <n v="12"/>
    <s v="Repeat"/>
    <x v="0"/>
    <x v="788"/>
  </r>
  <r>
    <x v="103"/>
    <x v="784"/>
    <x v="0"/>
    <x v="301"/>
    <n v="32.82"/>
    <x v="3"/>
    <s v="Jun 2024"/>
    <n v="16"/>
    <s v="Single"/>
    <x v="1"/>
    <x v="789"/>
  </r>
  <r>
    <x v="103"/>
    <x v="785"/>
    <x v="0"/>
    <x v="302"/>
    <n v="27.92"/>
    <x v="2"/>
    <s v="Jun 2024"/>
    <n v="18"/>
    <s v="Repeat"/>
    <x v="0"/>
    <x v="790"/>
  </r>
  <r>
    <x v="104"/>
    <x v="786"/>
    <x v="0"/>
    <x v="59"/>
    <n v="32.82"/>
    <x v="3"/>
    <s v="Jun 2024"/>
    <n v="10"/>
    <s v="Repeat"/>
    <x v="0"/>
    <x v="791"/>
  </r>
  <r>
    <x v="104"/>
    <x v="787"/>
    <x v="0"/>
    <x v="303"/>
    <n v="37.72"/>
    <x v="0"/>
    <s v="Jun 2024"/>
    <n v="10"/>
    <s v="Repeat"/>
    <x v="0"/>
    <x v="792"/>
  </r>
  <r>
    <x v="104"/>
    <x v="788"/>
    <x v="0"/>
    <x v="303"/>
    <n v="37.72"/>
    <x v="1"/>
    <s v="Jun 2024"/>
    <n v="11"/>
    <s v="Repeat"/>
    <x v="0"/>
    <x v="793"/>
  </r>
  <r>
    <x v="104"/>
    <x v="789"/>
    <x v="0"/>
    <x v="303"/>
    <n v="37.72"/>
    <x v="1"/>
    <s v="Jun 2024"/>
    <n v="11"/>
    <s v="Repeat"/>
    <x v="0"/>
    <x v="794"/>
  </r>
  <r>
    <x v="104"/>
    <x v="790"/>
    <x v="0"/>
    <x v="276"/>
    <n v="32.82"/>
    <x v="3"/>
    <s v="Jun 2024"/>
    <n v="12"/>
    <s v="Repeat"/>
    <x v="0"/>
    <x v="795"/>
  </r>
  <r>
    <x v="104"/>
    <x v="791"/>
    <x v="0"/>
    <x v="274"/>
    <n v="23.02"/>
    <x v="6"/>
    <s v="Jun 2024"/>
    <n v="14"/>
    <s v="Repeat"/>
    <x v="0"/>
    <x v="796"/>
  </r>
  <r>
    <x v="104"/>
    <x v="792"/>
    <x v="0"/>
    <x v="304"/>
    <n v="32.82"/>
    <x v="3"/>
    <s v="Jun 2024"/>
    <n v="15"/>
    <s v="Repeat"/>
    <x v="0"/>
    <x v="797"/>
  </r>
  <r>
    <x v="104"/>
    <x v="793"/>
    <x v="0"/>
    <x v="304"/>
    <n v="32.82"/>
    <x v="3"/>
    <s v="Jun 2024"/>
    <n v="15"/>
    <s v="Repeat"/>
    <x v="0"/>
    <x v="798"/>
  </r>
  <r>
    <x v="104"/>
    <x v="794"/>
    <x v="0"/>
    <x v="305"/>
    <n v="37.72"/>
    <x v="1"/>
    <s v="Jun 2024"/>
    <n v="15"/>
    <s v="Single"/>
    <x v="1"/>
    <x v="799"/>
  </r>
  <r>
    <x v="104"/>
    <x v="795"/>
    <x v="0"/>
    <x v="306"/>
    <n v="37.72"/>
    <x v="1"/>
    <s v="Jun 2024"/>
    <n v="16"/>
    <s v="Single"/>
    <x v="1"/>
    <x v="800"/>
  </r>
  <r>
    <x v="104"/>
    <x v="796"/>
    <x v="0"/>
    <x v="59"/>
    <n v="32.82"/>
    <x v="3"/>
    <s v="Jun 2024"/>
    <n v="17"/>
    <s v="Repeat"/>
    <x v="0"/>
    <x v="801"/>
  </r>
  <r>
    <x v="104"/>
    <x v="797"/>
    <x v="0"/>
    <x v="59"/>
    <n v="32.82"/>
    <x v="3"/>
    <s v="Jun 2024"/>
    <n v="17"/>
    <s v="Repeat"/>
    <x v="0"/>
    <x v="802"/>
  </r>
  <r>
    <x v="105"/>
    <x v="798"/>
    <x v="0"/>
    <x v="307"/>
    <n v="27.92"/>
    <x v="2"/>
    <s v="Jun 2024"/>
    <n v="8"/>
    <s v="Single"/>
    <x v="1"/>
    <x v="803"/>
  </r>
  <r>
    <x v="105"/>
    <x v="799"/>
    <x v="0"/>
    <x v="308"/>
    <n v="27.92"/>
    <x v="5"/>
    <s v="Jun 2024"/>
    <n v="10"/>
    <s v="Repeat"/>
    <x v="0"/>
    <x v="804"/>
  </r>
  <r>
    <x v="105"/>
    <x v="800"/>
    <x v="0"/>
    <x v="308"/>
    <n v="27.92"/>
    <x v="5"/>
    <s v="Jun 2024"/>
    <n v="10"/>
    <s v="Repeat"/>
    <x v="0"/>
    <x v="805"/>
  </r>
  <r>
    <x v="105"/>
    <x v="801"/>
    <x v="0"/>
    <x v="42"/>
    <n v="37.72"/>
    <x v="7"/>
    <s v="Jun 2024"/>
    <n v="10"/>
    <s v="Repeat"/>
    <x v="0"/>
    <x v="806"/>
  </r>
  <r>
    <x v="105"/>
    <x v="802"/>
    <x v="0"/>
    <x v="164"/>
    <n v="37.72"/>
    <x v="7"/>
    <s v="Jun 2024"/>
    <n v="14"/>
    <s v="Repeat"/>
    <x v="0"/>
    <x v="807"/>
  </r>
  <r>
    <x v="105"/>
    <x v="803"/>
    <x v="0"/>
    <x v="12"/>
    <n v="37.72"/>
    <x v="7"/>
    <s v="Jun 2024"/>
    <n v="16"/>
    <s v="Repeat"/>
    <x v="0"/>
    <x v="808"/>
  </r>
  <r>
    <x v="105"/>
    <x v="804"/>
    <x v="0"/>
    <x v="12"/>
    <n v="37.72"/>
    <x v="7"/>
    <s v="Jun 2024"/>
    <n v="16"/>
    <s v="Repeat"/>
    <x v="0"/>
    <x v="809"/>
  </r>
  <r>
    <x v="105"/>
    <x v="805"/>
    <x v="0"/>
    <x v="12"/>
    <n v="27.92"/>
    <x v="2"/>
    <s v="Jun 2024"/>
    <n v="16"/>
    <s v="Repeat"/>
    <x v="0"/>
    <x v="810"/>
  </r>
  <r>
    <x v="105"/>
    <x v="806"/>
    <x v="0"/>
    <x v="309"/>
    <n v="27.92"/>
    <x v="2"/>
    <s v="Jun 2024"/>
    <n v="18"/>
    <s v="Single"/>
    <x v="1"/>
    <x v="811"/>
  </r>
  <r>
    <x v="105"/>
    <x v="807"/>
    <x v="0"/>
    <x v="8"/>
    <n v="32.82"/>
    <x v="3"/>
    <s v="Jun 2024"/>
    <n v="21"/>
    <s v="Repeat"/>
    <x v="0"/>
    <x v="812"/>
  </r>
  <r>
    <x v="106"/>
    <x v="808"/>
    <x v="0"/>
    <x v="299"/>
    <n v="27.92"/>
    <x v="2"/>
    <s v="Jun 2024"/>
    <n v="14"/>
    <s v="Repeat"/>
    <x v="0"/>
    <x v="813"/>
  </r>
  <r>
    <x v="106"/>
    <x v="809"/>
    <x v="0"/>
    <x v="299"/>
    <n v="37.72"/>
    <x v="7"/>
    <s v="Jun 2024"/>
    <n v="14"/>
    <s v="Repeat"/>
    <x v="0"/>
    <x v="814"/>
  </r>
  <r>
    <x v="106"/>
    <x v="810"/>
    <x v="0"/>
    <x v="154"/>
    <n v="37.72"/>
    <x v="7"/>
    <s v="Jun 2024"/>
    <n v="19"/>
    <s v="Repeat"/>
    <x v="0"/>
    <x v="815"/>
  </r>
  <r>
    <x v="106"/>
    <x v="811"/>
    <x v="0"/>
    <x v="154"/>
    <n v="37.72"/>
    <x v="7"/>
    <s v="Jun 2024"/>
    <n v="19"/>
    <s v="Repeat"/>
    <x v="0"/>
    <x v="816"/>
  </r>
  <r>
    <x v="106"/>
    <x v="812"/>
    <x v="0"/>
    <x v="310"/>
    <n v="27.92"/>
    <x v="5"/>
    <s v="Jun 2024"/>
    <n v="20"/>
    <s v="Single"/>
    <x v="1"/>
    <x v="817"/>
  </r>
  <r>
    <x v="106"/>
    <x v="813"/>
    <x v="0"/>
    <x v="12"/>
    <n v="32.82"/>
    <x v="3"/>
    <s v="Jun 2024"/>
    <n v="21"/>
    <s v="Repeat"/>
    <x v="0"/>
    <x v="818"/>
  </r>
  <r>
    <x v="106"/>
    <x v="814"/>
    <x v="0"/>
    <x v="12"/>
    <n v="32.82"/>
    <x v="3"/>
    <s v="Jun 2024"/>
    <n v="21"/>
    <s v="Repeat"/>
    <x v="0"/>
    <x v="819"/>
  </r>
  <r>
    <x v="107"/>
    <x v="815"/>
    <x v="0"/>
    <x v="311"/>
    <n v="37.72"/>
    <x v="0"/>
    <s v="Jun 2024"/>
    <n v="7"/>
    <s v="Repeat"/>
    <x v="0"/>
    <x v="820"/>
  </r>
  <r>
    <x v="107"/>
    <x v="816"/>
    <x v="0"/>
    <x v="141"/>
    <n v="27.92"/>
    <x v="5"/>
    <s v="Jun 2024"/>
    <n v="8"/>
    <s v="Repeat"/>
    <x v="0"/>
    <x v="821"/>
  </r>
  <r>
    <x v="107"/>
    <x v="817"/>
    <x v="0"/>
    <x v="312"/>
    <n v="27.92"/>
    <x v="2"/>
    <s v="Jun 2024"/>
    <n v="10"/>
    <s v="Single"/>
    <x v="1"/>
    <x v="822"/>
  </r>
  <r>
    <x v="107"/>
    <x v="818"/>
    <x v="0"/>
    <x v="313"/>
    <n v="37.72"/>
    <x v="0"/>
    <s v="Jun 2024"/>
    <n v="11"/>
    <s v="Repeat"/>
    <x v="0"/>
    <x v="823"/>
  </r>
  <r>
    <x v="107"/>
    <x v="819"/>
    <x v="0"/>
    <x v="313"/>
    <n v="37.72"/>
    <x v="4"/>
    <s v="Jun 2024"/>
    <n v="11"/>
    <s v="Repeat"/>
    <x v="0"/>
    <x v="824"/>
  </r>
  <r>
    <x v="107"/>
    <x v="820"/>
    <x v="0"/>
    <x v="164"/>
    <n v="32.82"/>
    <x v="3"/>
    <s v="Jun 2024"/>
    <n v="14"/>
    <s v="Repeat"/>
    <x v="0"/>
    <x v="825"/>
  </r>
  <r>
    <x v="107"/>
    <x v="821"/>
    <x v="0"/>
    <x v="153"/>
    <n v="37.72"/>
    <x v="7"/>
    <s v="Jun 2024"/>
    <n v="18"/>
    <s v="Repeat"/>
    <x v="0"/>
    <x v="826"/>
  </r>
  <r>
    <x v="107"/>
    <x v="822"/>
    <x v="0"/>
    <x v="153"/>
    <n v="37.72"/>
    <x v="0"/>
    <s v="Jun 2024"/>
    <n v="18"/>
    <s v="Repeat"/>
    <x v="0"/>
    <x v="827"/>
  </r>
  <r>
    <x v="107"/>
    <x v="823"/>
    <x v="0"/>
    <x v="8"/>
    <n v="32.82"/>
    <x v="3"/>
    <s v="Jun 2024"/>
    <n v="19"/>
    <s v="Repeat"/>
    <x v="0"/>
    <x v="828"/>
  </r>
  <r>
    <x v="107"/>
    <x v="824"/>
    <x v="0"/>
    <x v="192"/>
    <n v="37.72"/>
    <x v="7"/>
    <s v="Jun 2024"/>
    <n v="21"/>
    <s v="Repeat"/>
    <x v="0"/>
    <x v="829"/>
  </r>
  <r>
    <x v="107"/>
    <x v="825"/>
    <x v="0"/>
    <x v="192"/>
    <n v="32.82"/>
    <x v="3"/>
    <s v="Jun 2024"/>
    <n v="21"/>
    <s v="Repeat"/>
    <x v="0"/>
    <x v="830"/>
  </r>
  <r>
    <x v="108"/>
    <x v="826"/>
    <x v="0"/>
    <x v="97"/>
    <n v="37.72"/>
    <x v="0"/>
    <s v="Jun 2024"/>
    <n v="10"/>
    <s v="Repeat"/>
    <x v="0"/>
    <x v="831"/>
  </r>
  <r>
    <x v="108"/>
    <x v="827"/>
    <x v="0"/>
    <x v="314"/>
    <n v="37.72"/>
    <x v="0"/>
    <s v="Jun 2024"/>
    <n v="18"/>
    <s v="Repeat"/>
    <x v="0"/>
    <x v="832"/>
  </r>
  <r>
    <x v="108"/>
    <x v="828"/>
    <x v="0"/>
    <x v="314"/>
    <n v="37.72"/>
    <x v="0"/>
    <s v="Jun 2024"/>
    <n v="19"/>
    <s v="Repeat"/>
    <x v="0"/>
    <x v="833"/>
  </r>
  <r>
    <x v="108"/>
    <x v="829"/>
    <x v="0"/>
    <x v="257"/>
    <n v="37.72"/>
    <x v="0"/>
    <s v="Jun 2024"/>
    <n v="21"/>
    <s v="Repeat"/>
    <x v="0"/>
    <x v="834"/>
  </r>
  <r>
    <x v="108"/>
    <x v="830"/>
    <x v="0"/>
    <x v="8"/>
    <n v="37.72"/>
    <x v="0"/>
    <s v="Jun 2024"/>
    <n v="21"/>
    <s v="Repeat"/>
    <x v="0"/>
    <x v="835"/>
  </r>
  <r>
    <x v="108"/>
    <x v="831"/>
    <x v="0"/>
    <x v="8"/>
    <n v="32.82"/>
    <x v="3"/>
    <s v="Jun 2024"/>
    <n v="21"/>
    <s v="Repeat"/>
    <x v="0"/>
    <x v="836"/>
  </r>
  <r>
    <x v="109"/>
    <x v="832"/>
    <x v="0"/>
    <x v="311"/>
    <n v="37.72"/>
    <x v="0"/>
    <s v="Jun 2024"/>
    <n v="9"/>
    <s v="Repeat"/>
    <x v="0"/>
    <x v="837"/>
  </r>
  <r>
    <x v="109"/>
    <x v="833"/>
    <x v="0"/>
    <x v="315"/>
    <n v="27.92"/>
    <x v="2"/>
    <s v="Jun 2024"/>
    <n v="10"/>
    <s v="Single"/>
    <x v="1"/>
    <x v="838"/>
  </r>
  <r>
    <x v="109"/>
    <x v="834"/>
    <x v="0"/>
    <x v="12"/>
    <n v="32.82"/>
    <x v="3"/>
    <s v="Jun 2024"/>
    <n v="13"/>
    <s v="Repeat"/>
    <x v="0"/>
    <x v="839"/>
  </r>
  <r>
    <x v="109"/>
    <x v="835"/>
    <x v="0"/>
    <x v="12"/>
    <n v="32.82"/>
    <x v="3"/>
    <s v="Jun 2024"/>
    <n v="13"/>
    <s v="Repeat"/>
    <x v="0"/>
    <x v="840"/>
  </r>
  <r>
    <x v="109"/>
    <x v="836"/>
    <x v="0"/>
    <x v="316"/>
    <n v="23.02"/>
    <x v="6"/>
    <s v="Jun 2024"/>
    <n v="18"/>
    <s v="Single"/>
    <x v="1"/>
    <x v="841"/>
  </r>
  <r>
    <x v="109"/>
    <x v="837"/>
    <x v="0"/>
    <x v="8"/>
    <n v="37.72"/>
    <x v="0"/>
    <s v="Jun 2024"/>
    <n v="19"/>
    <s v="Repeat"/>
    <x v="0"/>
    <x v="842"/>
  </r>
  <r>
    <x v="109"/>
    <x v="838"/>
    <x v="0"/>
    <x v="154"/>
    <n v="37.72"/>
    <x v="7"/>
    <s v="Jun 2024"/>
    <n v="19"/>
    <s v="Repeat"/>
    <x v="0"/>
    <x v="843"/>
  </r>
  <r>
    <x v="109"/>
    <x v="839"/>
    <x v="0"/>
    <x v="154"/>
    <n v="37.72"/>
    <x v="7"/>
    <s v="Jun 2024"/>
    <n v="19"/>
    <s v="Repeat"/>
    <x v="0"/>
    <x v="844"/>
  </r>
  <r>
    <x v="109"/>
    <x v="840"/>
    <x v="0"/>
    <x v="180"/>
    <n v="37.72"/>
    <x v="7"/>
    <s v="Jun 2024"/>
    <n v="19"/>
    <s v="Repeat"/>
    <x v="0"/>
    <x v="845"/>
  </r>
  <r>
    <x v="109"/>
    <x v="841"/>
    <x v="0"/>
    <x v="180"/>
    <n v="37.72"/>
    <x v="7"/>
    <s v="Jun 2024"/>
    <n v="19"/>
    <s v="Repeat"/>
    <x v="0"/>
    <x v="846"/>
  </r>
  <r>
    <x v="109"/>
    <x v="842"/>
    <x v="0"/>
    <x v="180"/>
    <n v="27.92"/>
    <x v="2"/>
    <s v="Jun 2024"/>
    <n v="19"/>
    <s v="Repeat"/>
    <x v="0"/>
    <x v="847"/>
  </r>
  <r>
    <x v="109"/>
    <x v="843"/>
    <x v="0"/>
    <x v="311"/>
    <n v="32.82"/>
    <x v="3"/>
    <s v="Jun 2024"/>
    <n v="19"/>
    <s v="Repeat"/>
    <x v="0"/>
    <x v="848"/>
  </r>
  <r>
    <x v="110"/>
    <x v="844"/>
    <x v="0"/>
    <x v="141"/>
    <n v="27.92"/>
    <x v="5"/>
    <s v="Jun 2024"/>
    <n v="8"/>
    <s v="Repeat"/>
    <x v="0"/>
    <x v="849"/>
  </r>
  <r>
    <x v="110"/>
    <x v="845"/>
    <x v="0"/>
    <x v="311"/>
    <n v="32.82"/>
    <x v="3"/>
    <s v="Jun 2024"/>
    <n v="9"/>
    <s v="Repeat"/>
    <x v="0"/>
    <x v="850"/>
  </r>
  <r>
    <x v="110"/>
    <x v="846"/>
    <x v="0"/>
    <x v="317"/>
    <n v="32.82"/>
    <x v="3"/>
    <s v="Jun 2024"/>
    <n v="12"/>
    <s v="Single"/>
    <x v="1"/>
    <x v="851"/>
  </r>
  <r>
    <x v="110"/>
    <x v="847"/>
    <x v="0"/>
    <x v="8"/>
    <n v="37.72"/>
    <x v="0"/>
    <s v="Jun 2024"/>
    <n v="15"/>
    <s v="Repeat"/>
    <x v="0"/>
    <x v="852"/>
  </r>
  <r>
    <x v="110"/>
    <x v="848"/>
    <x v="0"/>
    <x v="318"/>
    <n v="37.72"/>
    <x v="7"/>
    <s v="Jun 2024"/>
    <n v="22"/>
    <s v="Single"/>
    <x v="1"/>
    <x v="853"/>
  </r>
  <r>
    <x v="111"/>
    <x v="849"/>
    <x v="0"/>
    <x v="12"/>
    <n v="32.82"/>
    <x v="3"/>
    <s v="Jun 2024"/>
    <n v="18"/>
    <s v="Repeat"/>
    <x v="0"/>
    <x v="854"/>
  </r>
  <r>
    <x v="111"/>
    <x v="850"/>
    <x v="0"/>
    <x v="12"/>
    <n v="32.82"/>
    <x v="3"/>
    <s v="Jun 2024"/>
    <n v="18"/>
    <s v="Repeat"/>
    <x v="0"/>
    <x v="855"/>
  </r>
  <r>
    <x v="111"/>
    <x v="851"/>
    <x v="0"/>
    <x v="319"/>
    <n v="37.72"/>
    <x v="7"/>
    <s v="Jun 2024"/>
    <n v="21"/>
    <s v="Repeat"/>
    <x v="0"/>
    <x v="856"/>
  </r>
  <r>
    <x v="111"/>
    <x v="616"/>
    <x v="0"/>
    <x v="320"/>
    <n v="37.72"/>
    <x v="0"/>
    <s v="Jun 2024"/>
    <n v="21"/>
    <s v="Repeat"/>
    <x v="0"/>
    <x v="857"/>
  </r>
  <r>
    <x v="111"/>
    <x v="852"/>
    <x v="0"/>
    <x v="320"/>
    <n v="37.72"/>
    <x v="7"/>
    <s v="Jun 2024"/>
    <n v="21"/>
    <s v="Repeat"/>
    <x v="0"/>
    <x v="858"/>
  </r>
  <r>
    <x v="112"/>
    <x v="853"/>
    <x v="0"/>
    <x v="164"/>
    <n v="32.82"/>
    <x v="3"/>
    <s v="Jun 2024"/>
    <n v="11"/>
    <s v="Repeat"/>
    <x v="0"/>
    <x v="859"/>
  </r>
  <r>
    <x v="112"/>
    <x v="854"/>
    <x v="0"/>
    <x v="180"/>
    <n v="37.72"/>
    <x v="7"/>
    <s v="Jun 2024"/>
    <n v="11"/>
    <s v="Repeat"/>
    <x v="0"/>
    <x v="860"/>
  </r>
  <r>
    <x v="112"/>
    <x v="855"/>
    <x v="0"/>
    <x v="180"/>
    <n v="37.72"/>
    <x v="7"/>
    <s v="Jun 2024"/>
    <n v="11"/>
    <s v="Repeat"/>
    <x v="0"/>
    <x v="861"/>
  </r>
  <r>
    <x v="112"/>
    <x v="856"/>
    <x v="0"/>
    <x v="321"/>
    <n v="37.72"/>
    <x v="0"/>
    <s v="Jun 2024"/>
    <n v="15"/>
    <s v="Single"/>
    <x v="1"/>
    <x v="862"/>
  </r>
  <r>
    <x v="112"/>
    <x v="857"/>
    <x v="0"/>
    <x v="203"/>
    <n v="37.72"/>
    <x v="7"/>
    <s v="Jun 2024"/>
    <n v="16"/>
    <s v="Repeat"/>
    <x v="0"/>
    <x v="863"/>
  </r>
  <r>
    <x v="112"/>
    <x v="858"/>
    <x v="0"/>
    <x v="203"/>
    <n v="37.72"/>
    <x v="7"/>
    <s v="Jun 2024"/>
    <n v="16"/>
    <s v="Repeat"/>
    <x v="0"/>
    <x v="864"/>
  </r>
  <r>
    <x v="113"/>
    <x v="859"/>
    <x v="0"/>
    <x v="322"/>
    <n v="37.72"/>
    <x v="0"/>
    <s v="Jun 2024"/>
    <n v="8"/>
    <s v="Repeat"/>
    <x v="0"/>
    <x v="865"/>
  </r>
  <r>
    <x v="113"/>
    <x v="860"/>
    <x v="0"/>
    <x v="12"/>
    <n v="32.82"/>
    <x v="3"/>
    <s v="Jun 2024"/>
    <n v="10"/>
    <s v="Repeat"/>
    <x v="0"/>
    <x v="866"/>
  </r>
  <r>
    <x v="113"/>
    <x v="206"/>
    <x v="0"/>
    <x v="40"/>
    <n v="32.82"/>
    <x v="3"/>
    <s v="Jun 2024"/>
    <n v="10"/>
    <s v="Repeat"/>
    <x v="0"/>
    <x v="867"/>
  </r>
  <r>
    <x v="113"/>
    <x v="861"/>
    <x v="0"/>
    <x v="203"/>
    <n v="37.72"/>
    <x v="7"/>
    <s v="Jun 2024"/>
    <n v="11"/>
    <s v="Repeat"/>
    <x v="0"/>
    <x v="868"/>
  </r>
  <r>
    <x v="114"/>
    <x v="862"/>
    <x v="0"/>
    <x v="323"/>
    <n v="37.72"/>
    <x v="0"/>
    <s v="Jun 2024"/>
    <n v="9"/>
    <s v="Single"/>
    <x v="1"/>
    <x v="869"/>
  </r>
  <r>
    <x v="114"/>
    <x v="863"/>
    <x v="0"/>
    <x v="324"/>
    <n v="23.02"/>
    <x v="6"/>
    <s v="Jun 2024"/>
    <n v="16"/>
    <s v="Single"/>
    <x v="1"/>
    <x v="870"/>
  </r>
  <r>
    <x v="114"/>
    <x v="864"/>
    <x v="0"/>
    <x v="325"/>
    <n v="27.92"/>
    <x v="2"/>
    <s v="Jun 2024"/>
    <n v="16"/>
    <s v="Single"/>
    <x v="1"/>
    <x v="871"/>
  </r>
  <r>
    <x v="114"/>
    <x v="865"/>
    <x v="0"/>
    <x v="8"/>
    <n v="37.72"/>
    <x v="0"/>
    <s v="Jun 2024"/>
    <n v="21"/>
    <s v="Repeat"/>
    <x v="0"/>
    <x v="872"/>
  </r>
  <r>
    <x v="114"/>
    <x v="866"/>
    <x v="0"/>
    <x v="8"/>
    <n v="37.72"/>
    <x v="7"/>
    <s v="Jun 2024"/>
    <n v="21"/>
    <s v="Repeat"/>
    <x v="0"/>
    <x v="873"/>
  </r>
  <r>
    <x v="114"/>
    <x v="867"/>
    <x v="0"/>
    <x v="206"/>
    <n v="32.82"/>
    <x v="3"/>
    <s v="Jun 2024"/>
    <n v="21"/>
    <s v="Repeat"/>
    <x v="0"/>
    <x v="874"/>
  </r>
  <r>
    <x v="115"/>
    <x v="868"/>
    <x v="0"/>
    <x v="326"/>
    <n v="32.82"/>
    <x v="3"/>
    <s v="Jun 2024"/>
    <n v="9"/>
    <s v="Single"/>
    <x v="1"/>
    <x v="875"/>
  </r>
  <r>
    <x v="115"/>
    <x v="869"/>
    <x v="0"/>
    <x v="327"/>
    <n v="27.92"/>
    <x v="5"/>
    <s v="Jun 2024"/>
    <n v="16"/>
    <s v="Single"/>
    <x v="1"/>
    <x v="876"/>
  </r>
  <r>
    <x v="115"/>
    <x v="870"/>
    <x v="0"/>
    <x v="328"/>
    <n v="32.82"/>
    <x v="3"/>
    <s v="Jun 2024"/>
    <n v="21"/>
    <s v="Repeat"/>
    <x v="0"/>
    <x v="877"/>
  </r>
  <r>
    <x v="115"/>
    <x v="871"/>
    <x v="0"/>
    <x v="329"/>
    <n v="37.72"/>
    <x v="7"/>
    <s v="Jun 2024"/>
    <n v="21"/>
    <s v="Repeat"/>
    <x v="0"/>
    <x v="878"/>
  </r>
  <r>
    <x v="116"/>
    <x v="872"/>
    <x v="0"/>
    <x v="141"/>
    <n v="27.92"/>
    <x v="5"/>
    <s v="Jun 2024"/>
    <n v="8"/>
    <s v="Repeat"/>
    <x v="0"/>
    <x v="879"/>
  </r>
  <r>
    <x v="116"/>
    <x v="873"/>
    <x v="0"/>
    <x v="274"/>
    <n v="23.02"/>
    <x v="6"/>
    <s v="Jun 2024"/>
    <n v="17"/>
    <s v="Repeat"/>
    <x v="0"/>
    <x v="880"/>
  </r>
  <r>
    <x v="116"/>
    <x v="874"/>
    <x v="0"/>
    <x v="330"/>
    <n v="32.82"/>
    <x v="3"/>
    <s v="Jun 2024"/>
    <n v="21"/>
    <s v="Single"/>
    <x v="1"/>
    <x v="881"/>
  </r>
  <r>
    <x v="116"/>
    <x v="875"/>
    <x v="0"/>
    <x v="331"/>
    <n v="37.72"/>
    <x v="0"/>
    <s v="Jun 2024"/>
    <n v="21"/>
    <s v="Single"/>
    <x v="1"/>
    <x v="882"/>
  </r>
  <r>
    <x v="116"/>
    <x v="876"/>
    <x v="0"/>
    <x v="332"/>
    <n v="37.72"/>
    <x v="7"/>
    <s v="Jun 2024"/>
    <n v="22"/>
    <s v="Single"/>
    <x v="1"/>
    <x v="883"/>
  </r>
  <r>
    <x v="117"/>
    <x v="877"/>
    <x v="0"/>
    <x v="97"/>
    <n v="32.82"/>
    <x v="3"/>
    <s v="Jun 2024"/>
    <n v="9"/>
    <s v="Repeat"/>
    <x v="0"/>
    <x v="884"/>
  </r>
  <r>
    <x v="117"/>
    <x v="878"/>
    <x v="0"/>
    <x v="333"/>
    <n v="32.82"/>
    <x v="3"/>
    <s v="Jun 2024"/>
    <n v="11"/>
    <s v="Repeat"/>
    <x v="0"/>
    <x v="885"/>
  </r>
  <r>
    <x v="117"/>
    <x v="879"/>
    <x v="0"/>
    <x v="333"/>
    <n v="32.82"/>
    <x v="3"/>
    <s v="Jun 2024"/>
    <n v="11"/>
    <s v="Repeat"/>
    <x v="0"/>
    <x v="886"/>
  </r>
  <r>
    <x v="117"/>
    <x v="880"/>
    <x v="0"/>
    <x v="334"/>
    <n v="37.72"/>
    <x v="7"/>
    <s v="Jun 2024"/>
    <n v="12"/>
    <s v="Repeat"/>
    <x v="0"/>
    <x v="887"/>
  </r>
  <r>
    <x v="117"/>
    <x v="881"/>
    <x v="0"/>
    <x v="334"/>
    <n v="37.72"/>
    <x v="7"/>
    <s v="Jun 2024"/>
    <n v="12"/>
    <s v="Repeat"/>
    <x v="0"/>
    <x v="888"/>
  </r>
  <r>
    <x v="117"/>
    <x v="882"/>
    <x v="0"/>
    <x v="335"/>
    <n v="37.72"/>
    <x v="7"/>
    <s v="Jun 2024"/>
    <n v="17"/>
    <s v="Repeat"/>
    <x v="0"/>
    <x v="889"/>
  </r>
  <r>
    <x v="117"/>
    <x v="883"/>
    <x v="0"/>
    <x v="335"/>
    <n v="37.72"/>
    <x v="1"/>
    <s v="Jun 2024"/>
    <n v="17"/>
    <s v="Repeat"/>
    <x v="0"/>
    <x v="890"/>
  </r>
  <r>
    <x v="117"/>
    <x v="884"/>
    <x v="0"/>
    <x v="8"/>
    <n v="37.72"/>
    <x v="0"/>
    <s v="Jun 2024"/>
    <n v="21"/>
    <s v="Repeat"/>
    <x v="0"/>
    <x v="891"/>
  </r>
  <r>
    <x v="118"/>
    <x v="885"/>
    <x v="0"/>
    <x v="336"/>
    <n v="37.72"/>
    <x v="0"/>
    <s v="Jun 2024"/>
    <n v="10"/>
    <s v="Single"/>
    <x v="1"/>
    <x v="892"/>
  </r>
  <r>
    <x v="118"/>
    <x v="886"/>
    <x v="0"/>
    <x v="337"/>
    <n v="23.02"/>
    <x v="6"/>
    <s v="Jun 2024"/>
    <n v="13"/>
    <s v="Single"/>
    <x v="1"/>
    <x v="893"/>
  </r>
  <r>
    <x v="118"/>
    <x v="887"/>
    <x v="0"/>
    <x v="8"/>
    <n v="37.72"/>
    <x v="1"/>
    <s v="Jun 2024"/>
    <n v="16"/>
    <s v="Repeat"/>
    <x v="0"/>
    <x v="894"/>
  </r>
  <r>
    <x v="118"/>
    <x v="888"/>
    <x v="0"/>
    <x v="97"/>
    <n v="32.82"/>
    <x v="3"/>
    <s v="Jun 2024"/>
    <n v="21"/>
    <s v="Repeat"/>
    <x v="0"/>
    <x v="895"/>
  </r>
  <r>
    <x v="119"/>
    <x v="889"/>
    <x v="0"/>
    <x v="12"/>
    <n v="23.02"/>
    <x v="6"/>
    <s v="Jul 2024"/>
    <n v="18"/>
    <s v="Repeat"/>
    <x v="0"/>
    <x v="896"/>
  </r>
  <r>
    <x v="119"/>
    <x v="890"/>
    <x v="0"/>
    <x v="338"/>
    <n v="37.72"/>
    <x v="7"/>
    <s v="Jul 2024"/>
    <n v="18"/>
    <s v="Single"/>
    <x v="1"/>
    <x v="897"/>
  </r>
  <r>
    <x v="119"/>
    <x v="891"/>
    <x v="0"/>
    <x v="339"/>
    <n v="37.72"/>
    <x v="7"/>
    <s v="Jul 2024"/>
    <n v="18"/>
    <s v="Repeat"/>
    <x v="0"/>
    <x v="898"/>
  </r>
  <r>
    <x v="120"/>
    <x v="892"/>
    <x v="0"/>
    <x v="304"/>
    <n v="32.82"/>
    <x v="3"/>
    <s v="Jul 2024"/>
    <n v="10"/>
    <s v="Repeat"/>
    <x v="0"/>
    <x v="899"/>
  </r>
  <r>
    <x v="120"/>
    <x v="893"/>
    <x v="0"/>
    <x v="304"/>
    <n v="27.92"/>
    <x v="2"/>
    <s v="Jul 2024"/>
    <n v="10"/>
    <s v="Repeat"/>
    <x v="0"/>
    <x v="900"/>
  </r>
  <r>
    <x v="120"/>
    <x v="894"/>
    <x v="0"/>
    <x v="19"/>
    <n v="37.72"/>
    <x v="0"/>
    <s v="Jul 2024"/>
    <n v="12"/>
    <s v="Repeat"/>
    <x v="0"/>
    <x v="901"/>
  </r>
  <r>
    <x v="120"/>
    <x v="895"/>
    <x v="0"/>
    <x v="340"/>
    <n v="27.92"/>
    <x v="2"/>
    <s v="Jul 2024"/>
    <n v="14"/>
    <s v="Single"/>
    <x v="1"/>
    <x v="902"/>
  </r>
  <r>
    <x v="120"/>
    <x v="896"/>
    <x v="0"/>
    <x v="341"/>
    <n v="32.82"/>
    <x v="3"/>
    <s v="Jul 2024"/>
    <n v="16"/>
    <s v="Single"/>
    <x v="1"/>
    <x v="903"/>
  </r>
  <r>
    <x v="120"/>
    <x v="897"/>
    <x v="0"/>
    <x v="329"/>
    <n v="32.82"/>
    <x v="3"/>
    <s v="Jul 2024"/>
    <n v="22"/>
    <s v="Repeat"/>
    <x v="0"/>
    <x v="904"/>
  </r>
  <r>
    <x v="121"/>
    <x v="898"/>
    <x v="0"/>
    <x v="12"/>
    <n v="32.82"/>
    <x v="3"/>
    <s v="Jul 2024"/>
    <n v="13"/>
    <s v="Repeat"/>
    <x v="0"/>
    <x v="905"/>
  </r>
  <r>
    <x v="121"/>
    <x v="899"/>
    <x v="0"/>
    <x v="342"/>
    <n v="37.72"/>
    <x v="7"/>
    <s v="Jul 2024"/>
    <n v="16"/>
    <s v="Single"/>
    <x v="1"/>
    <x v="906"/>
  </r>
  <r>
    <x v="121"/>
    <x v="900"/>
    <x v="0"/>
    <x v="343"/>
    <n v="37.72"/>
    <x v="7"/>
    <s v="Jul 2024"/>
    <n v="16"/>
    <s v="Single"/>
    <x v="1"/>
    <x v="907"/>
  </r>
  <r>
    <x v="121"/>
    <x v="901"/>
    <x v="0"/>
    <x v="270"/>
    <n v="32.82"/>
    <x v="3"/>
    <s v="Jul 2024"/>
    <n v="16"/>
    <s v="Repeat"/>
    <x v="0"/>
    <x v="908"/>
  </r>
  <r>
    <x v="121"/>
    <x v="902"/>
    <x v="0"/>
    <x v="344"/>
    <n v="32.82"/>
    <x v="3"/>
    <s v="Jul 2024"/>
    <n v="16"/>
    <s v="Single"/>
    <x v="1"/>
    <x v="909"/>
  </r>
  <r>
    <x v="121"/>
    <x v="903"/>
    <x v="0"/>
    <x v="270"/>
    <n v="37.72"/>
    <x v="0"/>
    <s v="Jul 2024"/>
    <n v="16"/>
    <s v="Repeat"/>
    <x v="0"/>
    <x v="910"/>
  </r>
  <r>
    <x v="121"/>
    <x v="904"/>
    <x v="0"/>
    <x v="345"/>
    <n v="23.02"/>
    <x v="6"/>
    <s v="Jul 2024"/>
    <n v="16"/>
    <s v="Single"/>
    <x v="1"/>
    <x v="911"/>
  </r>
  <r>
    <x v="121"/>
    <x v="905"/>
    <x v="0"/>
    <x v="346"/>
    <n v="37.72"/>
    <x v="7"/>
    <s v="Jul 2024"/>
    <n v="17"/>
    <s v="Single"/>
    <x v="1"/>
    <x v="912"/>
  </r>
  <r>
    <x v="121"/>
    <x v="906"/>
    <x v="0"/>
    <x v="8"/>
    <n v="37.72"/>
    <x v="0"/>
    <s v="Jul 2024"/>
    <n v="19"/>
    <s v="Repeat"/>
    <x v="0"/>
    <x v="913"/>
  </r>
  <r>
    <x v="122"/>
    <x v="907"/>
    <x v="0"/>
    <x v="143"/>
    <n v="32.82"/>
    <x v="3"/>
    <s v="Jul 2024"/>
    <n v="10"/>
    <s v="Repeat"/>
    <x v="0"/>
    <x v="914"/>
  </r>
  <r>
    <x v="122"/>
    <x v="908"/>
    <x v="0"/>
    <x v="12"/>
    <n v="27.92"/>
    <x v="2"/>
    <s v="Jul 2024"/>
    <n v="10"/>
    <s v="Repeat"/>
    <x v="0"/>
    <x v="915"/>
  </r>
  <r>
    <x v="123"/>
    <x v="909"/>
    <x v="0"/>
    <x v="58"/>
    <n v="37.72"/>
    <x v="4"/>
    <s v="Jul 2024"/>
    <n v="12"/>
    <s v="Repeat"/>
    <x v="0"/>
    <x v="916"/>
  </r>
  <r>
    <x v="123"/>
    <x v="910"/>
    <x v="0"/>
    <x v="40"/>
    <n v="32.82"/>
    <x v="3"/>
    <s v="Jul 2024"/>
    <n v="13"/>
    <s v="Repeat"/>
    <x v="0"/>
    <x v="917"/>
  </r>
  <r>
    <x v="123"/>
    <x v="911"/>
    <x v="0"/>
    <x v="347"/>
    <n v="32.82"/>
    <x v="3"/>
    <s v="Jul 2024"/>
    <n v="13"/>
    <s v="Repeat"/>
    <x v="0"/>
    <x v="918"/>
  </r>
  <r>
    <x v="123"/>
    <x v="912"/>
    <x v="0"/>
    <x v="348"/>
    <n v="23.02"/>
    <x v="6"/>
    <s v="Jul 2024"/>
    <n v="18"/>
    <s v="Repeat"/>
    <x v="0"/>
    <x v="919"/>
  </r>
  <r>
    <x v="123"/>
    <x v="913"/>
    <x v="0"/>
    <x v="99"/>
    <n v="27.92"/>
    <x v="2"/>
    <s v="Jul 2024"/>
    <n v="19"/>
    <s v="Repeat"/>
    <x v="0"/>
    <x v="920"/>
  </r>
  <r>
    <x v="123"/>
    <x v="914"/>
    <x v="0"/>
    <x v="349"/>
    <n v="23.02"/>
    <x v="6"/>
    <s v="Jul 2024"/>
    <n v="22"/>
    <s v="Single"/>
    <x v="1"/>
    <x v="921"/>
  </r>
  <r>
    <x v="123"/>
    <x v="915"/>
    <x v="0"/>
    <x v="350"/>
    <n v="27.92"/>
    <x v="2"/>
    <s v="Jul 2024"/>
    <n v="22"/>
    <s v="Repeat"/>
    <x v="0"/>
    <x v="922"/>
  </r>
  <r>
    <x v="123"/>
    <x v="916"/>
    <x v="0"/>
    <x v="350"/>
    <n v="27.92"/>
    <x v="2"/>
    <s v="Jul 2024"/>
    <n v="22"/>
    <s v="Repeat"/>
    <x v="0"/>
    <x v="923"/>
  </r>
  <r>
    <x v="123"/>
    <x v="917"/>
    <x v="0"/>
    <x v="351"/>
    <n v="37.72"/>
    <x v="7"/>
    <s v="Jul 2024"/>
    <n v="22"/>
    <s v="Repeat"/>
    <x v="0"/>
    <x v="924"/>
  </r>
  <r>
    <x v="123"/>
    <x v="918"/>
    <x v="0"/>
    <x v="351"/>
    <n v="32.82"/>
    <x v="3"/>
    <s v="Jul 2024"/>
    <n v="22"/>
    <s v="Repeat"/>
    <x v="0"/>
    <x v="925"/>
  </r>
  <r>
    <x v="124"/>
    <x v="919"/>
    <x v="0"/>
    <x v="352"/>
    <n v="37.72"/>
    <x v="0"/>
    <s v="Jul 2024"/>
    <n v="10"/>
    <s v="Single"/>
    <x v="1"/>
    <x v="926"/>
  </r>
  <r>
    <x v="124"/>
    <x v="920"/>
    <x v="0"/>
    <x v="8"/>
    <n v="32.82"/>
    <x v="0"/>
    <s v="Jul 2024"/>
    <n v="17"/>
    <s v="Repeat"/>
    <x v="0"/>
    <x v="927"/>
  </r>
  <r>
    <x v="124"/>
    <x v="921"/>
    <x v="0"/>
    <x v="8"/>
    <n v="32.82"/>
    <x v="0"/>
    <s v="Jul 2024"/>
    <n v="17"/>
    <s v="Repeat"/>
    <x v="0"/>
    <x v="928"/>
  </r>
  <r>
    <x v="124"/>
    <x v="922"/>
    <x v="0"/>
    <x v="12"/>
    <n v="32.82"/>
    <x v="0"/>
    <s v="Jul 2024"/>
    <n v="19"/>
    <s v="Repeat"/>
    <x v="0"/>
    <x v="929"/>
  </r>
  <r>
    <x v="124"/>
    <x v="923"/>
    <x v="0"/>
    <x v="12"/>
    <n v="27.92"/>
    <x v="3"/>
    <s v="Jul 2024"/>
    <n v="19"/>
    <s v="Repeat"/>
    <x v="0"/>
    <x v="930"/>
  </r>
  <r>
    <x v="125"/>
    <x v="727"/>
    <x v="0"/>
    <x v="303"/>
    <n v="32.82"/>
    <x v="7"/>
    <s v="Jul 2024"/>
    <n v="9"/>
    <s v="Repeat"/>
    <x v="0"/>
    <x v="931"/>
  </r>
  <r>
    <x v="125"/>
    <x v="924"/>
    <x v="0"/>
    <x v="353"/>
    <n v="27.92"/>
    <x v="3"/>
    <s v="Jul 2024"/>
    <n v="9"/>
    <s v="Repeat"/>
    <x v="0"/>
    <x v="932"/>
  </r>
  <r>
    <x v="125"/>
    <x v="925"/>
    <x v="0"/>
    <x v="353"/>
    <n v="27.92"/>
    <x v="3"/>
    <s v="Jul 2024"/>
    <n v="9"/>
    <s v="Repeat"/>
    <x v="0"/>
    <x v="933"/>
  </r>
  <r>
    <x v="125"/>
    <x v="926"/>
    <x v="0"/>
    <x v="354"/>
    <n v="32.82"/>
    <x v="7"/>
    <s v="Jul 2024"/>
    <n v="9"/>
    <s v="Repeat"/>
    <x v="0"/>
    <x v="934"/>
  </r>
  <r>
    <x v="125"/>
    <x v="927"/>
    <x v="0"/>
    <x v="354"/>
    <n v="32.82"/>
    <x v="7"/>
    <s v="Jul 2024"/>
    <n v="9"/>
    <s v="Repeat"/>
    <x v="0"/>
    <x v="935"/>
  </r>
  <r>
    <x v="125"/>
    <x v="928"/>
    <x v="0"/>
    <x v="355"/>
    <n v="32.82"/>
    <x v="1"/>
    <s v="Jul 2024"/>
    <n v="14"/>
    <s v="Repeat"/>
    <x v="0"/>
    <x v="936"/>
  </r>
  <r>
    <x v="125"/>
    <x v="929"/>
    <x v="0"/>
    <x v="355"/>
    <n v="32.82"/>
    <x v="4"/>
    <s v="Jul 2024"/>
    <n v="14"/>
    <s v="Repeat"/>
    <x v="0"/>
    <x v="937"/>
  </r>
  <r>
    <x v="125"/>
    <x v="930"/>
    <x v="0"/>
    <x v="356"/>
    <n v="32.82"/>
    <x v="0"/>
    <s v="Jul 2024"/>
    <n v="17"/>
    <s v="Single"/>
    <x v="1"/>
    <x v="938"/>
  </r>
  <r>
    <x v="125"/>
    <x v="931"/>
    <x v="0"/>
    <x v="357"/>
    <n v="32.82"/>
    <x v="7"/>
    <s v="Jul 2024"/>
    <n v="19"/>
    <s v="Single"/>
    <x v="1"/>
    <x v="939"/>
  </r>
  <r>
    <x v="125"/>
    <x v="932"/>
    <x v="0"/>
    <x v="358"/>
    <n v="32.82"/>
    <x v="1"/>
    <s v="Jul 2024"/>
    <n v="20"/>
    <s v="Single"/>
    <x v="1"/>
    <x v="940"/>
  </r>
  <r>
    <x v="125"/>
    <x v="933"/>
    <x v="0"/>
    <x v="359"/>
    <n v="27.92"/>
    <x v="3"/>
    <s v="Jul 2024"/>
    <n v="22"/>
    <s v="Single"/>
    <x v="1"/>
    <x v="941"/>
  </r>
  <r>
    <x v="126"/>
    <x v="934"/>
    <x v="0"/>
    <x v="360"/>
    <n v="32.82"/>
    <x v="0"/>
    <s v="Jul 2024"/>
    <n v="7"/>
    <s v="Single"/>
    <x v="1"/>
    <x v="942"/>
  </r>
  <r>
    <x v="126"/>
    <x v="935"/>
    <x v="0"/>
    <x v="361"/>
    <n v="23.02"/>
    <x v="2"/>
    <s v="Jul 2024"/>
    <n v="12"/>
    <s v="Single"/>
    <x v="1"/>
    <x v="943"/>
  </r>
  <r>
    <x v="126"/>
    <x v="936"/>
    <x v="0"/>
    <x v="362"/>
    <n v="23.02"/>
    <x v="2"/>
    <s v="Jul 2024"/>
    <n v="14"/>
    <s v="Single"/>
    <x v="1"/>
    <x v="944"/>
  </r>
  <r>
    <x v="126"/>
    <x v="937"/>
    <x v="0"/>
    <x v="363"/>
    <n v="27.92"/>
    <x v="3"/>
    <s v="Jul 2024"/>
    <n v="19"/>
    <s v="Single"/>
    <x v="1"/>
    <x v="945"/>
  </r>
  <r>
    <x v="126"/>
    <x v="938"/>
    <x v="0"/>
    <x v="19"/>
    <n v="32.82"/>
    <x v="0"/>
    <s v="Jul 2024"/>
    <n v="22"/>
    <s v="Repeat"/>
    <x v="0"/>
    <x v="946"/>
  </r>
  <r>
    <x v="127"/>
    <x v="939"/>
    <x v="0"/>
    <x v="333"/>
    <n v="27.92"/>
    <x v="3"/>
    <s v="Jul 2024"/>
    <n v="10"/>
    <s v="Repeat"/>
    <x v="0"/>
    <x v="947"/>
  </r>
  <r>
    <x v="127"/>
    <x v="940"/>
    <x v="0"/>
    <x v="276"/>
    <n v="27.92"/>
    <x v="3"/>
    <s v="Jul 2024"/>
    <n v="10"/>
    <s v="Repeat"/>
    <x v="0"/>
    <x v="948"/>
  </r>
  <r>
    <x v="127"/>
    <x v="941"/>
    <x v="0"/>
    <x v="194"/>
    <n v="27.92"/>
    <x v="3"/>
    <s v="Jul 2024"/>
    <n v="11"/>
    <s v="Repeat"/>
    <x v="0"/>
    <x v="949"/>
  </r>
  <r>
    <x v="127"/>
    <x v="942"/>
    <x v="0"/>
    <x v="194"/>
    <n v="32.82"/>
    <x v="7"/>
    <s v="Jul 2024"/>
    <n v="11"/>
    <s v="Repeat"/>
    <x v="0"/>
    <x v="950"/>
  </r>
  <r>
    <x v="127"/>
    <x v="943"/>
    <x v="0"/>
    <x v="364"/>
    <n v="27.92"/>
    <x v="3"/>
    <s v="Jul 2024"/>
    <n v="16"/>
    <s v="Single"/>
    <x v="1"/>
    <x v="951"/>
  </r>
  <r>
    <x v="128"/>
    <x v="944"/>
    <x v="0"/>
    <x v="365"/>
    <n v="23.02"/>
    <x v="2"/>
    <s v="Jul 2024"/>
    <n v="11"/>
    <s v="Repeat"/>
    <x v="0"/>
    <x v="952"/>
  </r>
  <r>
    <x v="128"/>
    <x v="945"/>
    <x v="0"/>
    <x v="366"/>
    <n v="27.92"/>
    <x v="3"/>
    <s v="Jul 2024"/>
    <n v="12"/>
    <s v="Single"/>
    <x v="1"/>
    <x v="953"/>
  </r>
  <r>
    <x v="128"/>
    <x v="946"/>
    <x v="0"/>
    <x v="328"/>
    <n v="32.82"/>
    <x v="0"/>
    <s v="Jul 2024"/>
    <n v="22"/>
    <s v="Repeat"/>
    <x v="0"/>
    <x v="954"/>
  </r>
  <r>
    <x v="129"/>
    <x v="947"/>
    <x v="0"/>
    <x v="367"/>
    <n v="32.82"/>
    <x v="1"/>
    <s v="Jul 2024"/>
    <n v="11"/>
    <s v="Repeat"/>
    <x v="0"/>
    <x v="955"/>
  </r>
  <r>
    <x v="129"/>
    <x v="948"/>
    <x v="0"/>
    <x v="368"/>
    <n v="27.92"/>
    <x v="3"/>
    <s v="Jul 2024"/>
    <n v="16"/>
    <s v="Single"/>
    <x v="1"/>
    <x v="956"/>
  </r>
  <r>
    <x v="129"/>
    <x v="949"/>
    <x v="0"/>
    <x v="369"/>
    <n v="32.82"/>
    <x v="0"/>
    <s v="Jul 2024"/>
    <n v="22"/>
    <s v="Single"/>
    <x v="1"/>
    <x v="957"/>
  </r>
  <r>
    <x v="129"/>
    <x v="950"/>
    <x v="0"/>
    <x v="370"/>
    <n v="23.02"/>
    <x v="2"/>
    <s v="Jul 2024"/>
    <n v="22"/>
    <s v="Single"/>
    <x v="1"/>
    <x v="958"/>
  </r>
  <r>
    <x v="130"/>
    <x v="951"/>
    <x v="0"/>
    <x v="371"/>
    <n v="23.02"/>
    <x v="5"/>
    <s v="Jul 2024"/>
    <n v="8"/>
    <s v="Repeat"/>
    <x v="0"/>
    <x v="959"/>
  </r>
  <r>
    <x v="130"/>
    <x v="952"/>
    <x v="0"/>
    <x v="372"/>
    <n v="32.82"/>
    <x v="1"/>
    <s v="Jul 2024"/>
    <n v="11"/>
    <s v="Single"/>
    <x v="1"/>
    <x v="960"/>
  </r>
  <r>
    <x v="130"/>
    <x v="953"/>
    <x v="0"/>
    <x v="178"/>
    <n v="32.82"/>
    <x v="1"/>
    <s v="Jul 2024"/>
    <n v="22"/>
    <s v="Repeat"/>
    <x v="0"/>
    <x v="961"/>
  </r>
  <r>
    <x v="130"/>
    <x v="954"/>
    <x v="0"/>
    <x v="177"/>
    <n v="32.82"/>
    <x v="1"/>
    <s v="Jul 2024"/>
    <n v="22"/>
    <s v="Repeat"/>
    <x v="0"/>
    <x v="962"/>
  </r>
  <r>
    <x v="130"/>
    <x v="955"/>
    <x v="0"/>
    <x v="179"/>
    <n v="32.82"/>
    <x v="1"/>
    <s v="Jul 2024"/>
    <n v="22"/>
    <s v="Repeat"/>
    <x v="0"/>
    <x v="963"/>
  </r>
  <r>
    <x v="131"/>
    <x v="956"/>
    <x v="0"/>
    <x v="365"/>
    <n v="32.82"/>
    <x v="0"/>
    <s v="Jul 2024"/>
    <n v="10"/>
    <s v="Repeat"/>
    <x v="0"/>
    <x v="964"/>
  </r>
  <r>
    <x v="131"/>
    <x v="957"/>
    <x v="0"/>
    <x v="365"/>
    <n v="32.82"/>
    <x v="0"/>
    <s v="Jul 2024"/>
    <n v="11"/>
    <s v="Repeat"/>
    <x v="0"/>
    <x v="965"/>
  </r>
  <r>
    <x v="132"/>
    <x v="958"/>
    <x v="0"/>
    <x v="373"/>
    <n v="23.02"/>
    <x v="2"/>
    <s v="Jul 2024"/>
    <n v="10"/>
    <s v="Repeat"/>
    <x v="0"/>
    <x v="966"/>
  </r>
  <r>
    <x v="132"/>
    <x v="959"/>
    <x v="0"/>
    <x v="373"/>
    <n v="27.92"/>
    <x v="3"/>
    <s v="Jul 2024"/>
    <n v="10"/>
    <s v="Repeat"/>
    <x v="0"/>
    <x v="967"/>
  </r>
  <r>
    <x v="132"/>
    <x v="960"/>
    <x v="0"/>
    <x v="373"/>
    <n v="32.82"/>
    <x v="7"/>
    <s v="Jul 2024"/>
    <n v="10"/>
    <s v="Repeat"/>
    <x v="0"/>
    <x v="968"/>
  </r>
  <r>
    <x v="132"/>
    <x v="961"/>
    <x v="0"/>
    <x v="374"/>
    <n v="32.82"/>
    <x v="0"/>
    <s v="Jul 2024"/>
    <n v="10"/>
    <s v="Single"/>
    <x v="1"/>
    <x v="969"/>
  </r>
  <r>
    <x v="132"/>
    <x v="962"/>
    <x v="0"/>
    <x v="375"/>
    <n v="23.02"/>
    <x v="2"/>
    <s v="Jul 2024"/>
    <n v="11"/>
    <s v="Repeat"/>
    <x v="0"/>
    <x v="970"/>
  </r>
  <r>
    <x v="132"/>
    <x v="963"/>
    <x v="0"/>
    <x v="376"/>
    <n v="32.82"/>
    <x v="0"/>
    <s v="Jul 2024"/>
    <n v="22"/>
    <s v="Single"/>
    <x v="1"/>
    <x v="971"/>
  </r>
  <r>
    <x v="133"/>
    <x v="964"/>
    <x v="0"/>
    <x v="377"/>
    <n v="32.82"/>
    <x v="7"/>
    <s v="Jul 2024"/>
    <n v="7"/>
    <s v="Single"/>
    <x v="1"/>
    <x v="972"/>
  </r>
  <r>
    <x v="134"/>
    <x v="965"/>
    <x v="0"/>
    <x v="378"/>
    <n v="27.92"/>
    <x v="3"/>
    <s v="Jul 2024"/>
    <n v="12"/>
    <s v="Single"/>
    <x v="1"/>
    <x v="973"/>
  </r>
  <r>
    <x v="134"/>
    <x v="966"/>
    <x v="0"/>
    <x v="367"/>
    <n v="32.82"/>
    <x v="1"/>
    <s v="Jul 2024"/>
    <n v="19"/>
    <s v="Repeat"/>
    <x v="0"/>
    <x v="974"/>
  </r>
  <r>
    <x v="135"/>
    <x v="967"/>
    <x v="0"/>
    <x v="379"/>
    <n v="27.92"/>
    <x v="3"/>
    <s v="Jul 2024"/>
    <n v="13"/>
    <s v="Repeat"/>
    <x v="0"/>
    <x v="975"/>
  </r>
  <r>
    <x v="136"/>
    <x v="968"/>
    <x v="0"/>
    <x v="380"/>
    <n v="27.92"/>
    <x v="3"/>
    <s v="Jul 2024"/>
    <n v="11"/>
    <s v="Single"/>
    <x v="1"/>
    <x v="976"/>
  </r>
  <r>
    <x v="136"/>
    <x v="969"/>
    <x v="0"/>
    <x v="381"/>
    <n v="18.12"/>
    <x v="6"/>
    <s v="Jul 2024"/>
    <n v="11"/>
    <s v="Single"/>
    <x v="1"/>
    <x v="977"/>
  </r>
  <r>
    <x v="136"/>
    <x v="970"/>
    <x v="0"/>
    <x v="59"/>
    <n v="23.02"/>
    <x v="2"/>
    <s v="Jul 2024"/>
    <n v="11"/>
    <s v="Repeat"/>
    <x v="0"/>
    <x v="978"/>
  </r>
  <r>
    <x v="136"/>
    <x v="971"/>
    <x v="0"/>
    <x v="59"/>
    <n v="23.02"/>
    <x v="2"/>
    <s v="Jul 2024"/>
    <n v="11"/>
    <s v="Repeat"/>
    <x v="0"/>
    <x v="979"/>
  </r>
  <r>
    <x v="136"/>
    <x v="972"/>
    <x v="0"/>
    <x v="59"/>
    <n v="23.02"/>
    <x v="5"/>
    <s v="Jul 2024"/>
    <n v="11"/>
    <s v="Repeat"/>
    <x v="0"/>
    <x v="980"/>
  </r>
  <r>
    <x v="136"/>
    <x v="973"/>
    <x v="0"/>
    <x v="375"/>
    <n v="32.82"/>
    <x v="0"/>
    <s v="Jul 2024"/>
    <n v="13"/>
    <s v="Repeat"/>
    <x v="0"/>
    <x v="981"/>
  </r>
  <r>
    <x v="136"/>
    <x v="974"/>
    <x v="0"/>
    <x v="382"/>
    <n v="32.82"/>
    <x v="7"/>
    <s v="Jul 2024"/>
    <n v="18"/>
    <s v="Single"/>
    <x v="1"/>
    <x v="982"/>
  </r>
  <r>
    <x v="136"/>
    <x v="975"/>
    <x v="0"/>
    <x v="8"/>
    <n v="32.82"/>
    <x v="0"/>
    <s v="Jul 2024"/>
    <n v="19"/>
    <s v="Repeat"/>
    <x v="0"/>
    <x v="983"/>
  </r>
  <r>
    <x v="136"/>
    <x v="976"/>
    <x v="0"/>
    <x v="383"/>
    <n v="32.82"/>
    <x v="1"/>
    <s v="Jul 2024"/>
    <n v="21"/>
    <s v="Repeat"/>
    <x v="0"/>
    <x v="984"/>
  </r>
  <r>
    <x v="136"/>
    <x v="977"/>
    <x v="0"/>
    <x v="383"/>
    <n v="32.82"/>
    <x v="0"/>
    <s v="Jul 2024"/>
    <n v="21"/>
    <s v="Repeat"/>
    <x v="0"/>
    <x v="985"/>
  </r>
  <r>
    <x v="136"/>
    <x v="978"/>
    <x v="0"/>
    <x v="384"/>
    <n v="32.82"/>
    <x v="0"/>
    <s v="Jul 2024"/>
    <n v="21"/>
    <s v="Repeat"/>
    <x v="0"/>
    <x v="986"/>
  </r>
  <r>
    <x v="137"/>
    <x v="979"/>
    <x v="0"/>
    <x v="375"/>
    <n v="23.02"/>
    <x v="2"/>
    <s v="Jul 2024"/>
    <n v="11"/>
    <s v="Repeat"/>
    <x v="0"/>
    <x v="987"/>
  </r>
  <r>
    <x v="137"/>
    <x v="980"/>
    <x v="0"/>
    <x v="385"/>
    <n v="27.92"/>
    <x v="3"/>
    <s v="Jul 2024"/>
    <n v="11"/>
    <s v="Repeat"/>
    <x v="0"/>
    <x v="988"/>
  </r>
  <r>
    <x v="137"/>
    <x v="981"/>
    <x v="0"/>
    <x v="386"/>
    <n v="32.82"/>
    <x v="0"/>
    <s v="Jul 2024"/>
    <n v="12"/>
    <s v="Repeat"/>
    <x v="0"/>
    <x v="989"/>
  </r>
  <r>
    <x v="137"/>
    <x v="982"/>
    <x v="0"/>
    <x v="386"/>
    <n v="27.92"/>
    <x v="3"/>
    <s v="Jul 2024"/>
    <n v="12"/>
    <s v="Repeat"/>
    <x v="0"/>
    <x v="990"/>
  </r>
  <r>
    <x v="137"/>
    <x v="983"/>
    <x v="0"/>
    <x v="384"/>
    <n v="32.82"/>
    <x v="0"/>
    <s v="Jul 2024"/>
    <n v="14"/>
    <s v="Repeat"/>
    <x v="0"/>
    <x v="991"/>
  </r>
  <r>
    <x v="137"/>
    <x v="984"/>
    <x v="0"/>
    <x v="384"/>
    <n v="32.82"/>
    <x v="4"/>
    <s v="Jul 2024"/>
    <n v="14"/>
    <s v="Repeat"/>
    <x v="0"/>
    <x v="992"/>
  </r>
  <r>
    <x v="137"/>
    <x v="985"/>
    <x v="0"/>
    <x v="384"/>
    <n v="32.82"/>
    <x v="0"/>
    <s v="Jul 2024"/>
    <n v="16"/>
    <s v="Repeat"/>
    <x v="0"/>
    <x v="993"/>
  </r>
  <r>
    <x v="137"/>
    <x v="986"/>
    <x v="0"/>
    <x v="384"/>
    <n v="32.82"/>
    <x v="0"/>
    <s v="Jul 2024"/>
    <n v="16"/>
    <s v="Repeat"/>
    <x v="0"/>
    <x v="994"/>
  </r>
  <r>
    <x v="138"/>
    <x v="987"/>
    <x v="0"/>
    <x v="387"/>
    <n v="23.02"/>
    <x v="2"/>
    <s v="Jul 2024"/>
    <n v="8"/>
    <s v="Repeat"/>
    <x v="0"/>
    <x v="995"/>
  </r>
  <r>
    <x v="138"/>
    <x v="988"/>
    <x v="0"/>
    <x v="387"/>
    <n v="32.82"/>
    <x v="0"/>
    <s v="Jul 2024"/>
    <n v="8"/>
    <s v="Repeat"/>
    <x v="0"/>
    <x v="996"/>
  </r>
  <r>
    <x v="138"/>
    <x v="989"/>
    <x v="0"/>
    <x v="387"/>
    <n v="23.02"/>
    <x v="2"/>
    <s v="Jul 2024"/>
    <n v="8"/>
    <s v="Repeat"/>
    <x v="0"/>
    <x v="997"/>
  </r>
  <r>
    <x v="138"/>
    <x v="990"/>
    <x v="0"/>
    <x v="388"/>
    <n v="32.82"/>
    <x v="0"/>
    <s v="Jul 2024"/>
    <n v="9"/>
    <s v="Repeat"/>
    <x v="0"/>
    <x v="998"/>
  </r>
  <r>
    <x v="138"/>
    <x v="991"/>
    <x v="0"/>
    <x v="389"/>
    <n v="32.82"/>
    <x v="0"/>
    <s v="Jul 2024"/>
    <n v="9"/>
    <s v="Single"/>
    <x v="1"/>
    <x v="999"/>
  </r>
  <r>
    <x v="138"/>
    <x v="992"/>
    <x v="0"/>
    <x v="390"/>
    <n v="23.02"/>
    <x v="2"/>
    <s v="Jul 2024"/>
    <n v="10"/>
    <s v="Single"/>
    <x v="1"/>
    <x v="1000"/>
  </r>
  <r>
    <x v="138"/>
    <x v="993"/>
    <x v="0"/>
    <x v="391"/>
    <n v="32.82"/>
    <x v="0"/>
    <s v="Jul 2024"/>
    <n v="15"/>
    <s v="Single"/>
    <x v="1"/>
    <x v="1001"/>
  </r>
  <r>
    <x v="139"/>
    <x v="994"/>
    <x v="0"/>
    <x v="367"/>
    <n v="32.82"/>
    <x v="4"/>
    <s v="Jul 2024"/>
    <n v="10"/>
    <s v="Repeat"/>
    <x v="0"/>
    <x v="1002"/>
  </r>
  <r>
    <x v="139"/>
    <x v="995"/>
    <x v="0"/>
    <x v="392"/>
    <n v="32.82"/>
    <x v="7"/>
    <s v="Jul 2024"/>
    <n v="11"/>
    <s v="Single"/>
    <x v="1"/>
    <x v="1003"/>
  </r>
  <r>
    <x v="139"/>
    <x v="996"/>
    <x v="0"/>
    <x v="393"/>
    <n v="23.02"/>
    <x v="5"/>
    <s v="Jul 2024"/>
    <n v="13"/>
    <s v="Single"/>
    <x v="1"/>
    <x v="1004"/>
  </r>
  <r>
    <x v="139"/>
    <x v="997"/>
    <x v="0"/>
    <x v="394"/>
    <n v="32.82"/>
    <x v="0"/>
    <s v="Jul 2024"/>
    <n v="13"/>
    <s v="Single"/>
    <x v="1"/>
    <x v="1005"/>
  </r>
  <r>
    <x v="140"/>
    <x v="998"/>
    <x v="0"/>
    <x v="375"/>
    <n v="23.02"/>
    <x v="2"/>
    <s v="Jul 2024"/>
    <n v="8"/>
    <s v="Repeat"/>
    <x v="0"/>
    <x v="1006"/>
  </r>
  <r>
    <x v="140"/>
    <x v="999"/>
    <x v="0"/>
    <x v="395"/>
    <n v="23.02"/>
    <x v="2"/>
    <s v="Jul 2024"/>
    <n v="8"/>
    <s v="Repeat"/>
    <x v="0"/>
    <x v="1007"/>
  </r>
  <r>
    <x v="140"/>
    <x v="1000"/>
    <x v="0"/>
    <x v="385"/>
    <n v="27.92"/>
    <x v="3"/>
    <s v="Jul 2024"/>
    <n v="10"/>
    <s v="Repeat"/>
    <x v="0"/>
    <x v="1008"/>
  </r>
  <r>
    <x v="140"/>
    <x v="1001"/>
    <x v="0"/>
    <x v="396"/>
    <n v="32.82"/>
    <x v="0"/>
    <s v="Jul 2024"/>
    <n v="16"/>
    <s v="Single"/>
    <x v="1"/>
    <x v="1009"/>
  </r>
  <r>
    <x v="141"/>
    <x v="1002"/>
    <x v="0"/>
    <x v="197"/>
    <n v="32.82"/>
    <x v="0"/>
    <s v="Jul 2024"/>
    <n v="8"/>
    <s v="Repeat"/>
    <x v="0"/>
    <x v="1010"/>
  </r>
  <r>
    <x v="141"/>
    <x v="1003"/>
    <x v="0"/>
    <x v="395"/>
    <n v="23.02"/>
    <x v="2"/>
    <s v="Jul 2024"/>
    <n v="8"/>
    <s v="Repeat"/>
    <x v="0"/>
    <x v="1011"/>
  </r>
  <r>
    <x v="141"/>
    <x v="1004"/>
    <x v="0"/>
    <x v="397"/>
    <n v="27.92"/>
    <x v="3"/>
    <s v="Jul 2024"/>
    <n v="8"/>
    <s v="Single"/>
    <x v="1"/>
    <x v="1012"/>
  </r>
  <r>
    <x v="141"/>
    <x v="1005"/>
    <x v="0"/>
    <x v="398"/>
    <n v="32.82"/>
    <x v="4"/>
    <s v="Jul 2024"/>
    <n v="8"/>
    <s v="Single"/>
    <x v="1"/>
    <x v="1013"/>
  </r>
  <r>
    <x v="141"/>
    <x v="1006"/>
    <x v="0"/>
    <x v="399"/>
    <n v="32.82"/>
    <x v="0"/>
    <s v="Jul 2024"/>
    <n v="8"/>
    <s v="Repeat"/>
    <x v="0"/>
    <x v="1014"/>
  </r>
  <r>
    <x v="141"/>
    <x v="1007"/>
    <x v="0"/>
    <x v="375"/>
    <n v="23.02"/>
    <x v="2"/>
    <s v="Jul 2024"/>
    <n v="9"/>
    <s v="Repeat"/>
    <x v="0"/>
    <x v="1015"/>
  </r>
  <r>
    <x v="141"/>
    <x v="1008"/>
    <x v="0"/>
    <x v="400"/>
    <n v="27.92"/>
    <x v="3"/>
    <s v="Jul 2024"/>
    <n v="10"/>
    <s v="Single"/>
    <x v="1"/>
    <x v="1016"/>
  </r>
  <r>
    <x v="141"/>
    <x v="1009"/>
    <x v="0"/>
    <x v="401"/>
    <n v="27.92"/>
    <x v="3"/>
    <s v="Jul 2024"/>
    <n v="15"/>
    <s v="Repeat"/>
    <x v="0"/>
    <x v="1017"/>
  </r>
  <r>
    <x v="141"/>
    <x v="1010"/>
    <x v="0"/>
    <x v="401"/>
    <n v="32.82"/>
    <x v="0"/>
    <s v="Jul 2024"/>
    <n v="15"/>
    <s v="Repeat"/>
    <x v="0"/>
    <x v="1018"/>
  </r>
  <r>
    <x v="141"/>
    <x v="1011"/>
    <x v="0"/>
    <x v="8"/>
    <n v="32.82"/>
    <x v="0"/>
    <s v="Jul 2024"/>
    <n v="21"/>
    <s v="Repeat"/>
    <x v="0"/>
    <x v="1019"/>
  </r>
  <r>
    <x v="141"/>
    <x v="1012"/>
    <x v="0"/>
    <x v="12"/>
    <n v="23.02"/>
    <x v="2"/>
    <s v="Jul 2024"/>
    <n v="21"/>
    <s v="Repeat"/>
    <x v="0"/>
    <x v="1020"/>
  </r>
  <r>
    <x v="141"/>
    <x v="1013"/>
    <x v="0"/>
    <x v="12"/>
    <n v="23.02"/>
    <x v="2"/>
    <s v="Jul 2024"/>
    <n v="21"/>
    <s v="Repeat"/>
    <x v="0"/>
    <x v="1021"/>
  </r>
  <r>
    <x v="142"/>
    <x v="1014"/>
    <x v="0"/>
    <x v="97"/>
    <n v="27.92"/>
    <x v="3"/>
    <s v="Jul 2024"/>
    <n v="9"/>
    <s v="Repeat"/>
    <x v="0"/>
    <x v="1022"/>
  </r>
  <r>
    <x v="142"/>
    <x v="1015"/>
    <x v="0"/>
    <x v="385"/>
    <n v="27.92"/>
    <x v="3"/>
    <s v="Jul 2024"/>
    <n v="9"/>
    <s v="Repeat"/>
    <x v="0"/>
    <x v="1023"/>
  </r>
  <r>
    <x v="142"/>
    <x v="1016"/>
    <x v="0"/>
    <x v="402"/>
    <n v="18.12"/>
    <x v="6"/>
    <s v="Jul 2024"/>
    <n v="9"/>
    <s v="Repeat"/>
    <x v="0"/>
    <x v="1024"/>
  </r>
  <r>
    <x v="142"/>
    <x v="1017"/>
    <x v="0"/>
    <x v="379"/>
    <n v="32.82"/>
    <x v="7"/>
    <s v="Jul 2024"/>
    <n v="11"/>
    <s v="Repeat"/>
    <x v="0"/>
    <x v="1025"/>
  </r>
  <r>
    <x v="142"/>
    <x v="1018"/>
    <x v="0"/>
    <x v="399"/>
    <n v="32.82"/>
    <x v="0"/>
    <s v="Jul 2024"/>
    <n v="13"/>
    <s v="Repeat"/>
    <x v="0"/>
    <x v="1026"/>
  </r>
  <r>
    <x v="142"/>
    <x v="1019"/>
    <x v="0"/>
    <x v="12"/>
    <n v="18.12"/>
    <x v="6"/>
    <s v="Jul 2024"/>
    <n v="14"/>
    <s v="Repeat"/>
    <x v="0"/>
    <x v="1027"/>
  </r>
  <r>
    <x v="142"/>
    <x v="1020"/>
    <x v="0"/>
    <x v="8"/>
    <n v="32.82"/>
    <x v="0"/>
    <s v="Jul 2024"/>
    <n v="15"/>
    <s v="Repeat"/>
    <x v="0"/>
    <x v="1028"/>
  </r>
  <r>
    <x v="142"/>
    <x v="1021"/>
    <x v="0"/>
    <x v="205"/>
    <n v="32.82"/>
    <x v="7"/>
    <s v="Jul 2024"/>
    <n v="19"/>
    <s v="Repeat"/>
    <x v="0"/>
    <x v="1029"/>
  </r>
  <r>
    <x v="142"/>
    <x v="1022"/>
    <x v="0"/>
    <x v="205"/>
    <n v="32.82"/>
    <x v="7"/>
    <s v="Jul 2024"/>
    <n v="19"/>
    <s v="Repeat"/>
    <x v="0"/>
    <x v="1030"/>
  </r>
  <r>
    <x v="142"/>
    <x v="1023"/>
    <x v="0"/>
    <x v="40"/>
    <n v="27.92"/>
    <x v="3"/>
    <s v="Jul 2024"/>
    <n v="21"/>
    <s v="Repeat"/>
    <x v="0"/>
    <x v="1031"/>
  </r>
  <r>
    <x v="142"/>
    <x v="1024"/>
    <x v="0"/>
    <x v="40"/>
    <n v="23.02"/>
    <x v="2"/>
    <s v="Jul 2024"/>
    <n v="21"/>
    <s v="Repeat"/>
    <x v="0"/>
    <x v="1032"/>
  </r>
  <r>
    <x v="142"/>
    <x v="1025"/>
    <x v="0"/>
    <x v="12"/>
    <n v="23.02"/>
    <x v="2"/>
    <s v="Jul 2024"/>
    <n v="21"/>
    <s v="Repeat"/>
    <x v="0"/>
    <x v="1033"/>
  </r>
  <r>
    <x v="143"/>
    <x v="1026"/>
    <x v="0"/>
    <x v="12"/>
    <n v="23.02"/>
    <x v="2"/>
    <s v="Jul 2024"/>
    <n v="7"/>
    <s v="Repeat"/>
    <x v="0"/>
    <x v="1034"/>
  </r>
  <r>
    <x v="143"/>
    <x v="1027"/>
    <x v="0"/>
    <x v="399"/>
    <n v="32.82"/>
    <x v="0"/>
    <s v="Jul 2024"/>
    <n v="8"/>
    <s v="Repeat"/>
    <x v="0"/>
    <x v="1035"/>
  </r>
  <r>
    <x v="143"/>
    <x v="1028"/>
    <x v="0"/>
    <x v="385"/>
    <n v="27.92"/>
    <x v="3"/>
    <s v="Jul 2024"/>
    <n v="10"/>
    <s v="Repeat"/>
    <x v="0"/>
    <x v="1036"/>
  </r>
  <r>
    <x v="143"/>
    <x v="1029"/>
    <x v="0"/>
    <x v="375"/>
    <n v="23.02"/>
    <x v="2"/>
    <s v="Jul 2024"/>
    <n v="11"/>
    <s v="Repeat"/>
    <x v="0"/>
    <x v="1037"/>
  </r>
  <r>
    <x v="143"/>
    <x v="1030"/>
    <x v="0"/>
    <x v="403"/>
    <n v="32.82"/>
    <x v="7"/>
    <s v="Jul 2024"/>
    <n v="15"/>
    <s v="Single"/>
    <x v="1"/>
    <x v="1038"/>
  </r>
  <r>
    <x v="143"/>
    <x v="1031"/>
    <x v="0"/>
    <x v="257"/>
    <n v="32.82"/>
    <x v="7"/>
    <s v="Jul 2024"/>
    <n v="19"/>
    <s v="Repeat"/>
    <x v="0"/>
    <x v="1039"/>
  </r>
  <r>
    <x v="143"/>
    <x v="1032"/>
    <x v="0"/>
    <x v="404"/>
    <n v="23.02"/>
    <x v="5"/>
    <s v="Jul 2024"/>
    <n v="21"/>
    <s v="Repeat"/>
    <x v="0"/>
    <x v="1040"/>
  </r>
  <r>
    <x v="143"/>
    <x v="1033"/>
    <x v="0"/>
    <x v="404"/>
    <n v="18.12"/>
    <x v="6"/>
    <s v="Jul 2024"/>
    <n v="21"/>
    <s v="Repeat"/>
    <x v="0"/>
    <x v="1041"/>
  </r>
  <r>
    <x v="143"/>
    <x v="1034"/>
    <x v="0"/>
    <x v="328"/>
    <n v="23.02"/>
    <x v="5"/>
    <s v="Jul 2024"/>
    <n v="22"/>
    <s v="Repeat"/>
    <x v="0"/>
    <x v="1042"/>
  </r>
  <r>
    <x v="143"/>
    <x v="1035"/>
    <x v="0"/>
    <x v="405"/>
    <n v="32.82"/>
    <x v="4"/>
    <s v="Jul 2024"/>
    <n v="22"/>
    <s v="Single"/>
    <x v="1"/>
    <x v="1043"/>
  </r>
  <r>
    <x v="144"/>
    <x v="1036"/>
    <x v="0"/>
    <x v="406"/>
    <n v="32.82"/>
    <x v="0"/>
    <s v="Jul 2024"/>
    <n v="8"/>
    <s v="Repeat"/>
    <x v="0"/>
    <x v="1044"/>
  </r>
  <r>
    <x v="144"/>
    <x v="1037"/>
    <x v="0"/>
    <x v="97"/>
    <n v="27.92"/>
    <x v="3"/>
    <s v="Jul 2024"/>
    <n v="9"/>
    <s v="Repeat"/>
    <x v="0"/>
    <x v="1045"/>
  </r>
  <r>
    <x v="144"/>
    <x v="1038"/>
    <x v="0"/>
    <x v="59"/>
    <n v="18.12"/>
    <x v="6"/>
    <s v="Jul 2024"/>
    <n v="9"/>
    <s v="Repeat"/>
    <x v="0"/>
    <x v="1046"/>
  </r>
  <r>
    <x v="144"/>
    <x v="1039"/>
    <x v="0"/>
    <x v="407"/>
    <n v="23.02"/>
    <x v="5"/>
    <s v="Jul 2024"/>
    <n v="9"/>
    <s v="Repeat"/>
    <x v="0"/>
    <x v="1047"/>
  </r>
  <r>
    <x v="144"/>
    <x v="1040"/>
    <x v="0"/>
    <x v="407"/>
    <n v="23.02"/>
    <x v="5"/>
    <s v="Jul 2024"/>
    <n v="9"/>
    <s v="Repeat"/>
    <x v="0"/>
    <x v="1048"/>
  </r>
  <r>
    <x v="144"/>
    <x v="1041"/>
    <x v="0"/>
    <x v="408"/>
    <n v="32.82"/>
    <x v="0"/>
    <s v="Jul 2024"/>
    <n v="9"/>
    <s v="Repeat"/>
    <x v="0"/>
    <x v="1049"/>
  </r>
  <r>
    <x v="144"/>
    <x v="1042"/>
    <x v="0"/>
    <x v="408"/>
    <n v="32.82"/>
    <x v="0"/>
    <s v="Jul 2024"/>
    <n v="10"/>
    <s v="Repeat"/>
    <x v="0"/>
    <x v="1050"/>
  </r>
  <r>
    <x v="144"/>
    <x v="1043"/>
    <x v="0"/>
    <x v="385"/>
    <n v="27.92"/>
    <x v="3"/>
    <s v="Jul 2024"/>
    <n v="11"/>
    <s v="Repeat"/>
    <x v="0"/>
    <x v="1051"/>
  </r>
  <r>
    <x v="144"/>
    <x v="1044"/>
    <x v="0"/>
    <x v="379"/>
    <n v="27.92"/>
    <x v="3"/>
    <s v="Jul 2024"/>
    <n v="12"/>
    <s v="Repeat"/>
    <x v="0"/>
    <x v="1052"/>
  </r>
  <r>
    <x v="144"/>
    <x v="1045"/>
    <x v="0"/>
    <x v="339"/>
    <n v="32.82"/>
    <x v="7"/>
    <s v="Jul 2024"/>
    <n v="12"/>
    <s v="Repeat"/>
    <x v="0"/>
    <x v="1053"/>
  </r>
  <r>
    <x v="144"/>
    <x v="1046"/>
    <x v="0"/>
    <x v="339"/>
    <n v="32.82"/>
    <x v="7"/>
    <s v="Jul 2024"/>
    <n v="12"/>
    <s v="Repeat"/>
    <x v="0"/>
    <x v="1054"/>
  </r>
  <r>
    <x v="144"/>
    <x v="1047"/>
    <x v="0"/>
    <x v="409"/>
    <n v="32.82"/>
    <x v="0"/>
    <s v="Jul 2024"/>
    <n v="13"/>
    <s v="Repeat"/>
    <x v="0"/>
    <x v="1055"/>
  </r>
  <r>
    <x v="144"/>
    <x v="1048"/>
    <x v="0"/>
    <x v="410"/>
    <n v="23.02"/>
    <x v="2"/>
    <s v="Jul 2024"/>
    <n v="17"/>
    <s v="Single"/>
    <x v="1"/>
    <x v="1056"/>
  </r>
  <r>
    <x v="144"/>
    <x v="1049"/>
    <x v="0"/>
    <x v="411"/>
    <n v="32.82"/>
    <x v="7"/>
    <s v="Jul 2024"/>
    <n v="17"/>
    <s v="Single"/>
    <x v="1"/>
    <x v="1057"/>
  </r>
  <r>
    <x v="144"/>
    <x v="1050"/>
    <x v="0"/>
    <x v="8"/>
    <n v="32.82"/>
    <x v="0"/>
    <s v="Jul 2024"/>
    <n v="21"/>
    <s v="Repeat"/>
    <x v="0"/>
    <x v="1058"/>
  </r>
  <r>
    <x v="144"/>
    <x v="1051"/>
    <x v="0"/>
    <x v="412"/>
    <n v="27.92"/>
    <x v="3"/>
    <s v="Jul 2024"/>
    <n v="22"/>
    <s v="Single"/>
    <x v="1"/>
    <x v="1059"/>
  </r>
  <r>
    <x v="145"/>
    <x v="1052"/>
    <x v="0"/>
    <x v="97"/>
    <n v="32.82"/>
    <x v="7"/>
    <s v="Jul 2024"/>
    <n v="9"/>
    <s v="Repeat"/>
    <x v="0"/>
    <x v="1060"/>
  </r>
  <r>
    <x v="145"/>
    <x v="1053"/>
    <x v="0"/>
    <x v="413"/>
    <n v="27.92"/>
    <x v="3"/>
    <s v="Jul 2024"/>
    <n v="11"/>
    <s v="Single"/>
    <x v="1"/>
    <x v="1061"/>
  </r>
  <r>
    <x v="145"/>
    <x v="1054"/>
    <x v="0"/>
    <x v="59"/>
    <n v="27.92"/>
    <x v="3"/>
    <s v="Jul 2024"/>
    <n v="12"/>
    <s v="Repeat"/>
    <x v="0"/>
    <x v="1062"/>
  </r>
  <r>
    <x v="145"/>
    <x v="1055"/>
    <x v="0"/>
    <x v="40"/>
    <n v="18.12"/>
    <x v="6"/>
    <s v="Jul 2024"/>
    <n v="12"/>
    <s v="Repeat"/>
    <x v="0"/>
    <x v="1063"/>
  </r>
  <r>
    <x v="145"/>
    <x v="1056"/>
    <x v="0"/>
    <x v="59"/>
    <n v="27.92"/>
    <x v="3"/>
    <s v="Jul 2024"/>
    <n v="12"/>
    <s v="Repeat"/>
    <x v="0"/>
    <x v="1064"/>
  </r>
  <r>
    <x v="145"/>
    <x v="1057"/>
    <x v="0"/>
    <x v="225"/>
    <n v="18.12"/>
    <x v="6"/>
    <s v="Jul 2024"/>
    <n v="14"/>
    <s v="Repeat"/>
    <x v="0"/>
    <x v="1065"/>
  </r>
  <r>
    <x v="145"/>
    <x v="1058"/>
    <x v="0"/>
    <x v="77"/>
    <n v="32.82"/>
    <x v="0"/>
    <s v="Jul 2024"/>
    <n v="14"/>
    <s v="Repeat"/>
    <x v="0"/>
    <x v="1066"/>
  </r>
  <r>
    <x v="145"/>
    <x v="1059"/>
    <x v="0"/>
    <x v="414"/>
    <n v="32.82"/>
    <x v="7"/>
    <s v="Jul 2024"/>
    <n v="17"/>
    <s v="Repeat"/>
    <x v="0"/>
    <x v="1067"/>
  </r>
  <r>
    <x v="145"/>
    <x v="1060"/>
    <x v="0"/>
    <x v="415"/>
    <n v="32.82"/>
    <x v="7"/>
    <s v="Jul 2024"/>
    <n v="17"/>
    <s v="Single"/>
    <x v="1"/>
    <x v="1068"/>
  </r>
  <r>
    <x v="145"/>
    <x v="1061"/>
    <x v="0"/>
    <x v="416"/>
    <n v="27.92"/>
    <x v="3"/>
    <s v="Jul 2024"/>
    <n v="17"/>
    <s v="Repeat"/>
    <x v="0"/>
    <x v="1069"/>
  </r>
  <r>
    <x v="145"/>
    <x v="1062"/>
    <x v="0"/>
    <x v="416"/>
    <n v="27.92"/>
    <x v="3"/>
    <s v="Jul 2024"/>
    <n v="17"/>
    <s v="Repeat"/>
    <x v="0"/>
    <x v="1070"/>
  </r>
  <r>
    <x v="145"/>
    <x v="1063"/>
    <x v="0"/>
    <x v="8"/>
    <n v="32.82"/>
    <x v="0"/>
    <s v="Jul 2024"/>
    <n v="20"/>
    <s v="Repeat"/>
    <x v="0"/>
    <x v="1071"/>
  </r>
  <r>
    <x v="145"/>
    <x v="1064"/>
    <x v="0"/>
    <x v="417"/>
    <n v="32.82"/>
    <x v="7"/>
    <s v="Jul 2024"/>
    <n v="22"/>
    <s v="Single"/>
    <x v="1"/>
    <x v="1072"/>
  </r>
  <r>
    <x v="146"/>
    <x v="1065"/>
    <x v="0"/>
    <x v="12"/>
    <n v="18.12"/>
    <x v="6"/>
    <s v="Jul 2024"/>
    <n v="11"/>
    <s v="Repeat"/>
    <x v="0"/>
    <x v="1073"/>
  </r>
  <r>
    <x v="146"/>
    <x v="1066"/>
    <x v="0"/>
    <x v="276"/>
    <n v="27.92"/>
    <x v="3"/>
    <s v="Jul 2024"/>
    <n v="14"/>
    <s v="Repeat"/>
    <x v="0"/>
    <x v="1074"/>
  </r>
  <r>
    <x v="146"/>
    <x v="1067"/>
    <x v="0"/>
    <x v="276"/>
    <n v="32.82"/>
    <x v="0"/>
    <s v="Jul 2024"/>
    <n v="14"/>
    <s v="Repeat"/>
    <x v="0"/>
    <x v="1075"/>
  </r>
  <r>
    <x v="147"/>
    <x v="1068"/>
    <x v="0"/>
    <x v="418"/>
    <n v="32.82"/>
    <x v="0"/>
    <s v="Jul 2024"/>
    <n v="8"/>
    <s v="Single"/>
    <x v="1"/>
    <x v="1076"/>
  </r>
  <r>
    <x v="147"/>
    <x v="1069"/>
    <x v="0"/>
    <x v="12"/>
    <n v="23.02"/>
    <x v="2"/>
    <s v="Jul 2024"/>
    <n v="9"/>
    <s v="Repeat"/>
    <x v="0"/>
    <x v="1077"/>
  </r>
  <r>
    <x v="147"/>
    <x v="1070"/>
    <x v="0"/>
    <x v="97"/>
    <n v="27.92"/>
    <x v="3"/>
    <s v="Jul 2024"/>
    <n v="9"/>
    <s v="Repeat"/>
    <x v="0"/>
    <x v="1078"/>
  </r>
  <r>
    <x v="147"/>
    <x v="1071"/>
    <x v="0"/>
    <x v="2"/>
    <n v="23.02"/>
    <x v="2"/>
    <s v="Jul 2024"/>
    <n v="9"/>
    <s v="Repeat"/>
    <x v="0"/>
    <x v="1079"/>
  </r>
  <r>
    <x v="147"/>
    <x v="1072"/>
    <x v="0"/>
    <x v="419"/>
    <n v="27.92"/>
    <x v="3"/>
    <s v="Jul 2024"/>
    <n v="9"/>
    <s v="Repeat"/>
    <x v="0"/>
    <x v="1080"/>
  </r>
  <r>
    <x v="147"/>
    <x v="1073"/>
    <x v="0"/>
    <x v="420"/>
    <n v="32.82"/>
    <x v="7"/>
    <s v="Jul 2024"/>
    <n v="9"/>
    <s v="Repeat"/>
    <x v="0"/>
    <x v="1081"/>
  </r>
  <r>
    <x v="147"/>
    <x v="1074"/>
    <x v="0"/>
    <x v="421"/>
    <n v="32.82"/>
    <x v="1"/>
    <s v="Jul 2024"/>
    <n v="10"/>
    <s v="Repeat"/>
    <x v="0"/>
    <x v="1082"/>
  </r>
  <r>
    <x v="147"/>
    <x v="220"/>
    <x v="0"/>
    <x v="421"/>
    <n v="32.82"/>
    <x v="1"/>
    <s v="Jul 2024"/>
    <n v="10"/>
    <s v="Repeat"/>
    <x v="0"/>
    <x v="1083"/>
  </r>
  <r>
    <x v="147"/>
    <x v="1075"/>
    <x v="0"/>
    <x v="422"/>
    <n v="32.82"/>
    <x v="7"/>
    <s v="Jul 2024"/>
    <n v="19"/>
    <s v="Single"/>
    <x v="1"/>
    <x v="1084"/>
  </r>
  <r>
    <x v="147"/>
    <x v="1076"/>
    <x v="0"/>
    <x v="99"/>
    <n v="23.02"/>
    <x v="2"/>
    <s v="Jul 2024"/>
    <n v="19"/>
    <s v="Repeat"/>
    <x v="0"/>
    <x v="1085"/>
  </r>
  <r>
    <x v="147"/>
    <x v="1077"/>
    <x v="0"/>
    <x v="328"/>
    <n v="32.82"/>
    <x v="4"/>
    <s v="Jul 2024"/>
    <n v="21"/>
    <s v="Repeat"/>
    <x v="0"/>
    <x v="1086"/>
  </r>
  <r>
    <x v="148"/>
    <x v="1078"/>
    <x v="0"/>
    <x v="423"/>
    <n v="27.92"/>
    <x v="3"/>
    <s v="Jul 2024"/>
    <n v="7"/>
    <s v="Repeat"/>
    <x v="0"/>
    <x v="1087"/>
  </r>
  <r>
    <x v="148"/>
    <x v="1079"/>
    <x v="0"/>
    <x v="424"/>
    <n v="23.02"/>
    <x v="5"/>
    <s v="Jul 2024"/>
    <n v="8"/>
    <s v="Repeat"/>
    <x v="0"/>
    <x v="1088"/>
  </r>
  <r>
    <x v="148"/>
    <x v="1080"/>
    <x v="0"/>
    <x v="425"/>
    <n v="32.82"/>
    <x v="7"/>
    <s v="Jul 2024"/>
    <n v="8"/>
    <s v="Repeat"/>
    <x v="0"/>
    <x v="1089"/>
  </r>
  <r>
    <x v="148"/>
    <x v="1081"/>
    <x v="0"/>
    <x v="97"/>
    <n v="27.92"/>
    <x v="3"/>
    <s v="Jul 2024"/>
    <n v="9"/>
    <s v="Repeat"/>
    <x v="0"/>
    <x v="1090"/>
  </r>
  <r>
    <x v="148"/>
    <x v="1082"/>
    <x v="0"/>
    <x v="141"/>
    <n v="23.02"/>
    <x v="5"/>
    <s v="Jul 2024"/>
    <n v="10"/>
    <s v="Repeat"/>
    <x v="0"/>
    <x v="1091"/>
  </r>
  <r>
    <x v="148"/>
    <x v="1083"/>
    <x v="0"/>
    <x v="276"/>
    <n v="27.92"/>
    <x v="3"/>
    <s v="Jul 2024"/>
    <n v="10"/>
    <s v="Repeat"/>
    <x v="0"/>
    <x v="1092"/>
  </r>
  <r>
    <x v="148"/>
    <x v="1084"/>
    <x v="0"/>
    <x v="250"/>
    <n v="32.82"/>
    <x v="0"/>
    <s v="Jul 2024"/>
    <n v="10"/>
    <s v="Repeat"/>
    <x v="0"/>
    <x v="1093"/>
  </r>
  <r>
    <x v="148"/>
    <x v="1085"/>
    <x v="0"/>
    <x v="426"/>
    <n v="23.02"/>
    <x v="2"/>
    <s v="Jul 2024"/>
    <n v="11"/>
    <s v="Repeat"/>
    <x v="0"/>
    <x v="1094"/>
  </r>
  <r>
    <x v="148"/>
    <x v="1086"/>
    <x v="0"/>
    <x v="426"/>
    <n v="18.12"/>
    <x v="6"/>
    <s v="Jul 2024"/>
    <n v="11"/>
    <s v="Repeat"/>
    <x v="0"/>
    <x v="1095"/>
  </r>
  <r>
    <x v="148"/>
    <x v="1087"/>
    <x v="0"/>
    <x v="427"/>
    <n v="27.92"/>
    <x v="3"/>
    <s v="Jul 2024"/>
    <n v="11"/>
    <s v="Repeat"/>
    <x v="0"/>
    <x v="1096"/>
  </r>
  <r>
    <x v="148"/>
    <x v="1088"/>
    <x v="0"/>
    <x v="428"/>
    <n v="27.92"/>
    <x v="3"/>
    <s v="Jul 2024"/>
    <n v="11"/>
    <s v="Single"/>
    <x v="1"/>
    <x v="1097"/>
  </r>
  <r>
    <x v="148"/>
    <x v="1089"/>
    <x v="0"/>
    <x v="429"/>
    <n v="27.92"/>
    <x v="3"/>
    <s v="Jul 2024"/>
    <n v="11"/>
    <s v="Repeat"/>
    <x v="0"/>
    <x v="1098"/>
  </r>
  <r>
    <x v="148"/>
    <x v="1090"/>
    <x v="0"/>
    <x v="430"/>
    <n v="27.92"/>
    <x v="3"/>
    <s v="Jul 2024"/>
    <n v="11"/>
    <s v="Single"/>
    <x v="1"/>
    <x v="1099"/>
  </r>
  <r>
    <x v="148"/>
    <x v="1091"/>
    <x v="0"/>
    <x v="431"/>
    <n v="32.82"/>
    <x v="0"/>
    <s v="Jul 2024"/>
    <n v="12"/>
    <s v="Single"/>
    <x v="1"/>
    <x v="1100"/>
  </r>
  <r>
    <x v="148"/>
    <x v="1092"/>
    <x v="0"/>
    <x v="432"/>
    <n v="27.92"/>
    <x v="3"/>
    <s v="Jul 2024"/>
    <n v="15"/>
    <s v="Single"/>
    <x v="1"/>
    <x v="1101"/>
  </r>
  <r>
    <x v="148"/>
    <x v="1093"/>
    <x v="0"/>
    <x v="433"/>
    <n v="23.02"/>
    <x v="5"/>
    <s v="Jul 2024"/>
    <n v="16"/>
    <s v="Repeat"/>
    <x v="0"/>
    <x v="1102"/>
  </r>
  <r>
    <x v="148"/>
    <x v="1094"/>
    <x v="0"/>
    <x v="433"/>
    <n v="27.92"/>
    <x v="3"/>
    <s v="Jul 2024"/>
    <n v="16"/>
    <s v="Repeat"/>
    <x v="0"/>
    <x v="1103"/>
  </r>
  <r>
    <x v="148"/>
    <x v="1095"/>
    <x v="0"/>
    <x v="434"/>
    <n v="18.12"/>
    <x v="6"/>
    <s v="Jul 2024"/>
    <n v="20"/>
    <s v="Single"/>
    <x v="1"/>
    <x v="1104"/>
  </r>
  <r>
    <x v="148"/>
    <x v="1096"/>
    <x v="0"/>
    <x v="97"/>
    <n v="27.92"/>
    <x v="3"/>
    <s v="Jul 2024"/>
    <n v="20"/>
    <s v="Repeat"/>
    <x v="0"/>
    <x v="1105"/>
  </r>
  <r>
    <x v="148"/>
    <x v="1097"/>
    <x v="0"/>
    <x v="97"/>
    <n v="27.92"/>
    <x v="3"/>
    <s v="Jul 2024"/>
    <n v="20"/>
    <s v="Repeat"/>
    <x v="0"/>
    <x v="1106"/>
  </r>
  <r>
    <x v="148"/>
    <x v="1098"/>
    <x v="0"/>
    <x v="347"/>
    <n v="27.92"/>
    <x v="3"/>
    <s v="Jul 2024"/>
    <n v="20"/>
    <s v="Repeat"/>
    <x v="0"/>
    <x v="1107"/>
  </r>
  <r>
    <x v="148"/>
    <x v="1099"/>
    <x v="0"/>
    <x v="435"/>
    <n v="32.82"/>
    <x v="0"/>
    <s v="Jul 2024"/>
    <n v="21"/>
    <s v="Single"/>
    <x v="1"/>
    <x v="1108"/>
  </r>
  <r>
    <x v="148"/>
    <x v="1100"/>
    <x v="0"/>
    <x v="436"/>
    <n v="23.02"/>
    <x v="2"/>
    <s v="Jul 2024"/>
    <n v="22"/>
    <s v="Repeat"/>
    <x v="0"/>
    <x v="1109"/>
  </r>
  <r>
    <x v="148"/>
    <x v="1101"/>
    <x v="0"/>
    <x v="436"/>
    <n v="32.82"/>
    <x v="7"/>
    <s v="Jul 2024"/>
    <n v="22"/>
    <s v="Repeat"/>
    <x v="0"/>
    <x v="1110"/>
  </r>
  <r>
    <x v="149"/>
    <x v="1102"/>
    <x v="0"/>
    <x v="423"/>
    <n v="27.92"/>
    <x v="3"/>
    <s v="Jul 2024"/>
    <n v="7"/>
    <s v="Repeat"/>
    <x v="0"/>
    <x v="1111"/>
  </r>
  <r>
    <x v="149"/>
    <x v="1103"/>
    <x v="0"/>
    <x v="437"/>
    <n v="27.92"/>
    <x v="3"/>
    <s v="Jul 2024"/>
    <n v="8"/>
    <s v="Repeat"/>
    <x v="0"/>
    <x v="1112"/>
  </r>
  <r>
    <x v="149"/>
    <x v="1104"/>
    <x v="0"/>
    <x v="437"/>
    <n v="27.92"/>
    <x v="3"/>
    <s v="Jul 2024"/>
    <n v="8"/>
    <s v="Repeat"/>
    <x v="0"/>
    <x v="1113"/>
  </r>
  <r>
    <x v="149"/>
    <x v="1105"/>
    <x v="0"/>
    <x v="388"/>
    <n v="23.02"/>
    <x v="2"/>
    <s v="Jul 2024"/>
    <n v="9"/>
    <s v="Repeat"/>
    <x v="0"/>
    <x v="1114"/>
  </r>
  <r>
    <x v="149"/>
    <x v="1106"/>
    <x v="0"/>
    <x v="388"/>
    <n v="23.02"/>
    <x v="2"/>
    <s v="Jul 2024"/>
    <n v="9"/>
    <s v="Repeat"/>
    <x v="0"/>
    <x v="1115"/>
  </r>
  <r>
    <x v="149"/>
    <x v="1107"/>
    <x v="0"/>
    <x v="276"/>
    <n v="27.92"/>
    <x v="3"/>
    <s v="Jul 2024"/>
    <n v="9"/>
    <s v="Repeat"/>
    <x v="0"/>
    <x v="1116"/>
  </r>
  <r>
    <x v="149"/>
    <x v="1108"/>
    <x v="0"/>
    <x v="384"/>
    <n v="32.82"/>
    <x v="4"/>
    <s v="Jul 2024"/>
    <n v="13"/>
    <s v="Repeat"/>
    <x v="0"/>
    <x v="1117"/>
  </r>
  <r>
    <x v="149"/>
    <x v="1109"/>
    <x v="0"/>
    <x v="384"/>
    <n v="32.82"/>
    <x v="0"/>
    <s v="Jul 2024"/>
    <n v="13"/>
    <s v="Repeat"/>
    <x v="0"/>
    <x v="1118"/>
  </r>
  <r>
    <x v="149"/>
    <x v="1110"/>
    <x v="0"/>
    <x v="438"/>
    <n v="27.92"/>
    <x v="3"/>
    <s v="Jul 2024"/>
    <n v="13"/>
    <s v="Single"/>
    <x v="1"/>
    <x v="1119"/>
  </r>
  <r>
    <x v="149"/>
    <x v="1111"/>
    <x v="0"/>
    <x v="439"/>
    <n v="23.02"/>
    <x v="5"/>
    <s v="Jul 2024"/>
    <n v="17"/>
    <s v="Single"/>
    <x v="1"/>
    <x v="1120"/>
  </r>
  <r>
    <x v="149"/>
    <x v="1112"/>
    <x v="0"/>
    <x v="440"/>
    <n v="32.82"/>
    <x v="0"/>
    <s v="Jul 2024"/>
    <n v="18"/>
    <s v="Repeat"/>
    <x v="0"/>
    <x v="1121"/>
  </r>
  <r>
    <x v="149"/>
    <x v="1113"/>
    <x v="0"/>
    <x v="441"/>
    <n v="23.02"/>
    <x v="5"/>
    <s v="Jul 2024"/>
    <n v="19"/>
    <s v="Single"/>
    <x v="1"/>
    <x v="1122"/>
  </r>
  <r>
    <x v="149"/>
    <x v="1114"/>
    <x v="0"/>
    <x v="8"/>
    <n v="32.82"/>
    <x v="0"/>
    <s v="Jul 2024"/>
    <n v="19"/>
    <s v="Repeat"/>
    <x v="0"/>
    <x v="1123"/>
  </r>
  <r>
    <x v="149"/>
    <x v="1115"/>
    <x v="0"/>
    <x v="442"/>
    <n v="32.82"/>
    <x v="4"/>
    <s v="Jul 2024"/>
    <n v="20"/>
    <s v="Repeat"/>
    <x v="0"/>
    <x v="1124"/>
  </r>
  <r>
    <x v="149"/>
    <x v="1116"/>
    <x v="0"/>
    <x v="443"/>
    <n v="23.02"/>
    <x v="5"/>
    <s v="Jul 2024"/>
    <n v="20"/>
    <s v="Repeat"/>
    <x v="0"/>
    <x v="1125"/>
  </r>
  <r>
    <x v="149"/>
    <x v="1117"/>
    <x v="0"/>
    <x v="443"/>
    <n v="32.82"/>
    <x v="0"/>
    <s v="Jul 2024"/>
    <n v="20"/>
    <s v="Repeat"/>
    <x v="0"/>
    <x v="1126"/>
  </r>
  <r>
    <x v="149"/>
    <x v="1118"/>
    <x v="0"/>
    <x v="153"/>
    <n v="32.82"/>
    <x v="7"/>
    <s v="Jul 2024"/>
    <n v="20"/>
    <s v="Repeat"/>
    <x v="0"/>
    <x v="1127"/>
  </r>
  <r>
    <x v="149"/>
    <x v="1119"/>
    <x v="0"/>
    <x v="443"/>
    <n v="23.02"/>
    <x v="5"/>
    <s v="Jul 2024"/>
    <n v="20"/>
    <s v="Repeat"/>
    <x v="0"/>
    <x v="1128"/>
  </r>
  <r>
    <x v="149"/>
    <x v="1120"/>
    <x v="0"/>
    <x v="40"/>
    <n v="27.92"/>
    <x v="3"/>
    <s v="Jul 2024"/>
    <n v="20"/>
    <s v="Repeat"/>
    <x v="0"/>
    <x v="1129"/>
  </r>
  <r>
    <x v="149"/>
    <x v="1121"/>
    <x v="0"/>
    <x v="444"/>
    <n v="32.82"/>
    <x v="0"/>
    <s v="Jul 2024"/>
    <n v="21"/>
    <s v="Single"/>
    <x v="1"/>
    <x v="1130"/>
  </r>
  <r>
    <x v="149"/>
    <x v="1122"/>
    <x v="0"/>
    <x v="445"/>
    <n v="32.82"/>
    <x v="0"/>
    <s v="Jul 2024"/>
    <n v="21"/>
    <s v="Repeat"/>
    <x v="0"/>
    <x v="1131"/>
  </r>
  <r>
    <x v="149"/>
    <x v="1123"/>
    <x v="0"/>
    <x v="446"/>
    <n v="32.82"/>
    <x v="0"/>
    <s v="Jul 2024"/>
    <n v="21"/>
    <s v="Single"/>
    <x v="1"/>
    <x v="1132"/>
  </r>
  <r>
    <x v="150"/>
    <x v="1124"/>
    <x v="0"/>
    <x v="423"/>
    <n v="27.92"/>
    <x v="3"/>
    <s v="Aug 2024"/>
    <n v="7"/>
    <s v="Repeat"/>
    <x v="0"/>
    <x v="1133"/>
  </r>
  <r>
    <x v="150"/>
    <x v="1125"/>
    <x v="0"/>
    <x v="276"/>
    <n v="27.92"/>
    <x v="3"/>
    <s v="Aug 2024"/>
    <n v="9"/>
    <s v="Repeat"/>
    <x v="0"/>
    <x v="1134"/>
  </r>
  <r>
    <x v="150"/>
    <x v="1126"/>
    <x v="0"/>
    <x v="97"/>
    <n v="27.92"/>
    <x v="3"/>
    <s v="Aug 2024"/>
    <n v="11"/>
    <s v="Repeat"/>
    <x v="0"/>
    <x v="1135"/>
  </r>
  <r>
    <x v="150"/>
    <x v="1127"/>
    <x v="0"/>
    <x v="447"/>
    <n v="27.92"/>
    <x v="3"/>
    <s v="Aug 2024"/>
    <n v="11"/>
    <s v="Single"/>
    <x v="1"/>
    <x v="1136"/>
  </r>
  <r>
    <x v="150"/>
    <x v="1128"/>
    <x v="0"/>
    <x v="448"/>
    <n v="23.02"/>
    <x v="5"/>
    <s v="Aug 2024"/>
    <n v="13"/>
    <s v="Repeat"/>
    <x v="0"/>
    <x v="1137"/>
  </r>
  <r>
    <x v="150"/>
    <x v="1129"/>
    <x v="0"/>
    <x v="448"/>
    <n v="32.82"/>
    <x v="7"/>
    <s v="Aug 2024"/>
    <n v="13"/>
    <s v="Repeat"/>
    <x v="0"/>
    <x v="1138"/>
  </r>
  <r>
    <x v="150"/>
    <x v="1130"/>
    <x v="0"/>
    <x v="449"/>
    <n v="32.82"/>
    <x v="7"/>
    <s v="Aug 2024"/>
    <n v="13"/>
    <s v="Single"/>
    <x v="1"/>
    <x v="1139"/>
  </r>
  <r>
    <x v="150"/>
    <x v="1131"/>
    <x v="0"/>
    <x v="423"/>
    <n v="27.92"/>
    <x v="3"/>
    <s v="Aug 2024"/>
    <n v="15"/>
    <s v="Repeat"/>
    <x v="0"/>
    <x v="1140"/>
  </r>
  <r>
    <x v="150"/>
    <x v="1132"/>
    <x v="0"/>
    <x v="450"/>
    <n v="27.92"/>
    <x v="3"/>
    <s v="Aug 2024"/>
    <n v="16"/>
    <s v="Repeat"/>
    <x v="0"/>
    <x v="1141"/>
  </r>
  <r>
    <x v="150"/>
    <x v="1133"/>
    <x v="0"/>
    <x v="450"/>
    <n v="23.02"/>
    <x v="2"/>
    <s v="Aug 2024"/>
    <n v="16"/>
    <s v="Repeat"/>
    <x v="0"/>
    <x v="1142"/>
  </r>
  <r>
    <x v="150"/>
    <x v="1134"/>
    <x v="0"/>
    <x v="451"/>
    <n v="23.02"/>
    <x v="2"/>
    <s v="Aug 2024"/>
    <n v="17"/>
    <s v="Single"/>
    <x v="1"/>
    <x v="1143"/>
  </r>
  <r>
    <x v="150"/>
    <x v="1135"/>
    <x v="0"/>
    <x v="452"/>
    <n v="32.82"/>
    <x v="7"/>
    <s v="Aug 2024"/>
    <n v="20"/>
    <s v="Single"/>
    <x v="1"/>
    <x v="1144"/>
  </r>
  <r>
    <x v="151"/>
    <x v="1136"/>
    <x v="0"/>
    <x v="453"/>
    <n v="27.92"/>
    <x v="3"/>
    <s v="Aug 2024"/>
    <n v="9"/>
    <s v="Repeat"/>
    <x v="0"/>
    <x v="1145"/>
  </r>
  <r>
    <x v="151"/>
    <x v="1137"/>
    <x v="0"/>
    <x v="97"/>
    <n v="27.92"/>
    <x v="3"/>
    <s v="Aug 2024"/>
    <n v="9"/>
    <s v="Repeat"/>
    <x v="0"/>
    <x v="1146"/>
  </r>
  <r>
    <x v="151"/>
    <x v="1138"/>
    <x v="0"/>
    <x v="141"/>
    <n v="23.02"/>
    <x v="5"/>
    <s v="Aug 2024"/>
    <n v="11"/>
    <s v="Repeat"/>
    <x v="0"/>
    <x v="1147"/>
  </r>
  <r>
    <x v="151"/>
    <x v="1139"/>
    <x v="0"/>
    <x v="454"/>
    <n v="27.92"/>
    <x v="3"/>
    <s v="Aug 2024"/>
    <n v="18"/>
    <s v="Single"/>
    <x v="1"/>
    <x v="1148"/>
  </r>
  <r>
    <x v="151"/>
    <x v="1140"/>
    <x v="0"/>
    <x v="8"/>
    <n v="32.82"/>
    <x v="0"/>
    <s v="Aug 2024"/>
    <n v="21"/>
    <s v="Repeat"/>
    <x v="0"/>
    <x v="1149"/>
  </r>
  <r>
    <x v="152"/>
    <x v="1141"/>
    <x v="0"/>
    <x v="97"/>
    <n v="27.92"/>
    <x v="3"/>
    <s v="Aug 2024"/>
    <n v="8"/>
    <s v="Repeat"/>
    <x v="0"/>
    <x v="1150"/>
  </r>
  <r>
    <x v="152"/>
    <x v="1142"/>
    <x v="0"/>
    <x v="401"/>
    <n v="27.92"/>
    <x v="3"/>
    <s v="Aug 2024"/>
    <n v="9"/>
    <s v="Repeat"/>
    <x v="0"/>
    <x v="1151"/>
  </r>
  <r>
    <x v="152"/>
    <x v="1143"/>
    <x v="0"/>
    <x v="401"/>
    <n v="27.92"/>
    <x v="3"/>
    <s v="Aug 2024"/>
    <n v="9"/>
    <s v="Repeat"/>
    <x v="0"/>
    <x v="1152"/>
  </r>
  <r>
    <x v="152"/>
    <x v="1144"/>
    <x v="0"/>
    <x v="304"/>
    <n v="27.92"/>
    <x v="3"/>
    <s v="Aug 2024"/>
    <n v="10"/>
    <s v="Repeat"/>
    <x v="0"/>
    <x v="1153"/>
  </r>
  <r>
    <x v="152"/>
    <x v="1145"/>
    <x v="0"/>
    <x v="455"/>
    <n v="23.02"/>
    <x v="5"/>
    <s v="Aug 2024"/>
    <n v="11"/>
    <s v="Repeat"/>
    <x v="0"/>
    <x v="1154"/>
  </r>
  <r>
    <x v="152"/>
    <x v="1146"/>
    <x v="0"/>
    <x v="455"/>
    <n v="23.02"/>
    <x v="5"/>
    <s v="Aug 2024"/>
    <n v="11"/>
    <s v="Repeat"/>
    <x v="0"/>
    <x v="1155"/>
  </r>
  <r>
    <x v="152"/>
    <x v="1147"/>
    <x v="0"/>
    <x v="40"/>
    <n v="18.12"/>
    <x v="6"/>
    <s v="Aug 2024"/>
    <n v="11"/>
    <s v="Repeat"/>
    <x v="0"/>
    <x v="1156"/>
  </r>
  <r>
    <x v="152"/>
    <x v="1148"/>
    <x v="0"/>
    <x v="40"/>
    <n v="27.92"/>
    <x v="3"/>
    <s v="Aug 2024"/>
    <n v="11"/>
    <s v="Repeat"/>
    <x v="0"/>
    <x v="1157"/>
  </r>
  <r>
    <x v="152"/>
    <x v="1149"/>
    <x v="0"/>
    <x v="40"/>
    <n v="27.92"/>
    <x v="3"/>
    <s v="Aug 2024"/>
    <n v="12"/>
    <s v="Repeat"/>
    <x v="0"/>
    <x v="1158"/>
  </r>
  <r>
    <x v="152"/>
    <x v="1150"/>
    <x v="0"/>
    <x v="322"/>
    <n v="27.92"/>
    <x v="3"/>
    <s v="Aug 2024"/>
    <n v="16"/>
    <s v="Repeat"/>
    <x v="0"/>
    <x v="1159"/>
  </r>
  <r>
    <x v="152"/>
    <x v="1151"/>
    <x v="0"/>
    <x v="456"/>
    <n v="32.82"/>
    <x v="7"/>
    <s v="Aug 2024"/>
    <n v="18"/>
    <s v="Repeat"/>
    <x v="0"/>
    <x v="1160"/>
  </r>
  <r>
    <x v="152"/>
    <x v="1152"/>
    <x v="0"/>
    <x v="457"/>
    <n v="32.82"/>
    <x v="0"/>
    <s v="Aug 2024"/>
    <n v="21"/>
    <s v="Repeat"/>
    <x v="0"/>
    <x v="1161"/>
  </r>
  <r>
    <x v="152"/>
    <x v="1153"/>
    <x v="0"/>
    <x v="457"/>
    <n v="32.82"/>
    <x v="0"/>
    <s v="Aug 2024"/>
    <n v="21"/>
    <s v="Repeat"/>
    <x v="0"/>
    <x v="1162"/>
  </r>
  <r>
    <x v="153"/>
    <x v="1154"/>
    <x v="0"/>
    <x v="458"/>
    <n v="32.82"/>
    <x v="7"/>
    <s v="Aug 2024"/>
    <n v="8"/>
    <s v="Single"/>
    <x v="1"/>
    <x v="1163"/>
  </r>
  <r>
    <x v="153"/>
    <x v="1155"/>
    <x v="0"/>
    <x v="40"/>
    <n v="27.92"/>
    <x v="3"/>
    <s v="Aug 2024"/>
    <n v="10"/>
    <s v="Repeat"/>
    <x v="0"/>
    <x v="1164"/>
  </r>
  <r>
    <x v="153"/>
    <x v="1156"/>
    <x v="0"/>
    <x v="258"/>
    <n v="32.82"/>
    <x v="7"/>
    <s v="Aug 2024"/>
    <n v="11"/>
    <s v="Repeat"/>
    <x v="0"/>
    <x v="1165"/>
  </r>
  <r>
    <x v="153"/>
    <x v="1157"/>
    <x v="0"/>
    <x v="258"/>
    <n v="27.92"/>
    <x v="3"/>
    <s v="Aug 2024"/>
    <n v="11"/>
    <s v="Repeat"/>
    <x v="0"/>
    <x v="1166"/>
  </r>
  <r>
    <x v="153"/>
    <x v="1158"/>
    <x v="0"/>
    <x v="268"/>
    <n v="32.82"/>
    <x v="7"/>
    <s v="Aug 2024"/>
    <n v="15"/>
    <s v="Repeat"/>
    <x v="0"/>
    <x v="1167"/>
  </r>
  <r>
    <x v="153"/>
    <x v="1159"/>
    <x v="0"/>
    <x v="268"/>
    <n v="32.82"/>
    <x v="7"/>
    <s v="Aug 2024"/>
    <n v="15"/>
    <s v="Repeat"/>
    <x v="0"/>
    <x v="1168"/>
  </r>
  <r>
    <x v="154"/>
    <x v="1160"/>
    <x v="0"/>
    <x v="459"/>
    <n v="23.02"/>
    <x v="5"/>
    <s v="Aug 2024"/>
    <n v="8"/>
    <s v="Single"/>
    <x v="1"/>
    <x v="1169"/>
  </r>
  <r>
    <x v="154"/>
    <x v="1161"/>
    <x v="0"/>
    <x v="97"/>
    <n v="27.92"/>
    <x v="3"/>
    <s v="Aug 2024"/>
    <n v="9"/>
    <s v="Repeat"/>
    <x v="0"/>
    <x v="1170"/>
  </r>
  <r>
    <x v="154"/>
    <x v="1162"/>
    <x v="0"/>
    <x v="375"/>
    <n v="23.02"/>
    <x v="5"/>
    <s v="Aug 2024"/>
    <n v="11"/>
    <s v="Repeat"/>
    <x v="0"/>
    <x v="1171"/>
  </r>
  <r>
    <x v="154"/>
    <x v="1163"/>
    <x v="0"/>
    <x v="460"/>
    <n v="32.82"/>
    <x v="7"/>
    <s v="Aug 2024"/>
    <n v="13"/>
    <s v="Single"/>
    <x v="1"/>
    <x v="1172"/>
  </r>
  <r>
    <x v="154"/>
    <x v="1164"/>
    <x v="0"/>
    <x v="461"/>
    <n v="32.82"/>
    <x v="0"/>
    <s v="Aug 2024"/>
    <n v="16"/>
    <s v="Repeat"/>
    <x v="0"/>
    <x v="1173"/>
  </r>
  <r>
    <x v="154"/>
    <x v="1165"/>
    <x v="0"/>
    <x v="461"/>
    <n v="32.82"/>
    <x v="0"/>
    <s v="Aug 2024"/>
    <n v="16"/>
    <s v="Repeat"/>
    <x v="0"/>
    <x v="1174"/>
  </r>
  <r>
    <x v="154"/>
    <x v="1166"/>
    <x v="0"/>
    <x v="462"/>
    <n v="32.82"/>
    <x v="0"/>
    <s v="Aug 2024"/>
    <n v="17"/>
    <s v="Repeat"/>
    <x v="0"/>
    <x v="1175"/>
  </r>
  <r>
    <x v="154"/>
    <x v="1167"/>
    <x v="0"/>
    <x v="462"/>
    <n v="27.92"/>
    <x v="3"/>
    <s v="Aug 2024"/>
    <n v="17"/>
    <s v="Repeat"/>
    <x v="0"/>
    <x v="1176"/>
  </r>
  <r>
    <x v="154"/>
    <x v="1168"/>
    <x v="0"/>
    <x v="19"/>
    <n v="32.82"/>
    <x v="0"/>
    <s v="Aug 2024"/>
    <n v="19"/>
    <s v="Repeat"/>
    <x v="0"/>
    <x v="1177"/>
  </r>
  <r>
    <x v="154"/>
    <x v="1169"/>
    <x v="0"/>
    <x v="8"/>
    <n v="32.82"/>
    <x v="0"/>
    <s v="Aug 2024"/>
    <n v="19"/>
    <s v="Repeat"/>
    <x v="0"/>
    <x v="1178"/>
  </r>
  <r>
    <x v="154"/>
    <x v="1170"/>
    <x v="0"/>
    <x v="463"/>
    <n v="32.82"/>
    <x v="4"/>
    <s v="Aug 2024"/>
    <n v="20"/>
    <s v="Repeat"/>
    <x v="0"/>
    <x v="1179"/>
  </r>
  <r>
    <x v="154"/>
    <x v="1171"/>
    <x v="0"/>
    <x v="463"/>
    <n v="32.82"/>
    <x v="4"/>
    <s v="Aug 2024"/>
    <n v="20"/>
    <s v="Repeat"/>
    <x v="0"/>
    <x v="1180"/>
  </r>
  <r>
    <x v="154"/>
    <x v="1172"/>
    <x v="0"/>
    <x v="464"/>
    <n v="27.92"/>
    <x v="3"/>
    <s v="Aug 2024"/>
    <n v="22"/>
    <s v="Single"/>
    <x v="1"/>
    <x v="1181"/>
  </r>
  <r>
    <x v="155"/>
    <x v="1173"/>
    <x v="0"/>
    <x v="375"/>
    <n v="23.02"/>
    <x v="5"/>
    <s v="Aug 2024"/>
    <n v="10"/>
    <s v="Repeat"/>
    <x v="0"/>
    <x v="1182"/>
  </r>
  <r>
    <x v="155"/>
    <x v="1174"/>
    <x v="0"/>
    <x v="465"/>
    <n v="32.82"/>
    <x v="1"/>
    <s v="Aug 2024"/>
    <n v="10"/>
    <s v="Single"/>
    <x v="1"/>
    <x v="1183"/>
  </r>
  <r>
    <x v="155"/>
    <x v="1175"/>
    <x v="0"/>
    <x v="466"/>
    <n v="32.82"/>
    <x v="7"/>
    <s v="Aug 2024"/>
    <n v="17"/>
    <s v="Repeat"/>
    <x v="0"/>
    <x v="1184"/>
  </r>
  <r>
    <x v="155"/>
    <x v="1176"/>
    <x v="0"/>
    <x v="466"/>
    <n v="32.82"/>
    <x v="0"/>
    <s v="Aug 2024"/>
    <n v="17"/>
    <s v="Repeat"/>
    <x v="0"/>
    <x v="1185"/>
  </r>
  <r>
    <x v="155"/>
    <x v="1177"/>
    <x v="0"/>
    <x v="466"/>
    <n v="32.82"/>
    <x v="4"/>
    <s v="Aug 2024"/>
    <n v="17"/>
    <s v="Repeat"/>
    <x v="0"/>
    <x v="1186"/>
  </r>
  <r>
    <x v="155"/>
    <x v="1178"/>
    <x v="0"/>
    <x v="19"/>
    <n v="32.82"/>
    <x v="0"/>
    <s v="Aug 2024"/>
    <n v="19"/>
    <s v="Repeat"/>
    <x v="0"/>
    <x v="1187"/>
  </r>
  <r>
    <x v="155"/>
    <x v="1179"/>
    <x v="0"/>
    <x v="467"/>
    <n v="27.92"/>
    <x v="3"/>
    <s v="Aug 2024"/>
    <n v="19"/>
    <s v="Repeat"/>
    <x v="0"/>
    <x v="1188"/>
  </r>
  <r>
    <x v="155"/>
    <x v="1180"/>
    <x v="0"/>
    <x v="468"/>
    <n v="32.82"/>
    <x v="0"/>
    <s v="Aug 2024"/>
    <n v="20"/>
    <s v="Single"/>
    <x v="1"/>
    <x v="1189"/>
  </r>
  <r>
    <x v="156"/>
    <x v="1181"/>
    <x v="0"/>
    <x v="453"/>
    <n v="27.92"/>
    <x v="3"/>
    <s v="Aug 2024"/>
    <n v="8"/>
    <s v="Repeat"/>
    <x v="0"/>
    <x v="1190"/>
  </r>
  <r>
    <x v="156"/>
    <x v="1182"/>
    <x v="0"/>
    <x v="2"/>
    <n v="23.02"/>
    <x v="2"/>
    <s v="Aug 2024"/>
    <n v="12"/>
    <s v="Repeat"/>
    <x v="0"/>
    <x v="1191"/>
  </r>
  <r>
    <x v="156"/>
    <x v="1183"/>
    <x v="0"/>
    <x v="2"/>
    <n v="23.02"/>
    <x v="2"/>
    <s v="Aug 2024"/>
    <n v="12"/>
    <s v="Repeat"/>
    <x v="0"/>
    <x v="1192"/>
  </r>
  <r>
    <x v="156"/>
    <x v="1184"/>
    <x v="0"/>
    <x v="469"/>
    <n v="18.12"/>
    <x v="6"/>
    <s v="Aug 2024"/>
    <n v="13"/>
    <s v="Single"/>
    <x v="1"/>
    <x v="1193"/>
  </r>
  <r>
    <x v="156"/>
    <x v="1185"/>
    <x v="0"/>
    <x v="470"/>
    <n v="23.02"/>
    <x v="2"/>
    <s v="Aug 2024"/>
    <n v="16"/>
    <s v="Single"/>
    <x v="1"/>
    <x v="1194"/>
  </r>
  <r>
    <x v="156"/>
    <x v="1186"/>
    <x v="0"/>
    <x v="8"/>
    <n v="32.82"/>
    <x v="0"/>
    <s v="Aug 2024"/>
    <n v="19"/>
    <s v="Repeat"/>
    <x v="0"/>
    <x v="1195"/>
  </r>
  <r>
    <x v="156"/>
    <x v="1187"/>
    <x v="0"/>
    <x v="442"/>
    <n v="32.82"/>
    <x v="4"/>
    <s v="Aug 2024"/>
    <n v="20"/>
    <s v="Repeat"/>
    <x v="0"/>
    <x v="1196"/>
  </r>
  <r>
    <x v="156"/>
    <x v="1188"/>
    <x v="0"/>
    <x v="328"/>
    <n v="32.82"/>
    <x v="7"/>
    <s v="Aug 2024"/>
    <n v="21"/>
    <s v="Repeat"/>
    <x v="0"/>
    <x v="1197"/>
  </r>
  <r>
    <x v="156"/>
    <x v="1189"/>
    <x v="0"/>
    <x v="471"/>
    <n v="32.82"/>
    <x v="0"/>
    <s v="Aug 2024"/>
    <n v="22"/>
    <s v="Single"/>
    <x v="1"/>
    <x v="1198"/>
  </r>
  <r>
    <x v="156"/>
    <x v="1190"/>
    <x v="0"/>
    <x v="472"/>
    <n v="32.82"/>
    <x v="0"/>
    <s v="Aug 2024"/>
    <n v="22"/>
    <s v="Repeat"/>
    <x v="0"/>
    <x v="1199"/>
  </r>
  <r>
    <x v="157"/>
    <x v="1191"/>
    <x v="0"/>
    <x v="141"/>
    <n v="18.12"/>
    <x v="6"/>
    <s v="Aug 2024"/>
    <n v="8"/>
    <s v="Repeat"/>
    <x v="0"/>
    <x v="1200"/>
  </r>
  <r>
    <x v="157"/>
    <x v="1192"/>
    <x v="0"/>
    <x v="141"/>
    <n v="23.02"/>
    <x v="5"/>
    <s v="Aug 2024"/>
    <n v="8"/>
    <s v="Repeat"/>
    <x v="0"/>
    <x v="1201"/>
  </r>
  <r>
    <x v="157"/>
    <x v="1193"/>
    <x v="0"/>
    <x v="420"/>
    <n v="27.92"/>
    <x v="3"/>
    <s v="Aug 2024"/>
    <n v="12"/>
    <s v="Repeat"/>
    <x v="0"/>
    <x v="1202"/>
  </r>
  <r>
    <x v="157"/>
    <x v="1194"/>
    <x v="0"/>
    <x v="141"/>
    <n v="23.02"/>
    <x v="5"/>
    <s v="Aug 2024"/>
    <n v="12"/>
    <s v="Repeat"/>
    <x v="0"/>
    <x v="1203"/>
  </r>
  <r>
    <x v="157"/>
    <x v="1195"/>
    <x v="0"/>
    <x v="141"/>
    <n v="23.02"/>
    <x v="5"/>
    <s v="Aug 2024"/>
    <n v="12"/>
    <s v="Repeat"/>
    <x v="0"/>
    <x v="1204"/>
  </r>
  <r>
    <x v="157"/>
    <x v="1196"/>
    <x v="0"/>
    <x v="473"/>
    <n v="32.82"/>
    <x v="7"/>
    <s v="Aug 2024"/>
    <n v="16"/>
    <s v="Single"/>
    <x v="1"/>
    <x v="1205"/>
  </r>
  <r>
    <x v="157"/>
    <x v="1197"/>
    <x v="0"/>
    <x v="474"/>
    <n v="32.82"/>
    <x v="7"/>
    <s v="Aug 2024"/>
    <n v="17"/>
    <s v="Single"/>
    <x v="1"/>
    <x v="1206"/>
  </r>
  <r>
    <x v="157"/>
    <x v="1198"/>
    <x v="0"/>
    <x v="311"/>
    <n v="27.92"/>
    <x v="3"/>
    <s v="Aug 2024"/>
    <n v="21"/>
    <s v="Repeat"/>
    <x v="0"/>
    <x v="1207"/>
  </r>
  <r>
    <x v="158"/>
    <x v="1199"/>
    <x v="0"/>
    <x v="475"/>
    <n v="32.82"/>
    <x v="0"/>
    <s v="Aug 2024"/>
    <n v="7"/>
    <s v="Repeat"/>
    <x v="0"/>
    <x v="1208"/>
  </r>
  <r>
    <x v="158"/>
    <x v="1200"/>
    <x v="0"/>
    <x v="476"/>
    <n v="23.02"/>
    <x v="2"/>
    <s v="Aug 2024"/>
    <n v="9"/>
    <s v="Single"/>
    <x v="1"/>
    <x v="1209"/>
  </r>
  <r>
    <x v="158"/>
    <x v="1201"/>
    <x v="0"/>
    <x v="141"/>
    <n v="23.02"/>
    <x v="5"/>
    <s v="Aug 2024"/>
    <n v="10"/>
    <s v="Repeat"/>
    <x v="0"/>
    <x v="1210"/>
  </r>
  <r>
    <x v="158"/>
    <x v="1202"/>
    <x v="0"/>
    <x v="311"/>
    <n v="27.92"/>
    <x v="3"/>
    <s v="Aug 2024"/>
    <n v="10"/>
    <s v="Repeat"/>
    <x v="0"/>
    <x v="1211"/>
  </r>
  <r>
    <x v="158"/>
    <x v="1203"/>
    <x v="0"/>
    <x v="475"/>
    <n v="32.82"/>
    <x v="0"/>
    <s v="Aug 2024"/>
    <n v="11"/>
    <s v="Repeat"/>
    <x v="0"/>
    <x v="1212"/>
  </r>
  <r>
    <x v="158"/>
    <x v="1204"/>
    <x v="0"/>
    <x v="477"/>
    <n v="23.02"/>
    <x v="2"/>
    <s v="Aug 2024"/>
    <n v="11"/>
    <s v="Single"/>
    <x v="1"/>
    <x v="1213"/>
  </r>
  <r>
    <x v="158"/>
    <x v="1205"/>
    <x v="0"/>
    <x v="478"/>
    <n v="23.02"/>
    <x v="2"/>
    <s v="Aug 2024"/>
    <n v="18"/>
    <s v="Single"/>
    <x v="1"/>
    <x v="1214"/>
  </r>
  <r>
    <x v="158"/>
    <x v="1206"/>
    <x v="0"/>
    <x v="479"/>
    <n v="32.82"/>
    <x v="1"/>
    <s v="Aug 2024"/>
    <n v="19"/>
    <s v="Single"/>
    <x v="1"/>
    <x v="1215"/>
  </r>
  <r>
    <x v="159"/>
    <x v="1207"/>
    <x v="0"/>
    <x v="480"/>
    <n v="32.82"/>
    <x v="7"/>
    <s v="Aug 2024"/>
    <n v="8"/>
    <s v="Repeat"/>
    <x v="0"/>
    <x v="1216"/>
  </r>
  <r>
    <x v="159"/>
    <x v="1208"/>
    <x v="0"/>
    <x v="480"/>
    <n v="27.92"/>
    <x v="3"/>
    <s v="Aug 2024"/>
    <n v="8"/>
    <s v="Repeat"/>
    <x v="0"/>
    <x v="1217"/>
  </r>
  <r>
    <x v="159"/>
    <x v="1209"/>
    <x v="0"/>
    <x v="141"/>
    <n v="23.02"/>
    <x v="5"/>
    <s v="Aug 2024"/>
    <n v="8"/>
    <s v="Repeat"/>
    <x v="0"/>
    <x v="1218"/>
  </r>
  <r>
    <x v="159"/>
    <x v="1157"/>
    <x v="0"/>
    <x v="12"/>
    <n v="23.02"/>
    <x v="5"/>
    <s v="Aug 2024"/>
    <n v="11"/>
    <s v="Repeat"/>
    <x v="0"/>
    <x v="1219"/>
  </r>
  <r>
    <x v="159"/>
    <x v="1210"/>
    <x v="0"/>
    <x v="12"/>
    <n v="23.02"/>
    <x v="2"/>
    <s v="Aug 2024"/>
    <n v="11"/>
    <s v="Repeat"/>
    <x v="0"/>
    <x v="1220"/>
  </r>
  <r>
    <x v="159"/>
    <x v="1211"/>
    <x v="0"/>
    <x v="481"/>
    <n v="32.82"/>
    <x v="0"/>
    <s v="Aug 2024"/>
    <n v="12"/>
    <s v="Single"/>
    <x v="1"/>
    <x v="1221"/>
  </r>
  <r>
    <x v="159"/>
    <x v="1212"/>
    <x v="0"/>
    <x v="463"/>
    <n v="27.92"/>
    <x v="3"/>
    <s v="Aug 2024"/>
    <n v="12"/>
    <s v="Repeat"/>
    <x v="0"/>
    <x v="1222"/>
  </r>
  <r>
    <x v="159"/>
    <x v="1213"/>
    <x v="0"/>
    <x v="8"/>
    <n v="32.82"/>
    <x v="0"/>
    <s v="Aug 2024"/>
    <n v="16"/>
    <s v="Repeat"/>
    <x v="0"/>
    <x v="1223"/>
  </r>
  <r>
    <x v="159"/>
    <x v="1214"/>
    <x v="0"/>
    <x v="482"/>
    <n v="32.82"/>
    <x v="4"/>
    <s v="Aug 2024"/>
    <n v="21"/>
    <s v="Repeat"/>
    <x v="0"/>
    <x v="1224"/>
  </r>
  <r>
    <x v="159"/>
    <x v="1215"/>
    <x v="0"/>
    <x v="482"/>
    <n v="32.82"/>
    <x v="4"/>
    <s v="Aug 2024"/>
    <n v="21"/>
    <s v="Repeat"/>
    <x v="0"/>
    <x v="1225"/>
  </r>
  <r>
    <x v="159"/>
    <x v="1216"/>
    <x v="0"/>
    <x v="442"/>
    <n v="32.82"/>
    <x v="4"/>
    <s v="Aug 2024"/>
    <n v="21"/>
    <s v="Repeat"/>
    <x v="0"/>
    <x v="1226"/>
  </r>
  <r>
    <x v="160"/>
    <x v="1217"/>
    <x v="0"/>
    <x v="440"/>
    <n v="32.82"/>
    <x v="0"/>
    <s v="Aug 2024"/>
    <n v="9"/>
    <s v="Repeat"/>
    <x v="0"/>
    <x v="1227"/>
  </r>
  <r>
    <x v="160"/>
    <x v="1218"/>
    <x v="0"/>
    <x v="440"/>
    <n v="32.82"/>
    <x v="0"/>
    <s v="Aug 2024"/>
    <n v="9"/>
    <s v="Repeat"/>
    <x v="0"/>
    <x v="1228"/>
  </r>
  <r>
    <x v="160"/>
    <x v="1219"/>
    <x v="0"/>
    <x v="347"/>
    <n v="27.92"/>
    <x v="3"/>
    <s v="Aug 2024"/>
    <n v="10"/>
    <s v="Repeat"/>
    <x v="0"/>
    <x v="1229"/>
  </r>
  <r>
    <x v="160"/>
    <x v="1220"/>
    <x v="0"/>
    <x v="480"/>
    <n v="32.82"/>
    <x v="7"/>
    <s v="Aug 2024"/>
    <n v="11"/>
    <s v="Repeat"/>
    <x v="0"/>
    <x v="1230"/>
  </r>
  <r>
    <x v="160"/>
    <x v="1221"/>
    <x v="0"/>
    <x v="480"/>
    <n v="27.92"/>
    <x v="3"/>
    <s v="Aug 2024"/>
    <n v="11"/>
    <s v="Repeat"/>
    <x v="0"/>
    <x v="1231"/>
  </r>
  <r>
    <x v="160"/>
    <x v="1222"/>
    <x v="0"/>
    <x v="141"/>
    <n v="23.02"/>
    <x v="5"/>
    <s v="Aug 2024"/>
    <n v="12"/>
    <s v="Repeat"/>
    <x v="0"/>
    <x v="1232"/>
  </r>
  <r>
    <x v="160"/>
    <x v="1223"/>
    <x v="0"/>
    <x v="483"/>
    <n v="32.82"/>
    <x v="0"/>
    <s v="Aug 2024"/>
    <n v="15"/>
    <s v="Single"/>
    <x v="1"/>
    <x v="1233"/>
  </r>
  <r>
    <x v="160"/>
    <x v="1224"/>
    <x v="0"/>
    <x v="484"/>
    <n v="27.92"/>
    <x v="3"/>
    <s v="Aug 2024"/>
    <n v="15"/>
    <s v="Repeat"/>
    <x v="0"/>
    <x v="1234"/>
  </r>
  <r>
    <x v="160"/>
    <x v="565"/>
    <x v="0"/>
    <x v="484"/>
    <n v="32.82"/>
    <x v="4"/>
    <s v="Aug 2024"/>
    <n v="15"/>
    <s v="Repeat"/>
    <x v="0"/>
    <x v="1235"/>
  </r>
  <r>
    <x v="160"/>
    <x v="1225"/>
    <x v="0"/>
    <x v="414"/>
    <n v="32.82"/>
    <x v="7"/>
    <s v="Aug 2024"/>
    <n v="16"/>
    <s v="Repeat"/>
    <x v="0"/>
    <x v="1236"/>
  </r>
  <r>
    <x v="160"/>
    <x v="1226"/>
    <x v="0"/>
    <x v="485"/>
    <n v="18.12"/>
    <x v="6"/>
    <s v="Aug 2024"/>
    <n v="16"/>
    <s v="Single"/>
    <x v="1"/>
    <x v="1237"/>
  </r>
  <r>
    <x v="160"/>
    <x v="1227"/>
    <x v="0"/>
    <x v="486"/>
    <n v="23.02"/>
    <x v="5"/>
    <s v="Aug 2024"/>
    <n v="21"/>
    <s v="Repeat"/>
    <x v="0"/>
    <x v="1238"/>
  </r>
  <r>
    <x v="160"/>
    <x v="1228"/>
    <x v="0"/>
    <x v="475"/>
    <n v="32.82"/>
    <x v="0"/>
    <s v="Aug 2024"/>
    <n v="21"/>
    <s v="Repeat"/>
    <x v="0"/>
    <x v="1239"/>
  </r>
  <r>
    <x v="160"/>
    <x v="1229"/>
    <x v="0"/>
    <x v="487"/>
    <n v="32.82"/>
    <x v="0"/>
    <s v="Aug 2024"/>
    <n v="21"/>
    <s v="Single"/>
    <x v="1"/>
    <x v="1240"/>
  </r>
  <r>
    <x v="160"/>
    <x v="1230"/>
    <x v="0"/>
    <x v="488"/>
    <n v="32.82"/>
    <x v="7"/>
    <s v="Aug 2024"/>
    <n v="22"/>
    <s v="Single"/>
    <x v="1"/>
    <x v="1241"/>
  </r>
  <r>
    <x v="161"/>
    <x v="1231"/>
    <x v="0"/>
    <x v="367"/>
    <n v="32.82"/>
    <x v="1"/>
    <s v="Aug 2024"/>
    <n v="8"/>
    <s v="Repeat"/>
    <x v="0"/>
    <x v="1242"/>
  </r>
  <r>
    <x v="161"/>
    <x v="1232"/>
    <x v="0"/>
    <x v="489"/>
    <n v="27.92"/>
    <x v="3"/>
    <s v="Aug 2024"/>
    <n v="11"/>
    <s v="Single"/>
    <x v="1"/>
    <x v="1243"/>
  </r>
  <r>
    <x v="161"/>
    <x v="1233"/>
    <x v="0"/>
    <x v="490"/>
    <n v="23.02"/>
    <x v="2"/>
    <s v="Aug 2024"/>
    <n v="11"/>
    <s v="Repeat"/>
    <x v="0"/>
    <x v="1244"/>
  </r>
  <r>
    <x v="161"/>
    <x v="1234"/>
    <x v="0"/>
    <x v="490"/>
    <n v="32.82"/>
    <x v="0"/>
    <s v="Aug 2024"/>
    <n v="11"/>
    <s v="Repeat"/>
    <x v="0"/>
    <x v="1245"/>
  </r>
  <r>
    <x v="161"/>
    <x v="1235"/>
    <x v="0"/>
    <x v="491"/>
    <n v="32.82"/>
    <x v="0"/>
    <s v="Aug 2024"/>
    <n v="11"/>
    <s v="Repeat"/>
    <x v="0"/>
    <x v="1246"/>
  </r>
  <r>
    <x v="161"/>
    <x v="1236"/>
    <x v="0"/>
    <x v="492"/>
    <n v="18.12"/>
    <x v="6"/>
    <s v="Aug 2024"/>
    <n v="14"/>
    <s v="Repeat"/>
    <x v="0"/>
    <x v="1247"/>
  </r>
  <r>
    <x v="161"/>
    <x v="1237"/>
    <x v="0"/>
    <x v="492"/>
    <n v="27.92"/>
    <x v="3"/>
    <s v="Aug 2024"/>
    <n v="14"/>
    <s v="Repeat"/>
    <x v="0"/>
    <x v="1248"/>
  </r>
  <r>
    <x v="161"/>
    <x v="374"/>
    <x v="0"/>
    <x v="493"/>
    <n v="27.92"/>
    <x v="3"/>
    <s v="Aug 2024"/>
    <n v="15"/>
    <s v="Single"/>
    <x v="1"/>
    <x v="1249"/>
  </r>
  <r>
    <x v="161"/>
    <x v="1238"/>
    <x v="0"/>
    <x v="97"/>
    <n v="27.92"/>
    <x v="3"/>
    <s v="Aug 2024"/>
    <n v="18"/>
    <s v="Repeat"/>
    <x v="0"/>
    <x v="1250"/>
  </r>
  <r>
    <x v="161"/>
    <x v="1239"/>
    <x v="0"/>
    <x v="97"/>
    <n v="27.92"/>
    <x v="3"/>
    <s v="Aug 2024"/>
    <n v="21"/>
    <s v="Repeat"/>
    <x v="0"/>
    <x v="1251"/>
  </r>
  <r>
    <x v="161"/>
    <x v="1240"/>
    <x v="0"/>
    <x v="494"/>
    <n v="32.82"/>
    <x v="0"/>
    <s v="Aug 2024"/>
    <n v="21"/>
    <s v="Repeat"/>
    <x v="0"/>
    <x v="1252"/>
  </r>
  <r>
    <x v="161"/>
    <x v="1241"/>
    <x v="0"/>
    <x v="134"/>
    <n v="32.82"/>
    <x v="7"/>
    <s v="Aug 2024"/>
    <n v="22"/>
    <s v="Repeat"/>
    <x v="0"/>
    <x v="1253"/>
  </r>
  <r>
    <x v="161"/>
    <x v="1242"/>
    <x v="0"/>
    <x v="134"/>
    <n v="32.82"/>
    <x v="7"/>
    <s v="Aug 2024"/>
    <n v="22"/>
    <s v="Repeat"/>
    <x v="0"/>
    <x v="1254"/>
  </r>
  <r>
    <x v="162"/>
    <x v="1243"/>
    <x v="0"/>
    <x v="495"/>
    <n v="27.92"/>
    <x v="3"/>
    <s v="Aug 2024"/>
    <n v="8"/>
    <s v="Single"/>
    <x v="1"/>
    <x v="1255"/>
  </r>
  <r>
    <x v="162"/>
    <x v="1244"/>
    <x v="0"/>
    <x v="97"/>
    <n v="27.92"/>
    <x v="3"/>
    <s v="Aug 2024"/>
    <n v="9"/>
    <s v="Repeat"/>
    <x v="0"/>
    <x v="1256"/>
  </r>
  <r>
    <x v="162"/>
    <x v="1245"/>
    <x v="0"/>
    <x v="385"/>
    <n v="27.92"/>
    <x v="3"/>
    <s v="Aug 2024"/>
    <n v="9"/>
    <s v="Repeat"/>
    <x v="0"/>
    <x v="1257"/>
  </r>
  <r>
    <x v="162"/>
    <x v="1246"/>
    <x v="0"/>
    <x v="141"/>
    <n v="23.02"/>
    <x v="5"/>
    <s v="Aug 2024"/>
    <n v="10"/>
    <s v="Repeat"/>
    <x v="0"/>
    <x v="1258"/>
  </r>
  <r>
    <x v="162"/>
    <x v="1247"/>
    <x v="0"/>
    <x v="496"/>
    <n v="32.82"/>
    <x v="0"/>
    <s v="Aug 2024"/>
    <n v="11"/>
    <s v="Single"/>
    <x v="1"/>
    <x v="1259"/>
  </r>
  <r>
    <x v="162"/>
    <x v="1248"/>
    <x v="0"/>
    <x v="497"/>
    <n v="27.92"/>
    <x v="3"/>
    <s v="Aug 2024"/>
    <n v="13"/>
    <s v="Single"/>
    <x v="1"/>
    <x v="1260"/>
  </r>
  <r>
    <x v="162"/>
    <x v="1249"/>
    <x v="0"/>
    <x v="494"/>
    <n v="32.82"/>
    <x v="0"/>
    <s v="Aug 2024"/>
    <n v="14"/>
    <s v="Repeat"/>
    <x v="0"/>
    <x v="1261"/>
  </r>
  <r>
    <x v="162"/>
    <x v="1250"/>
    <x v="0"/>
    <x v="498"/>
    <n v="32.82"/>
    <x v="7"/>
    <s v="Aug 2024"/>
    <n v="15"/>
    <s v="Single"/>
    <x v="1"/>
    <x v="1262"/>
  </r>
  <r>
    <x v="162"/>
    <x v="1251"/>
    <x v="0"/>
    <x v="97"/>
    <n v="27.92"/>
    <x v="3"/>
    <s v="Aug 2024"/>
    <n v="15"/>
    <s v="Repeat"/>
    <x v="0"/>
    <x v="1263"/>
  </r>
  <r>
    <x v="162"/>
    <x v="1252"/>
    <x v="0"/>
    <x v="499"/>
    <n v="32.82"/>
    <x v="0"/>
    <s v="Aug 2024"/>
    <n v="20"/>
    <s v="Repeat"/>
    <x v="0"/>
    <x v="1264"/>
  </r>
  <r>
    <x v="162"/>
    <x v="1253"/>
    <x v="0"/>
    <x v="499"/>
    <n v="32.82"/>
    <x v="4"/>
    <s v="Aug 2024"/>
    <n v="20"/>
    <s v="Repeat"/>
    <x v="0"/>
    <x v="1265"/>
  </r>
  <r>
    <x v="162"/>
    <x v="1254"/>
    <x v="0"/>
    <x v="500"/>
    <n v="32.82"/>
    <x v="7"/>
    <s v="Aug 2024"/>
    <n v="20"/>
    <s v="Single"/>
    <x v="1"/>
    <x v="1266"/>
  </r>
  <r>
    <x v="162"/>
    <x v="1255"/>
    <x v="0"/>
    <x v="501"/>
    <n v="23.02"/>
    <x v="5"/>
    <s v="Aug 2024"/>
    <n v="21"/>
    <s v="Single"/>
    <x v="1"/>
    <x v="1267"/>
  </r>
  <r>
    <x v="163"/>
    <x v="1256"/>
    <x v="0"/>
    <x v="475"/>
    <n v="32.82"/>
    <x v="0"/>
    <s v="Aug 2024"/>
    <n v="7"/>
    <s v="Repeat"/>
    <x v="0"/>
    <x v="1268"/>
  </r>
  <r>
    <x v="163"/>
    <x v="1257"/>
    <x v="0"/>
    <x v="472"/>
    <n v="32.82"/>
    <x v="7"/>
    <s v="Aug 2024"/>
    <n v="7"/>
    <s v="Repeat"/>
    <x v="0"/>
    <x v="1269"/>
  </r>
  <r>
    <x v="163"/>
    <x v="1258"/>
    <x v="0"/>
    <x v="141"/>
    <n v="23.02"/>
    <x v="5"/>
    <s v="Aug 2024"/>
    <n v="10"/>
    <s v="Repeat"/>
    <x v="0"/>
    <x v="1270"/>
  </r>
  <r>
    <x v="163"/>
    <x v="1259"/>
    <x v="0"/>
    <x v="95"/>
    <n v="18.12"/>
    <x v="6"/>
    <s v="Aug 2024"/>
    <n v="11"/>
    <s v="Repeat"/>
    <x v="0"/>
    <x v="1271"/>
  </r>
  <r>
    <x v="163"/>
    <x v="1260"/>
    <x v="0"/>
    <x v="502"/>
    <n v="23.02"/>
    <x v="2"/>
    <s v="Aug 2024"/>
    <n v="12"/>
    <s v="Single"/>
    <x v="1"/>
    <x v="1272"/>
  </r>
  <r>
    <x v="163"/>
    <x v="1261"/>
    <x v="0"/>
    <x v="450"/>
    <n v="23.02"/>
    <x v="2"/>
    <s v="Aug 2024"/>
    <n v="12"/>
    <s v="Repeat"/>
    <x v="0"/>
    <x v="1273"/>
  </r>
  <r>
    <x v="163"/>
    <x v="1262"/>
    <x v="0"/>
    <x v="503"/>
    <n v="32.82"/>
    <x v="0"/>
    <s v="Aug 2024"/>
    <n v="15"/>
    <s v="Single"/>
    <x v="1"/>
    <x v="1274"/>
  </r>
  <r>
    <x v="163"/>
    <x v="1263"/>
    <x v="0"/>
    <x v="504"/>
    <n v="23.02"/>
    <x v="2"/>
    <s v="Aug 2024"/>
    <n v="17"/>
    <s v="Single"/>
    <x v="1"/>
    <x v="1275"/>
  </r>
  <r>
    <x v="163"/>
    <x v="1264"/>
    <x v="0"/>
    <x v="505"/>
    <n v="23.02"/>
    <x v="5"/>
    <s v="Aug 2024"/>
    <n v="18"/>
    <s v="Single"/>
    <x v="1"/>
    <x v="1276"/>
  </r>
  <r>
    <x v="163"/>
    <x v="1265"/>
    <x v="0"/>
    <x v="506"/>
    <n v="27.92"/>
    <x v="3"/>
    <s v="Aug 2024"/>
    <n v="18"/>
    <s v="Single"/>
    <x v="1"/>
    <x v="1277"/>
  </r>
  <r>
    <x v="163"/>
    <x v="1169"/>
    <x v="0"/>
    <x v="12"/>
    <n v="32.82"/>
    <x v="0"/>
    <s v="Aug 2024"/>
    <n v="19"/>
    <s v="Repeat"/>
    <x v="0"/>
    <x v="1278"/>
  </r>
  <r>
    <x v="163"/>
    <x v="1266"/>
    <x v="0"/>
    <x v="12"/>
    <n v="23.02"/>
    <x v="5"/>
    <s v="Aug 2024"/>
    <n v="19"/>
    <s v="Repeat"/>
    <x v="0"/>
    <x v="1279"/>
  </r>
  <r>
    <x v="163"/>
    <x v="1267"/>
    <x v="0"/>
    <x v="507"/>
    <n v="32.82"/>
    <x v="0"/>
    <s v="Aug 2024"/>
    <n v="21"/>
    <s v="Repeat"/>
    <x v="0"/>
    <x v="1280"/>
  </r>
  <r>
    <x v="164"/>
    <x v="1268"/>
    <x v="0"/>
    <x v="141"/>
    <n v="23.02"/>
    <x v="5"/>
    <s v="Aug 2024"/>
    <n v="9"/>
    <s v="Repeat"/>
    <x v="0"/>
    <x v="1281"/>
  </r>
  <r>
    <x v="164"/>
    <x v="1269"/>
    <x v="0"/>
    <x v="508"/>
    <n v="32.82"/>
    <x v="7"/>
    <s v="Aug 2024"/>
    <n v="9"/>
    <s v="Single"/>
    <x v="1"/>
    <x v="1282"/>
  </r>
  <r>
    <x v="164"/>
    <x v="1270"/>
    <x v="0"/>
    <x v="509"/>
    <n v="32.82"/>
    <x v="1"/>
    <s v="Aug 2024"/>
    <n v="9"/>
    <s v="Repeat"/>
    <x v="0"/>
    <x v="1283"/>
  </r>
  <r>
    <x v="164"/>
    <x v="1271"/>
    <x v="0"/>
    <x v="509"/>
    <n v="32.82"/>
    <x v="0"/>
    <s v="Aug 2024"/>
    <n v="9"/>
    <s v="Repeat"/>
    <x v="0"/>
    <x v="1284"/>
  </r>
  <r>
    <x v="164"/>
    <x v="1272"/>
    <x v="0"/>
    <x v="232"/>
    <n v="32.82"/>
    <x v="0"/>
    <s v="Aug 2024"/>
    <n v="12"/>
    <s v="Repeat"/>
    <x v="0"/>
    <x v="1285"/>
  </r>
  <r>
    <x v="164"/>
    <x v="1273"/>
    <x v="0"/>
    <x v="510"/>
    <n v="32.82"/>
    <x v="0"/>
    <s v="Aug 2024"/>
    <n v="13"/>
    <s v="Repeat"/>
    <x v="0"/>
    <x v="1286"/>
  </r>
  <r>
    <x v="164"/>
    <x v="1274"/>
    <x v="0"/>
    <x v="12"/>
    <n v="23.02"/>
    <x v="2"/>
    <s v="Aug 2024"/>
    <n v="14"/>
    <s v="Repeat"/>
    <x v="0"/>
    <x v="1287"/>
  </r>
  <r>
    <x v="164"/>
    <x v="1275"/>
    <x v="0"/>
    <x v="12"/>
    <n v="18.12"/>
    <x v="6"/>
    <s v="Aug 2024"/>
    <n v="14"/>
    <s v="Repeat"/>
    <x v="0"/>
    <x v="1288"/>
  </r>
  <r>
    <x v="164"/>
    <x v="1276"/>
    <x v="0"/>
    <x v="511"/>
    <n v="27.92"/>
    <x v="3"/>
    <s v="Aug 2024"/>
    <n v="17"/>
    <s v="Single"/>
    <x v="1"/>
    <x v="1289"/>
  </r>
  <r>
    <x v="164"/>
    <x v="1277"/>
    <x v="0"/>
    <x v="512"/>
    <n v="32.82"/>
    <x v="1"/>
    <s v="Aug 2024"/>
    <n v="19"/>
    <s v="Repeat"/>
    <x v="0"/>
    <x v="1290"/>
  </r>
  <r>
    <x v="164"/>
    <x v="1278"/>
    <x v="0"/>
    <x v="512"/>
    <n v="27.92"/>
    <x v="3"/>
    <s v="Aug 2024"/>
    <n v="19"/>
    <s v="Repeat"/>
    <x v="0"/>
    <x v="1291"/>
  </r>
  <r>
    <x v="164"/>
    <x v="459"/>
    <x v="0"/>
    <x v="513"/>
    <n v="27.92"/>
    <x v="3"/>
    <s v="Aug 2024"/>
    <n v="19"/>
    <s v="Repeat"/>
    <x v="0"/>
    <x v="1292"/>
  </r>
  <r>
    <x v="164"/>
    <x v="1279"/>
    <x v="0"/>
    <x v="513"/>
    <n v="23.02"/>
    <x v="2"/>
    <s v="Aug 2024"/>
    <n v="19"/>
    <s v="Repeat"/>
    <x v="0"/>
    <x v="1293"/>
  </r>
  <r>
    <x v="164"/>
    <x v="1280"/>
    <x v="0"/>
    <x v="514"/>
    <n v="32.82"/>
    <x v="7"/>
    <s v="Aug 2024"/>
    <n v="20"/>
    <s v="Single"/>
    <x v="1"/>
    <x v="1294"/>
  </r>
  <r>
    <x v="164"/>
    <x v="1281"/>
    <x v="0"/>
    <x v="40"/>
    <n v="18.12"/>
    <x v="6"/>
    <s v="Aug 2024"/>
    <n v="21"/>
    <s v="Repeat"/>
    <x v="0"/>
    <x v="1295"/>
  </r>
  <r>
    <x v="164"/>
    <x v="1282"/>
    <x v="0"/>
    <x v="40"/>
    <n v="27.92"/>
    <x v="3"/>
    <s v="Aug 2024"/>
    <n v="21"/>
    <s v="Repeat"/>
    <x v="0"/>
    <x v="1296"/>
  </r>
  <r>
    <x v="165"/>
    <x v="1283"/>
    <x v="0"/>
    <x v="513"/>
    <n v="32.82"/>
    <x v="0"/>
    <s v="Aug 2024"/>
    <n v="12"/>
    <s v="Repeat"/>
    <x v="0"/>
    <x v="1297"/>
  </r>
  <r>
    <x v="165"/>
    <x v="1284"/>
    <x v="0"/>
    <x v="515"/>
    <n v="23.02"/>
    <x v="2"/>
    <s v="Aug 2024"/>
    <n v="12"/>
    <s v="Single"/>
    <x v="1"/>
    <x v="1298"/>
  </r>
  <r>
    <x v="165"/>
    <x v="1285"/>
    <x v="0"/>
    <x v="429"/>
    <n v="27.92"/>
    <x v="3"/>
    <s v="Aug 2024"/>
    <n v="13"/>
    <s v="Repeat"/>
    <x v="0"/>
    <x v="1299"/>
  </r>
  <r>
    <x v="165"/>
    <x v="1286"/>
    <x v="0"/>
    <x v="12"/>
    <n v="18.12"/>
    <x v="6"/>
    <s v="Aug 2024"/>
    <n v="15"/>
    <s v="Repeat"/>
    <x v="0"/>
    <x v="1300"/>
  </r>
  <r>
    <x v="165"/>
    <x v="1287"/>
    <x v="0"/>
    <x v="12"/>
    <n v="18.12"/>
    <x v="6"/>
    <s v="Aug 2024"/>
    <n v="15"/>
    <s v="Repeat"/>
    <x v="0"/>
    <x v="1301"/>
  </r>
  <r>
    <x v="166"/>
    <x v="1288"/>
    <x v="0"/>
    <x v="97"/>
    <n v="27.92"/>
    <x v="3"/>
    <s v="Aug 2024"/>
    <n v="9"/>
    <s v="Repeat"/>
    <x v="0"/>
    <x v="1302"/>
  </r>
  <r>
    <x v="166"/>
    <x v="1289"/>
    <x v="0"/>
    <x v="516"/>
    <n v="32.82"/>
    <x v="7"/>
    <s v="Aug 2024"/>
    <n v="9"/>
    <s v="Single"/>
    <x v="1"/>
    <x v="1303"/>
  </r>
  <r>
    <x v="166"/>
    <x v="1290"/>
    <x v="0"/>
    <x v="517"/>
    <n v="27.92"/>
    <x v="3"/>
    <s v="Aug 2024"/>
    <n v="10"/>
    <s v="Single"/>
    <x v="1"/>
    <x v="1304"/>
  </r>
  <r>
    <x v="166"/>
    <x v="1291"/>
    <x v="0"/>
    <x v="141"/>
    <n v="23.02"/>
    <x v="5"/>
    <s v="Aug 2024"/>
    <n v="11"/>
    <s v="Repeat"/>
    <x v="0"/>
    <x v="1305"/>
  </r>
  <r>
    <x v="166"/>
    <x v="1292"/>
    <x v="0"/>
    <x v="141"/>
    <n v="23.02"/>
    <x v="5"/>
    <s v="Aug 2024"/>
    <n v="11"/>
    <s v="Repeat"/>
    <x v="0"/>
    <x v="1306"/>
  </r>
  <r>
    <x v="166"/>
    <x v="1293"/>
    <x v="0"/>
    <x v="518"/>
    <n v="27.92"/>
    <x v="3"/>
    <s v="Aug 2024"/>
    <n v="13"/>
    <s v="Repeat"/>
    <x v="0"/>
    <x v="1307"/>
  </r>
  <r>
    <x v="166"/>
    <x v="1294"/>
    <x v="0"/>
    <x v="277"/>
    <n v="23.02"/>
    <x v="5"/>
    <s v="Aug 2024"/>
    <n v="16"/>
    <s v="Repeat"/>
    <x v="0"/>
    <x v="1308"/>
  </r>
  <r>
    <x v="166"/>
    <x v="1295"/>
    <x v="0"/>
    <x v="192"/>
    <n v="32.82"/>
    <x v="0"/>
    <s v="Aug 2024"/>
    <n v="16"/>
    <s v="Repeat"/>
    <x v="0"/>
    <x v="1309"/>
  </r>
  <r>
    <x v="166"/>
    <x v="1296"/>
    <x v="0"/>
    <x v="456"/>
    <n v="32.82"/>
    <x v="7"/>
    <s v="Aug 2024"/>
    <n v="18"/>
    <s v="Repeat"/>
    <x v="0"/>
    <x v="1310"/>
  </r>
  <r>
    <x v="166"/>
    <x v="1297"/>
    <x v="0"/>
    <x v="40"/>
    <n v="27.92"/>
    <x v="3"/>
    <s v="Aug 2024"/>
    <n v="21"/>
    <s v="Repeat"/>
    <x v="0"/>
    <x v="1311"/>
  </r>
  <r>
    <x v="166"/>
    <x v="1298"/>
    <x v="0"/>
    <x v="519"/>
    <n v="32.82"/>
    <x v="0"/>
    <s v="Aug 2024"/>
    <n v="22"/>
    <s v="Single"/>
    <x v="1"/>
    <x v="1312"/>
  </r>
  <r>
    <x v="167"/>
    <x v="1299"/>
    <x v="0"/>
    <x v="520"/>
    <n v="32.82"/>
    <x v="7"/>
    <s v="Aug 2024"/>
    <n v="8"/>
    <s v="Single"/>
    <x v="1"/>
    <x v="1313"/>
  </r>
  <r>
    <x v="167"/>
    <x v="1300"/>
    <x v="0"/>
    <x v="521"/>
    <n v="32.82"/>
    <x v="7"/>
    <s v="Aug 2024"/>
    <n v="8"/>
    <s v="Single"/>
    <x v="1"/>
    <x v="1314"/>
  </r>
  <r>
    <x v="167"/>
    <x v="1301"/>
    <x v="0"/>
    <x v="141"/>
    <n v="23.02"/>
    <x v="5"/>
    <s v="Aug 2024"/>
    <n v="8"/>
    <s v="Repeat"/>
    <x v="0"/>
    <x v="1315"/>
  </r>
  <r>
    <x v="167"/>
    <x v="1302"/>
    <x v="0"/>
    <x v="522"/>
    <n v="27.92"/>
    <x v="3"/>
    <s v="Aug 2024"/>
    <n v="8"/>
    <s v="Single"/>
    <x v="1"/>
    <x v="1316"/>
  </r>
  <r>
    <x v="167"/>
    <x v="1303"/>
    <x v="0"/>
    <x v="463"/>
    <n v="32.82"/>
    <x v="7"/>
    <s v="Aug 2024"/>
    <n v="12"/>
    <s v="Repeat"/>
    <x v="0"/>
    <x v="1317"/>
  </r>
  <r>
    <x v="167"/>
    <x v="1304"/>
    <x v="0"/>
    <x v="40"/>
    <n v="27.92"/>
    <x v="3"/>
    <s v="Aug 2024"/>
    <n v="14"/>
    <s v="Repeat"/>
    <x v="0"/>
    <x v="1318"/>
  </r>
  <r>
    <x v="167"/>
    <x v="1305"/>
    <x v="0"/>
    <x v="523"/>
    <n v="27.92"/>
    <x v="3"/>
    <s v="Aug 2024"/>
    <n v="18"/>
    <s v="Repeat"/>
    <x v="0"/>
    <x v="1319"/>
  </r>
  <r>
    <x v="167"/>
    <x v="1306"/>
    <x v="0"/>
    <x v="523"/>
    <n v="27.92"/>
    <x v="3"/>
    <s v="Aug 2024"/>
    <n v="18"/>
    <s v="Repeat"/>
    <x v="0"/>
    <x v="1320"/>
  </r>
  <r>
    <x v="167"/>
    <x v="1307"/>
    <x v="0"/>
    <x v="523"/>
    <n v="23.02"/>
    <x v="2"/>
    <s v="Aug 2024"/>
    <n v="18"/>
    <s v="Repeat"/>
    <x v="0"/>
    <x v="1321"/>
  </r>
  <r>
    <x v="167"/>
    <x v="1308"/>
    <x v="0"/>
    <x v="523"/>
    <n v="23.02"/>
    <x v="2"/>
    <s v="Aug 2024"/>
    <n v="18"/>
    <s v="Repeat"/>
    <x v="0"/>
    <x v="1322"/>
  </r>
  <r>
    <x v="168"/>
    <x v="1309"/>
    <x v="0"/>
    <x v="524"/>
    <n v="27.92"/>
    <x v="3"/>
    <s v="Aug 2024"/>
    <n v="15"/>
    <s v="Repeat"/>
    <x v="0"/>
    <x v="1323"/>
  </r>
  <r>
    <x v="168"/>
    <x v="1310"/>
    <x v="0"/>
    <x v="524"/>
    <n v="27.92"/>
    <x v="3"/>
    <s v="Aug 2024"/>
    <n v="15"/>
    <s v="Repeat"/>
    <x v="0"/>
    <x v="1324"/>
  </r>
  <r>
    <x v="168"/>
    <x v="1311"/>
    <x v="0"/>
    <x v="507"/>
    <n v="32.82"/>
    <x v="0"/>
    <s v="Aug 2024"/>
    <n v="21"/>
    <s v="Repeat"/>
    <x v="0"/>
    <x v="1325"/>
  </r>
  <r>
    <x v="168"/>
    <x v="1312"/>
    <x v="0"/>
    <x v="491"/>
    <n v="32.82"/>
    <x v="4"/>
    <s v="Aug 2024"/>
    <n v="21"/>
    <s v="Repeat"/>
    <x v="0"/>
    <x v="1326"/>
  </r>
  <r>
    <x v="169"/>
    <x v="1313"/>
    <x v="0"/>
    <x v="141"/>
    <n v="23.02"/>
    <x v="5"/>
    <s v="Aug 2024"/>
    <n v="8"/>
    <s v="Repeat"/>
    <x v="0"/>
    <x v="1327"/>
  </r>
  <r>
    <x v="169"/>
    <x v="1314"/>
    <x v="0"/>
    <x v="525"/>
    <n v="32.82"/>
    <x v="0"/>
    <s v="Aug 2024"/>
    <n v="8"/>
    <s v="Repeat"/>
    <x v="0"/>
    <x v="1328"/>
  </r>
  <r>
    <x v="169"/>
    <x v="1315"/>
    <x v="0"/>
    <x v="526"/>
    <n v="18.12"/>
    <x v="6"/>
    <s v="Aug 2024"/>
    <n v="8"/>
    <s v="Repeat"/>
    <x v="0"/>
    <x v="1329"/>
  </r>
  <r>
    <x v="169"/>
    <x v="1316"/>
    <x v="0"/>
    <x v="526"/>
    <n v="23.02"/>
    <x v="5"/>
    <s v="Aug 2024"/>
    <n v="8"/>
    <s v="Repeat"/>
    <x v="0"/>
    <x v="1330"/>
  </r>
  <r>
    <x v="169"/>
    <x v="1317"/>
    <x v="0"/>
    <x v="97"/>
    <n v="27.92"/>
    <x v="3"/>
    <s v="Aug 2024"/>
    <n v="9"/>
    <s v="Repeat"/>
    <x v="0"/>
    <x v="1331"/>
  </r>
  <r>
    <x v="169"/>
    <x v="1318"/>
    <x v="0"/>
    <x v="527"/>
    <n v="23.02"/>
    <x v="2"/>
    <s v="Aug 2024"/>
    <n v="11"/>
    <s v="Single"/>
    <x v="1"/>
    <x v="1332"/>
  </r>
  <r>
    <x v="169"/>
    <x v="1319"/>
    <x v="0"/>
    <x v="528"/>
    <n v="23.02"/>
    <x v="2"/>
    <s v="Aug 2024"/>
    <n v="11"/>
    <s v="Single"/>
    <x v="1"/>
    <x v="1333"/>
  </r>
  <r>
    <x v="169"/>
    <x v="819"/>
    <x v="0"/>
    <x v="529"/>
    <n v="23.02"/>
    <x v="2"/>
    <s v="Aug 2024"/>
    <n v="11"/>
    <s v="Single"/>
    <x v="1"/>
    <x v="1334"/>
  </r>
  <r>
    <x v="169"/>
    <x v="1320"/>
    <x v="0"/>
    <x v="141"/>
    <n v="32.82"/>
    <x v="0"/>
    <s v="Aug 2024"/>
    <n v="11"/>
    <s v="Repeat"/>
    <x v="0"/>
    <x v="1335"/>
  </r>
  <r>
    <x v="169"/>
    <x v="1321"/>
    <x v="0"/>
    <x v="530"/>
    <n v="32.82"/>
    <x v="0"/>
    <s v="Aug 2024"/>
    <n v="20"/>
    <s v="Single"/>
    <x v="1"/>
    <x v="1336"/>
  </r>
  <r>
    <x v="169"/>
    <x v="1322"/>
    <x v="0"/>
    <x v="531"/>
    <n v="32.82"/>
    <x v="0"/>
    <s v="Aug 2024"/>
    <n v="20"/>
    <s v="Repeat"/>
    <x v="0"/>
    <x v="1337"/>
  </r>
  <r>
    <x v="169"/>
    <x v="1323"/>
    <x v="0"/>
    <x v="531"/>
    <n v="32.82"/>
    <x v="0"/>
    <s v="Aug 2024"/>
    <n v="20"/>
    <s v="Repeat"/>
    <x v="0"/>
    <x v="1338"/>
  </r>
  <r>
    <x v="169"/>
    <x v="1324"/>
    <x v="0"/>
    <x v="532"/>
    <n v="32.82"/>
    <x v="0"/>
    <s v="Aug 2024"/>
    <n v="20"/>
    <s v="Single"/>
    <x v="1"/>
    <x v="1339"/>
  </r>
  <r>
    <x v="170"/>
    <x v="1325"/>
    <x v="0"/>
    <x v="533"/>
    <n v="27.92"/>
    <x v="3"/>
    <s v="Aug 2024"/>
    <n v="7"/>
    <s v="Repeat"/>
    <x v="0"/>
    <x v="1340"/>
  </r>
  <r>
    <x v="170"/>
    <x v="1326"/>
    <x v="0"/>
    <x v="141"/>
    <n v="23.02"/>
    <x v="5"/>
    <s v="Aug 2024"/>
    <n v="8"/>
    <s v="Repeat"/>
    <x v="0"/>
    <x v="1341"/>
  </r>
  <r>
    <x v="170"/>
    <x v="1327"/>
    <x v="0"/>
    <x v="375"/>
    <n v="23.02"/>
    <x v="2"/>
    <s v="Aug 2024"/>
    <n v="10"/>
    <s v="Repeat"/>
    <x v="0"/>
    <x v="1342"/>
  </r>
  <r>
    <x v="170"/>
    <x v="1328"/>
    <x v="0"/>
    <x v="276"/>
    <n v="27.92"/>
    <x v="3"/>
    <s v="Aug 2024"/>
    <n v="10"/>
    <s v="Repeat"/>
    <x v="0"/>
    <x v="1343"/>
  </r>
  <r>
    <x v="170"/>
    <x v="1329"/>
    <x v="0"/>
    <x v="141"/>
    <n v="23.02"/>
    <x v="5"/>
    <s v="Aug 2024"/>
    <n v="11"/>
    <s v="Repeat"/>
    <x v="0"/>
    <x v="1344"/>
  </r>
  <r>
    <x v="170"/>
    <x v="1330"/>
    <x v="0"/>
    <x v="534"/>
    <n v="32.82"/>
    <x v="0"/>
    <s v="Aug 2024"/>
    <n v="13"/>
    <s v="Single"/>
    <x v="1"/>
    <x v="1345"/>
  </r>
  <r>
    <x v="170"/>
    <x v="1331"/>
    <x v="0"/>
    <x v="507"/>
    <n v="32.82"/>
    <x v="0"/>
    <s v="Aug 2024"/>
    <n v="19"/>
    <s v="Repeat"/>
    <x v="0"/>
    <x v="1346"/>
  </r>
  <r>
    <x v="171"/>
    <x v="1332"/>
    <x v="0"/>
    <x v="141"/>
    <n v="23.02"/>
    <x v="5"/>
    <s v="Aug 2024"/>
    <n v="9"/>
    <s v="Repeat"/>
    <x v="0"/>
    <x v="1347"/>
  </r>
  <r>
    <x v="171"/>
    <x v="1333"/>
    <x v="0"/>
    <x v="419"/>
    <n v="27.92"/>
    <x v="3"/>
    <s v="Aug 2024"/>
    <n v="10"/>
    <s v="Repeat"/>
    <x v="0"/>
    <x v="1348"/>
  </r>
  <r>
    <x v="171"/>
    <x v="1334"/>
    <x v="0"/>
    <x v="535"/>
    <n v="27.92"/>
    <x v="3"/>
    <s v="Aug 2024"/>
    <n v="10"/>
    <s v="Single"/>
    <x v="1"/>
    <x v="1349"/>
  </r>
  <r>
    <x v="171"/>
    <x v="1335"/>
    <x v="0"/>
    <x v="510"/>
    <n v="32.82"/>
    <x v="0"/>
    <s v="Aug 2024"/>
    <n v="14"/>
    <s v="Repeat"/>
    <x v="0"/>
    <x v="1350"/>
  </r>
  <r>
    <x v="171"/>
    <x v="1336"/>
    <x v="0"/>
    <x v="536"/>
    <n v="32.82"/>
    <x v="0"/>
    <s v="Aug 2024"/>
    <n v="14"/>
    <s v="Single"/>
    <x v="1"/>
    <x v="1351"/>
  </r>
  <r>
    <x v="171"/>
    <x v="1337"/>
    <x v="0"/>
    <x v="537"/>
    <n v="32.82"/>
    <x v="7"/>
    <s v="Aug 2024"/>
    <n v="15"/>
    <s v="Single"/>
    <x v="1"/>
    <x v="1352"/>
  </r>
  <r>
    <x v="171"/>
    <x v="1338"/>
    <x v="0"/>
    <x v="538"/>
    <n v="23.02"/>
    <x v="2"/>
    <s v="Aug 2024"/>
    <n v="15"/>
    <s v="Single"/>
    <x v="1"/>
    <x v="1353"/>
  </r>
  <r>
    <x v="172"/>
    <x v="1339"/>
    <x v="0"/>
    <x v="475"/>
    <n v="32.82"/>
    <x v="0"/>
    <s v="Aug 2024"/>
    <n v="7"/>
    <s v="Repeat"/>
    <x v="0"/>
    <x v="1354"/>
  </r>
  <r>
    <x v="172"/>
    <x v="702"/>
    <x v="0"/>
    <x v="141"/>
    <n v="23.02"/>
    <x v="5"/>
    <s v="Aug 2024"/>
    <n v="8"/>
    <s v="Repeat"/>
    <x v="0"/>
    <x v="1355"/>
  </r>
  <r>
    <x v="172"/>
    <x v="1340"/>
    <x v="0"/>
    <x v="425"/>
    <n v="32.82"/>
    <x v="0"/>
    <s v="Aug 2024"/>
    <n v="8"/>
    <s v="Repeat"/>
    <x v="0"/>
    <x v="1356"/>
  </r>
  <r>
    <x v="172"/>
    <x v="1341"/>
    <x v="0"/>
    <x v="225"/>
    <n v="23.02"/>
    <x v="2"/>
    <s v="Aug 2024"/>
    <n v="8"/>
    <s v="Repeat"/>
    <x v="0"/>
    <x v="1357"/>
  </r>
  <r>
    <x v="172"/>
    <x v="1342"/>
    <x v="0"/>
    <x v="225"/>
    <n v="23.02"/>
    <x v="2"/>
    <s v="Aug 2024"/>
    <n v="8"/>
    <s v="Repeat"/>
    <x v="0"/>
    <x v="1358"/>
  </r>
  <r>
    <x v="172"/>
    <x v="1343"/>
    <x v="0"/>
    <x v="419"/>
    <n v="27.92"/>
    <x v="3"/>
    <s v="Aug 2024"/>
    <n v="9"/>
    <s v="Repeat"/>
    <x v="0"/>
    <x v="1359"/>
  </r>
  <r>
    <x v="172"/>
    <x v="1344"/>
    <x v="0"/>
    <x v="539"/>
    <n v="32.82"/>
    <x v="4"/>
    <s v="Aug 2024"/>
    <n v="10"/>
    <s v="Repeat"/>
    <x v="0"/>
    <x v="1360"/>
  </r>
  <r>
    <x v="172"/>
    <x v="1345"/>
    <x v="0"/>
    <x v="539"/>
    <n v="23.02"/>
    <x v="2"/>
    <s v="Aug 2024"/>
    <n v="10"/>
    <s v="Repeat"/>
    <x v="0"/>
    <x v="1361"/>
  </r>
  <r>
    <x v="172"/>
    <x v="415"/>
    <x v="0"/>
    <x v="141"/>
    <n v="23.02"/>
    <x v="5"/>
    <s v="Aug 2024"/>
    <n v="10"/>
    <s v="Repeat"/>
    <x v="0"/>
    <x v="1362"/>
  </r>
  <r>
    <x v="172"/>
    <x v="1346"/>
    <x v="0"/>
    <x v="540"/>
    <n v="32.82"/>
    <x v="1"/>
    <s v="Aug 2024"/>
    <n v="11"/>
    <s v="Single"/>
    <x v="1"/>
    <x v="1363"/>
  </r>
  <r>
    <x v="172"/>
    <x v="1347"/>
    <x v="0"/>
    <x v="541"/>
    <n v="23.02"/>
    <x v="2"/>
    <s v="Aug 2024"/>
    <n v="13"/>
    <s v="Single"/>
    <x v="1"/>
    <x v="1364"/>
  </r>
  <r>
    <x v="172"/>
    <x v="1348"/>
    <x v="0"/>
    <x v="542"/>
    <n v="23.02"/>
    <x v="2"/>
    <s v="Aug 2024"/>
    <n v="15"/>
    <s v="Single"/>
    <x v="1"/>
    <x v="1365"/>
  </r>
  <r>
    <x v="172"/>
    <x v="1349"/>
    <x v="0"/>
    <x v="507"/>
    <n v="32.82"/>
    <x v="0"/>
    <s v="Aug 2024"/>
    <n v="19"/>
    <s v="Repeat"/>
    <x v="0"/>
    <x v="1366"/>
  </r>
  <r>
    <x v="173"/>
    <x v="1350"/>
    <x v="0"/>
    <x v="141"/>
    <n v="23.02"/>
    <x v="5"/>
    <s v="Aug 2024"/>
    <n v="8"/>
    <s v="Repeat"/>
    <x v="0"/>
    <x v="1367"/>
  </r>
  <r>
    <x v="173"/>
    <x v="1351"/>
    <x v="0"/>
    <x v="141"/>
    <n v="23.02"/>
    <x v="5"/>
    <s v="Aug 2024"/>
    <n v="8"/>
    <s v="Repeat"/>
    <x v="0"/>
    <x v="1368"/>
  </r>
  <r>
    <x v="173"/>
    <x v="1352"/>
    <x v="0"/>
    <x v="543"/>
    <n v="23.02"/>
    <x v="5"/>
    <s v="Aug 2024"/>
    <n v="8"/>
    <s v="Repeat"/>
    <x v="0"/>
    <x v="1369"/>
  </r>
  <r>
    <x v="173"/>
    <x v="1353"/>
    <x v="0"/>
    <x v="544"/>
    <n v="18.12"/>
    <x v="6"/>
    <s v="Aug 2024"/>
    <n v="10"/>
    <s v="Repeat"/>
    <x v="0"/>
    <x v="1370"/>
  </r>
  <r>
    <x v="173"/>
    <x v="1354"/>
    <x v="0"/>
    <x v="544"/>
    <n v="18.12"/>
    <x v="6"/>
    <s v="Aug 2024"/>
    <n v="10"/>
    <s v="Repeat"/>
    <x v="0"/>
    <x v="1371"/>
  </r>
  <r>
    <x v="173"/>
    <x v="1355"/>
    <x v="0"/>
    <x v="544"/>
    <n v="23.02"/>
    <x v="2"/>
    <s v="Aug 2024"/>
    <n v="10"/>
    <s v="Repeat"/>
    <x v="0"/>
    <x v="1372"/>
  </r>
  <r>
    <x v="174"/>
    <x v="1356"/>
    <x v="0"/>
    <x v="141"/>
    <n v="23.02"/>
    <x v="5"/>
    <s v="Aug 2024"/>
    <n v="8"/>
    <s v="Repeat"/>
    <x v="0"/>
    <x v="1373"/>
  </r>
  <r>
    <x v="174"/>
    <x v="1357"/>
    <x v="0"/>
    <x v="408"/>
    <n v="23.02"/>
    <x v="2"/>
    <s v="Aug 2024"/>
    <n v="8"/>
    <s v="Repeat"/>
    <x v="0"/>
    <x v="1374"/>
  </r>
  <r>
    <x v="174"/>
    <x v="1358"/>
    <x v="0"/>
    <x v="408"/>
    <n v="23.02"/>
    <x v="2"/>
    <s v="Aug 2024"/>
    <n v="8"/>
    <s v="Repeat"/>
    <x v="0"/>
    <x v="1375"/>
  </r>
  <r>
    <x v="174"/>
    <x v="1359"/>
    <x v="0"/>
    <x v="545"/>
    <n v="32.82"/>
    <x v="7"/>
    <s v="Aug 2024"/>
    <n v="9"/>
    <s v="Single"/>
    <x v="1"/>
    <x v="1376"/>
  </r>
  <r>
    <x v="174"/>
    <x v="1360"/>
    <x v="0"/>
    <x v="546"/>
    <n v="32.82"/>
    <x v="7"/>
    <s v="Aug 2024"/>
    <n v="12"/>
    <s v="Single"/>
    <x v="1"/>
    <x v="1377"/>
  </r>
  <r>
    <x v="174"/>
    <x v="1361"/>
    <x v="0"/>
    <x v="77"/>
    <n v="32.82"/>
    <x v="0"/>
    <s v="Aug 2024"/>
    <n v="14"/>
    <s v="Repeat"/>
    <x v="0"/>
    <x v="1378"/>
  </r>
  <r>
    <x v="175"/>
    <x v="1362"/>
    <x v="0"/>
    <x v="141"/>
    <n v="23.02"/>
    <x v="5"/>
    <s v="Aug 2024"/>
    <n v="8"/>
    <s v="Repeat"/>
    <x v="0"/>
    <x v="1379"/>
  </r>
  <r>
    <x v="175"/>
    <x v="1363"/>
    <x v="0"/>
    <x v="408"/>
    <n v="23.02"/>
    <x v="2"/>
    <s v="Aug 2024"/>
    <n v="8"/>
    <s v="Repeat"/>
    <x v="0"/>
    <x v="1380"/>
  </r>
  <r>
    <x v="175"/>
    <x v="1364"/>
    <x v="0"/>
    <x v="408"/>
    <n v="23.02"/>
    <x v="2"/>
    <s v="Aug 2024"/>
    <n v="8"/>
    <s v="Repeat"/>
    <x v="0"/>
    <x v="1381"/>
  </r>
  <r>
    <x v="175"/>
    <x v="1365"/>
    <x v="0"/>
    <x v="97"/>
    <n v="27.92"/>
    <x v="3"/>
    <s v="Aug 2024"/>
    <n v="9"/>
    <s v="Repeat"/>
    <x v="0"/>
    <x v="1382"/>
  </r>
  <r>
    <x v="175"/>
    <x v="1366"/>
    <x v="0"/>
    <x v="547"/>
    <n v="32.82"/>
    <x v="0"/>
    <s v="Aug 2024"/>
    <n v="10"/>
    <s v="Single"/>
    <x v="1"/>
    <x v="1383"/>
  </r>
  <r>
    <x v="175"/>
    <x v="1367"/>
    <x v="0"/>
    <x v="548"/>
    <n v="32.82"/>
    <x v="7"/>
    <s v="Aug 2024"/>
    <n v="10"/>
    <s v="Single"/>
    <x v="1"/>
    <x v="1384"/>
  </r>
  <r>
    <x v="175"/>
    <x v="1368"/>
    <x v="0"/>
    <x v="2"/>
    <n v="23.02"/>
    <x v="2"/>
    <s v="Aug 2024"/>
    <n v="12"/>
    <s v="Repeat"/>
    <x v="0"/>
    <x v="1385"/>
  </r>
  <r>
    <x v="175"/>
    <x v="93"/>
    <x v="0"/>
    <x v="2"/>
    <n v="23.02"/>
    <x v="2"/>
    <s v="Aug 2024"/>
    <n v="12"/>
    <s v="Repeat"/>
    <x v="0"/>
    <x v="1386"/>
  </r>
  <r>
    <x v="175"/>
    <x v="1369"/>
    <x v="0"/>
    <x v="549"/>
    <n v="27.92"/>
    <x v="3"/>
    <s v="Aug 2024"/>
    <n v="18"/>
    <s v="Repeat"/>
    <x v="0"/>
    <x v="1387"/>
  </r>
  <r>
    <x v="175"/>
    <x v="1370"/>
    <x v="0"/>
    <x v="549"/>
    <n v="32.82"/>
    <x v="0"/>
    <s v="Aug 2024"/>
    <n v="18"/>
    <s v="Repeat"/>
    <x v="0"/>
    <x v="1388"/>
  </r>
  <r>
    <x v="175"/>
    <x v="1371"/>
    <x v="0"/>
    <x v="550"/>
    <n v="27.92"/>
    <x v="3"/>
    <s v="Aug 2024"/>
    <n v="22"/>
    <s v="Repeat"/>
    <x v="0"/>
    <x v="1389"/>
  </r>
  <r>
    <x v="176"/>
    <x v="1372"/>
    <x v="0"/>
    <x v="375"/>
    <n v="32.82"/>
    <x v="0"/>
    <s v="Aug 2024"/>
    <n v="10"/>
    <s v="Repeat"/>
    <x v="0"/>
    <x v="1390"/>
  </r>
  <r>
    <x v="177"/>
    <x v="1373"/>
    <x v="0"/>
    <x v="551"/>
    <n v="27.92"/>
    <x v="3"/>
    <s v="Aug 2024"/>
    <n v="12"/>
    <s v="Repeat"/>
    <x v="0"/>
    <x v="1391"/>
  </r>
  <r>
    <x v="177"/>
    <x v="1374"/>
    <x v="0"/>
    <x v="551"/>
    <n v="32.82"/>
    <x v="7"/>
    <s v="Aug 2024"/>
    <n v="12"/>
    <s v="Repeat"/>
    <x v="0"/>
    <x v="1392"/>
  </r>
  <r>
    <x v="177"/>
    <x v="1375"/>
    <x v="0"/>
    <x v="375"/>
    <n v="23.02"/>
    <x v="2"/>
    <s v="Aug 2024"/>
    <n v="12"/>
    <s v="Repeat"/>
    <x v="0"/>
    <x v="1393"/>
  </r>
  <r>
    <x v="177"/>
    <x v="1376"/>
    <x v="0"/>
    <x v="552"/>
    <n v="27.92"/>
    <x v="3"/>
    <s v="Aug 2024"/>
    <n v="13"/>
    <s v="Repeat"/>
    <x v="0"/>
    <x v="1394"/>
  </r>
  <r>
    <x v="178"/>
    <x v="1377"/>
    <x v="0"/>
    <x v="553"/>
    <n v="23.02"/>
    <x v="2"/>
    <s v="Aug 2024"/>
    <n v="7"/>
    <s v="Single"/>
    <x v="1"/>
    <x v="1395"/>
  </r>
  <r>
    <x v="179"/>
    <x v="1378"/>
    <x v="0"/>
    <x v="554"/>
    <n v="32.82"/>
    <x v="0"/>
    <s v="Aug 2024"/>
    <n v="17"/>
    <s v="Repeat"/>
    <x v="0"/>
    <x v="1396"/>
  </r>
  <r>
    <x v="179"/>
    <x v="1379"/>
    <x v="0"/>
    <x v="554"/>
    <n v="27.92"/>
    <x v="3"/>
    <s v="Aug 2024"/>
    <n v="17"/>
    <s v="Repeat"/>
    <x v="0"/>
    <x v="1397"/>
  </r>
  <r>
    <x v="179"/>
    <x v="1380"/>
    <x v="0"/>
    <x v="554"/>
    <n v="27.92"/>
    <x v="3"/>
    <s v="Aug 2024"/>
    <n v="17"/>
    <s v="Repeat"/>
    <x v="0"/>
    <x v="1398"/>
  </r>
  <r>
    <x v="180"/>
    <x v="1381"/>
    <x v="0"/>
    <x v="371"/>
    <n v="23.02"/>
    <x v="5"/>
    <s v="Aug 2024"/>
    <n v="9"/>
    <s v="Repeat"/>
    <x v="0"/>
    <x v="1399"/>
  </r>
  <r>
    <x v="180"/>
    <x v="1382"/>
    <x v="0"/>
    <x v="555"/>
    <n v="27.92"/>
    <x v="3"/>
    <s v="Aug 2024"/>
    <n v="10"/>
    <s v="Single"/>
    <x v="1"/>
    <x v="1400"/>
  </r>
  <r>
    <x v="180"/>
    <x v="1383"/>
    <x v="0"/>
    <x v="556"/>
    <n v="18.12"/>
    <x v="6"/>
    <s v="Aug 2024"/>
    <n v="10"/>
    <s v="Single"/>
    <x v="1"/>
    <x v="1401"/>
  </r>
  <r>
    <x v="180"/>
    <x v="1384"/>
    <x v="0"/>
    <x v="557"/>
    <n v="27.92"/>
    <x v="3"/>
    <s v="Aug 2024"/>
    <n v="11"/>
    <s v="Single"/>
    <x v="1"/>
    <x v="1402"/>
  </r>
  <r>
    <x v="180"/>
    <x v="1385"/>
    <x v="0"/>
    <x v="141"/>
    <n v="23.02"/>
    <x v="5"/>
    <s v="Aug 2024"/>
    <n v="11"/>
    <s v="Repeat"/>
    <x v="0"/>
    <x v="1403"/>
  </r>
  <r>
    <x v="180"/>
    <x v="1386"/>
    <x v="0"/>
    <x v="141"/>
    <n v="23.02"/>
    <x v="5"/>
    <s v="Aug 2024"/>
    <n v="11"/>
    <s v="Repeat"/>
    <x v="0"/>
    <x v="1404"/>
  </r>
  <r>
    <x v="181"/>
    <x v="1387"/>
    <x v="0"/>
    <x v="141"/>
    <n v="23.02"/>
    <x v="5"/>
    <s v="Sep 2024"/>
    <n v="9"/>
    <s v="Repeat"/>
    <x v="0"/>
    <x v="1405"/>
  </r>
  <r>
    <x v="181"/>
    <x v="1388"/>
    <x v="0"/>
    <x v="558"/>
    <n v="32.82"/>
    <x v="7"/>
    <s v="Sep 2024"/>
    <n v="12"/>
    <s v="Single"/>
    <x v="1"/>
    <x v="1406"/>
  </r>
  <r>
    <x v="181"/>
    <x v="1389"/>
    <x v="0"/>
    <x v="181"/>
    <n v="27.92"/>
    <x v="3"/>
    <s v="Sep 2024"/>
    <n v="12"/>
    <s v="Repeat"/>
    <x v="0"/>
    <x v="1407"/>
  </r>
  <r>
    <x v="181"/>
    <x v="1390"/>
    <x v="0"/>
    <x v="181"/>
    <n v="23.02"/>
    <x v="2"/>
    <s v="Sep 2024"/>
    <n v="12"/>
    <s v="Repeat"/>
    <x v="0"/>
    <x v="1408"/>
  </r>
  <r>
    <x v="181"/>
    <x v="1391"/>
    <x v="0"/>
    <x v="559"/>
    <n v="27.92"/>
    <x v="3"/>
    <s v="Sep 2024"/>
    <n v="12"/>
    <s v="Single"/>
    <x v="1"/>
    <x v="1409"/>
  </r>
  <r>
    <x v="181"/>
    <x v="1392"/>
    <x v="0"/>
    <x v="560"/>
    <n v="32.82"/>
    <x v="0"/>
    <s v="Sep 2024"/>
    <n v="13"/>
    <s v="Single"/>
    <x v="1"/>
    <x v="1410"/>
  </r>
  <r>
    <x v="181"/>
    <x v="1393"/>
    <x v="0"/>
    <x v="385"/>
    <n v="27.92"/>
    <x v="3"/>
    <s v="Sep 2024"/>
    <n v="14"/>
    <s v="Repeat"/>
    <x v="0"/>
    <x v="1411"/>
  </r>
  <r>
    <x v="181"/>
    <x v="1394"/>
    <x v="0"/>
    <x v="561"/>
    <n v="32.82"/>
    <x v="0"/>
    <s v="Sep 2024"/>
    <n v="17"/>
    <s v="Single"/>
    <x v="1"/>
    <x v="1412"/>
  </r>
  <r>
    <x v="181"/>
    <x v="1395"/>
    <x v="0"/>
    <x v="562"/>
    <n v="32.82"/>
    <x v="0"/>
    <s v="Sep 2024"/>
    <n v="17"/>
    <s v="Single"/>
    <x v="1"/>
    <x v="1413"/>
  </r>
  <r>
    <x v="181"/>
    <x v="1396"/>
    <x v="0"/>
    <x v="563"/>
    <n v="32.82"/>
    <x v="0"/>
    <s v="Sep 2024"/>
    <n v="17"/>
    <s v="Single"/>
    <x v="1"/>
    <x v="1414"/>
  </r>
  <r>
    <x v="182"/>
    <x v="1397"/>
    <x v="0"/>
    <x v="425"/>
    <n v="32.82"/>
    <x v="0"/>
    <s v="Sep 2024"/>
    <n v="8"/>
    <s v="Repeat"/>
    <x v="0"/>
    <x v="1415"/>
  </r>
  <r>
    <x v="182"/>
    <x v="1398"/>
    <x v="0"/>
    <x v="564"/>
    <n v="27.92"/>
    <x v="3"/>
    <s v="Sep 2024"/>
    <n v="8"/>
    <s v="Single"/>
    <x v="1"/>
    <x v="1416"/>
  </r>
  <r>
    <x v="182"/>
    <x v="1399"/>
    <x v="0"/>
    <x v="565"/>
    <n v="32.82"/>
    <x v="0"/>
    <s v="Sep 2024"/>
    <n v="8"/>
    <s v="Repeat"/>
    <x v="0"/>
    <x v="1417"/>
  </r>
  <r>
    <x v="182"/>
    <x v="1400"/>
    <x v="0"/>
    <x v="566"/>
    <n v="27.92"/>
    <x v="3"/>
    <s v="Sep 2024"/>
    <n v="14"/>
    <s v="Single"/>
    <x v="1"/>
    <x v="1418"/>
  </r>
  <r>
    <x v="182"/>
    <x v="1401"/>
    <x v="0"/>
    <x v="567"/>
    <n v="32.82"/>
    <x v="7"/>
    <s v="Sep 2024"/>
    <n v="20"/>
    <s v="Single"/>
    <x v="1"/>
    <x v="1419"/>
  </r>
  <r>
    <x v="182"/>
    <x v="1402"/>
    <x v="0"/>
    <x v="179"/>
    <n v="32.82"/>
    <x v="4"/>
    <s v="Sep 2024"/>
    <n v="20"/>
    <s v="Repeat"/>
    <x v="0"/>
    <x v="1420"/>
  </r>
  <r>
    <x v="182"/>
    <x v="1403"/>
    <x v="0"/>
    <x v="568"/>
    <n v="23.02"/>
    <x v="2"/>
    <s v="Sep 2024"/>
    <n v="20"/>
    <s v="Repeat"/>
    <x v="0"/>
    <x v="1421"/>
  </r>
  <r>
    <x v="182"/>
    <x v="1404"/>
    <x v="0"/>
    <x v="568"/>
    <n v="23.02"/>
    <x v="2"/>
    <s v="Sep 2024"/>
    <n v="20"/>
    <s v="Repeat"/>
    <x v="0"/>
    <x v="1422"/>
  </r>
  <r>
    <x v="183"/>
    <x v="1405"/>
    <x v="0"/>
    <x v="569"/>
    <n v="32.82"/>
    <x v="4"/>
    <s v="Sep 2024"/>
    <n v="8"/>
    <s v="Single"/>
    <x v="1"/>
    <x v="1423"/>
  </r>
  <r>
    <x v="183"/>
    <x v="1406"/>
    <x v="0"/>
    <x v="168"/>
    <n v="32.82"/>
    <x v="7"/>
    <s v="Sep 2024"/>
    <n v="8"/>
    <s v="Repeat"/>
    <x v="0"/>
    <x v="1424"/>
  </r>
  <r>
    <x v="183"/>
    <x v="1407"/>
    <x v="0"/>
    <x v="570"/>
    <n v="32.82"/>
    <x v="0"/>
    <s v="Sep 2024"/>
    <n v="8"/>
    <s v="Repeat"/>
    <x v="0"/>
    <x v="1425"/>
  </r>
  <r>
    <x v="183"/>
    <x v="1408"/>
    <x v="0"/>
    <x v="571"/>
    <n v="27.92"/>
    <x v="3"/>
    <s v="Sep 2024"/>
    <n v="9"/>
    <s v="Repeat"/>
    <x v="0"/>
    <x v="1426"/>
  </r>
  <r>
    <x v="183"/>
    <x v="1409"/>
    <x v="0"/>
    <x v="571"/>
    <n v="32.82"/>
    <x v="7"/>
    <s v="Sep 2024"/>
    <n v="9"/>
    <s v="Repeat"/>
    <x v="0"/>
    <x v="1427"/>
  </r>
  <r>
    <x v="183"/>
    <x v="1410"/>
    <x v="0"/>
    <x v="572"/>
    <n v="32.82"/>
    <x v="4"/>
    <s v="Sep 2024"/>
    <n v="9"/>
    <s v="Repeat"/>
    <x v="0"/>
    <x v="1428"/>
  </r>
  <r>
    <x v="183"/>
    <x v="1411"/>
    <x v="0"/>
    <x v="572"/>
    <n v="32.82"/>
    <x v="4"/>
    <s v="Sep 2024"/>
    <n v="9"/>
    <s v="Repeat"/>
    <x v="0"/>
    <x v="1429"/>
  </r>
  <r>
    <x v="183"/>
    <x v="1412"/>
    <x v="0"/>
    <x v="385"/>
    <n v="27.92"/>
    <x v="3"/>
    <s v="Sep 2024"/>
    <n v="9"/>
    <s v="Repeat"/>
    <x v="0"/>
    <x v="1430"/>
  </r>
  <r>
    <x v="183"/>
    <x v="1413"/>
    <x v="0"/>
    <x v="573"/>
    <n v="27.92"/>
    <x v="3"/>
    <s v="Sep 2024"/>
    <n v="9"/>
    <s v="Repeat"/>
    <x v="0"/>
    <x v="1431"/>
  </r>
  <r>
    <x v="183"/>
    <x v="1414"/>
    <x v="0"/>
    <x v="574"/>
    <n v="32.82"/>
    <x v="0"/>
    <s v="Sep 2024"/>
    <n v="9"/>
    <s v="Single"/>
    <x v="1"/>
    <x v="1432"/>
  </r>
  <r>
    <x v="183"/>
    <x v="1415"/>
    <x v="0"/>
    <x v="575"/>
    <n v="32.82"/>
    <x v="4"/>
    <s v="Sep 2024"/>
    <n v="9"/>
    <s v="Single"/>
    <x v="1"/>
    <x v="1433"/>
  </r>
  <r>
    <x v="183"/>
    <x v="1416"/>
    <x v="0"/>
    <x v="576"/>
    <n v="23.02"/>
    <x v="5"/>
    <s v="Sep 2024"/>
    <n v="12"/>
    <s v="Single"/>
    <x v="1"/>
    <x v="1434"/>
  </r>
  <r>
    <x v="183"/>
    <x v="1417"/>
    <x v="0"/>
    <x v="333"/>
    <n v="27.92"/>
    <x v="3"/>
    <s v="Sep 2024"/>
    <n v="14"/>
    <s v="Repeat"/>
    <x v="0"/>
    <x v="1435"/>
  </r>
  <r>
    <x v="183"/>
    <x v="1418"/>
    <x v="0"/>
    <x v="333"/>
    <n v="27.92"/>
    <x v="3"/>
    <s v="Sep 2024"/>
    <n v="14"/>
    <s v="Repeat"/>
    <x v="0"/>
    <x v="1436"/>
  </r>
  <r>
    <x v="183"/>
    <x v="1419"/>
    <x v="0"/>
    <x v="333"/>
    <n v="27.92"/>
    <x v="3"/>
    <s v="Sep 2024"/>
    <n v="18"/>
    <s v="Repeat"/>
    <x v="0"/>
    <x v="1437"/>
  </r>
  <r>
    <x v="183"/>
    <x v="1420"/>
    <x v="0"/>
    <x v="467"/>
    <n v="32.82"/>
    <x v="0"/>
    <s v="Sep 2024"/>
    <n v="19"/>
    <s v="Repeat"/>
    <x v="0"/>
    <x v="1438"/>
  </r>
  <r>
    <x v="183"/>
    <x v="1421"/>
    <x v="0"/>
    <x v="467"/>
    <n v="27.92"/>
    <x v="3"/>
    <s v="Sep 2024"/>
    <n v="19"/>
    <s v="Repeat"/>
    <x v="0"/>
    <x v="1439"/>
  </r>
  <r>
    <x v="184"/>
    <x v="1422"/>
    <x v="0"/>
    <x v="577"/>
    <n v="27.92"/>
    <x v="3"/>
    <s v="Sep 2024"/>
    <n v="11"/>
    <s v="Single"/>
    <x v="1"/>
    <x v="1440"/>
  </r>
  <r>
    <x v="184"/>
    <x v="1423"/>
    <x v="0"/>
    <x v="510"/>
    <n v="32.82"/>
    <x v="0"/>
    <s v="Sep 2024"/>
    <n v="11"/>
    <s v="Repeat"/>
    <x v="0"/>
    <x v="1441"/>
  </r>
  <r>
    <x v="184"/>
    <x v="1424"/>
    <x v="0"/>
    <x v="19"/>
    <n v="23.02"/>
    <x v="2"/>
    <s v="Sep 2024"/>
    <n v="11"/>
    <s v="Repeat"/>
    <x v="0"/>
    <x v="1442"/>
  </r>
  <r>
    <x v="184"/>
    <x v="1425"/>
    <x v="0"/>
    <x v="578"/>
    <n v="27.92"/>
    <x v="3"/>
    <s v="Sep 2024"/>
    <n v="11"/>
    <s v="Single"/>
    <x v="1"/>
    <x v="1443"/>
  </r>
  <r>
    <x v="184"/>
    <x v="1426"/>
    <x v="0"/>
    <x v="565"/>
    <n v="32.82"/>
    <x v="0"/>
    <s v="Sep 2024"/>
    <n v="12"/>
    <s v="Repeat"/>
    <x v="0"/>
    <x v="1444"/>
  </r>
  <r>
    <x v="184"/>
    <x v="1427"/>
    <x v="0"/>
    <x v="579"/>
    <n v="32.82"/>
    <x v="0"/>
    <s v="Sep 2024"/>
    <n v="13"/>
    <s v="Repeat"/>
    <x v="0"/>
    <x v="1445"/>
  </r>
  <r>
    <x v="184"/>
    <x v="1428"/>
    <x v="0"/>
    <x v="579"/>
    <n v="27.92"/>
    <x v="3"/>
    <s v="Sep 2024"/>
    <n v="13"/>
    <s v="Repeat"/>
    <x v="0"/>
    <x v="1446"/>
  </r>
  <r>
    <x v="184"/>
    <x v="1429"/>
    <x v="0"/>
    <x v="580"/>
    <n v="32.82"/>
    <x v="7"/>
    <s v="Sep 2024"/>
    <n v="18"/>
    <s v="Single"/>
    <x v="1"/>
    <x v="1447"/>
  </r>
  <r>
    <x v="184"/>
    <x v="1430"/>
    <x v="0"/>
    <x v="97"/>
    <n v="27.92"/>
    <x v="3"/>
    <s v="Sep 2024"/>
    <n v="19"/>
    <s v="Repeat"/>
    <x v="0"/>
    <x v="1448"/>
  </r>
  <r>
    <x v="184"/>
    <x v="1431"/>
    <x v="0"/>
    <x v="494"/>
    <n v="32.82"/>
    <x v="0"/>
    <s v="Sep 2024"/>
    <n v="21"/>
    <s v="Repeat"/>
    <x v="0"/>
    <x v="1449"/>
  </r>
  <r>
    <x v="185"/>
    <x v="1432"/>
    <x v="0"/>
    <x v="385"/>
    <n v="27.92"/>
    <x v="3"/>
    <s v="Sep 2024"/>
    <n v="9"/>
    <s v="Repeat"/>
    <x v="0"/>
    <x v="1450"/>
  </r>
  <r>
    <x v="185"/>
    <x v="1433"/>
    <x v="0"/>
    <x v="581"/>
    <n v="27.92"/>
    <x v="3"/>
    <s v="Sep 2024"/>
    <n v="10"/>
    <s v="Single"/>
    <x v="1"/>
    <x v="1451"/>
  </r>
  <r>
    <x v="185"/>
    <x v="1434"/>
    <x v="0"/>
    <x v="19"/>
    <n v="23.02"/>
    <x v="2"/>
    <s v="Sep 2024"/>
    <n v="11"/>
    <s v="Repeat"/>
    <x v="0"/>
    <x v="1452"/>
  </r>
  <r>
    <x v="185"/>
    <x v="1435"/>
    <x v="0"/>
    <x v="582"/>
    <n v="32.82"/>
    <x v="0"/>
    <s v="Sep 2024"/>
    <n v="14"/>
    <s v="Repeat"/>
    <x v="0"/>
    <x v="1453"/>
  </r>
  <r>
    <x v="185"/>
    <x v="1436"/>
    <x v="0"/>
    <x v="583"/>
    <n v="32.82"/>
    <x v="0"/>
    <s v="Sep 2024"/>
    <n v="15"/>
    <s v="Repeat"/>
    <x v="0"/>
    <x v="1454"/>
  </r>
  <r>
    <x v="185"/>
    <x v="1437"/>
    <x v="0"/>
    <x v="584"/>
    <n v="23.02"/>
    <x v="2"/>
    <s v="Sep 2024"/>
    <n v="16"/>
    <s v="Repeat"/>
    <x v="0"/>
    <x v="1455"/>
  </r>
  <r>
    <x v="185"/>
    <x v="1438"/>
    <x v="0"/>
    <x v="585"/>
    <n v="27.92"/>
    <x v="3"/>
    <s v="Sep 2024"/>
    <n v="16"/>
    <s v="Repeat"/>
    <x v="0"/>
    <x v="1456"/>
  </r>
  <r>
    <x v="185"/>
    <x v="1439"/>
    <x v="0"/>
    <x v="586"/>
    <n v="32.82"/>
    <x v="7"/>
    <s v="Sep 2024"/>
    <n v="17"/>
    <s v="Repeat"/>
    <x v="0"/>
    <x v="1457"/>
  </r>
  <r>
    <x v="185"/>
    <x v="1440"/>
    <x v="0"/>
    <x v="586"/>
    <n v="32.82"/>
    <x v="7"/>
    <s v="Sep 2024"/>
    <n v="17"/>
    <s v="Repeat"/>
    <x v="0"/>
    <x v="1458"/>
  </r>
  <r>
    <x v="185"/>
    <x v="1441"/>
    <x v="0"/>
    <x v="587"/>
    <n v="32.82"/>
    <x v="7"/>
    <s v="Sep 2024"/>
    <n v="20"/>
    <s v="Single"/>
    <x v="1"/>
    <x v="1459"/>
  </r>
  <r>
    <x v="185"/>
    <x v="1442"/>
    <x v="0"/>
    <x v="588"/>
    <n v="23.02"/>
    <x v="2"/>
    <s v="Sep 2024"/>
    <n v="20"/>
    <s v="Repeat"/>
    <x v="0"/>
    <x v="1460"/>
  </r>
  <r>
    <x v="185"/>
    <x v="1443"/>
    <x v="0"/>
    <x v="588"/>
    <n v="32.82"/>
    <x v="7"/>
    <s v="Sep 2024"/>
    <n v="20"/>
    <s v="Repeat"/>
    <x v="0"/>
    <x v="1461"/>
  </r>
  <r>
    <x v="185"/>
    <x v="1444"/>
    <x v="0"/>
    <x v="40"/>
    <n v="27.92"/>
    <x v="3"/>
    <s v="Sep 2024"/>
    <n v="21"/>
    <s v="Repeat"/>
    <x v="0"/>
    <x v="1462"/>
  </r>
  <r>
    <x v="185"/>
    <x v="1445"/>
    <x v="0"/>
    <x v="40"/>
    <n v="27.92"/>
    <x v="3"/>
    <s v="Sep 2024"/>
    <n v="21"/>
    <s v="Repeat"/>
    <x v="0"/>
    <x v="1463"/>
  </r>
  <r>
    <x v="186"/>
    <x v="1446"/>
    <x v="0"/>
    <x v="582"/>
    <n v="32.82"/>
    <x v="7"/>
    <s v="Sep 2024"/>
    <n v="8"/>
    <s v="Repeat"/>
    <x v="0"/>
    <x v="1464"/>
  </r>
  <r>
    <x v="186"/>
    <x v="1447"/>
    <x v="0"/>
    <x v="425"/>
    <n v="32.82"/>
    <x v="0"/>
    <s v="Sep 2024"/>
    <n v="8"/>
    <s v="Repeat"/>
    <x v="0"/>
    <x v="1465"/>
  </r>
  <r>
    <x v="186"/>
    <x v="1448"/>
    <x v="0"/>
    <x v="589"/>
    <n v="23.02"/>
    <x v="2"/>
    <s v="Sep 2024"/>
    <n v="8"/>
    <s v="Single"/>
    <x v="1"/>
    <x v="1466"/>
  </r>
  <r>
    <x v="186"/>
    <x v="1449"/>
    <x v="0"/>
    <x v="590"/>
    <n v="18.12"/>
    <x v="6"/>
    <s v="Sep 2024"/>
    <n v="9"/>
    <s v="Repeat"/>
    <x v="0"/>
    <x v="1467"/>
  </r>
  <r>
    <x v="186"/>
    <x v="1450"/>
    <x v="0"/>
    <x v="590"/>
    <n v="32.82"/>
    <x v="0"/>
    <s v="Sep 2024"/>
    <n v="9"/>
    <s v="Repeat"/>
    <x v="0"/>
    <x v="1468"/>
  </r>
  <r>
    <x v="186"/>
    <x v="1451"/>
    <x v="0"/>
    <x v="591"/>
    <n v="32.82"/>
    <x v="1"/>
    <s v="Sep 2024"/>
    <n v="10"/>
    <s v="Single"/>
    <x v="1"/>
    <x v="1469"/>
  </r>
  <r>
    <x v="186"/>
    <x v="1452"/>
    <x v="0"/>
    <x v="95"/>
    <n v="18.12"/>
    <x v="6"/>
    <s v="Sep 2024"/>
    <n v="11"/>
    <s v="Repeat"/>
    <x v="0"/>
    <x v="1470"/>
  </r>
  <r>
    <x v="186"/>
    <x v="1453"/>
    <x v="0"/>
    <x v="467"/>
    <n v="18.12"/>
    <x v="6"/>
    <s v="Sep 2024"/>
    <n v="11"/>
    <s v="Repeat"/>
    <x v="0"/>
    <x v="1471"/>
  </r>
  <r>
    <x v="186"/>
    <x v="1454"/>
    <x v="0"/>
    <x v="283"/>
    <n v="32.82"/>
    <x v="0"/>
    <s v="Sep 2024"/>
    <n v="20"/>
    <s v="Repeat"/>
    <x v="0"/>
    <x v="1472"/>
  </r>
  <r>
    <x v="186"/>
    <x v="1455"/>
    <x v="0"/>
    <x v="507"/>
    <n v="32.82"/>
    <x v="0"/>
    <s v="Sep 2024"/>
    <n v="21"/>
    <s v="Repeat"/>
    <x v="0"/>
    <x v="1473"/>
  </r>
  <r>
    <x v="187"/>
    <x v="1456"/>
    <x v="0"/>
    <x v="592"/>
    <n v="32.82"/>
    <x v="0"/>
    <s v="Sep 2024"/>
    <n v="8"/>
    <s v="Single"/>
    <x v="1"/>
    <x v="1474"/>
  </r>
  <r>
    <x v="187"/>
    <x v="1457"/>
    <x v="0"/>
    <x v="543"/>
    <n v="23.02"/>
    <x v="5"/>
    <s v="Sep 2024"/>
    <n v="9"/>
    <s v="Repeat"/>
    <x v="0"/>
    <x v="1475"/>
  </r>
  <r>
    <x v="187"/>
    <x v="1458"/>
    <x v="0"/>
    <x v="543"/>
    <n v="23.02"/>
    <x v="5"/>
    <s v="Sep 2024"/>
    <n v="9"/>
    <s v="Repeat"/>
    <x v="0"/>
    <x v="1476"/>
  </r>
  <r>
    <x v="187"/>
    <x v="1459"/>
    <x v="0"/>
    <x v="593"/>
    <n v="23.02"/>
    <x v="5"/>
    <s v="Sep 2024"/>
    <n v="9"/>
    <s v="Single"/>
    <x v="1"/>
    <x v="1477"/>
  </r>
  <r>
    <x v="187"/>
    <x v="1460"/>
    <x v="0"/>
    <x v="276"/>
    <n v="27.92"/>
    <x v="3"/>
    <s v="Sep 2024"/>
    <n v="9"/>
    <s v="Repeat"/>
    <x v="0"/>
    <x v="1478"/>
  </r>
  <r>
    <x v="187"/>
    <x v="1461"/>
    <x v="0"/>
    <x v="276"/>
    <n v="27.92"/>
    <x v="3"/>
    <s v="Sep 2024"/>
    <n v="9"/>
    <s v="Repeat"/>
    <x v="0"/>
    <x v="1479"/>
  </r>
  <r>
    <x v="187"/>
    <x v="1462"/>
    <x v="0"/>
    <x v="141"/>
    <n v="23.02"/>
    <x v="5"/>
    <s v="Sep 2024"/>
    <n v="10"/>
    <s v="Repeat"/>
    <x v="0"/>
    <x v="1480"/>
  </r>
  <r>
    <x v="187"/>
    <x v="1463"/>
    <x v="0"/>
    <x v="594"/>
    <n v="23.02"/>
    <x v="2"/>
    <s v="Sep 2024"/>
    <n v="10"/>
    <s v="Single"/>
    <x v="1"/>
    <x v="1481"/>
  </r>
  <r>
    <x v="187"/>
    <x v="1464"/>
    <x v="0"/>
    <x v="595"/>
    <n v="18.12"/>
    <x v="6"/>
    <s v="Sep 2024"/>
    <n v="10"/>
    <s v="Repeat"/>
    <x v="0"/>
    <x v="1482"/>
  </r>
  <r>
    <x v="187"/>
    <x v="1465"/>
    <x v="0"/>
    <x v="595"/>
    <n v="18.12"/>
    <x v="6"/>
    <s v="Sep 2024"/>
    <n v="10"/>
    <s v="Repeat"/>
    <x v="0"/>
    <x v="1483"/>
  </r>
  <r>
    <x v="187"/>
    <x v="1466"/>
    <x v="0"/>
    <x v="596"/>
    <n v="32.82"/>
    <x v="0"/>
    <s v="Sep 2024"/>
    <n v="10"/>
    <s v="Single"/>
    <x v="1"/>
    <x v="1484"/>
  </r>
  <r>
    <x v="187"/>
    <x v="1467"/>
    <x v="0"/>
    <x v="12"/>
    <n v="27.92"/>
    <x v="3"/>
    <s v="Sep 2024"/>
    <n v="11"/>
    <s v="Repeat"/>
    <x v="0"/>
    <x v="1485"/>
  </r>
  <r>
    <x v="187"/>
    <x v="1468"/>
    <x v="0"/>
    <x v="19"/>
    <n v="23.02"/>
    <x v="2"/>
    <s v="Sep 2024"/>
    <n v="11"/>
    <s v="Repeat"/>
    <x v="0"/>
    <x v="1486"/>
  </r>
  <r>
    <x v="187"/>
    <x v="1469"/>
    <x v="0"/>
    <x v="12"/>
    <n v="18.12"/>
    <x v="6"/>
    <s v="Sep 2024"/>
    <n v="11"/>
    <s v="Repeat"/>
    <x v="0"/>
    <x v="1487"/>
  </r>
  <r>
    <x v="187"/>
    <x v="1470"/>
    <x v="0"/>
    <x v="597"/>
    <n v="32.82"/>
    <x v="0"/>
    <s v="Sep 2024"/>
    <n v="15"/>
    <s v="Single"/>
    <x v="1"/>
    <x v="1488"/>
  </r>
  <r>
    <x v="187"/>
    <x v="1471"/>
    <x v="0"/>
    <x v="19"/>
    <n v="23.02"/>
    <x v="2"/>
    <s v="Sep 2024"/>
    <n v="16"/>
    <s v="Repeat"/>
    <x v="0"/>
    <x v="1489"/>
  </r>
  <r>
    <x v="187"/>
    <x v="1472"/>
    <x v="0"/>
    <x v="12"/>
    <n v="18.12"/>
    <x v="6"/>
    <s v="Sep 2024"/>
    <n v="16"/>
    <s v="Repeat"/>
    <x v="0"/>
    <x v="1490"/>
  </r>
  <r>
    <x v="187"/>
    <x v="1473"/>
    <x v="0"/>
    <x v="283"/>
    <n v="32.82"/>
    <x v="4"/>
    <s v="Sep 2024"/>
    <n v="19"/>
    <s v="Repeat"/>
    <x v="0"/>
    <x v="1491"/>
  </r>
  <r>
    <x v="187"/>
    <x v="1474"/>
    <x v="0"/>
    <x v="283"/>
    <n v="32.82"/>
    <x v="0"/>
    <s v="Sep 2024"/>
    <n v="19"/>
    <s v="Repeat"/>
    <x v="0"/>
    <x v="1492"/>
  </r>
  <r>
    <x v="187"/>
    <x v="1475"/>
    <x v="0"/>
    <x v="283"/>
    <n v="32.82"/>
    <x v="0"/>
    <s v="Sep 2024"/>
    <n v="19"/>
    <s v="Repeat"/>
    <x v="0"/>
    <x v="1493"/>
  </r>
  <r>
    <x v="187"/>
    <x v="1476"/>
    <x v="0"/>
    <x v="598"/>
    <n v="32.82"/>
    <x v="0"/>
    <s v="Sep 2024"/>
    <n v="20"/>
    <s v="Repeat"/>
    <x v="0"/>
    <x v="1494"/>
  </r>
  <r>
    <x v="187"/>
    <x v="1477"/>
    <x v="0"/>
    <x v="598"/>
    <n v="32.82"/>
    <x v="0"/>
    <s v="Sep 2024"/>
    <n v="20"/>
    <s v="Repeat"/>
    <x v="0"/>
    <x v="1495"/>
  </r>
  <r>
    <x v="188"/>
    <x v="1478"/>
    <x v="0"/>
    <x v="141"/>
    <n v="23.02"/>
    <x v="5"/>
    <s v="Sep 2024"/>
    <n v="8"/>
    <s v="Repeat"/>
    <x v="0"/>
    <x v="1496"/>
  </r>
  <r>
    <x v="188"/>
    <x v="1479"/>
    <x v="0"/>
    <x v="543"/>
    <n v="23.02"/>
    <x v="5"/>
    <s v="Sep 2024"/>
    <n v="9"/>
    <s v="Repeat"/>
    <x v="0"/>
    <x v="1497"/>
  </r>
  <r>
    <x v="188"/>
    <x v="1480"/>
    <x v="0"/>
    <x v="543"/>
    <n v="23.02"/>
    <x v="5"/>
    <s v="Sep 2024"/>
    <n v="9"/>
    <s v="Repeat"/>
    <x v="0"/>
    <x v="1498"/>
  </r>
  <r>
    <x v="188"/>
    <x v="1481"/>
    <x v="0"/>
    <x v="543"/>
    <n v="23.02"/>
    <x v="5"/>
    <s v="Sep 2024"/>
    <n v="10"/>
    <s v="Repeat"/>
    <x v="0"/>
    <x v="1499"/>
  </r>
  <r>
    <x v="188"/>
    <x v="1482"/>
    <x v="0"/>
    <x v="486"/>
    <n v="23.02"/>
    <x v="5"/>
    <s v="Sep 2024"/>
    <n v="12"/>
    <s v="Repeat"/>
    <x v="0"/>
    <x v="1500"/>
  </r>
  <r>
    <x v="188"/>
    <x v="1483"/>
    <x v="0"/>
    <x v="347"/>
    <n v="23.02"/>
    <x v="2"/>
    <s v="Sep 2024"/>
    <n v="20"/>
    <s v="Repeat"/>
    <x v="0"/>
    <x v="1501"/>
  </r>
  <r>
    <x v="189"/>
    <x v="1484"/>
    <x v="0"/>
    <x v="599"/>
    <n v="32.82"/>
    <x v="0"/>
    <s v="Sep 2024"/>
    <n v="7"/>
    <s v="Repeat"/>
    <x v="0"/>
    <x v="1502"/>
  </r>
  <r>
    <x v="189"/>
    <x v="1485"/>
    <x v="0"/>
    <x v="582"/>
    <n v="32.82"/>
    <x v="7"/>
    <s v="Sep 2024"/>
    <n v="7"/>
    <s v="Repeat"/>
    <x v="0"/>
    <x v="1503"/>
  </r>
  <r>
    <x v="189"/>
    <x v="1486"/>
    <x v="0"/>
    <x v="599"/>
    <n v="27.92"/>
    <x v="3"/>
    <s v="Sep 2024"/>
    <n v="7"/>
    <s v="Repeat"/>
    <x v="0"/>
    <x v="1504"/>
  </r>
  <r>
    <x v="189"/>
    <x v="1487"/>
    <x v="0"/>
    <x v="570"/>
    <n v="32.82"/>
    <x v="0"/>
    <s v="Sep 2024"/>
    <n v="7"/>
    <s v="Repeat"/>
    <x v="0"/>
    <x v="1505"/>
  </r>
  <r>
    <x v="189"/>
    <x v="1488"/>
    <x v="0"/>
    <x v="583"/>
    <n v="32.82"/>
    <x v="0"/>
    <s v="Sep 2024"/>
    <n v="9"/>
    <s v="Repeat"/>
    <x v="0"/>
    <x v="1506"/>
  </r>
  <r>
    <x v="189"/>
    <x v="1489"/>
    <x v="0"/>
    <x v="583"/>
    <n v="32.82"/>
    <x v="1"/>
    <s v="Sep 2024"/>
    <n v="9"/>
    <s v="Repeat"/>
    <x v="0"/>
    <x v="1507"/>
  </r>
  <r>
    <x v="189"/>
    <x v="1490"/>
    <x v="0"/>
    <x v="494"/>
    <n v="32.82"/>
    <x v="0"/>
    <s v="Sep 2024"/>
    <n v="9"/>
    <s v="Repeat"/>
    <x v="0"/>
    <x v="1508"/>
  </r>
  <r>
    <x v="189"/>
    <x v="1491"/>
    <x v="0"/>
    <x v="600"/>
    <n v="27.92"/>
    <x v="3"/>
    <s v="Sep 2024"/>
    <n v="11"/>
    <s v="Single"/>
    <x v="1"/>
    <x v="1509"/>
  </r>
  <r>
    <x v="189"/>
    <x v="1492"/>
    <x v="0"/>
    <x v="601"/>
    <n v="27.92"/>
    <x v="3"/>
    <s v="Sep 2024"/>
    <n v="11"/>
    <s v="Single"/>
    <x v="1"/>
    <x v="1510"/>
  </r>
  <r>
    <x v="189"/>
    <x v="1493"/>
    <x v="0"/>
    <x v="602"/>
    <n v="32.82"/>
    <x v="0"/>
    <s v="Sep 2024"/>
    <n v="11"/>
    <s v="Repeat"/>
    <x v="0"/>
    <x v="1511"/>
  </r>
  <r>
    <x v="189"/>
    <x v="1494"/>
    <x v="0"/>
    <x v="603"/>
    <n v="18.12"/>
    <x v="6"/>
    <s v="Sep 2024"/>
    <n v="12"/>
    <s v="Single"/>
    <x v="1"/>
    <x v="1512"/>
  </r>
  <r>
    <x v="189"/>
    <x v="1495"/>
    <x v="0"/>
    <x v="604"/>
    <n v="32.82"/>
    <x v="0"/>
    <s v="Sep 2024"/>
    <n v="15"/>
    <s v="Repeat"/>
    <x v="0"/>
    <x v="1513"/>
  </r>
  <r>
    <x v="189"/>
    <x v="1496"/>
    <x v="0"/>
    <x v="604"/>
    <n v="23.02"/>
    <x v="2"/>
    <s v="Sep 2024"/>
    <n v="15"/>
    <s v="Repeat"/>
    <x v="0"/>
    <x v="1514"/>
  </r>
  <r>
    <x v="189"/>
    <x v="1497"/>
    <x v="0"/>
    <x v="605"/>
    <n v="32.82"/>
    <x v="0"/>
    <s v="Sep 2024"/>
    <n v="17"/>
    <s v="Single"/>
    <x v="1"/>
    <x v="1515"/>
  </r>
  <r>
    <x v="189"/>
    <x v="1498"/>
    <x v="0"/>
    <x v="507"/>
    <n v="32.82"/>
    <x v="0"/>
    <s v="Sep 2024"/>
    <n v="18"/>
    <s v="Repeat"/>
    <x v="0"/>
    <x v="1516"/>
  </r>
  <r>
    <x v="189"/>
    <x v="1499"/>
    <x v="0"/>
    <x v="268"/>
    <n v="32.82"/>
    <x v="7"/>
    <s v="Sep 2024"/>
    <n v="20"/>
    <s v="Repeat"/>
    <x v="0"/>
    <x v="1517"/>
  </r>
  <r>
    <x v="189"/>
    <x v="1500"/>
    <x v="0"/>
    <x v="606"/>
    <n v="32.82"/>
    <x v="0"/>
    <s v="Sep 2024"/>
    <n v="20"/>
    <s v="Single"/>
    <x v="1"/>
    <x v="1518"/>
  </r>
  <r>
    <x v="190"/>
    <x v="1501"/>
    <x v="0"/>
    <x v="607"/>
    <n v="32.82"/>
    <x v="1"/>
    <s v="Sep 2024"/>
    <n v="8"/>
    <s v="Single"/>
    <x v="1"/>
    <x v="1519"/>
  </r>
  <r>
    <x v="190"/>
    <x v="1502"/>
    <x v="0"/>
    <x v="608"/>
    <n v="32.82"/>
    <x v="7"/>
    <s v="Sep 2024"/>
    <n v="9"/>
    <s v="Single"/>
    <x v="1"/>
    <x v="1520"/>
  </r>
  <r>
    <x v="190"/>
    <x v="1503"/>
    <x v="0"/>
    <x v="543"/>
    <n v="23.02"/>
    <x v="5"/>
    <s v="Sep 2024"/>
    <n v="15"/>
    <s v="Repeat"/>
    <x v="0"/>
    <x v="1521"/>
  </r>
  <r>
    <x v="190"/>
    <x v="1504"/>
    <x v="0"/>
    <x v="543"/>
    <n v="23.02"/>
    <x v="5"/>
    <s v="Sep 2024"/>
    <n v="15"/>
    <s v="Repeat"/>
    <x v="0"/>
    <x v="1522"/>
  </r>
  <r>
    <x v="190"/>
    <x v="1505"/>
    <x v="0"/>
    <x v="609"/>
    <n v="32.82"/>
    <x v="7"/>
    <s v="Sep 2024"/>
    <n v="18"/>
    <s v="Single"/>
    <x v="1"/>
    <x v="1523"/>
  </r>
  <r>
    <x v="190"/>
    <x v="1506"/>
    <x v="0"/>
    <x v="610"/>
    <n v="27.92"/>
    <x v="3"/>
    <s v="Sep 2024"/>
    <n v="18"/>
    <s v="Single"/>
    <x v="1"/>
    <x v="1524"/>
  </r>
  <r>
    <x v="190"/>
    <x v="1507"/>
    <x v="0"/>
    <x v="611"/>
    <n v="32.82"/>
    <x v="0"/>
    <s v="Sep 2024"/>
    <n v="19"/>
    <s v="Repeat"/>
    <x v="0"/>
    <x v="1525"/>
  </r>
  <r>
    <x v="190"/>
    <x v="570"/>
    <x v="0"/>
    <x v="611"/>
    <n v="32.82"/>
    <x v="0"/>
    <s v="Sep 2024"/>
    <n v="19"/>
    <s v="Repeat"/>
    <x v="0"/>
    <x v="1526"/>
  </r>
  <r>
    <x v="190"/>
    <x v="1508"/>
    <x v="0"/>
    <x v="12"/>
    <n v="27.92"/>
    <x v="3"/>
    <s v="Sep 2024"/>
    <n v="21"/>
    <s v="Repeat"/>
    <x v="0"/>
    <x v="1527"/>
  </r>
  <r>
    <x v="190"/>
    <x v="1509"/>
    <x v="0"/>
    <x v="12"/>
    <n v="23.02"/>
    <x v="2"/>
    <s v="Sep 2024"/>
    <n v="21"/>
    <s v="Repeat"/>
    <x v="0"/>
    <x v="1528"/>
  </r>
  <r>
    <x v="191"/>
    <x v="1510"/>
    <x v="0"/>
    <x v="612"/>
    <n v="32.82"/>
    <x v="0"/>
    <s v="Sep 2024"/>
    <n v="8"/>
    <s v="Repeat"/>
    <x v="0"/>
    <x v="1529"/>
  </r>
  <r>
    <x v="191"/>
    <x v="1511"/>
    <x v="0"/>
    <x v="97"/>
    <n v="27.92"/>
    <x v="3"/>
    <s v="Sep 2024"/>
    <n v="9"/>
    <s v="Repeat"/>
    <x v="0"/>
    <x v="1530"/>
  </r>
  <r>
    <x v="191"/>
    <x v="1512"/>
    <x v="0"/>
    <x v="613"/>
    <n v="32.82"/>
    <x v="0"/>
    <s v="Sep 2024"/>
    <n v="10"/>
    <s v="Single"/>
    <x v="1"/>
    <x v="1531"/>
  </r>
  <r>
    <x v="191"/>
    <x v="1513"/>
    <x v="0"/>
    <x v="614"/>
    <n v="32.82"/>
    <x v="7"/>
    <s v="Sep 2024"/>
    <n v="19"/>
    <s v="Single"/>
    <x v="1"/>
    <x v="1532"/>
  </r>
  <r>
    <x v="191"/>
    <x v="1514"/>
    <x v="0"/>
    <x v="531"/>
    <n v="27.92"/>
    <x v="3"/>
    <s v="Sep 2024"/>
    <n v="20"/>
    <s v="Repeat"/>
    <x v="0"/>
    <x v="1533"/>
  </r>
  <r>
    <x v="191"/>
    <x v="1515"/>
    <x v="0"/>
    <x v="531"/>
    <n v="32.82"/>
    <x v="0"/>
    <s v="Sep 2024"/>
    <n v="20"/>
    <s v="Repeat"/>
    <x v="0"/>
    <x v="1534"/>
  </r>
  <r>
    <x v="191"/>
    <x v="1516"/>
    <x v="0"/>
    <x v="531"/>
    <n v="32.82"/>
    <x v="0"/>
    <s v="Sep 2024"/>
    <n v="20"/>
    <s v="Repeat"/>
    <x v="0"/>
    <x v="1535"/>
  </r>
  <r>
    <x v="191"/>
    <x v="1517"/>
    <x v="0"/>
    <x v="584"/>
    <n v="23.02"/>
    <x v="5"/>
    <s v="Sep 2024"/>
    <n v="21"/>
    <s v="Repeat"/>
    <x v="0"/>
    <x v="1536"/>
  </r>
  <r>
    <x v="192"/>
    <x v="1518"/>
    <x v="0"/>
    <x v="347"/>
    <n v="18.12"/>
    <x v="6"/>
    <s v="Sep 2024"/>
    <n v="10"/>
    <s v="Repeat"/>
    <x v="0"/>
    <x v="1537"/>
  </r>
  <r>
    <x v="192"/>
    <x v="1519"/>
    <x v="0"/>
    <x v="347"/>
    <n v="27.92"/>
    <x v="3"/>
    <s v="Sep 2024"/>
    <n v="10"/>
    <s v="Repeat"/>
    <x v="0"/>
    <x v="1538"/>
  </r>
  <r>
    <x v="192"/>
    <x v="1520"/>
    <x v="0"/>
    <x v="615"/>
    <n v="27.92"/>
    <x v="3"/>
    <s v="Sep 2024"/>
    <n v="11"/>
    <s v="Single"/>
    <x v="1"/>
    <x v="1539"/>
  </r>
  <r>
    <x v="192"/>
    <x v="1521"/>
    <x v="0"/>
    <x v="565"/>
    <n v="32.82"/>
    <x v="7"/>
    <s v="Sep 2024"/>
    <n v="12"/>
    <s v="Repeat"/>
    <x v="0"/>
    <x v="1540"/>
  </r>
  <r>
    <x v="192"/>
    <x v="1522"/>
    <x v="0"/>
    <x v="616"/>
    <n v="23.02"/>
    <x v="5"/>
    <s v="Sep 2024"/>
    <n v="12"/>
    <s v="Repeat"/>
    <x v="0"/>
    <x v="1541"/>
  </r>
  <r>
    <x v="192"/>
    <x v="1390"/>
    <x v="0"/>
    <x v="616"/>
    <n v="23.02"/>
    <x v="5"/>
    <s v="Sep 2024"/>
    <n v="12"/>
    <s v="Repeat"/>
    <x v="0"/>
    <x v="1542"/>
  </r>
  <r>
    <x v="192"/>
    <x v="1523"/>
    <x v="0"/>
    <x v="141"/>
    <n v="23.02"/>
    <x v="5"/>
    <s v="Sep 2024"/>
    <n v="12"/>
    <s v="Repeat"/>
    <x v="0"/>
    <x v="1543"/>
  </r>
  <r>
    <x v="192"/>
    <x v="1524"/>
    <x v="0"/>
    <x v="141"/>
    <n v="23.02"/>
    <x v="5"/>
    <s v="Sep 2024"/>
    <n v="12"/>
    <s v="Repeat"/>
    <x v="0"/>
    <x v="1544"/>
  </r>
  <r>
    <x v="192"/>
    <x v="1525"/>
    <x v="0"/>
    <x v="617"/>
    <n v="32.82"/>
    <x v="0"/>
    <s v="Sep 2024"/>
    <n v="17"/>
    <s v="Single"/>
    <x v="1"/>
    <x v="1545"/>
  </r>
  <r>
    <x v="192"/>
    <x v="1526"/>
    <x v="0"/>
    <x v="618"/>
    <n v="23.02"/>
    <x v="2"/>
    <s v="Sep 2024"/>
    <n v="21"/>
    <s v="Repeat"/>
    <x v="0"/>
    <x v="1546"/>
  </r>
  <r>
    <x v="192"/>
    <x v="1527"/>
    <x v="0"/>
    <x v="618"/>
    <n v="32.82"/>
    <x v="7"/>
    <s v="Sep 2024"/>
    <n v="21"/>
    <s v="Repeat"/>
    <x v="0"/>
    <x v="1547"/>
  </r>
  <r>
    <x v="192"/>
    <x v="1528"/>
    <x v="0"/>
    <x v="319"/>
    <n v="23.02"/>
    <x v="5"/>
    <s v="Sep 2024"/>
    <n v="21"/>
    <s v="Repeat"/>
    <x v="0"/>
    <x v="1548"/>
  </r>
  <r>
    <x v="193"/>
    <x v="1529"/>
    <x v="0"/>
    <x v="570"/>
    <n v="32.82"/>
    <x v="0"/>
    <s v="Sep 2024"/>
    <n v="7"/>
    <s v="Repeat"/>
    <x v="0"/>
    <x v="1549"/>
  </r>
  <r>
    <x v="193"/>
    <x v="1530"/>
    <x v="0"/>
    <x v="425"/>
    <n v="32.82"/>
    <x v="0"/>
    <s v="Sep 2024"/>
    <n v="8"/>
    <s v="Repeat"/>
    <x v="0"/>
    <x v="1550"/>
  </r>
  <r>
    <x v="193"/>
    <x v="1531"/>
    <x v="0"/>
    <x v="375"/>
    <n v="32.82"/>
    <x v="0"/>
    <s v="Sep 2024"/>
    <n v="8"/>
    <s v="Repeat"/>
    <x v="0"/>
    <x v="1551"/>
  </r>
  <r>
    <x v="193"/>
    <x v="1532"/>
    <x v="0"/>
    <x v="619"/>
    <n v="32.82"/>
    <x v="0"/>
    <s v="Sep 2024"/>
    <n v="9"/>
    <s v="Single"/>
    <x v="1"/>
    <x v="1552"/>
  </r>
  <r>
    <x v="193"/>
    <x v="1533"/>
    <x v="0"/>
    <x v="242"/>
    <n v="27.92"/>
    <x v="3"/>
    <s v="Sep 2024"/>
    <n v="15"/>
    <s v="Repeat"/>
    <x v="0"/>
    <x v="1553"/>
  </r>
  <r>
    <x v="193"/>
    <x v="1534"/>
    <x v="0"/>
    <x v="552"/>
    <n v="27.92"/>
    <x v="3"/>
    <s v="Sep 2024"/>
    <n v="15"/>
    <s v="Repeat"/>
    <x v="0"/>
    <x v="1554"/>
  </r>
  <r>
    <x v="194"/>
    <x v="1535"/>
    <x v="0"/>
    <x v="543"/>
    <n v="32.82"/>
    <x v="7"/>
    <s v="Sep 2024"/>
    <n v="16"/>
    <s v="Repeat"/>
    <x v="0"/>
    <x v="1555"/>
  </r>
  <r>
    <x v="194"/>
    <x v="1536"/>
    <x v="0"/>
    <x v="543"/>
    <n v="32.82"/>
    <x v="7"/>
    <s v="Sep 2024"/>
    <n v="16"/>
    <s v="Repeat"/>
    <x v="0"/>
    <x v="1556"/>
  </r>
  <r>
    <x v="195"/>
    <x v="1537"/>
    <x v="0"/>
    <x v="347"/>
    <n v="18.12"/>
    <x v="6"/>
    <s v="Sep 2024"/>
    <n v="8"/>
    <s v="Repeat"/>
    <x v="0"/>
    <x v="1557"/>
  </r>
  <r>
    <x v="195"/>
    <x v="1538"/>
    <x v="0"/>
    <x v="620"/>
    <n v="27.92"/>
    <x v="3"/>
    <s v="Sep 2024"/>
    <n v="9"/>
    <s v="Repeat"/>
    <x v="0"/>
    <x v="1558"/>
  </r>
  <r>
    <x v="195"/>
    <x v="1539"/>
    <x v="0"/>
    <x v="304"/>
    <n v="23.02"/>
    <x v="2"/>
    <s v="Sep 2024"/>
    <n v="13"/>
    <s v="Repeat"/>
    <x v="0"/>
    <x v="1559"/>
  </r>
  <r>
    <x v="195"/>
    <x v="1540"/>
    <x v="0"/>
    <x v="141"/>
    <n v="23.02"/>
    <x v="5"/>
    <s v="Sep 2024"/>
    <n v="14"/>
    <s v="Repeat"/>
    <x v="0"/>
    <x v="1560"/>
  </r>
  <r>
    <x v="195"/>
    <x v="1541"/>
    <x v="0"/>
    <x v="141"/>
    <n v="23.02"/>
    <x v="5"/>
    <s v="Sep 2024"/>
    <n v="14"/>
    <s v="Repeat"/>
    <x v="0"/>
    <x v="1561"/>
  </r>
  <r>
    <x v="195"/>
    <x v="45"/>
    <x v="0"/>
    <x v="543"/>
    <n v="32.82"/>
    <x v="7"/>
    <s v="Sep 2024"/>
    <n v="14"/>
    <s v="Repeat"/>
    <x v="0"/>
    <x v="1562"/>
  </r>
  <r>
    <x v="196"/>
    <x v="1542"/>
    <x v="0"/>
    <x v="621"/>
    <n v="32.82"/>
    <x v="0"/>
    <s v="Sep 2024"/>
    <n v="13"/>
    <s v="Repeat"/>
    <x v="0"/>
    <x v="1563"/>
  </r>
  <r>
    <x v="196"/>
    <x v="1543"/>
    <x v="0"/>
    <x v="584"/>
    <n v="27.92"/>
    <x v="3"/>
    <s v="Sep 2024"/>
    <n v="13"/>
    <s v="Repeat"/>
    <x v="0"/>
    <x v="1564"/>
  </r>
  <r>
    <x v="196"/>
    <x v="1544"/>
    <x v="0"/>
    <x v="621"/>
    <n v="32.82"/>
    <x v="0"/>
    <s v="Sep 2024"/>
    <n v="15"/>
    <s v="Repeat"/>
    <x v="0"/>
    <x v="1565"/>
  </r>
  <r>
    <x v="196"/>
    <x v="1545"/>
    <x v="0"/>
    <x v="622"/>
    <n v="27.92"/>
    <x v="3"/>
    <s v="Sep 2024"/>
    <n v="17"/>
    <s v="Repeat"/>
    <x v="0"/>
    <x v="1566"/>
  </r>
  <r>
    <x v="196"/>
    <x v="1546"/>
    <x v="0"/>
    <x v="623"/>
    <n v="32.82"/>
    <x v="0"/>
    <s v="Sep 2024"/>
    <n v="17"/>
    <s v="Single"/>
    <x v="1"/>
    <x v="1567"/>
  </r>
  <r>
    <x v="196"/>
    <x v="1547"/>
    <x v="0"/>
    <x v="624"/>
    <n v="32.82"/>
    <x v="0"/>
    <s v="Sep 2024"/>
    <n v="18"/>
    <s v="Single"/>
    <x v="1"/>
    <x v="1568"/>
  </r>
  <r>
    <x v="196"/>
    <x v="1548"/>
    <x v="0"/>
    <x v="625"/>
    <n v="32.82"/>
    <x v="0"/>
    <s v="Sep 2024"/>
    <n v="18"/>
    <s v="Single"/>
    <x v="1"/>
    <x v="1569"/>
  </r>
  <r>
    <x v="196"/>
    <x v="1549"/>
    <x v="0"/>
    <x v="626"/>
    <n v="27.92"/>
    <x v="3"/>
    <s v="Sep 2024"/>
    <n v="21"/>
    <s v="Repeat"/>
    <x v="0"/>
    <x v="1570"/>
  </r>
  <r>
    <x v="196"/>
    <x v="1550"/>
    <x v="0"/>
    <x v="626"/>
    <n v="32.82"/>
    <x v="0"/>
    <s v="Sep 2024"/>
    <n v="21"/>
    <s v="Repeat"/>
    <x v="0"/>
    <x v="1571"/>
  </r>
  <r>
    <x v="196"/>
    <x v="1551"/>
    <x v="0"/>
    <x v="287"/>
    <n v="27.92"/>
    <x v="3"/>
    <s v="Sep 2024"/>
    <n v="21"/>
    <s v="Repeat"/>
    <x v="0"/>
    <x v="1572"/>
  </r>
  <r>
    <x v="196"/>
    <x v="1552"/>
    <x v="0"/>
    <x v="97"/>
    <n v="27.92"/>
    <x v="3"/>
    <s v="Sep 2024"/>
    <n v="21"/>
    <s v="Repeat"/>
    <x v="0"/>
    <x v="1573"/>
  </r>
  <r>
    <x v="197"/>
    <x v="1553"/>
    <x v="0"/>
    <x v="627"/>
    <n v="23.02"/>
    <x v="5"/>
    <s v="Sep 2024"/>
    <n v="7"/>
    <s v="Repeat"/>
    <x v="0"/>
    <x v="1574"/>
  </r>
  <r>
    <x v="197"/>
    <x v="1554"/>
    <x v="0"/>
    <x v="621"/>
    <n v="32.82"/>
    <x v="0"/>
    <s v="Sep 2024"/>
    <n v="8"/>
    <s v="Repeat"/>
    <x v="0"/>
    <x v="1575"/>
  </r>
  <r>
    <x v="197"/>
    <x v="1555"/>
    <x v="0"/>
    <x v="276"/>
    <n v="27.92"/>
    <x v="3"/>
    <s v="Sep 2024"/>
    <n v="8"/>
    <s v="Repeat"/>
    <x v="0"/>
    <x v="1576"/>
  </r>
  <r>
    <x v="197"/>
    <x v="1556"/>
    <x v="0"/>
    <x v="141"/>
    <n v="23.02"/>
    <x v="5"/>
    <s v="Sep 2024"/>
    <n v="8"/>
    <s v="Repeat"/>
    <x v="0"/>
    <x v="1577"/>
  </r>
  <r>
    <x v="197"/>
    <x v="1557"/>
    <x v="0"/>
    <x v="554"/>
    <n v="32.82"/>
    <x v="7"/>
    <s v="Sep 2024"/>
    <n v="9"/>
    <s v="Repeat"/>
    <x v="0"/>
    <x v="1578"/>
  </r>
  <r>
    <x v="197"/>
    <x v="1558"/>
    <x v="0"/>
    <x v="554"/>
    <n v="27.92"/>
    <x v="3"/>
    <s v="Sep 2024"/>
    <n v="9"/>
    <s v="Repeat"/>
    <x v="0"/>
    <x v="1579"/>
  </r>
  <r>
    <x v="197"/>
    <x v="1559"/>
    <x v="0"/>
    <x v="620"/>
    <n v="27.92"/>
    <x v="3"/>
    <s v="Sep 2024"/>
    <n v="9"/>
    <s v="Repeat"/>
    <x v="0"/>
    <x v="1580"/>
  </r>
  <r>
    <x v="197"/>
    <x v="1560"/>
    <x v="0"/>
    <x v="628"/>
    <n v="18.12"/>
    <x v="6"/>
    <s v="Sep 2024"/>
    <n v="12"/>
    <s v="Repeat"/>
    <x v="0"/>
    <x v="1581"/>
  </r>
  <r>
    <x v="197"/>
    <x v="1561"/>
    <x v="0"/>
    <x v="628"/>
    <n v="27.92"/>
    <x v="3"/>
    <s v="Sep 2024"/>
    <n v="12"/>
    <s v="Repeat"/>
    <x v="0"/>
    <x v="1582"/>
  </r>
  <r>
    <x v="197"/>
    <x v="1562"/>
    <x v="0"/>
    <x v="629"/>
    <n v="32.82"/>
    <x v="0"/>
    <s v="Sep 2024"/>
    <n v="12"/>
    <s v="Single"/>
    <x v="1"/>
    <x v="1583"/>
  </r>
  <r>
    <x v="197"/>
    <x v="1563"/>
    <x v="0"/>
    <x v="554"/>
    <n v="27.92"/>
    <x v="3"/>
    <s v="Sep 2024"/>
    <n v="13"/>
    <s v="Repeat"/>
    <x v="0"/>
    <x v="1584"/>
  </r>
  <r>
    <x v="197"/>
    <x v="1564"/>
    <x v="0"/>
    <x v="630"/>
    <n v="23.02"/>
    <x v="5"/>
    <s v="Sep 2024"/>
    <n v="13"/>
    <s v="Repeat"/>
    <x v="0"/>
    <x v="1585"/>
  </r>
  <r>
    <x v="197"/>
    <x v="1565"/>
    <x v="0"/>
    <x v="554"/>
    <n v="32.82"/>
    <x v="7"/>
    <s v="Sep 2024"/>
    <n v="16"/>
    <s v="Repeat"/>
    <x v="0"/>
    <x v="1586"/>
  </r>
  <r>
    <x v="197"/>
    <x v="1566"/>
    <x v="0"/>
    <x v="630"/>
    <n v="32.82"/>
    <x v="0"/>
    <s v="Sep 2024"/>
    <n v="16"/>
    <s v="Repeat"/>
    <x v="0"/>
    <x v="1587"/>
  </r>
  <r>
    <x v="197"/>
    <x v="1567"/>
    <x v="0"/>
    <x v="631"/>
    <n v="32.82"/>
    <x v="1"/>
    <s v="Sep 2024"/>
    <n v="18"/>
    <s v="Repeat"/>
    <x v="0"/>
    <x v="1588"/>
  </r>
  <r>
    <x v="197"/>
    <x v="1568"/>
    <x v="0"/>
    <x v="632"/>
    <n v="27.92"/>
    <x v="3"/>
    <s v="Sep 2024"/>
    <n v="19"/>
    <s v="Single"/>
    <x v="1"/>
    <x v="1589"/>
  </r>
  <r>
    <x v="197"/>
    <x v="570"/>
    <x v="0"/>
    <x v="633"/>
    <n v="27.92"/>
    <x v="3"/>
    <s v="Sep 2024"/>
    <n v="19"/>
    <s v="Repeat"/>
    <x v="0"/>
    <x v="1590"/>
  </r>
  <r>
    <x v="197"/>
    <x v="1569"/>
    <x v="0"/>
    <x v="634"/>
    <n v="32.82"/>
    <x v="0"/>
    <s v="Sep 2024"/>
    <n v="19"/>
    <s v="Repeat"/>
    <x v="0"/>
    <x v="1591"/>
  </r>
  <r>
    <x v="197"/>
    <x v="1570"/>
    <x v="0"/>
    <x v="634"/>
    <n v="27.92"/>
    <x v="3"/>
    <s v="Sep 2024"/>
    <n v="19"/>
    <s v="Repeat"/>
    <x v="0"/>
    <x v="1592"/>
  </r>
  <r>
    <x v="197"/>
    <x v="1571"/>
    <x v="0"/>
    <x v="634"/>
    <n v="27.92"/>
    <x v="3"/>
    <s v="Sep 2024"/>
    <n v="19"/>
    <s v="Repeat"/>
    <x v="0"/>
    <x v="1593"/>
  </r>
  <r>
    <x v="197"/>
    <x v="1572"/>
    <x v="0"/>
    <x v="635"/>
    <n v="27.92"/>
    <x v="3"/>
    <s v="Sep 2024"/>
    <n v="19"/>
    <s v="Single"/>
    <x v="1"/>
    <x v="1594"/>
  </r>
  <r>
    <x v="197"/>
    <x v="1573"/>
    <x v="0"/>
    <x v="636"/>
    <n v="32.82"/>
    <x v="1"/>
    <s v="Sep 2024"/>
    <n v="22"/>
    <s v="Repeat"/>
    <x v="0"/>
    <x v="1595"/>
  </r>
  <r>
    <x v="197"/>
    <x v="1574"/>
    <x v="0"/>
    <x v="637"/>
    <n v="32.82"/>
    <x v="1"/>
    <s v="Sep 2024"/>
    <n v="22"/>
    <s v="Repeat"/>
    <x v="0"/>
    <x v="1596"/>
  </r>
  <r>
    <x v="198"/>
    <x v="1575"/>
    <x v="0"/>
    <x v="638"/>
    <n v="32.82"/>
    <x v="0"/>
    <s v="Sep 2024"/>
    <n v="14"/>
    <s v="Single"/>
    <x v="1"/>
    <x v="1597"/>
  </r>
  <r>
    <x v="198"/>
    <x v="1576"/>
    <x v="0"/>
    <x v="639"/>
    <n v="32.82"/>
    <x v="0"/>
    <s v="Sep 2024"/>
    <n v="17"/>
    <s v="Single"/>
    <x v="1"/>
    <x v="1598"/>
  </r>
  <r>
    <x v="198"/>
    <x v="1577"/>
    <x v="0"/>
    <x v="40"/>
    <n v="27.92"/>
    <x v="3"/>
    <s v="Sep 2024"/>
    <n v="21"/>
    <s v="Repeat"/>
    <x v="0"/>
    <x v="1599"/>
  </r>
  <r>
    <x v="198"/>
    <x v="1578"/>
    <x v="0"/>
    <x v="40"/>
    <n v="27.92"/>
    <x v="3"/>
    <s v="Sep 2024"/>
    <n v="21"/>
    <s v="Repeat"/>
    <x v="0"/>
    <x v="1600"/>
  </r>
  <r>
    <x v="199"/>
    <x v="1579"/>
    <x v="0"/>
    <x v="276"/>
    <n v="27.92"/>
    <x v="3"/>
    <s v="Sep 2024"/>
    <n v="8"/>
    <s v="Repeat"/>
    <x v="0"/>
    <x v="1601"/>
  </r>
  <r>
    <x v="199"/>
    <x v="1580"/>
    <x v="0"/>
    <x v="627"/>
    <n v="23.02"/>
    <x v="5"/>
    <s v="Sep 2024"/>
    <n v="8"/>
    <s v="Repeat"/>
    <x v="0"/>
    <x v="1602"/>
  </r>
  <r>
    <x v="199"/>
    <x v="1581"/>
    <x v="0"/>
    <x v="494"/>
    <n v="32.82"/>
    <x v="0"/>
    <s v="Sep 2024"/>
    <n v="10"/>
    <s v="Repeat"/>
    <x v="0"/>
    <x v="1603"/>
  </r>
  <r>
    <x v="199"/>
    <x v="1582"/>
    <x v="0"/>
    <x v="3"/>
    <n v="23.02"/>
    <x v="2"/>
    <s v="Sep 2024"/>
    <n v="12"/>
    <s v="Repeat"/>
    <x v="0"/>
    <x v="1604"/>
  </r>
  <r>
    <x v="199"/>
    <x v="1583"/>
    <x v="0"/>
    <x v="3"/>
    <n v="27.92"/>
    <x v="3"/>
    <s v="Sep 2024"/>
    <n v="13"/>
    <s v="Repeat"/>
    <x v="0"/>
    <x v="1605"/>
  </r>
  <r>
    <x v="199"/>
    <x v="1584"/>
    <x v="0"/>
    <x v="640"/>
    <n v="23.02"/>
    <x v="5"/>
    <s v="Sep 2024"/>
    <n v="13"/>
    <s v="Single"/>
    <x v="1"/>
    <x v="1606"/>
  </r>
  <r>
    <x v="200"/>
    <x v="1585"/>
    <x v="0"/>
    <x v="276"/>
    <n v="27.92"/>
    <x v="3"/>
    <s v="Sep 2024"/>
    <n v="8"/>
    <s v="Repeat"/>
    <x v="0"/>
    <x v="1607"/>
  </r>
  <r>
    <x v="200"/>
    <x v="1586"/>
    <x v="0"/>
    <x v="641"/>
    <n v="27.92"/>
    <x v="3"/>
    <s v="Sep 2024"/>
    <n v="9"/>
    <s v="Repeat"/>
    <x v="0"/>
    <x v="1608"/>
  </r>
  <r>
    <x v="200"/>
    <x v="1587"/>
    <x v="0"/>
    <x v="333"/>
    <n v="27.92"/>
    <x v="3"/>
    <s v="Sep 2024"/>
    <n v="13"/>
    <s v="Repeat"/>
    <x v="0"/>
    <x v="1609"/>
  </r>
  <r>
    <x v="200"/>
    <x v="784"/>
    <x v="0"/>
    <x v="642"/>
    <n v="32.82"/>
    <x v="0"/>
    <s v="Sep 2024"/>
    <n v="16"/>
    <s v="Single"/>
    <x v="1"/>
    <x v="1610"/>
  </r>
  <r>
    <x v="200"/>
    <x v="1588"/>
    <x v="0"/>
    <x v="643"/>
    <n v="23.02"/>
    <x v="2"/>
    <s v="Sep 2024"/>
    <n v="20"/>
    <s v="Single"/>
    <x v="1"/>
    <x v="1611"/>
  </r>
  <r>
    <x v="200"/>
    <x v="1589"/>
    <x v="0"/>
    <x v="287"/>
    <n v="27.92"/>
    <x v="3"/>
    <s v="Sep 2024"/>
    <n v="21"/>
    <s v="Repeat"/>
    <x v="0"/>
    <x v="1612"/>
  </r>
  <r>
    <x v="200"/>
    <x v="1590"/>
    <x v="0"/>
    <x v="287"/>
    <n v="27.92"/>
    <x v="3"/>
    <s v="Sep 2024"/>
    <n v="21"/>
    <s v="Repeat"/>
    <x v="0"/>
    <x v="1613"/>
  </r>
  <r>
    <x v="201"/>
    <x v="1591"/>
    <x v="0"/>
    <x v="644"/>
    <n v="32.82"/>
    <x v="0"/>
    <s v="Sep 2024"/>
    <n v="11"/>
    <s v="Repeat"/>
    <x v="0"/>
    <x v="1614"/>
  </r>
  <r>
    <x v="201"/>
    <x v="1592"/>
    <x v="0"/>
    <x v="644"/>
    <n v="32.82"/>
    <x v="4"/>
    <s v="Sep 2024"/>
    <n v="11"/>
    <s v="Repeat"/>
    <x v="0"/>
    <x v="1615"/>
  </r>
  <r>
    <x v="201"/>
    <x v="1593"/>
    <x v="0"/>
    <x v="543"/>
    <n v="23.02"/>
    <x v="5"/>
    <s v="Sep 2024"/>
    <n v="11"/>
    <s v="Repeat"/>
    <x v="0"/>
    <x v="1616"/>
  </r>
  <r>
    <x v="201"/>
    <x v="1594"/>
    <x v="0"/>
    <x v="543"/>
    <n v="23.02"/>
    <x v="5"/>
    <s v="Sep 2024"/>
    <n v="11"/>
    <s v="Repeat"/>
    <x v="0"/>
    <x v="1617"/>
  </r>
  <r>
    <x v="201"/>
    <x v="1595"/>
    <x v="0"/>
    <x v="645"/>
    <n v="32.82"/>
    <x v="7"/>
    <s v="Sep 2024"/>
    <n v="15"/>
    <s v="Single"/>
    <x v="1"/>
    <x v="1618"/>
  </r>
  <r>
    <x v="201"/>
    <x v="1596"/>
    <x v="0"/>
    <x v="646"/>
    <n v="32.82"/>
    <x v="0"/>
    <s v="Sep 2024"/>
    <n v="15"/>
    <s v="Single"/>
    <x v="1"/>
    <x v="1619"/>
  </r>
  <r>
    <x v="201"/>
    <x v="1597"/>
    <x v="0"/>
    <x v="507"/>
    <n v="32.82"/>
    <x v="0"/>
    <s v="Sep 2024"/>
    <n v="18"/>
    <s v="Repeat"/>
    <x v="0"/>
    <x v="1620"/>
  </r>
  <r>
    <x v="201"/>
    <x v="1598"/>
    <x v="0"/>
    <x v="507"/>
    <n v="32.82"/>
    <x v="0"/>
    <s v="Sep 2024"/>
    <n v="18"/>
    <s v="Repeat"/>
    <x v="0"/>
    <x v="1621"/>
  </r>
  <r>
    <x v="201"/>
    <x v="1599"/>
    <x v="0"/>
    <x v="40"/>
    <n v="23.02"/>
    <x v="2"/>
    <s v="Sep 2024"/>
    <n v="20"/>
    <s v="Repeat"/>
    <x v="0"/>
    <x v="1622"/>
  </r>
  <r>
    <x v="201"/>
    <x v="1600"/>
    <x v="0"/>
    <x v="40"/>
    <n v="23.02"/>
    <x v="2"/>
    <s v="Sep 2024"/>
    <n v="20"/>
    <s v="Repeat"/>
    <x v="0"/>
    <x v="1623"/>
  </r>
  <r>
    <x v="201"/>
    <x v="1601"/>
    <x v="0"/>
    <x v="602"/>
    <n v="32.82"/>
    <x v="0"/>
    <s v="Sep 2024"/>
    <n v="20"/>
    <s v="Repeat"/>
    <x v="0"/>
    <x v="1624"/>
  </r>
  <r>
    <x v="201"/>
    <x v="1602"/>
    <x v="0"/>
    <x v="602"/>
    <n v="32.82"/>
    <x v="0"/>
    <s v="Sep 2024"/>
    <n v="20"/>
    <s v="Repeat"/>
    <x v="0"/>
    <x v="1625"/>
  </r>
  <r>
    <x v="201"/>
    <x v="1603"/>
    <x v="0"/>
    <x v="647"/>
    <n v="27.92"/>
    <x v="3"/>
    <s v="Sep 2024"/>
    <n v="22"/>
    <s v="Repeat"/>
    <x v="0"/>
    <x v="1626"/>
  </r>
  <r>
    <x v="201"/>
    <x v="1604"/>
    <x v="0"/>
    <x v="647"/>
    <n v="23.02"/>
    <x v="2"/>
    <s v="Sep 2024"/>
    <n v="22"/>
    <s v="Repeat"/>
    <x v="0"/>
    <x v="1627"/>
  </r>
  <r>
    <x v="201"/>
    <x v="1605"/>
    <x v="0"/>
    <x v="647"/>
    <n v="23.02"/>
    <x v="2"/>
    <s v="Sep 2024"/>
    <n v="22"/>
    <s v="Repeat"/>
    <x v="0"/>
    <x v="1628"/>
  </r>
  <r>
    <x v="202"/>
    <x v="1606"/>
    <x v="0"/>
    <x v="648"/>
    <n v="23.02"/>
    <x v="2"/>
    <s v="Sep 2024"/>
    <n v="8"/>
    <s v="Single"/>
    <x v="1"/>
    <x v="1629"/>
  </r>
  <r>
    <x v="202"/>
    <x v="1607"/>
    <x v="0"/>
    <x v="649"/>
    <n v="27.92"/>
    <x v="3"/>
    <s v="Sep 2024"/>
    <n v="10"/>
    <s v="Repeat"/>
    <x v="0"/>
    <x v="1630"/>
  </r>
  <r>
    <x v="202"/>
    <x v="1608"/>
    <x v="0"/>
    <x v="649"/>
    <n v="32.82"/>
    <x v="0"/>
    <s v="Sep 2024"/>
    <n v="10"/>
    <s v="Repeat"/>
    <x v="0"/>
    <x v="1631"/>
  </r>
  <r>
    <x v="202"/>
    <x v="1609"/>
    <x v="0"/>
    <x v="650"/>
    <n v="23.02"/>
    <x v="5"/>
    <s v="Sep 2024"/>
    <n v="11"/>
    <s v="Repeat"/>
    <x v="0"/>
    <x v="1632"/>
  </r>
  <r>
    <x v="202"/>
    <x v="1610"/>
    <x v="0"/>
    <x v="650"/>
    <n v="23.02"/>
    <x v="5"/>
    <s v="Sep 2024"/>
    <n v="11"/>
    <s v="Repeat"/>
    <x v="0"/>
    <x v="1633"/>
  </r>
  <r>
    <x v="202"/>
    <x v="1611"/>
    <x v="0"/>
    <x v="651"/>
    <n v="27.92"/>
    <x v="3"/>
    <s v="Sep 2024"/>
    <n v="11"/>
    <s v="Single"/>
    <x v="1"/>
    <x v="1634"/>
  </r>
  <r>
    <x v="202"/>
    <x v="1612"/>
    <x v="0"/>
    <x v="99"/>
    <n v="23.02"/>
    <x v="2"/>
    <s v="Sep 2024"/>
    <n v="11"/>
    <s v="Repeat"/>
    <x v="0"/>
    <x v="1635"/>
  </r>
  <r>
    <x v="202"/>
    <x v="1613"/>
    <x v="0"/>
    <x v="276"/>
    <n v="27.92"/>
    <x v="3"/>
    <s v="Sep 2024"/>
    <n v="12"/>
    <s v="Repeat"/>
    <x v="0"/>
    <x v="1636"/>
  </r>
  <r>
    <x v="202"/>
    <x v="1614"/>
    <x v="0"/>
    <x v="333"/>
    <n v="27.92"/>
    <x v="3"/>
    <s v="Sep 2024"/>
    <n v="13"/>
    <s v="Repeat"/>
    <x v="0"/>
    <x v="1637"/>
  </r>
  <r>
    <x v="202"/>
    <x v="1615"/>
    <x v="0"/>
    <x v="333"/>
    <n v="27.92"/>
    <x v="3"/>
    <s v="Sep 2024"/>
    <n v="13"/>
    <s v="Repeat"/>
    <x v="0"/>
    <x v="1638"/>
  </r>
  <r>
    <x v="202"/>
    <x v="1616"/>
    <x v="0"/>
    <x v="510"/>
    <n v="27.92"/>
    <x v="3"/>
    <s v="Sep 2024"/>
    <n v="13"/>
    <s v="Repeat"/>
    <x v="0"/>
    <x v="1639"/>
  </r>
  <r>
    <x v="202"/>
    <x v="1617"/>
    <x v="0"/>
    <x v="652"/>
    <n v="32.82"/>
    <x v="0"/>
    <s v="Sep 2024"/>
    <n v="15"/>
    <s v="Repeat"/>
    <x v="0"/>
    <x v="1640"/>
  </r>
  <r>
    <x v="202"/>
    <x v="1618"/>
    <x v="0"/>
    <x v="652"/>
    <n v="27.92"/>
    <x v="3"/>
    <s v="Sep 2024"/>
    <n v="15"/>
    <s v="Repeat"/>
    <x v="0"/>
    <x v="1641"/>
  </r>
  <r>
    <x v="202"/>
    <x v="1619"/>
    <x v="0"/>
    <x v="653"/>
    <n v="32.82"/>
    <x v="4"/>
    <s v="Sep 2024"/>
    <n v="16"/>
    <s v="Single"/>
    <x v="1"/>
    <x v="1642"/>
  </r>
  <r>
    <x v="202"/>
    <x v="1620"/>
    <x v="0"/>
    <x v="654"/>
    <n v="32.82"/>
    <x v="0"/>
    <s v="Sep 2024"/>
    <n v="20"/>
    <s v="Repeat"/>
    <x v="0"/>
    <x v="1643"/>
  </r>
  <r>
    <x v="202"/>
    <x v="1621"/>
    <x v="0"/>
    <x v="654"/>
    <n v="32.82"/>
    <x v="7"/>
    <s v="Sep 2024"/>
    <n v="20"/>
    <s v="Repeat"/>
    <x v="0"/>
    <x v="1644"/>
  </r>
  <r>
    <x v="202"/>
    <x v="1622"/>
    <x v="0"/>
    <x v="455"/>
    <n v="27.92"/>
    <x v="3"/>
    <s v="Sep 2024"/>
    <n v="20"/>
    <s v="Repeat"/>
    <x v="0"/>
    <x v="1645"/>
  </r>
  <r>
    <x v="202"/>
    <x v="1623"/>
    <x v="0"/>
    <x v="455"/>
    <n v="27.92"/>
    <x v="3"/>
    <s v="Sep 2024"/>
    <n v="20"/>
    <s v="Repeat"/>
    <x v="0"/>
    <x v="1646"/>
  </r>
  <r>
    <x v="202"/>
    <x v="1624"/>
    <x v="0"/>
    <x v="655"/>
    <n v="27.92"/>
    <x v="3"/>
    <s v="Sep 2024"/>
    <n v="21"/>
    <s v="Repeat"/>
    <x v="0"/>
    <x v="1647"/>
  </r>
  <r>
    <x v="202"/>
    <x v="1625"/>
    <x v="0"/>
    <x v="655"/>
    <n v="27.92"/>
    <x v="3"/>
    <s v="Sep 2024"/>
    <n v="21"/>
    <s v="Repeat"/>
    <x v="0"/>
    <x v="1648"/>
  </r>
  <r>
    <x v="202"/>
    <x v="1626"/>
    <x v="0"/>
    <x v="637"/>
    <n v="32.82"/>
    <x v="1"/>
    <s v="Sep 2024"/>
    <n v="21"/>
    <s v="Repeat"/>
    <x v="0"/>
    <x v="1649"/>
  </r>
  <r>
    <x v="202"/>
    <x v="1627"/>
    <x v="0"/>
    <x v="637"/>
    <n v="32.82"/>
    <x v="1"/>
    <s v="Sep 2024"/>
    <n v="21"/>
    <s v="Repeat"/>
    <x v="0"/>
    <x v="1650"/>
  </r>
  <r>
    <x v="202"/>
    <x v="1628"/>
    <x v="0"/>
    <x v="656"/>
    <n v="23.02"/>
    <x v="2"/>
    <s v="Sep 2024"/>
    <n v="22"/>
    <s v="Single"/>
    <x v="1"/>
    <x v="1651"/>
  </r>
  <r>
    <x v="202"/>
    <x v="1629"/>
    <x v="0"/>
    <x v="657"/>
    <n v="27.92"/>
    <x v="3"/>
    <s v="Sep 2024"/>
    <n v="22"/>
    <s v="Single"/>
    <x v="1"/>
    <x v="1652"/>
  </r>
  <r>
    <x v="203"/>
    <x v="1630"/>
    <x v="0"/>
    <x v="276"/>
    <n v="27.92"/>
    <x v="3"/>
    <s v="Sep 2024"/>
    <n v="9"/>
    <s v="Repeat"/>
    <x v="0"/>
    <x v="1653"/>
  </r>
  <r>
    <x v="203"/>
    <x v="1631"/>
    <x v="0"/>
    <x v="141"/>
    <n v="23.02"/>
    <x v="5"/>
    <s v="Sep 2024"/>
    <n v="10"/>
    <s v="Repeat"/>
    <x v="0"/>
    <x v="1654"/>
  </r>
  <r>
    <x v="203"/>
    <x v="1632"/>
    <x v="0"/>
    <x v="584"/>
    <n v="23.02"/>
    <x v="2"/>
    <s v="Sep 2024"/>
    <n v="12"/>
    <s v="Repeat"/>
    <x v="0"/>
    <x v="1655"/>
  </r>
  <r>
    <x v="203"/>
    <x v="1633"/>
    <x v="0"/>
    <x v="573"/>
    <n v="27.92"/>
    <x v="3"/>
    <s v="Sep 2024"/>
    <n v="14"/>
    <s v="Repeat"/>
    <x v="0"/>
    <x v="1656"/>
  </r>
  <r>
    <x v="203"/>
    <x v="1634"/>
    <x v="0"/>
    <x v="658"/>
    <n v="32.82"/>
    <x v="7"/>
    <s v="Sep 2024"/>
    <n v="17"/>
    <s v="Repeat"/>
    <x v="0"/>
    <x v="1657"/>
  </r>
  <r>
    <x v="203"/>
    <x v="1635"/>
    <x v="0"/>
    <x v="659"/>
    <n v="23.02"/>
    <x v="2"/>
    <s v="Sep 2024"/>
    <n v="18"/>
    <s v="Single"/>
    <x v="1"/>
    <x v="1658"/>
  </r>
  <r>
    <x v="203"/>
    <x v="1636"/>
    <x v="0"/>
    <x v="507"/>
    <n v="32.82"/>
    <x v="0"/>
    <s v="Sep 2024"/>
    <n v="19"/>
    <s v="Repeat"/>
    <x v="0"/>
    <x v="1659"/>
  </r>
  <r>
    <x v="203"/>
    <x v="1637"/>
    <x v="0"/>
    <x v="206"/>
    <n v="32.82"/>
    <x v="7"/>
    <s v="Sep 2024"/>
    <n v="20"/>
    <s v="Repeat"/>
    <x v="0"/>
    <x v="1660"/>
  </r>
  <r>
    <x v="203"/>
    <x v="1638"/>
    <x v="0"/>
    <x v="641"/>
    <n v="27.92"/>
    <x v="3"/>
    <s v="Sep 2024"/>
    <n v="22"/>
    <s v="Repeat"/>
    <x v="0"/>
    <x v="1661"/>
  </r>
  <r>
    <x v="203"/>
    <x v="1639"/>
    <x v="0"/>
    <x v="641"/>
    <n v="27.92"/>
    <x v="3"/>
    <s v="Sep 2024"/>
    <n v="22"/>
    <s v="Repeat"/>
    <x v="0"/>
    <x v="1662"/>
  </r>
  <r>
    <x v="204"/>
    <x v="1640"/>
    <x v="0"/>
    <x v="276"/>
    <n v="27.92"/>
    <x v="3"/>
    <s v="Sep 2024"/>
    <n v="8"/>
    <s v="Repeat"/>
    <x v="0"/>
    <x v="1663"/>
  </r>
  <r>
    <x v="204"/>
    <x v="1641"/>
    <x v="0"/>
    <x v="634"/>
    <n v="32.82"/>
    <x v="0"/>
    <s v="Sep 2024"/>
    <n v="12"/>
    <s v="Repeat"/>
    <x v="0"/>
    <x v="1664"/>
  </r>
  <r>
    <x v="204"/>
    <x v="1642"/>
    <x v="0"/>
    <x v="634"/>
    <n v="32.82"/>
    <x v="0"/>
    <s v="Sep 2024"/>
    <n v="12"/>
    <s v="Repeat"/>
    <x v="0"/>
    <x v="1665"/>
  </r>
  <r>
    <x v="204"/>
    <x v="1643"/>
    <x v="0"/>
    <x v="660"/>
    <n v="32.82"/>
    <x v="0"/>
    <s v="Sep 2024"/>
    <n v="12"/>
    <s v="Repeat"/>
    <x v="0"/>
    <x v="1666"/>
  </r>
  <r>
    <x v="204"/>
    <x v="744"/>
    <x v="0"/>
    <x v="660"/>
    <n v="32.82"/>
    <x v="0"/>
    <s v="Sep 2024"/>
    <n v="12"/>
    <s v="Repeat"/>
    <x v="0"/>
    <x v="1667"/>
  </r>
  <r>
    <x v="204"/>
    <x v="1644"/>
    <x v="0"/>
    <x v="661"/>
    <n v="32.82"/>
    <x v="0"/>
    <s v="Sep 2024"/>
    <n v="14"/>
    <s v="Single"/>
    <x v="1"/>
    <x v="1668"/>
  </r>
  <r>
    <x v="204"/>
    <x v="1645"/>
    <x v="0"/>
    <x v="662"/>
    <n v="23.02"/>
    <x v="5"/>
    <s v="Sep 2024"/>
    <n v="14"/>
    <s v="Single"/>
    <x v="1"/>
    <x v="1669"/>
  </r>
  <r>
    <x v="204"/>
    <x v="1646"/>
    <x v="0"/>
    <x v="510"/>
    <n v="32.82"/>
    <x v="7"/>
    <s v="Sep 2024"/>
    <n v="15"/>
    <s v="Repeat"/>
    <x v="0"/>
    <x v="1670"/>
  </r>
  <r>
    <x v="204"/>
    <x v="1647"/>
    <x v="0"/>
    <x v="583"/>
    <n v="32.82"/>
    <x v="0"/>
    <s v="Sep 2024"/>
    <n v="16"/>
    <s v="Repeat"/>
    <x v="0"/>
    <x v="1671"/>
  </r>
  <r>
    <x v="204"/>
    <x v="1648"/>
    <x v="0"/>
    <x v="408"/>
    <n v="23.02"/>
    <x v="2"/>
    <s v="Sep 2024"/>
    <n v="18"/>
    <s v="Repeat"/>
    <x v="0"/>
    <x v="1672"/>
  </r>
  <r>
    <x v="204"/>
    <x v="1649"/>
    <x v="0"/>
    <x v="408"/>
    <n v="23.02"/>
    <x v="2"/>
    <s v="Sep 2024"/>
    <n v="18"/>
    <s v="Repeat"/>
    <x v="0"/>
    <x v="1673"/>
  </r>
  <r>
    <x v="204"/>
    <x v="1650"/>
    <x v="0"/>
    <x v="663"/>
    <n v="32.82"/>
    <x v="1"/>
    <s v="Sep 2024"/>
    <n v="20"/>
    <s v="Single"/>
    <x v="1"/>
    <x v="1674"/>
  </r>
  <r>
    <x v="204"/>
    <x v="1651"/>
    <x v="0"/>
    <x v="631"/>
    <n v="32.82"/>
    <x v="0"/>
    <s v="Sep 2024"/>
    <n v="21"/>
    <s v="Repeat"/>
    <x v="0"/>
    <x v="1675"/>
  </r>
  <r>
    <x v="204"/>
    <x v="1652"/>
    <x v="0"/>
    <x v="531"/>
    <n v="27.92"/>
    <x v="3"/>
    <s v="Sep 2024"/>
    <n v="21"/>
    <s v="Repeat"/>
    <x v="0"/>
    <x v="1676"/>
  </r>
  <r>
    <x v="204"/>
    <x v="1653"/>
    <x v="0"/>
    <x v="531"/>
    <n v="27.92"/>
    <x v="3"/>
    <s v="Sep 2024"/>
    <n v="21"/>
    <s v="Repeat"/>
    <x v="0"/>
    <x v="1677"/>
  </r>
  <r>
    <x v="205"/>
    <x v="1654"/>
    <x v="0"/>
    <x v="664"/>
    <n v="32.82"/>
    <x v="7"/>
    <s v="Sep 2024"/>
    <n v="7"/>
    <s v="Repeat"/>
    <x v="0"/>
    <x v="1678"/>
  </r>
  <r>
    <x v="205"/>
    <x v="1655"/>
    <x v="0"/>
    <x v="141"/>
    <n v="23.02"/>
    <x v="5"/>
    <s v="Sep 2024"/>
    <n v="11"/>
    <s v="Repeat"/>
    <x v="0"/>
    <x v="1679"/>
  </r>
  <r>
    <x v="205"/>
    <x v="1656"/>
    <x v="0"/>
    <x v="665"/>
    <n v="27.92"/>
    <x v="3"/>
    <s v="Sep 2024"/>
    <n v="11"/>
    <s v="Repeat"/>
    <x v="0"/>
    <x v="1680"/>
  </r>
  <r>
    <x v="205"/>
    <x v="1657"/>
    <x v="0"/>
    <x v="665"/>
    <n v="32.82"/>
    <x v="0"/>
    <s v="Sep 2024"/>
    <n v="11"/>
    <s v="Repeat"/>
    <x v="0"/>
    <x v="1681"/>
  </r>
  <r>
    <x v="205"/>
    <x v="1658"/>
    <x v="0"/>
    <x v="666"/>
    <n v="27.92"/>
    <x v="3"/>
    <s v="Sep 2024"/>
    <n v="13"/>
    <s v="Repeat"/>
    <x v="0"/>
    <x v="1682"/>
  </r>
  <r>
    <x v="205"/>
    <x v="1659"/>
    <x v="0"/>
    <x v="666"/>
    <n v="27.92"/>
    <x v="3"/>
    <s v="Sep 2024"/>
    <n v="13"/>
    <s v="Repeat"/>
    <x v="0"/>
    <x v="1683"/>
  </r>
  <r>
    <x v="205"/>
    <x v="1660"/>
    <x v="0"/>
    <x v="667"/>
    <n v="27.92"/>
    <x v="3"/>
    <s v="Sep 2024"/>
    <n v="17"/>
    <s v="Repeat"/>
    <x v="0"/>
    <x v="1684"/>
  </r>
  <r>
    <x v="205"/>
    <x v="1661"/>
    <x v="0"/>
    <x v="667"/>
    <n v="27.92"/>
    <x v="3"/>
    <s v="Sep 2024"/>
    <n v="17"/>
    <s v="Repeat"/>
    <x v="0"/>
    <x v="1685"/>
  </r>
  <r>
    <x v="205"/>
    <x v="1662"/>
    <x v="0"/>
    <x v="668"/>
    <n v="23.02"/>
    <x v="2"/>
    <s v="Sep 2024"/>
    <n v="21"/>
    <s v="Single"/>
    <x v="1"/>
    <x v="1686"/>
  </r>
  <r>
    <x v="205"/>
    <x v="1663"/>
    <x v="0"/>
    <x v="475"/>
    <n v="27.92"/>
    <x v="3"/>
    <s v="Sep 2024"/>
    <n v="22"/>
    <s v="Repeat"/>
    <x v="0"/>
    <x v="1687"/>
  </r>
  <r>
    <x v="206"/>
    <x v="1664"/>
    <x v="0"/>
    <x v="570"/>
    <n v="32.82"/>
    <x v="0"/>
    <s v="Sep 2024"/>
    <n v="8"/>
    <s v="Repeat"/>
    <x v="0"/>
    <x v="1688"/>
  </r>
  <r>
    <x v="206"/>
    <x v="1665"/>
    <x v="0"/>
    <x v="333"/>
    <n v="27.92"/>
    <x v="3"/>
    <s v="Sep 2024"/>
    <n v="10"/>
    <s v="Repeat"/>
    <x v="0"/>
    <x v="1689"/>
  </r>
  <r>
    <x v="206"/>
    <x v="1666"/>
    <x v="0"/>
    <x v="669"/>
    <n v="18.12"/>
    <x v="6"/>
    <s v="Sep 2024"/>
    <n v="10"/>
    <s v="Single"/>
    <x v="1"/>
    <x v="1690"/>
  </r>
  <r>
    <x v="206"/>
    <x v="971"/>
    <x v="0"/>
    <x v="670"/>
    <n v="32.82"/>
    <x v="7"/>
    <s v="Sep 2024"/>
    <n v="11"/>
    <s v="Single"/>
    <x v="1"/>
    <x v="1691"/>
  </r>
  <r>
    <x v="206"/>
    <x v="1667"/>
    <x v="0"/>
    <x v="671"/>
    <n v="32.82"/>
    <x v="0"/>
    <s v="Sep 2024"/>
    <n v="12"/>
    <s v="Single"/>
    <x v="1"/>
    <x v="1692"/>
  </r>
  <r>
    <x v="206"/>
    <x v="1668"/>
    <x v="0"/>
    <x v="672"/>
    <n v="32.82"/>
    <x v="0"/>
    <s v="Sep 2024"/>
    <n v="18"/>
    <s v="Single"/>
    <x v="1"/>
    <x v="1693"/>
  </r>
  <r>
    <x v="206"/>
    <x v="1669"/>
    <x v="0"/>
    <x v="673"/>
    <n v="32.82"/>
    <x v="0"/>
    <s v="Sep 2024"/>
    <n v="22"/>
    <s v="Repeat"/>
    <x v="0"/>
    <x v="1694"/>
  </r>
  <r>
    <x v="206"/>
    <x v="1670"/>
    <x v="0"/>
    <x v="673"/>
    <n v="23.02"/>
    <x v="5"/>
    <s v="Sep 2024"/>
    <n v="22"/>
    <s v="Repeat"/>
    <x v="0"/>
    <x v="1695"/>
  </r>
  <r>
    <x v="206"/>
    <x v="1671"/>
    <x v="0"/>
    <x v="472"/>
    <n v="27.92"/>
    <x v="3"/>
    <s v="Sep 2024"/>
    <n v="22"/>
    <s v="Repeat"/>
    <x v="0"/>
    <x v="1696"/>
  </r>
  <r>
    <x v="207"/>
    <x v="1672"/>
    <x v="0"/>
    <x v="276"/>
    <n v="27.92"/>
    <x v="3"/>
    <s v="Sep 2024"/>
    <n v="9"/>
    <s v="Repeat"/>
    <x v="0"/>
    <x v="1697"/>
  </r>
  <r>
    <x v="207"/>
    <x v="1673"/>
    <x v="0"/>
    <x v="141"/>
    <n v="23.02"/>
    <x v="5"/>
    <s v="Sep 2024"/>
    <n v="9"/>
    <s v="Repeat"/>
    <x v="0"/>
    <x v="1698"/>
  </r>
  <r>
    <x v="207"/>
    <x v="1674"/>
    <x v="0"/>
    <x v="674"/>
    <n v="32.82"/>
    <x v="7"/>
    <s v="Sep 2024"/>
    <n v="9"/>
    <s v="Single"/>
    <x v="1"/>
    <x v="1699"/>
  </r>
  <r>
    <x v="207"/>
    <x v="1675"/>
    <x v="0"/>
    <x v="333"/>
    <n v="27.92"/>
    <x v="3"/>
    <s v="Sep 2024"/>
    <n v="10"/>
    <s v="Repeat"/>
    <x v="0"/>
    <x v="1700"/>
  </r>
  <r>
    <x v="207"/>
    <x v="1676"/>
    <x v="0"/>
    <x v="333"/>
    <n v="27.92"/>
    <x v="3"/>
    <s v="Sep 2024"/>
    <n v="11"/>
    <s v="Repeat"/>
    <x v="0"/>
    <x v="1701"/>
  </r>
  <r>
    <x v="207"/>
    <x v="835"/>
    <x v="0"/>
    <x v="675"/>
    <n v="32.82"/>
    <x v="7"/>
    <s v="Sep 2024"/>
    <n v="13"/>
    <s v="Single"/>
    <x v="1"/>
    <x v="1702"/>
  </r>
  <r>
    <x v="207"/>
    <x v="1677"/>
    <x v="0"/>
    <x v="676"/>
    <n v="32.82"/>
    <x v="7"/>
    <s v="Sep 2024"/>
    <n v="13"/>
    <s v="Repeat"/>
    <x v="0"/>
    <x v="1703"/>
  </r>
  <r>
    <x v="207"/>
    <x v="1678"/>
    <x v="0"/>
    <x v="676"/>
    <n v="23.02"/>
    <x v="2"/>
    <s v="Sep 2024"/>
    <n v="13"/>
    <s v="Repeat"/>
    <x v="0"/>
    <x v="1704"/>
  </r>
  <r>
    <x v="207"/>
    <x v="1679"/>
    <x v="0"/>
    <x v="677"/>
    <n v="27.92"/>
    <x v="3"/>
    <s v="Sep 2024"/>
    <n v="13"/>
    <s v="Single"/>
    <x v="1"/>
    <x v="1705"/>
  </r>
  <r>
    <x v="207"/>
    <x v="1680"/>
    <x v="0"/>
    <x v="678"/>
    <n v="32.82"/>
    <x v="0"/>
    <s v="Sep 2024"/>
    <n v="18"/>
    <s v="Repeat"/>
    <x v="0"/>
    <x v="1706"/>
  </r>
  <r>
    <x v="207"/>
    <x v="1681"/>
    <x v="0"/>
    <x v="678"/>
    <n v="32.82"/>
    <x v="0"/>
    <s v="Sep 2024"/>
    <n v="18"/>
    <s v="Repeat"/>
    <x v="0"/>
    <x v="1707"/>
  </r>
  <r>
    <x v="207"/>
    <x v="1682"/>
    <x v="0"/>
    <x v="679"/>
    <n v="32.82"/>
    <x v="7"/>
    <s v="Sep 2024"/>
    <n v="18"/>
    <s v="Single"/>
    <x v="1"/>
    <x v="1708"/>
  </r>
  <r>
    <x v="207"/>
    <x v="1683"/>
    <x v="0"/>
    <x v="680"/>
    <n v="32.82"/>
    <x v="7"/>
    <s v="Sep 2024"/>
    <n v="18"/>
    <s v="Single"/>
    <x v="1"/>
    <x v="1709"/>
  </r>
  <r>
    <x v="207"/>
    <x v="1684"/>
    <x v="0"/>
    <x v="408"/>
    <n v="32.82"/>
    <x v="7"/>
    <s v="Sep 2024"/>
    <n v="20"/>
    <s v="Repeat"/>
    <x v="0"/>
    <x v="1710"/>
  </r>
  <r>
    <x v="207"/>
    <x v="1685"/>
    <x v="0"/>
    <x v="408"/>
    <n v="32.82"/>
    <x v="7"/>
    <s v="Sep 2024"/>
    <n v="20"/>
    <s v="Repeat"/>
    <x v="0"/>
    <x v="1711"/>
  </r>
  <r>
    <x v="207"/>
    <x v="1686"/>
    <x v="0"/>
    <x v="681"/>
    <n v="27.92"/>
    <x v="3"/>
    <s v="Sep 2024"/>
    <n v="20"/>
    <s v="Single"/>
    <x v="1"/>
    <x v="1712"/>
  </r>
  <r>
    <x v="208"/>
    <x v="1687"/>
    <x v="0"/>
    <x v="666"/>
    <n v="27.92"/>
    <x v="3"/>
    <s v="Sep 2024"/>
    <n v="8"/>
    <s v="Repeat"/>
    <x v="0"/>
    <x v="1713"/>
  </r>
  <r>
    <x v="208"/>
    <x v="1688"/>
    <x v="0"/>
    <x v="682"/>
    <n v="27.92"/>
    <x v="3"/>
    <s v="Sep 2024"/>
    <n v="9"/>
    <s v="Repeat"/>
    <x v="0"/>
    <x v="1714"/>
  </r>
  <r>
    <x v="208"/>
    <x v="1689"/>
    <x v="0"/>
    <x v="507"/>
    <n v="35.76"/>
    <x v="0"/>
    <s v="Sep 2024"/>
    <n v="14"/>
    <s v="Repeat"/>
    <x v="0"/>
    <x v="1715"/>
  </r>
  <r>
    <x v="208"/>
    <x v="1690"/>
    <x v="0"/>
    <x v="683"/>
    <n v="35.76"/>
    <x v="0"/>
    <s v="Sep 2024"/>
    <n v="16"/>
    <s v="Repeat"/>
    <x v="0"/>
    <x v="1716"/>
  </r>
  <r>
    <x v="208"/>
    <x v="1691"/>
    <x v="0"/>
    <x v="684"/>
    <n v="30.86"/>
    <x v="3"/>
    <s v="Sep 2024"/>
    <n v="17"/>
    <s v="Single"/>
    <x v="1"/>
    <x v="1717"/>
  </r>
  <r>
    <x v="208"/>
    <x v="1692"/>
    <x v="0"/>
    <x v="445"/>
    <n v="35.76"/>
    <x v="0"/>
    <s v="Sep 2024"/>
    <n v="20"/>
    <s v="Repeat"/>
    <x v="0"/>
    <x v="1718"/>
  </r>
  <r>
    <x v="208"/>
    <x v="1693"/>
    <x v="0"/>
    <x v="685"/>
    <n v="35.76"/>
    <x v="0"/>
    <s v="Sep 2024"/>
    <n v="20"/>
    <s v="Repeat"/>
    <x v="0"/>
    <x v="1719"/>
  </r>
  <r>
    <x v="208"/>
    <x v="1694"/>
    <x v="0"/>
    <x v="686"/>
    <n v="35.76"/>
    <x v="7"/>
    <s v="Sep 2024"/>
    <n v="22"/>
    <s v="Repeat"/>
    <x v="0"/>
    <x v="1720"/>
  </r>
  <r>
    <x v="208"/>
    <x v="1695"/>
    <x v="0"/>
    <x v="686"/>
    <n v="35.76"/>
    <x v="4"/>
    <s v="Sep 2024"/>
    <n v="22"/>
    <s v="Repeat"/>
    <x v="0"/>
    <x v="1721"/>
  </r>
  <r>
    <x v="208"/>
    <x v="1696"/>
    <x v="0"/>
    <x v="687"/>
    <n v="25.96"/>
    <x v="5"/>
    <s v="Sep 2024"/>
    <n v="22"/>
    <s v="Repeat"/>
    <x v="0"/>
    <x v="1722"/>
  </r>
  <r>
    <x v="208"/>
    <x v="1697"/>
    <x v="0"/>
    <x v="687"/>
    <n v="35.76"/>
    <x v="1"/>
    <s v="Sep 2024"/>
    <n v="22"/>
    <s v="Repeat"/>
    <x v="0"/>
    <x v="1723"/>
  </r>
  <r>
    <x v="209"/>
    <x v="1698"/>
    <x v="0"/>
    <x v="467"/>
    <n v="25.96"/>
    <x v="2"/>
    <s v="Sep 2024"/>
    <n v="10"/>
    <s v="Repeat"/>
    <x v="0"/>
    <x v="1724"/>
  </r>
  <r>
    <x v="209"/>
    <x v="1699"/>
    <x v="0"/>
    <x v="172"/>
    <n v="35.76"/>
    <x v="7"/>
    <s v="Sep 2024"/>
    <n v="10"/>
    <s v="Repeat"/>
    <x v="0"/>
    <x v="1725"/>
  </r>
  <r>
    <x v="209"/>
    <x v="1700"/>
    <x v="0"/>
    <x v="172"/>
    <n v="35.76"/>
    <x v="7"/>
    <s v="Sep 2024"/>
    <n v="10"/>
    <s v="Repeat"/>
    <x v="0"/>
    <x v="1726"/>
  </r>
  <r>
    <x v="209"/>
    <x v="1701"/>
    <x v="0"/>
    <x v="172"/>
    <n v="35.76"/>
    <x v="7"/>
    <s v="Sep 2024"/>
    <n v="10"/>
    <s v="Repeat"/>
    <x v="0"/>
    <x v="1727"/>
  </r>
  <r>
    <x v="209"/>
    <x v="1702"/>
    <x v="0"/>
    <x v="333"/>
    <n v="30.86"/>
    <x v="3"/>
    <s v="Sep 2024"/>
    <n v="10"/>
    <s v="Repeat"/>
    <x v="0"/>
    <x v="1728"/>
  </r>
  <r>
    <x v="209"/>
    <x v="1703"/>
    <x v="0"/>
    <x v="683"/>
    <n v="35.76"/>
    <x v="0"/>
    <s v="Sep 2024"/>
    <n v="12"/>
    <s v="Repeat"/>
    <x v="0"/>
    <x v="1729"/>
  </r>
  <r>
    <x v="209"/>
    <x v="1704"/>
    <x v="0"/>
    <x v="141"/>
    <n v="25.96"/>
    <x v="5"/>
    <s v="Sep 2024"/>
    <n v="12"/>
    <s v="Repeat"/>
    <x v="0"/>
    <x v="1730"/>
  </r>
  <r>
    <x v="209"/>
    <x v="1705"/>
    <x v="0"/>
    <x v="602"/>
    <n v="35.76"/>
    <x v="0"/>
    <s v="Sep 2024"/>
    <n v="12"/>
    <s v="Repeat"/>
    <x v="0"/>
    <x v="1731"/>
  </r>
  <r>
    <x v="209"/>
    <x v="1706"/>
    <x v="0"/>
    <x v="688"/>
    <n v="35.76"/>
    <x v="0"/>
    <s v="Sep 2024"/>
    <n v="12"/>
    <s v="Single"/>
    <x v="1"/>
    <x v="1732"/>
  </r>
  <r>
    <x v="209"/>
    <x v="1707"/>
    <x v="0"/>
    <x v="689"/>
    <n v="35.76"/>
    <x v="7"/>
    <s v="Sep 2024"/>
    <n v="18"/>
    <s v="Single"/>
    <x v="1"/>
    <x v="1733"/>
  </r>
  <r>
    <x v="209"/>
    <x v="1708"/>
    <x v="0"/>
    <x v="690"/>
    <n v="35.76"/>
    <x v="0"/>
    <s v="Sep 2024"/>
    <n v="22"/>
    <s v="Repeat"/>
    <x v="0"/>
    <x v="1734"/>
  </r>
  <r>
    <x v="210"/>
    <x v="1709"/>
    <x v="0"/>
    <x v="141"/>
    <n v="25.96"/>
    <x v="5"/>
    <s v="Sep 2024"/>
    <n v="8"/>
    <s v="Repeat"/>
    <x v="0"/>
    <x v="1735"/>
  </r>
  <r>
    <x v="210"/>
    <x v="1710"/>
    <x v="0"/>
    <x v="691"/>
    <n v="25.96"/>
    <x v="5"/>
    <s v="Sep 2024"/>
    <n v="8"/>
    <s v="Repeat"/>
    <x v="0"/>
    <x v="1736"/>
  </r>
  <r>
    <x v="210"/>
    <x v="1711"/>
    <x v="0"/>
    <x v="692"/>
    <n v="35.76"/>
    <x v="1"/>
    <s v="Sep 2024"/>
    <n v="9"/>
    <s v="Single"/>
    <x v="1"/>
    <x v="1737"/>
  </r>
  <r>
    <x v="210"/>
    <x v="1712"/>
    <x v="0"/>
    <x v="276"/>
    <n v="30.86"/>
    <x v="3"/>
    <s v="Sep 2024"/>
    <n v="10"/>
    <s v="Repeat"/>
    <x v="0"/>
    <x v="1738"/>
  </r>
  <r>
    <x v="210"/>
    <x v="1713"/>
    <x v="0"/>
    <x v="141"/>
    <n v="25.96"/>
    <x v="5"/>
    <s v="Sep 2024"/>
    <n v="10"/>
    <s v="Repeat"/>
    <x v="0"/>
    <x v="1739"/>
  </r>
  <r>
    <x v="210"/>
    <x v="1714"/>
    <x v="0"/>
    <x v="693"/>
    <n v="30.86"/>
    <x v="3"/>
    <s v="Sep 2024"/>
    <n v="11"/>
    <s v="Single"/>
    <x v="1"/>
    <x v="1740"/>
  </r>
  <r>
    <x v="210"/>
    <x v="1715"/>
    <x v="0"/>
    <x v="333"/>
    <n v="30.86"/>
    <x v="3"/>
    <s v="Sep 2024"/>
    <n v="16"/>
    <s v="Repeat"/>
    <x v="0"/>
    <x v="1741"/>
  </r>
  <r>
    <x v="210"/>
    <x v="1716"/>
    <x v="0"/>
    <x v="507"/>
    <n v="35.76"/>
    <x v="0"/>
    <s v="Sep 2024"/>
    <n v="19"/>
    <s v="Repeat"/>
    <x v="0"/>
    <x v="1742"/>
  </r>
  <r>
    <x v="210"/>
    <x v="1717"/>
    <x v="0"/>
    <x v="694"/>
    <n v="30.86"/>
    <x v="3"/>
    <s v="Sep 2024"/>
    <n v="19"/>
    <s v="Repeat"/>
    <x v="0"/>
    <x v="1743"/>
  </r>
  <r>
    <x v="210"/>
    <x v="1718"/>
    <x v="0"/>
    <x v="694"/>
    <n v="25.96"/>
    <x v="5"/>
    <s v="Sep 2024"/>
    <n v="19"/>
    <s v="Repeat"/>
    <x v="0"/>
    <x v="1744"/>
  </r>
  <r>
    <x v="210"/>
    <x v="1719"/>
    <x v="0"/>
    <x v="631"/>
    <n v="35.76"/>
    <x v="0"/>
    <s v="Sep 2024"/>
    <n v="19"/>
    <s v="Repeat"/>
    <x v="0"/>
    <x v="1745"/>
  </r>
  <r>
    <x v="210"/>
    <x v="1720"/>
    <x v="0"/>
    <x v="531"/>
    <n v="30.86"/>
    <x v="3"/>
    <s v="Sep 2024"/>
    <n v="20"/>
    <s v="Repeat"/>
    <x v="0"/>
    <x v="1746"/>
  </r>
  <r>
    <x v="210"/>
    <x v="1721"/>
    <x v="0"/>
    <x v="633"/>
    <n v="30.86"/>
    <x v="3"/>
    <s v="Sep 2024"/>
    <n v="20"/>
    <s v="Repeat"/>
    <x v="0"/>
    <x v="1747"/>
  </r>
  <r>
    <x v="210"/>
    <x v="1722"/>
    <x v="0"/>
    <x v="695"/>
    <n v="30.86"/>
    <x v="3"/>
    <s v="Sep 2024"/>
    <n v="21"/>
    <s v="Repeat"/>
    <x v="0"/>
    <x v="1748"/>
  </r>
  <r>
    <x v="211"/>
    <x v="1723"/>
    <x v="0"/>
    <x v="696"/>
    <n v="35.76"/>
    <x v="0"/>
    <s v="Oct 2024"/>
    <n v="7"/>
    <s v="Repeat"/>
    <x v="0"/>
    <x v="1749"/>
  </r>
  <r>
    <x v="211"/>
    <x v="1724"/>
    <x v="0"/>
    <x v="276"/>
    <n v="30.86"/>
    <x v="3"/>
    <s v="Oct 2024"/>
    <n v="9"/>
    <s v="Repeat"/>
    <x v="0"/>
    <x v="1750"/>
  </r>
  <r>
    <x v="211"/>
    <x v="1725"/>
    <x v="0"/>
    <x v="333"/>
    <n v="30.86"/>
    <x v="3"/>
    <s v="Oct 2024"/>
    <n v="10"/>
    <s v="Repeat"/>
    <x v="0"/>
    <x v="1751"/>
  </r>
  <r>
    <x v="211"/>
    <x v="1726"/>
    <x v="0"/>
    <x v="333"/>
    <n v="30.86"/>
    <x v="3"/>
    <s v="Oct 2024"/>
    <n v="10"/>
    <s v="Repeat"/>
    <x v="0"/>
    <x v="1752"/>
  </r>
  <r>
    <x v="211"/>
    <x v="1053"/>
    <x v="0"/>
    <x v="697"/>
    <n v="30.86"/>
    <x v="3"/>
    <s v="Oct 2024"/>
    <n v="11"/>
    <s v="Single"/>
    <x v="1"/>
    <x v="1753"/>
  </r>
  <r>
    <x v="211"/>
    <x v="1727"/>
    <x v="0"/>
    <x v="698"/>
    <n v="30.86"/>
    <x v="3"/>
    <s v="Oct 2024"/>
    <n v="12"/>
    <s v="Repeat"/>
    <x v="0"/>
    <x v="1754"/>
  </r>
  <r>
    <x v="211"/>
    <x v="1728"/>
    <x v="0"/>
    <x v="698"/>
    <n v="30.86"/>
    <x v="3"/>
    <s v="Oct 2024"/>
    <n v="12"/>
    <s v="Repeat"/>
    <x v="0"/>
    <x v="1755"/>
  </r>
  <r>
    <x v="211"/>
    <x v="1729"/>
    <x v="0"/>
    <x v="699"/>
    <n v="25.96"/>
    <x v="2"/>
    <s v="Oct 2024"/>
    <n v="14"/>
    <s v="Repeat"/>
    <x v="0"/>
    <x v="1756"/>
  </r>
  <r>
    <x v="211"/>
    <x v="1067"/>
    <x v="0"/>
    <x v="699"/>
    <n v="30.86"/>
    <x v="3"/>
    <s v="Oct 2024"/>
    <n v="14"/>
    <s v="Repeat"/>
    <x v="0"/>
    <x v="1757"/>
  </r>
  <r>
    <x v="211"/>
    <x v="1730"/>
    <x v="0"/>
    <x v="637"/>
    <n v="35.76"/>
    <x v="1"/>
    <s v="Oct 2024"/>
    <n v="16"/>
    <s v="Repeat"/>
    <x v="0"/>
    <x v="1758"/>
  </r>
  <r>
    <x v="211"/>
    <x v="1731"/>
    <x v="0"/>
    <x v="700"/>
    <n v="25.96"/>
    <x v="2"/>
    <s v="Oct 2024"/>
    <n v="16"/>
    <s v="Repeat"/>
    <x v="0"/>
    <x v="1759"/>
  </r>
  <r>
    <x v="211"/>
    <x v="1732"/>
    <x v="0"/>
    <x v="701"/>
    <n v="35.76"/>
    <x v="0"/>
    <s v="Oct 2024"/>
    <n v="18"/>
    <s v="Repeat"/>
    <x v="0"/>
    <x v="1760"/>
  </r>
  <r>
    <x v="211"/>
    <x v="1733"/>
    <x v="0"/>
    <x v="702"/>
    <n v="35.76"/>
    <x v="0"/>
    <s v="Oct 2024"/>
    <n v="18"/>
    <s v="Repeat"/>
    <x v="0"/>
    <x v="1761"/>
  </r>
  <r>
    <x v="211"/>
    <x v="1734"/>
    <x v="0"/>
    <x v="702"/>
    <n v="35.76"/>
    <x v="1"/>
    <s v="Oct 2024"/>
    <n v="18"/>
    <s v="Repeat"/>
    <x v="0"/>
    <x v="1762"/>
  </r>
  <r>
    <x v="211"/>
    <x v="1735"/>
    <x v="0"/>
    <x v="585"/>
    <n v="35.76"/>
    <x v="1"/>
    <s v="Oct 2024"/>
    <n v="20"/>
    <s v="Repeat"/>
    <x v="0"/>
    <x v="1763"/>
  </r>
  <r>
    <x v="212"/>
    <x v="1736"/>
    <x v="0"/>
    <x v="703"/>
    <n v="35.76"/>
    <x v="0"/>
    <s v="Oct 2024"/>
    <n v="7"/>
    <s v="Repeat"/>
    <x v="0"/>
    <x v="1764"/>
  </r>
  <r>
    <x v="212"/>
    <x v="1737"/>
    <x v="0"/>
    <x v="141"/>
    <n v="25.96"/>
    <x v="5"/>
    <s v="Oct 2024"/>
    <n v="8"/>
    <s v="Repeat"/>
    <x v="0"/>
    <x v="1765"/>
  </r>
  <r>
    <x v="212"/>
    <x v="1738"/>
    <x v="0"/>
    <x v="276"/>
    <n v="30.86"/>
    <x v="3"/>
    <s v="Oct 2024"/>
    <n v="9"/>
    <s v="Repeat"/>
    <x v="0"/>
    <x v="1766"/>
  </r>
  <r>
    <x v="212"/>
    <x v="1739"/>
    <x v="0"/>
    <x v="375"/>
    <n v="35.76"/>
    <x v="0"/>
    <s v="Oct 2024"/>
    <n v="10"/>
    <s v="Repeat"/>
    <x v="0"/>
    <x v="1767"/>
  </r>
  <r>
    <x v="212"/>
    <x v="1740"/>
    <x v="0"/>
    <x v="704"/>
    <n v="30.86"/>
    <x v="3"/>
    <s v="Oct 2024"/>
    <n v="10"/>
    <s v="Single"/>
    <x v="1"/>
    <x v="1768"/>
  </r>
  <r>
    <x v="212"/>
    <x v="1741"/>
    <x v="0"/>
    <x v="705"/>
    <n v="35.76"/>
    <x v="7"/>
    <s v="Oct 2024"/>
    <n v="11"/>
    <s v="Single"/>
    <x v="1"/>
    <x v="1769"/>
  </r>
  <r>
    <x v="212"/>
    <x v="1742"/>
    <x v="0"/>
    <x v="706"/>
    <n v="35.76"/>
    <x v="7"/>
    <s v="Oct 2024"/>
    <n v="15"/>
    <s v="Single"/>
    <x v="1"/>
    <x v="1770"/>
  </r>
  <r>
    <x v="212"/>
    <x v="1743"/>
    <x v="0"/>
    <x v="255"/>
    <n v="35.76"/>
    <x v="1"/>
    <s v="Oct 2024"/>
    <n v="18"/>
    <s v="Repeat"/>
    <x v="0"/>
    <x v="1771"/>
  </r>
  <r>
    <x v="212"/>
    <x v="1744"/>
    <x v="0"/>
    <x v="637"/>
    <n v="35.76"/>
    <x v="1"/>
    <s v="Oct 2024"/>
    <n v="22"/>
    <s v="Repeat"/>
    <x v="0"/>
    <x v="1772"/>
  </r>
  <r>
    <x v="212"/>
    <x v="1745"/>
    <x v="0"/>
    <x v="637"/>
    <n v="35.76"/>
    <x v="1"/>
    <s v="Oct 2024"/>
    <n v="22"/>
    <s v="Repeat"/>
    <x v="0"/>
    <x v="1773"/>
  </r>
  <r>
    <x v="212"/>
    <x v="1746"/>
    <x v="0"/>
    <x v="707"/>
    <n v="35.76"/>
    <x v="1"/>
    <s v="Oct 2024"/>
    <n v="22"/>
    <s v="Repeat"/>
    <x v="0"/>
    <x v="1774"/>
  </r>
  <r>
    <x v="213"/>
    <x v="1747"/>
    <x v="0"/>
    <x v="708"/>
    <n v="35.76"/>
    <x v="4"/>
    <s v="Oct 2024"/>
    <n v="13"/>
    <s v="Single"/>
    <x v="1"/>
    <x v="1775"/>
  </r>
  <r>
    <x v="213"/>
    <x v="1748"/>
    <x v="0"/>
    <x v="709"/>
    <n v="30.86"/>
    <x v="3"/>
    <s v="Oct 2024"/>
    <n v="15"/>
    <s v="Single"/>
    <x v="1"/>
    <x v="1776"/>
  </r>
  <r>
    <x v="213"/>
    <x v="1749"/>
    <x v="0"/>
    <x v="710"/>
    <n v="25.96"/>
    <x v="5"/>
    <s v="Oct 2024"/>
    <n v="20"/>
    <s v="Repeat"/>
    <x v="0"/>
    <x v="1777"/>
  </r>
  <r>
    <x v="213"/>
    <x v="1750"/>
    <x v="0"/>
    <x v="710"/>
    <n v="35.76"/>
    <x v="1"/>
    <s v="Oct 2024"/>
    <n v="20"/>
    <s v="Repeat"/>
    <x v="0"/>
    <x v="1778"/>
  </r>
  <r>
    <x v="213"/>
    <x v="1751"/>
    <x v="0"/>
    <x v="637"/>
    <n v="35.76"/>
    <x v="1"/>
    <s v="Oct 2024"/>
    <n v="21"/>
    <s v="Repeat"/>
    <x v="0"/>
    <x v="1779"/>
  </r>
  <r>
    <x v="213"/>
    <x v="1752"/>
    <x v="0"/>
    <x v="637"/>
    <n v="35.76"/>
    <x v="1"/>
    <s v="Oct 2024"/>
    <n v="21"/>
    <s v="Repeat"/>
    <x v="0"/>
    <x v="1780"/>
  </r>
  <r>
    <x v="213"/>
    <x v="1753"/>
    <x v="0"/>
    <x v="711"/>
    <n v="35.76"/>
    <x v="7"/>
    <s v="Oct 2024"/>
    <n v="21"/>
    <s v="Single"/>
    <x v="1"/>
    <x v="1781"/>
  </r>
  <r>
    <x v="213"/>
    <x v="1754"/>
    <x v="0"/>
    <x v="712"/>
    <n v="35.76"/>
    <x v="1"/>
    <s v="Oct 2024"/>
    <n v="21"/>
    <s v="Single"/>
    <x v="1"/>
    <x v="1782"/>
  </r>
  <r>
    <x v="214"/>
    <x v="1755"/>
    <x v="0"/>
    <x v="440"/>
    <n v="25.96"/>
    <x v="2"/>
    <s v="Oct 2024"/>
    <n v="8"/>
    <s v="Repeat"/>
    <x v="0"/>
    <x v="1783"/>
  </r>
  <r>
    <x v="214"/>
    <x v="1756"/>
    <x v="0"/>
    <x v="440"/>
    <n v="25.96"/>
    <x v="2"/>
    <s v="Oct 2024"/>
    <n v="8"/>
    <s v="Repeat"/>
    <x v="0"/>
    <x v="1784"/>
  </r>
  <r>
    <x v="214"/>
    <x v="1757"/>
    <x v="0"/>
    <x v="3"/>
    <n v="30.86"/>
    <x v="3"/>
    <s v="Oct 2024"/>
    <n v="9"/>
    <s v="Repeat"/>
    <x v="0"/>
    <x v="1785"/>
  </r>
  <r>
    <x v="214"/>
    <x v="1758"/>
    <x v="0"/>
    <x v="2"/>
    <n v="25.96"/>
    <x v="2"/>
    <s v="Oct 2024"/>
    <n v="9"/>
    <s v="Repeat"/>
    <x v="0"/>
    <x v="1786"/>
  </r>
  <r>
    <x v="214"/>
    <x v="1759"/>
    <x v="0"/>
    <x v="650"/>
    <n v="25.96"/>
    <x v="5"/>
    <s v="Oct 2024"/>
    <n v="9"/>
    <s v="Repeat"/>
    <x v="0"/>
    <x v="1787"/>
  </r>
  <r>
    <x v="214"/>
    <x v="1760"/>
    <x v="0"/>
    <x v="650"/>
    <n v="25.96"/>
    <x v="5"/>
    <s v="Oct 2024"/>
    <n v="9"/>
    <s v="Repeat"/>
    <x v="0"/>
    <x v="1788"/>
  </r>
  <r>
    <x v="214"/>
    <x v="1761"/>
    <x v="0"/>
    <x v="713"/>
    <n v="35.76"/>
    <x v="0"/>
    <s v="Oct 2024"/>
    <n v="17"/>
    <s v="Repeat"/>
    <x v="0"/>
    <x v="1789"/>
  </r>
  <r>
    <x v="214"/>
    <x v="1762"/>
    <x v="0"/>
    <x v="714"/>
    <n v="35.76"/>
    <x v="1"/>
    <s v="Oct 2024"/>
    <n v="17"/>
    <s v="Repeat"/>
    <x v="0"/>
    <x v="1790"/>
  </r>
  <r>
    <x v="214"/>
    <x v="1763"/>
    <x v="0"/>
    <x v="714"/>
    <n v="35.76"/>
    <x v="4"/>
    <s v="Oct 2024"/>
    <n v="17"/>
    <s v="Repeat"/>
    <x v="0"/>
    <x v="1791"/>
  </r>
  <r>
    <x v="215"/>
    <x v="1764"/>
    <x v="0"/>
    <x v="141"/>
    <n v="25.96"/>
    <x v="5"/>
    <s v="Oct 2024"/>
    <n v="9"/>
    <s v="Repeat"/>
    <x v="0"/>
    <x v="1792"/>
  </r>
  <r>
    <x v="215"/>
    <x v="1765"/>
    <x v="0"/>
    <x v="141"/>
    <n v="25.96"/>
    <x v="5"/>
    <s v="Oct 2024"/>
    <n v="9"/>
    <s v="Repeat"/>
    <x v="0"/>
    <x v="1793"/>
  </r>
  <r>
    <x v="215"/>
    <x v="1766"/>
    <x v="0"/>
    <x v="715"/>
    <n v="35.76"/>
    <x v="4"/>
    <s v="Oct 2024"/>
    <n v="9"/>
    <s v="Repeat"/>
    <x v="0"/>
    <x v="1794"/>
  </r>
  <r>
    <x v="215"/>
    <x v="1767"/>
    <x v="0"/>
    <x v="206"/>
    <n v="35.76"/>
    <x v="7"/>
    <s v="Oct 2024"/>
    <n v="13"/>
    <s v="Repeat"/>
    <x v="0"/>
    <x v="1795"/>
  </r>
  <r>
    <x v="215"/>
    <x v="1768"/>
    <x v="0"/>
    <x v="12"/>
    <n v="25.96"/>
    <x v="2"/>
    <s v="Oct 2024"/>
    <n v="20"/>
    <s v="Repeat"/>
    <x v="0"/>
    <x v="1796"/>
  </r>
  <r>
    <x v="215"/>
    <x v="1769"/>
    <x v="0"/>
    <x v="12"/>
    <n v="25.96"/>
    <x v="2"/>
    <s v="Oct 2024"/>
    <n v="20"/>
    <s v="Repeat"/>
    <x v="0"/>
    <x v="1797"/>
  </r>
  <r>
    <x v="216"/>
    <x v="1340"/>
    <x v="0"/>
    <x v="141"/>
    <n v="25.96"/>
    <x v="5"/>
    <s v="Oct 2024"/>
    <n v="8"/>
    <s v="Repeat"/>
    <x v="0"/>
    <x v="1798"/>
  </r>
  <r>
    <x v="216"/>
    <x v="1770"/>
    <x v="0"/>
    <x v="195"/>
    <n v="35.76"/>
    <x v="7"/>
    <s v="Oct 2024"/>
    <n v="10"/>
    <s v="Repeat"/>
    <x v="0"/>
    <x v="1799"/>
  </r>
  <r>
    <x v="216"/>
    <x v="1771"/>
    <x v="0"/>
    <x v="195"/>
    <n v="25.96"/>
    <x v="5"/>
    <s v="Oct 2024"/>
    <n v="10"/>
    <s v="Repeat"/>
    <x v="0"/>
    <x v="1800"/>
  </r>
  <r>
    <x v="216"/>
    <x v="1772"/>
    <x v="0"/>
    <x v="716"/>
    <n v="35.76"/>
    <x v="0"/>
    <s v="Oct 2024"/>
    <n v="11"/>
    <s v="Single"/>
    <x v="1"/>
    <x v="1801"/>
  </r>
  <r>
    <x v="216"/>
    <x v="1773"/>
    <x v="0"/>
    <x v="665"/>
    <n v="35.76"/>
    <x v="0"/>
    <s v="Oct 2024"/>
    <n v="12"/>
    <s v="Repeat"/>
    <x v="0"/>
    <x v="1802"/>
  </r>
  <r>
    <x v="216"/>
    <x v="1774"/>
    <x v="0"/>
    <x v="665"/>
    <n v="35.76"/>
    <x v="7"/>
    <s v="Oct 2024"/>
    <n v="12"/>
    <s v="Repeat"/>
    <x v="0"/>
    <x v="1803"/>
  </r>
  <r>
    <x v="216"/>
    <x v="1775"/>
    <x v="0"/>
    <x v="665"/>
    <n v="30.86"/>
    <x v="3"/>
    <s v="Oct 2024"/>
    <n v="12"/>
    <s v="Repeat"/>
    <x v="0"/>
    <x v="1804"/>
  </r>
  <r>
    <x v="216"/>
    <x v="1776"/>
    <x v="0"/>
    <x v="717"/>
    <n v="25.96"/>
    <x v="2"/>
    <s v="Oct 2024"/>
    <n v="13"/>
    <s v="Repeat"/>
    <x v="0"/>
    <x v="1805"/>
  </r>
  <r>
    <x v="216"/>
    <x v="1777"/>
    <x v="0"/>
    <x v="717"/>
    <n v="35.76"/>
    <x v="7"/>
    <s v="Oct 2024"/>
    <n v="13"/>
    <s v="Repeat"/>
    <x v="0"/>
    <x v="1806"/>
  </r>
  <r>
    <x v="216"/>
    <x v="1778"/>
    <x v="0"/>
    <x v="718"/>
    <n v="30.86"/>
    <x v="3"/>
    <s v="Oct 2024"/>
    <n v="13"/>
    <s v="Repeat"/>
    <x v="0"/>
    <x v="1807"/>
  </r>
  <r>
    <x v="216"/>
    <x v="1779"/>
    <x v="0"/>
    <x v="718"/>
    <n v="35.76"/>
    <x v="0"/>
    <s v="Oct 2024"/>
    <n v="13"/>
    <s v="Repeat"/>
    <x v="0"/>
    <x v="1808"/>
  </r>
  <r>
    <x v="216"/>
    <x v="1780"/>
    <x v="0"/>
    <x v="718"/>
    <n v="35.76"/>
    <x v="7"/>
    <s v="Oct 2024"/>
    <n v="13"/>
    <s v="Repeat"/>
    <x v="0"/>
    <x v="1809"/>
  </r>
  <r>
    <x v="216"/>
    <x v="1781"/>
    <x v="0"/>
    <x v="719"/>
    <n v="35.76"/>
    <x v="7"/>
    <s v="Oct 2024"/>
    <n v="16"/>
    <s v="Single"/>
    <x v="1"/>
    <x v="1810"/>
  </r>
  <r>
    <x v="216"/>
    <x v="1782"/>
    <x v="0"/>
    <x v="720"/>
    <n v="21.06"/>
    <x v="6"/>
    <s v="Oct 2024"/>
    <n v="16"/>
    <s v="Single"/>
    <x v="1"/>
    <x v="1811"/>
  </r>
  <r>
    <x v="216"/>
    <x v="1783"/>
    <x v="0"/>
    <x v="721"/>
    <n v="30.86"/>
    <x v="3"/>
    <s v="Oct 2024"/>
    <n v="18"/>
    <s v="Single"/>
    <x v="1"/>
    <x v="1812"/>
  </r>
  <r>
    <x v="216"/>
    <x v="1784"/>
    <x v="0"/>
    <x v="722"/>
    <n v="35.76"/>
    <x v="1"/>
    <s v="Oct 2024"/>
    <n v="18"/>
    <s v="Repeat"/>
    <x v="0"/>
    <x v="1813"/>
  </r>
  <r>
    <x v="216"/>
    <x v="1785"/>
    <x v="0"/>
    <x v="723"/>
    <n v="35.76"/>
    <x v="1"/>
    <s v="Oct 2024"/>
    <n v="21"/>
    <s v="Repeat"/>
    <x v="0"/>
    <x v="1814"/>
  </r>
  <r>
    <x v="216"/>
    <x v="1786"/>
    <x v="0"/>
    <x v="723"/>
    <n v="35.76"/>
    <x v="1"/>
    <s v="Oct 2024"/>
    <n v="21"/>
    <s v="Repeat"/>
    <x v="0"/>
    <x v="1815"/>
  </r>
  <r>
    <x v="216"/>
    <x v="1787"/>
    <x v="0"/>
    <x v="636"/>
    <n v="35.76"/>
    <x v="1"/>
    <s v="Oct 2024"/>
    <n v="21"/>
    <s v="Repeat"/>
    <x v="0"/>
    <x v="1816"/>
  </r>
  <r>
    <x v="216"/>
    <x v="1214"/>
    <x v="0"/>
    <x v="637"/>
    <n v="35.76"/>
    <x v="0"/>
    <s v="Oct 2024"/>
    <n v="21"/>
    <s v="Repeat"/>
    <x v="0"/>
    <x v="1817"/>
  </r>
  <r>
    <x v="217"/>
    <x v="1788"/>
    <x v="0"/>
    <x v="724"/>
    <n v="35.76"/>
    <x v="0"/>
    <s v="Oct 2024"/>
    <n v="8"/>
    <s v="Single"/>
    <x v="1"/>
    <x v="1818"/>
  </r>
  <r>
    <x v="217"/>
    <x v="1789"/>
    <x v="0"/>
    <x v="385"/>
    <n v="35.76"/>
    <x v="0"/>
    <s v="Oct 2024"/>
    <n v="8"/>
    <s v="Repeat"/>
    <x v="0"/>
    <x v="1819"/>
  </r>
  <r>
    <x v="217"/>
    <x v="1790"/>
    <x v="0"/>
    <x v="385"/>
    <n v="30.86"/>
    <x v="3"/>
    <s v="Oct 2024"/>
    <n v="8"/>
    <s v="Repeat"/>
    <x v="0"/>
    <x v="1820"/>
  </r>
  <r>
    <x v="217"/>
    <x v="1791"/>
    <x v="0"/>
    <x v="725"/>
    <n v="35.76"/>
    <x v="4"/>
    <s v="Oct 2024"/>
    <n v="9"/>
    <s v="Repeat"/>
    <x v="0"/>
    <x v="1821"/>
  </r>
  <r>
    <x v="217"/>
    <x v="1792"/>
    <x v="0"/>
    <x v="726"/>
    <n v="35.76"/>
    <x v="0"/>
    <s v="Oct 2024"/>
    <n v="9"/>
    <s v="Repeat"/>
    <x v="0"/>
    <x v="1822"/>
  </r>
  <r>
    <x v="217"/>
    <x v="1793"/>
    <x v="0"/>
    <x v="727"/>
    <n v="30.86"/>
    <x v="3"/>
    <s v="Oct 2024"/>
    <n v="12"/>
    <s v="Repeat"/>
    <x v="0"/>
    <x v="1823"/>
  </r>
  <r>
    <x v="217"/>
    <x v="1794"/>
    <x v="0"/>
    <x v="728"/>
    <n v="25.96"/>
    <x v="2"/>
    <s v="Oct 2024"/>
    <n v="14"/>
    <s v="Repeat"/>
    <x v="0"/>
    <x v="1824"/>
  </r>
  <r>
    <x v="217"/>
    <x v="1795"/>
    <x v="0"/>
    <x v="728"/>
    <n v="25.96"/>
    <x v="2"/>
    <s v="Oct 2024"/>
    <n v="14"/>
    <s v="Repeat"/>
    <x v="0"/>
    <x v="1825"/>
  </r>
  <r>
    <x v="217"/>
    <x v="1796"/>
    <x v="0"/>
    <x v="494"/>
    <n v="35.76"/>
    <x v="0"/>
    <s v="Oct 2024"/>
    <n v="17"/>
    <s v="Repeat"/>
    <x v="0"/>
    <x v="1826"/>
  </r>
  <r>
    <x v="217"/>
    <x v="1797"/>
    <x v="0"/>
    <x v="636"/>
    <n v="35.76"/>
    <x v="1"/>
    <s v="Oct 2024"/>
    <n v="21"/>
    <s v="Repeat"/>
    <x v="0"/>
    <x v="1827"/>
  </r>
  <r>
    <x v="217"/>
    <x v="1798"/>
    <x v="0"/>
    <x v="636"/>
    <n v="35.76"/>
    <x v="1"/>
    <s v="Oct 2024"/>
    <n v="21"/>
    <s v="Repeat"/>
    <x v="0"/>
    <x v="1828"/>
  </r>
  <r>
    <x v="217"/>
    <x v="1799"/>
    <x v="0"/>
    <x v="598"/>
    <n v="35.76"/>
    <x v="0"/>
    <s v="Oct 2024"/>
    <n v="21"/>
    <s v="Repeat"/>
    <x v="0"/>
    <x v="1829"/>
  </r>
  <r>
    <x v="218"/>
    <x v="1800"/>
    <x v="0"/>
    <x v="703"/>
    <n v="35.76"/>
    <x v="0"/>
    <s v="Oct 2024"/>
    <n v="8"/>
    <s v="Repeat"/>
    <x v="0"/>
    <x v="1830"/>
  </r>
  <r>
    <x v="218"/>
    <x v="1801"/>
    <x v="0"/>
    <x v="276"/>
    <n v="30.86"/>
    <x v="3"/>
    <s v="Oct 2024"/>
    <n v="9"/>
    <s v="Repeat"/>
    <x v="0"/>
    <x v="1831"/>
  </r>
  <r>
    <x v="218"/>
    <x v="1802"/>
    <x v="0"/>
    <x v="700"/>
    <n v="25.96"/>
    <x v="2"/>
    <s v="Oct 2024"/>
    <n v="10"/>
    <s v="Repeat"/>
    <x v="0"/>
    <x v="1832"/>
  </r>
  <r>
    <x v="218"/>
    <x v="1803"/>
    <x v="0"/>
    <x v="683"/>
    <n v="35.76"/>
    <x v="0"/>
    <s v="Oct 2024"/>
    <n v="10"/>
    <s v="Repeat"/>
    <x v="0"/>
    <x v="1833"/>
  </r>
  <r>
    <x v="218"/>
    <x v="1804"/>
    <x v="0"/>
    <x v="726"/>
    <n v="35.76"/>
    <x v="0"/>
    <s v="Oct 2024"/>
    <n v="11"/>
    <s v="Repeat"/>
    <x v="0"/>
    <x v="1834"/>
  </r>
  <r>
    <x v="218"/>
    <x v="1805"/>
    <x v="0"/>
    <x v="225"/>
    <n v="25.96"/>
    <x v="2"/>
    <s v="Oct 2024"/>
    <n v="12"/>
    <s v="Repeat"/>
    <x v="0"/>
    <x v="1835"/>
  </r>
  <r>
    <x v="218"/>
    <x v="1806"/>
    <x v="0"/>
    <x v="225"/>
    <n v="25.96"/>
    <x v="2"/>
    <s v="Oct 2024"/>
    <n v="12"/>
    <s v="Repeat"/>
    <x v="0"/>
    <x v="1836"/>
  </r>
  <r>
    <x v="218"/>
    <x v="1807"/>
    <x v="0"/>
    <x v="729"/>
    <n v="35.76"/>
    <x v="0"/>
    <s v="Oct 2024"/>
    <n v="13"/>
    <s v="Repeat"/>
    <x v="0"/>
    <x v="1837"/>
  </r>
  <r>
    <x v="218"/>
    <x v="967"/>
    <x v="0"/>
    <x v="729"/>
    <n v="35.76"/>
    <x v="0"/>
    <s v="Oct 2024"/>
    <n v="13"/>
    <s v="Repeat"/>
    <x v="0"/>
    <x v="1838"/>
  </r>
  <r>
    <x v="218"/>
    <x v="1808"/>
    <x v="0"/>
    <x v="507"/>
    <n v="35.76"/>
    <x v="0"/>
    <s v="Oct 2024"/>
    <n v="14"/>
    <s v="Repeat"/>
    <x v="0"/>
    <x v="1839"/>
  </r>
  <r>
    <x v="218"/>
    <x v="1809"/>
    <x v="0"/>
    <x v="475"/>
    <n v="35.76"/>
    <x v="0"/>
    <s v="Oct 2024"/>
    <n v="15"/>
    <s v="Repeat"/>
    <x v="0"/>
    <x v="1840"/>
  </r>
  <r>
    <x v="218"/>
    <x v="1810"/>
    <x v="0"/>
    <x v="50"/>
    <n v="25.96"/>
    <x v="2"/>
    <s v="Oct 2024"/>
    <n v="15"/>
    <s v="Repeat"/>
    <x v="0"/>
    <x v="1841"/>
  </r>
  <r>
    <x v="218"/>
    <x v="1811"/>
    <x v="0"/>
    <x v="730"/>
    <n v="30.86"/>
    <x v="3"/>
    <s v="Oct 2024"/>
    <n v="15"/>
    <s v="Single"/>
    <x v="1"/>
    <x v="1842"/>
  </r>
  <r>
    <x v="218"/>
    <x v="1812"/>
    <x v="0"/>
    <x v="731"/>
    <n v="35.76"/>
    <x v="1"/>
    <s v="Oct 2024"/>
    <n v="20"/>
    <s v="Repeat"/>
    <x v="0"/>
    <x v="1843"/>
  </r>
  <r>
    <x v="218"/>
    <x v="1813"/>
    <x v="0"/>
    <x v="731"/>
    <n v="35.76"/>
    <x v="7"/>
    <s v="Oct 2024"/>
    <n v="20"/>
    <s v="Repeat"/>
    <x v="0"/>
    <x v="1844"/>
  </r>
  <r>
    <x v="218"/>
    <x v="1814"/>
    <x v="0"/>
    <x v="732"/>
    <n v="35.76"/>
    <x v="0"/>
    <s v="Oct 2024"/>
    <n v="20"/>
    <s v="Single"/>
    <x v="1"/>
    <x v="1845"/>
  </r>
  <r>
    <x v="218"/>
    <x v="1815"/>
    <x v="0"/>
    <x v="40"/>
    <n v="30.86"/>
    <x v="3"/>
    <s v="Oct 2024"/>
    <n v="21"/>
    <s v="Repeat"/>
    <x v="0"/>
    <x v="1846"/>
  </r>
  <r>
    <x v="218"/>
    <x v="1816"/>
    <x v="0"/>
    <x v="40"/>
    <n v="30.86"/>
    <x v="3"/>
    <s v="Oct 2024"/>
    <n v="21"/>
    <s v="Repeat"/>
    <x v="0"/>
    <x v="1847"/>
  </r>
  <r>
    <x v="219"/>
    <x v="1817"/>
    <x v="0"/>
    <x v="570"/>
    <n v="35.76"/>
    <x v="0"/>
    <s v="Oct 2024"/>
    <n v="7"/>
    <s v="Repeat"/>
    <x v="0"/>
    <x v="1848"/>
  </r>
  <r>
    <x v="219"/>
    <x v="1818"/>
    <x v="0"/>
    <x v="276"/>
    <n v="30.86"/>
    <x v="3"/>
    <s v="Oct 2024"/>
    <n v="8"/>
    <s v="Repeat"/>
    <x v="0"/>
    <x v="1849"/>
  </r>
  <r>
    <x v="219"/>
    <x v="1819"/>
    <x v="0"/>
    <x v="424"/>
    <n v="30.86"/>
    <x v="3"/>
    <s v="Oct 2024"/>
    <n v="9"/>
    <s v="Repeat"/>
    <x v="0"/>
    <x v="1850"/>
  </r>
  <r>
    <x v="219"/>
    <x v="1820"/>
    <x v="0"/>
    <x v="494"/>
    <n v="35.76"/>
    <x v="0"/>
    <s v="Oct 2024"/>
    <n v="9"/>
    <s v="Repeat"/>
    <x v="0"/>
    <x v="1851"/>
  </r>
  <r>
    <x v="219"/>
    <x v="1821"/>
    <x v="0"/>
    <x v="733"/>
    <n v="21.06"/>
    <x v="6"/>
    <s v="Oct 2024"/>
    <n v="10"/>
    <s v="Single"/>
    <x v="1"/>
    <x v="1852"/>
  </r>
  <r>
    <x v="219"/>
    <x v="1822"/>
    <x v="0"/>
    <x v="734"/>
    <n v="25.96"/>
    <x v="2"/>
    <s v="Oct 2024"/>
    <n v="11"/>
    <s v="Repeat"/>
    <x v="0"/>
    <x v="1853"/>
  </r>
  <r>
    <x v="219"/>
    <x v="1823"/>
    <x v="0"/>
    <x v="726"/>
    <n v="35.76"/>
    <x v="0"/>
    <s v="Oct 2024"/>
    <n v="13"/>
    <s v="Repeat"/>
    <x v="0"/>
    <x v="1854"/>
  </r>
  <r>
    <x v="219"/>
    <x v="1824"/>
    <x v="0"/>
    <x v="735"/>
    <n v="30.86"/>
    <x v="3"/>
    <s v="Oct 2024"/>
    <n v="13"/>
    <s v="Single"/>
    <x v="1"/>
    <x v="1855"/>
  </r>
  <r>
    <x v="219"/>
    <x v="1825"/>
    <x v="0"/>
    <x v="658"/>
    <n v="35.76"/>
    <x v="7"/>
    <s v="Oct 2024"/>
    <n v="17"/>
    <s v="Repeat"/>
    <x v="0"/>
    <x v="1856"/>
  </r>
  <r>
    <x v="219"/>
    <x v="1826"/>
    <x v="0"/>
    <x v="658"/>
    <n v="25.96"/>
    <x v="2"/>
    <s v="Oct 2024"/>
    <n v="17"/>
    <s v="Repeat"/>
    <x v="0"/>
    <x v="1857"/>
  </r>
  <r>
    <x v="219"/>
    <x v="1827"/>
    <x v="0"/>
    <x v="736"/>
    <n v="21.06"/>
    <x v="6"/>
    <s v="Oct 2024"/>
    <n v="17"/>
    <s v="Repeat"/>
    <x v="0"/>
    <x v="1858"/>
  </r>
  <r>
    <x v="219"/>
    <x v="1828"/>
    <x v="0"/>
    <x v="737"/>
    <n v="35.76"/>
    <x v="7"/>
    <s v="Oct 2024"/>
    <n v="20"/>
    <s v="Single"/>
    <x v="1"/>
    <x v="1859"/>
  </r>
  <r>
    <x v="220"/>
    <x v="1829"/>
    <x v="0"/>
    <x v="2"/>
    <n v="25.96"/>
    <x v="2"/>
    <s v="Oct 2024"/>
    <n v="8"/>
    <s v="Repeat"/>
    <x v="0"/>
    <x v="1860"/>
  </r>
  <r>
    <x v="220"/>
    <x v="1830"/>
    <x v="0"/>
    <x v="276"/>
    <n v="30.86"/>
    <x v="3"/>
    <s v="Oct 2024"/>
    <n v="9"/>
    <s v="Repeat"/>
    <x v="0"/>
    <x v="1861"/>
  </r>
  <r>
    <x v="220"/>
    <x v="1831"/>
    <x v="0"/>
    <x v="738"/>
    <n v="35.76"/>
    <x v="1"/>
    <s v="Oct 2024"/>
    <n v="9"/>
    <s v="Single"/>
    <x v="1"/>
    <x v="1862"/>
  </r>
  <r>
    <x v="220"/>
    <x v="1832"/>
    <x v="0"/>
    <x v="375"/>
    <n v="35.76"/>
    <x v="0"/>
    <s v="Oct 2024"/>
    <n v="10"/>
    <s v="Repeat"/>
    <x v="0"/>
    <x v="1863"/>
  </r>
  <r>
    <x v="220"/>
    <x v="1833"/>
    <x v="0"/>
    <x v="141"/>
    <n v="25.96"/>
    <x v="5"/>
    <s v="Oct 2024"/>
    <n v="10"/>
    <s v="Repeat"/>
    <x v="0"/>
    <x v="1864"/>
  </r>
  <r>
    <x v="220"/>
    <x v="1834"/>
    <x v="0"/>
    <x v="141"/>
    <n v="25.96"/>
    <x v="5"/>
    <s v="Oct 2024"/>
    <n v="10"/>
    <s v="Repeat"/>
    <x v="0"/>
    <x v="1865"/>
  </r>
  <r>
    <x v="220"/>
    <x v="1835"/>
    <x v="0"/>
    <x v="739"/>
    <n v="35.76"/>
    <x v="0"/>
    <s v="Oct 2024"/>
    <n v="10"/>
    <s v="Single"/>
    <x v="1"/>
    <x v="1866"/>
  </r>
  <r>
    <x v="220"/>
    <x v="1836"/>
    <x v="0"/>
    <x v="740"/>
    <n v="35.76"/>
    <x v="0"/>
    <s v="Oct 2024"/>
    <n v="11"/>
    <s v="Repeat"/>
    <x v="0"/>
    <x v="1867"/>
  </r>
  <r>
    <x v="220"/>
    <x v="1837"/>
    <x v="0"/>
    <x v="510"/>
    <n v="35.76"/>
    <x v="7"/>
    <s v="Oct 2024"/>
    <n v="15"/>
    <s v="Repeat"/>
    <x v="0"/>
    <x v="1868"/>
  </r>
  <r>
    <x v="220"/>
    <x v="1838"/>
    <x v="0"/>
    <x v="741"/>
    <n v="35.76"/>
    <x v="0"/>
    <s v="Oct 2024"/>
    <n v="17"/>
    <s v="Single"/>
    <x v="1"/>
    <x v="1869"/>
  </r>
  <r>
    <x v="220"/>
    <x v="1839"/>
    <x v="0"/>
    <x v="742"/>
    <n v="25.96"/>
    <x v="2"/>
    <s v="Oct 2024"/>
    <n v="18"/>
    <s v="Repeat"/>
    <x v="0"/>
    <x v="1870"/>
  </r>
  <r>
    <x v="220"/>
    <x v="1840"/>
    <x v="0"/>
    <x v="713"/>
    <n v="30.86"/>
    <x v="3"/>
    <s v="Oct 2024"/>
    <n v="18"/>
    <s v="Repeat"/>
    <x v="0"/>
    <x v="1871"/>
  </r>
  <r>
    <x v="220"/>
    <x v="1841"/>
    <x v="0"/>
    <x v="713"/>
    <n v="35.76"/>
    <x v="0"/>
    <s v="Oct 2024"/>
    <n v="18"/>
    <s v="Repeat"/>
    <x v="0"/>
    <x v="1872"/>
  </r>
  <r>
    <x v="220"/>
    <x v="1842"/>
    <x v="0"/>
    <x v="637"/>
    <n v="35.76"/>
    <x v="1"/>
    <s v="Oct 2024"/>
    <n v="22"/>
    <s v="Repeat"/>
    <x v="0"/>
    <x v="1873"/>
  </r>
  <r>
    <x v="220"/>
    <x v="1843"/>
    <x v="0"/>
    <x v="637"/>
    <n v="35.76"/>
    <x v="1"/>
    <s v="Oct 2024"/>
    <n v="22"/>
    <s v="Repeat"/>
    <x v="0"/>
    <x v="1874"/>
  </r>
  <r>
    <x v="221"/>
    <x v="1844"/>
    <x v="0"/>
    <x v="276"/>
    <n v="30.86"/>
    <x v="3"/>
    <s v="Oct 2024"/>
    <n v="7"/>
    <s v="Repeat"/>
    <x v="0"/>
    <x v="1875"/>
  </r>
  <r>
    <x v="221"/>
    <x v="1845"/>
    <x v="0"/>
    <x v="703"/>
    <n v="35.76"/>
    <x v="0"/>
    <s v="Oct 2024"/>
    <n v="8"/>
    <s v="Repeat"/>
    <x v="0"/>
    <x v="1876"/>
  </r>
  <r>
    <x v="221"/>
    <x v="1846"/>
    <x v="0"/>
    <x v="141"/>
    <n v="25.96"/>
    <x v="5"/>
    <s v="Oct 2024"/>
    <n v="8"/>
    <s v="Repeat"/>
    <x v="0"/>
    <x v="1877"/>
  </r>
  <r>
    <x v="221"/>
    <x v="1847"/>
    <x v="0"/>
    <x v="570"/>
    <n v="35.76"/>
    <x v="0"/>
    <s v="Oct 2024"/>
    <n v="8"/>
    <s v="Repeat"/>
    <x v="0"/>
    <x v="1878"/>
  </r>
  <r>
    <x v="221"/>
    <x v="1848"/>
    <x v="0"/>
    <x v="570"/>
    <n v="35.76"/>
    <x v="4"/>
    <s v="Oct 2024"/>
    <n v="8"/>
    <s v="Repeat"/>
    <x v="0"/>
    <x v="1879"/>
  </r>
  <r>
    <x v="221"/>
    <x v="1849"/>
    <x v="0"/>
    <x v="725"/>
    <n v="35.76"/>
    <x v="4"/>
    <s v="Oct 2024"/>
    <n v="8"/>
    <s v="Repeat"/>
    <x v="0"/>
    <x v="1880"/>
  </r>
  <r>
    <x v="221"/>
    <x v="1850"/>
    <x v="0"/>
    <x v="726"/>
    <n v="30.86"/>
    <x v="3"/>
    <s v="Oct 2024"/>
    <n v="8"/>
    <s v="Repeat"/>
    <x v="0"/>
    <x v="1881"/>
  </r>
  <r>
    <x v="221"/>
    <x v="1851"/>
    <x v="0"/>
    <x v="743"/>
    <n v="35.76"/>
    <x v="1"/>
    <s v="Oct 2024"/>
    <n v="8"/>
    <s v="Single"/>
    <x v="1"/>
    <x v="1882"/>
  </r>
  <r>
    <x v="221"/>
    <x v="1852"/>
    <x v="0"/>
    <x v="744"/>
    <n v="30.86"/>
    <x v="3"/>
    <s v="Oct 2024"/>
    <n v="9"/>
    <s v="Single"/>
    <x v="1"/>
    <x v="1883"/>
  </r>
  <r>
    <x v="221"/>
    <x v="1853"/>
    <x v="0"/>
    <x v="402"/>
    <n v="25.96"/>
    <x v="5"/>
    <s v="Oct 2024"/>
    <n v="9"/>
    <s v="Repeat"/>
    <x v="0"/>
    <x v="1884"/>
  </r>
  <r>
    <x v="221"/>
    <x v="1854"/>
    <x v="0"/>
    <x v="375"/>
    <n v="25.96"/>
    <x v="2"/>
    <s v="Oct 2024"/>
    <n v="10"/>
    <s v="Repeat"/>
    <x v="0"/>
    <x v="1885"/>
  </r>
  <r>
    <x v="221"/>
    <x v="1855"/>
    <x v="0"/>
    <x v="375"/>
    <n v="25.96"/>
    <x v="2"/>
    <s v="Oct 2024"/>
    <n v="10"/>
    <s v="Repeat"/>
    <x v="0"/>
    <x v="1886"/>
  </r>
  <r>
    <x v="221"/>
    <x v="12"/>
    <x v="0"/>
    <x v="242"/>
    <n v="30.86"/>
    <x v="3"/>
    <s v="Oct 2024"/>
    <n v="10"/>
    <s v="Repeat"/>
    <x v="0"/>
    <x v="1887"/>
  </r>
  <r>
    <x v="221"/>
    <x v="1856"/>
    <x v="0"/>
    <x v="740"/>
    <n v="35.76"/>
    <x v="0"/>
    <s v="Oct 2024"/>
    <n v="13"/>
    <s v="Repeat"/>
    <x v="0"/>
    <x v="1888"/>
  </r>
  <r>
    <x v="221"/>
    <x v="1857"/>
    <x v="0"/>
    <x v="12"/>
    <n v="25.96"/>
    <x v="2"/>
    <s v="Oct 2024"/>
    <n v="13"/>
    <s v="Repeat"/>
    <x v="0"/>
    <x v="1889"/>
  </r>
  <r>
    <x v="221"/>
    <x v="1858"/>
    <x v="0"/>
    <x v="12"/>
    <n v="25.96"/>
    <x v="2"/>
    <s v="Oct 2024"/>
    <n v="13"/>
    <s v="Repeat"/>
    <x v="0"/>
    <x v="1890"/>
  </r>
  <r>
    <x v="221"/>
    <x v="1859"/>
    <x v="0"/>
    <x v="745"/>
    <n v="35.76"/>
    <x v="4"/>
    <s v="Oct 2024"/>
    <n v="14"/>
    <s v="Repeat"/>
    <x v="0"/>
    <x v="1891"/>
  </r>
  <r>
    <x v="221"/>
    <x v="1860"/>
    <x v="0"/>
    <x v="745"/>
    <n v="25.96"/>
    <x v="2"/>
    <s v="Oct 2024"/>
    <n v="14"/>
    <s v="Repeat"/>
    <x v="0"/>
    <x v="1892"/>
  </r>
  <r>
    <x v="221"/>
    <x v="1861"/>
    <x v="0"/>
    <x v="714"/>
    <n v="35.76"/>
    <x v="7"/>
    <s v="Oct 2024"/>
    <n v="14"/>
    <s v="Repeat"/>
    <x v="0"/>
    <x v="1893"/>
  </r>
  <r>
    <x v="221"/>
    <x v="1862"/>
    <x v="0"/>
    <x v="746"/>
    <n v="35.76"/>
    <x v="0"/>
    <s v="Oct 2024"/>
    <n v="17"/>
    <s v="Repeat"/>
    <x v="0"/>
    <x v="1894"/>
  </r>
  <r>
    <x v="221"/>
    <x v="1863"/>
    <x v="0"/>
    <x v="746"/>
    <n v="35.76"/>
    <x v="1"/>
    <s v="Oct 2024"/>
    <n v="17"/>
    <s v="Repeat"/>
    <x v="0"/>
    <x v="1895"/>
  </r>
  <r>
    <x v="221"/>
    <x v="1864"/>
    <x v="0"/>
    <x v="747"/>
    <n v="35.76"/>
    <x v="1"/>
    <s v="Oct 2024"/>
    <n v="17"/>
    <s v="Single"/>
    <x v="1"/>
    <x v="1896"/>
  </r>
  <r>
    <x v="221"/>
    <x v="1865"/>
    <x v="0"/>
    <x v="690"/>
    <n v="35.76"/>
    <x v="0"/>
    <s v="Oct 2024"/>
    <n v="21"/>
    <s v="Repeat"/>
    <x v="0"/>
    <x v="1897"/>
  </r>
  <r>
    <x v="221"/>
    <x v="1866"/>
    <x v="0"/>
    <x v="748"/>
    <n v="30.86"/>
    <x v="3"/>
    <s v="Oct 2024"/>
    <n v="21"/>
    <s v="Repeat"/>
    <x v="0"/>
    <x v="1898"/>
  </r>
  <r>
    <x v="221"/>
    <x v="1867"/>
    <x v="0"/>
    <x v="749"/>
    <n v="35.76"/>
    <x v="1"/>
    <s v="Oct 2024"/>
    <n v="22"/>
    <s v="Repeat"/>
    <x v="0"/>
    <x v="1899"/>
  </r>
  <r>
    <x v="221"/>
    <x v="1868"/>
    <x v="0"/>
    <x v="749"/>
    <n v="35.76"/>
    <x v="1"/>
    <s v="Oct 2024"/>
    <n v="22"/>
    <s v="Repeat"/>
    <x v="0"/>
    <x v="1900"/>
  </r>
  <r>
    <x v="222"/>
    <x v="1869"/>
    <x v="0"/>
    <x v="141"/>
    <n v="25.96"/>
    <x v="5"/>
    <s v="Oct 2024"/>
    <n v="8"/>
    <s v="Repeat"/>
    <x v="0"/>
    <x v="1901"/>
  </r>
  <r>
    <x v="222"/>
    <x v="1870"/>
    <x v="0"/>
    <x v="650"/>
    <n v="25.96"/>
    <x v="5"/>
    <s v="Oct 2024"/>
    <n v="10"/>
    <s v="Repeat"/>
    <x v="0"/>
    <x v="1902"/>
  </r>
  <r>
    <x v="222"/>
    <x v="1871"/>
    <x v="0"/>
    <x v="650"/>
    <n v="25.96"/>
    <x v="5"/>
    <s v="Oct 2024"/>
    <n v="10"/>
    <s v="Repeat"/>
    <x v="0"/>
    <x v="1903"/>
  </r>
  <r>
    <x v="222"/>
    <x v="1872"/>
    <x v="0"/>
    <x v="507"/>
    <n v="35.76"/>
    <x v="0"/>
    <s v="Oct 2024"/>
    <n v="11"/>
    <s v="Repeat"/>
    <x v="0"/>
    <x v="1904"/>
  </r>
  <r>
    <x v="222"/>
    <x v="1873"/>
    <x v="0"/>
    <x v="750"/>
    <n v="30.86"/>
    <x v="3"/>
    <s v="Oct 2024"/>
    <n v="11"/>
    <s v="Single"/>
    <x v="1"/>
    <x v="1905"/>
  </r>
  <r>
    <x v="222"/>
    <x v="1874"/>
    <x v="0"/>
    <x v="751"/>
    <n v="35.76"/>
    <x v="7"/>
    <s v="Oct 2024"/>
    <n v="13"/>
    <s v="Repeat"/>
    <x v="0"/>
    <x v="1906"/>
  </r>
  <r>
    <x v="222"/>
    <x v="1875"/>
    <x v="0"/>
    <x v="507"/>
    <n v="35.76"/>
    <x v="0"/>
    <s v="Oct 2024"/>
    <n v="20"/>
    <s v="Repeat"/>
    <x v="0"/>
    <x v="1907"/>
  </r>
  <r>
    <x v="223"/>
    <x v="1876"/>
    <x v="0"/>
    <x v="141"/>
    <n v="25.96"/>
    <x v="5"/>
    <s v="Oct 2024"/>
    <n v="9"/>
    <s v="Repeat"/>
    <x v="0"/>
    <x v="1908"/>
  </r>
  <r>
    <x v="223"/>
    <x v="1877"/>
    <x v="0"/>
    <x v="752"/>
    <n v="30.86"/>
    <x v="3"/>
    <s v="Oct 2024"/>
    <n v="12"/>
    <s v="Single"/>
    <x v="1"/>
    <x v="1909"/>
  </r>
  <r>
    <x v="223"/>
    <x v="1878"/>
    <x v="0"/>
    <x v="650"/>
    <n v="25.96"/>
    <x v="5"/>
    <s v="Oct 2024"/>
    <n v="13"/>
    <s v="Repeat"/>
    <x v="0"/>
    <x v="1910"/>
  </r>
  <r>
    <x v="223"/>
    <x v="1879"/>
    <x v="0"/>
    <x v="650"/>
    <n v="21.06"/>
    <x v="6"/>
    <s v="Oct 2024"/>
    <n v="13"/>
    <s v="Repeat"/>
    <x v="0"/>
    <x v="1911"/>
  </r>
  <r>
    <x v="223"/>
    <x v="1880"/>
    <x v="0"/>
    <x v="650"/>
    <n v="25.96"/>
    <x v="5"/>
    <s v="Oct 2024"/>
    <n v="13"/>
    <s v="Repeat"/>
    <x v="0"/>
    <x v="1912"/>
  </r>
  <r>
    <x v="223"/>
    <x v="1881"/>
    <x v="0"/>
    <x v="507"/>
    <n v="35.76"/>
    <x v="0"/>
    <s v="Oct 2024"/>
    <n v="17"/>
    <s v="Repeat"/>
    <x v="0"/>
    <x v="1913"/>
  </r>
  <r>
    <x v="223"/>
    <x v="1882"/>
    <x v="0"/>
    <x v="507"/>
    <n v="35.76"/>
    <x v="0"/>
    <s v="Oct 2024"/>
    <n v="17"/>
    <s v="Repeat"/>
    <x v="0"/>
    <x v="1914"/>
  </r>
  <r>
    <x v="223"/>
    <x v="1883"/>
    <x v="0"/>
    <x v="753"/>
    <n v="35.76"/>
    <x v="7"/>
    <s v="Oct 2024"/>
    <n v="18"/>
    <s v="Single"/>
    <x v="1"/>
    <x v="1915"/>
  </r>
  <r>
    <x v="223"/>
    <x v="1884"/>
    <x v="0"/>
    <x v="257"/>
    <n v="35.76"/>
    <x v="7"/>
    <s v="Oct 2024"/>
    <n v="20"/>
    <s v="Repeat"/>
    <x v="0"/>
    <x v="1916"/>
  </r>
  <r>
    <x v="224"/>
    <x v="1885"/>
    <x v="0"/>
    <x v="276"/>
    <n v="30.86"/>
    <x v="3"/>
    <s v="Oct 2024"/>
    <n v="8"/>
    <s v="Repeat"/>
    <x v="0"/>
    <x v="1917"/>
  </r>
  <r>
    <x v="224"/>
    <x v="1886"/>
    <x v="0"/>
    <x v="754"/>
    <n v="35.76"/>
    <x v="4"/>
    <s v="Oct 2024"/>
    <n v="9"/>
    <s v="Single"/>
    <x v="1"/>
    <x v="1918"/>
  </r>
  <r>
    <x v="224"/>
    <x v="1887"/>
    <x v="0"/>
    <x v="141"/>
    <n v="25.96"/>
    <x v="5"/>
    <s v="Oct 2024"/>
    <n v="10"/>
    <s v="Repeat"/>
    <x v="0"/>
    <x v="1919"/>
  </r>
  <r>
    <x v="224"/>
    <x v="1888"/>
    <x v="0"/>
    <x v="440"/>
    <n v="35.76"/>
    <x v="0"/>
    <s v="Oct 2024"/>
    <n v="10"/>
    <s v="Repeat"/>
    <x v="0"/>
    <x v="1920"/>
  </r>
  <r>
    <x v="224"/>
    <x v="1889"/>
    <x v="0"/>
    <x v="440"/>
    <n v="35.76"/>
    <x v="0"/>
    <s v="Oct 2024"/>
    <n v="10"/>
    <s v="Repeat"/>
    <x v="0"/>
    <x v="1921"/>
  </r>
  <r>
    <x v="224"/>
    <x v="1890"/>
    <x v="0"/>
    <x v="755"/>
    <n v="35.76"/>
    <x v="7"/>
    <s v="Oct 2024"/>
    <n v="11"/>
    <s v="Single"/>
    <x v="1"/>
    <x v="1922"/>
  </r>
  <r>
    <x v="224"/>
    <x v="1891"/>
    <x v="0"/>
    <x v="225"/>
    <n v="25.96"/>
    <x v="2"/>
    <s v="Oct 2024"/>
    <n v="11"/>
    <s v="Repeat"/>
    <x v="0"/>
    <x v="1923"/>
  </r>
  <r>
    <x v="224"/>
    <x v="1892"/>
    <x v="0"/>
    <x v="225"/>
    <n v="25.96"/>
    <x v="2"/>
    <s v="Oct 2024"/>
    <n v="11"/>
    <s v="Repeat"/>
    <x v="0"/>
    <x v="1924"/>
  </r>
  <r>
    <x v="224"/>
    <x v="1893"/>
    <x v="0"/>
    <x v="756"/>
    <n v="35.76"/>
    <x v="0"/>
    <s v="Oct 2024"/>
    <n v="14"/>
    <s v="Single"/>
    <x v="1"/>
    <x v="1925"/>
  </r>
  <r>
    <x v="224"/>
    <x v="1894"/>
    <x v="0"/>
    <x v="507"/>
    <n v="35.76"/>
    <x v="0"/>
    <s v="Oct 2024"/>
    <n v="14"/>
    <s v="Repeat"/>
    <x v="0"/>
    <x v="1926"/>
  </r>
  <r>
    <x v="224"/>
    <x v="1895"/>
    <x v="0"/>
    <x v="757"/>
    <n v="25.96"/>
    <x v="2"/>
    <s v="Oct 2024"/>
    <n v="16"/>
    <s v="Single"/>
    <x v="1"/>
    <x v="1927"/>
  </r>
  <r>
    <x v="224"/>
    <x v="1896"/>
    <x v="0"/>
    <x v="758"/>
    <n v="35.76"/>
    <x v="0"/>
    <s v="Oct 2024"/>
    <n v="18"/>
    <s v="Repeat"/>
    <x v="0"/>
    <x v="1928"/>
  </r>
  <r>
    <x v="224"/>
    <x v="1897"/>
    <x v="0"/>
    <x v="758"/>
    <n v="35.76"/>
    <x v="7"/>
    <s v="Oct 2024"/>
    <n v="18"/>
    <s v="Repeat"/>
    <x v="0"/>
    <x v="1929"/>
  </r>
  <r>
    <x v="224"/>
    <x v="1898"/>
    <x v="0"/>
    <x v="759"/>
    <n v="35.76"/>
    <x v="0"/>
    <s v="Oct 2024"/>
    <n v="22"/>
    <s v="Single"/>
    <x v="1"/>
    <x v="1930"/>
  </r>
  <r>
    <x v="224"/>
    <x v="1899"/>
    <x v="0"/>
    <x v="760"/>
    <n v="35.76"/>
    <x v="0"/>
    <s v="Oct 2024"/>
    <n v="22"/>
    <s v="Single"/>
    <x v="1"/>
    <x v="1931"/>
  </r>
  <r>
    <x v="224"/>
    <x v="1900"/>
    <x v="0"/>
    <x v="510"/>
    <n v="35.76"/>
    <x v="0"/>
    <s v="Oct 2024"/>
    <n v="22"/>
    <s v="Repeat"/>
    <x v="0"/>
    <x v="1932"/>
  </r>
  <r>
    <x v="225"/>
    <x v="1901"/>
    <x v="0"/>
    <x v="141"/>
    <n v="25.96"/>
    <x v="5"/>
    <s v="Oct 2024"/>
    <n v="8"/>
    <s v="Repeat"/>
    <x v="0"/>
    <x v="1933"/>
  </r>
  <r>
    <x v="225"/>
    <x v="1902"/>
    <x v="0"/>
    <x v="761"/>
    <n v="21.06"/>
    <x v="6"/>
    <s v="Oct 2024"/>
    <n v="8"/>
    <s v="Single"/>
    <x v="1"/>
    <x v="1934"/>
  </r>
  <r>
    <x v="225"/>
    <x v="1903"/>
    <x v="0"/>
    <x v="762"/>
    <n v="35.76"/>
    <x v="1"/>
    <s v="Oct 2024"/>
    <n v="11"/>
    <s v="Single"/>
    <x v="1"/>
    <x v="1935"/>
  </r>
  <r>
    <x v="225"/>
    <x v="1904"/>
    <x v="0"/>
    <x v="736"/>
    <n v="35.76"/>
    <x v="0"/>
    <s v="Oct 2024"/>
    <n v="11"/>
    <s v="Repeat"/>
    <x v="0"/>
    <x v="1936"/>
  </r>
  <r>
    <x v="225"/>
    <x v="1905"/>
    <x v="0"/>
    <x v="736"/>
    <n v="35.76"/>
    <x v="1"/>
    <s v="Oct 2024"/>
    <n v="11"/>
    <s v="Repeat"/>
    <x v="0"/>
    <x v="1937"/>
  </r>
  <r>
    <x v="225"/>
    <x v="1906"/>
    <x v="0"/>
    <x v="763"/>
    <n v="35.76"/>
    <x v="0"/>
    <s v="Oct 2024"/>
    <n v="13"/>
    <s v="Single"/>
    <x v="1"/>
    <x v="1938"/>
  </r>
  <r>
    <x v="225"/>
    <x v="1907"/>
    <x v="0"/>
    <x v="764"/>
    <n v="30.86"/>
    <x v="3"/>
    <s v="Oct 2024"/>
    <n v="13"/>
    <s v="Repeat"/>
    <x v="0"/>
    <x v="1939"/>
  </r>
  <r>
    <x v="225"/>
    <x v="1908"/>
    <x v="0"/>
    <x v="683"/>
    <n v="35.76"/>
    <x v="0"/>
    <s v="Oct 2024"/>
    <n v="15"/>
    <s v="Repeat"/>
    <x v="0"/>
    <x v="1940"/>
  </r>
  <r>
    <x v="225"/>
    <x v="1909"/>
    <x v="0"/>
    <x v="765"/>
    <n v="25.96"/>
    <x v="2"/>
    <s v="Oct 2024"/>
    <n v="15"/>
    <s v="Repeat"/>
    <x v="0"/>
    <x v="1941"/>
  </r>
  <r>
    <x v="225"/>
    <x v="1910"/>
    <x v="0"/>
    <x v="765"/>
    <n v="21.06"/>
    <x v="6"/>
    <s v="Oct 2024"/>
    <n v="15"/>
    <s v="Repeat"/>
    <x v="0"/>
    <x v="1942"/>
  </r>
  <r>
    <x v="225"/>
    <x v="1911"/>
    <x v="0"/>
    <x v="766"/>
    <n v="35.76"/>
    <x v="1"/>
    <s v="Oct 2024"/>
    <n v="17"/>
    <s v="Single"/>
    <x v="1"/>
    <x v="1943"/>
  </r>
  <r>
    <x v="225"/>
    <x v="1912"/>
    <x v="0"/>
    <x v="767"/>
    <n v="25.96"/>
    <x v="2"/>
    <s v="Oct 2024"/>
    <n v="19"/>
    <s v="Repeat"/>
    <x v="0"/>
    <x v="1944"/>
  </r>
  <r>
    <x v="225"/>
    <x v="1913"/>
    <x v="0"/>
    <x v="767"/>
    <n v="35.76"/>
    <x v="4"/>
    <s v="Oct 2024"/>
    <n v="19"/>
    <s v="Repeat"/>
    <x v="0"/>
    <x v="1945"/>
  </r>
  <r>
    <x v="225"/>
    <x v="1914"/>
    <x v="0"/>
    <x v="507"/>
    <n v="35.76"/>
    <x v="0"/>
    <s v="Oct 2024"/>
    <n v="20"/>
    <s v="Repeat"/>
    <x v="0"/>
    <x v="1946"/>
  </r>
  <r>
    <x v="225"/>
    <x v="1915"/>
    <x v="0"/>
    <x v="507"/>
    <n v="35.76"/>
    <x v="0"/>
    <s v="Oct 2024"/>
    <n v="20"/>
    <s v="Repeat"/>
    <x v="0"/>
    <x v="1947"/>
  </r>
  <r>
    <x v="225"/>
    <x v="1916"/>
    <x v="0"/>
    <x v="40"/>
    <n v="35.76"/>
    <x v="1"/>
    <s v="Oct 2024"/>
    <n v="21"/>
    <s v="Repeat"/>
    <x v="0"/>
    <x v="1948"/>
  </r>
  <r>
    <x v="225"/>
    <x v="1917"/>
    <x v="0"/>
    <x v="40"/>
    <n v="35.76"/>
    <x v="1"/>
    <s v="Oct 2024"/>
    <n v="21"/>
    <s v="Repeat"/>
    <x v="0"/>
    <x v="1949"/>
  </r>
  <r>
    <x v="225"/>
    <x v="1918"/>
    <x v="0"/>
    <x v="690"/>
    <n v="35.76"/>
    <x v="0"/>
    <s v="Oct 2024"/>
    <n v="22"/>
    <s v="Repeat"/>
    <x v="0"/>
    <x v="1950"/>
  </r>
  <r>
    <x v="226"/>
    <x v="1919"/>
    <x v="0"/>
    <x v="276"/>
    <n v="30.86"/>
    <x v="3"/>
    <s v="Oct 2024"/>
    <n v="8"/>
    <s v="Repeat"/>
    <x v="0"/>
    <x v="1951"/>
  </r>
  <r>
    <x v="226"/>
    <x v="1920"/>
    <x v="0"/>
    <x v="696"/>
    <n v="35.76"/>
    <x v="1"/>
    <s v="Oct 2024"/>
    <n v="8"/>
    <s v="Repeat"/>
    <x v="0"/>
    <x v="1952"/>
  </r>
  <r>
    <x v="226"/>
    <x v="1921"/>
    <x v="0"/>
    <x v="570"/>
    <n v="35.76"/>
    <x v="0"/>
    <s v="Oct 2024"/>
    <n v="9"/>
    <s v="Repeat"/>
    <x v="0"/>
    <x v="1953"/>
  </r>
  <r>
    <x v="226"/>
    <x v="1922"/>
    <x v="0"/>
    <x v="571"/>
    <n v="30.86"/>
    <x v="3"/>
    <s v="Oct 2024"/>
    <n v="10"/>
    <s v="Repeat"/>
    <x v="0"/>
    <x v="1954"/>
  </r>
  <r>
    <x v="226"/>
    <x v="1923"/>
    <x v="0"/>
    <x v="571"/>
    <n v="30.86"/>
    <x v="3"/>
    <s v="Oct 2024"/>
    <n v="10"/>
    <s v="Repeat"/>
    <x v="0"/>
    <x v="1955"/>
  </r>
  <r>
    <x v="226"/>
    <x v="1924"/>
    <x v="0"/>
    <x v="333"/>
    <n v="30.86"/>
    <x v="3"/>
    <s v="Oct 2024"/>
    <n v="10"/>
    <s v="Repeat"/>
    <x v="0"/>
    <x v="1956"/>
  </r>
  <r>
    <x v="226"/>
    <x v="1925"/>
    <x v="0"/>
    <x v="768"/>
    <n v="25.96"/>
    <x v="2"/>
    <s v="Oct 2024"/>
    <n v="11"/>
    <s v="Single"/>
    <x v="1"/>
    <x v="1957"/>
  </r>
  <r>
    <x v="226"/>
    <x v="1926"/>
    <x v="0"/>
    <x v="769"/>
    <n v="30.86"/>
    <x v="3"/>
    <s v="Oct 2024"/>
    <n v="12"/>
    <s v="Repeat"/>
    <x v="0"/>
    <x v="1958"/>
  </r>
  <r>
    <x v="226"/>
    <x v="1927"/>
    <x v="0"/>
    <x v="764"/>
    <n v="25.96"/>
    <x v="2"/>
    <s v="Oct 2024"/>
    <n v="13"/>
    <s v="Repeat"/>
    <x v="0"/>
    <x v="1959"/>
  </r>
  <r>
    <x v="226"/>
    <x v="1928"/>
    <x v="0"/>
    <x v="770"/>
    <n v="35.76"/>
    <x v="0"/>
    <s v="Oct 2024"/>
    <n v="16"/>
    <s v="Single"/>
    <x v="1"/>
    <x v="1960"/>
  </r>
  <r>
    <x v="226"/>
    <x v="1929"/>
    <x v="0"/>
    <x v="510"/>
    <n v="30.86"/>
    <x v="3"/>
    <s v="Oct 2024"/>
    <n v="17"/>
    <s v="Repeat"/>
    <x v="0"/>
    <x v="1961"/>
  </r>
  <r>
    <x v="226"/>
    <x v="1930"/>
    <x v="0"/>
    <x v="771"/>
    <n v="30.86"/>
    <x v="3"/>
    <s v="Oct 2024"/>
    <n v="19"/>
    <s v="Repeat"/>
    <x v="0"/>
    <x v="1962"/>
  </r>
  <r>
    <x v="226"/>
    <x v="1931"/>
    <x v="0"/>
    <x v="771"/>
    <n v="30.86"/>
    <x v="3"/>
    <s v="Oct 2024"/>
    <n v="19"/>
    <s v="Repeat"/>
    <x v="0"/>
    <x v="1963"/>
  </r>
  <r>
    <x v="226"/>
    <x v="1932"/>
    <x v="0"/>
    <x v="772"/>
    <n v="35.76"/>
    <x v="1"/>
    <s v="Oct 2024"/>
    <n v="21"/>
    <s v="Single"/>
    <x v="1"/>
    <x v="1964"/>
  </r>
  <r>
    <x v="227"/>
    <x v="1933"/>
    <x v="0"/>
    <x v="696"/>
    <n v="35.76"/>
    <x v="0"/>
    <s v="Oct 2024"/>
    <n v="7"/>
    <s v="Repeat"/>
    <x v="0"/>
    <x v="1965"/>
  </r>
  <r>
    <x v="227"/>
    <x v="1934"/>
    <x v="0"/>
    <x v="570"/>
    <n v="35.76"/>
    <x v="0"/>
    <s v="Oct 2024"/>
    <n v="7"/>
    <s v="Repeat"/>
    <x v="0"/>
    <x v="1966"/>
  </r>
  <r>
    <x v="227"/>
    <x v="1935"/>
    <x v="0"/>
    <x v="773"/>
    <n v="30.86"/>
    <x v="3"/>
    <s v="Oct 2024"/>
    <n v="9"/>
    <s v="Single"/>
    <x v="1"/>
    <x v="1967"/>
  </r>
  <r>
    <x v="227"/>
    <x v="1936"/>
    <x v="0"/>
    <x v="510"/>
    <n v="35.76"/>
    <x v="0"/>
    <s v="Oct 2024"/>
    <n v="10"/>
    <s v="Repeat"/>
    <x v="0"/>
    <x v="1968"/>
  </r>
  <r>
    <x v="227"/>
    <x v="1937"/>
    <x v="0"/>
    <x v="313"/>
    <n v="35.76"/>
    <x v="1"/>
    <s v="Oct 2024"/>
    <n v="10"/>
    <s v="Repeat"/>
    <x v="0"/>
    <x v="1969"/>
  </r>
  <r>
    <x v="227"/>
    <x v="1938"/>
    <x v="0"/>
    <x v="774"/>
    <n v="30.86"/>
    <x v="3"/>
    <s v="Oct 2024"/>
    <n v="11"/>
    <s v="Single"/>
    <x v="1"/>
    <x v="1970"/>
  </r>
  <r>
    <x v="227"/>
    <x v="1939"/>
    <x v="0"/>
    <x v="775"/>
    <n v="35.76"/>
    <x v="0"/>
    <s v="Oct 2024"/>
    <n v="13"/>
    <s v="Single"/>
    <x v="1"/>
    <x v="1971"/>
  </r>
  <r>
    <x v="227"/>
    <x v="1940"/>
    <x v="0"/>
    <x v="776"/>
    <n v="25.96"/>
    <x v="2"/>
    <s v="Oct 2024"/>
    <n v="14"/>
    <s v="Single"/>
    <x v="1"/>
    <x v="1972"/>
  </r>
  <r>
    <x v="227"/>
    <x v="1941"/>
    <x v="0"/>
    <x v="702"/>
    <n v="35.76"/>
    <x v="1"/>
    <s v="Oct 2024"/>
    <n v="16"/>
    <s v="Repeat"/>
    <x v="0"/>
    <x v="1973"/>
  </r>
  <r>
    <x v="227"/>
    <x v="1942"/>
    <x v="0"/>
    <x v="702"/>
    <n v="35.76"/>
    <x v="1"/>
    <s v="Oct 2024"/>
    <n v="16"/>
    <s v="Repeat"/>
    <x v="0"/>
    <x v="1974"/>
  </r>
  <r>
    <x v="227"/>
    <x v="1943"/>
    <x v="0"/>
    <x v="702"/>
    <n v="35.76"/>
    <x v="0"/>
    <s v="Oct 2024"/>
    <n v="16"/>
    <s v="Repeat"/>
    <x v="0"/>
    <x v="1975"/>
  </r>
  <r>
    <x v="227"/>
    <x v="1944"/>
    <x v="0"/>
    <x v="777"/>
    <n v="35.76"/>
    <x v="1"/>
    <s v="Oct 2024"/>
    <n v="16"/>
    <s v="Repeat"/>
    <x v="0"/>
    <x v="1976"/>
  </r>
  <r>
    <x v="227"/>
    <x v="1945"/>
    <x v="0"/>
    <x v="777"/>
    <n v="35.76"/>
    <x v="1"/>
    <s v="Oct 2024"/>
    <n v="16"/>
    <s v="Repeat"/>
    <x v="0"/>
    <x v="1977"/>
  </r>
  <r>
    <x v="227"/>
    <x v="1946"/>
    <x v="0"/>
    <x v="258"/>
    <n v="35.76"/>
    <x v="7"/>
    <s v="Oct 2024"/>
    <n v="17"/>
    <s v="Repeat"/>
    <x v="0"/>
    <x v="1978"/>
  </r>
  <r>
    <x v="227"/>
    <x v="1947"/>
    <x v="0"/>
    <x v="258"/>
    <n v="35.76"/>
    <x v="1"/>
    <s v="Oct 2024"/>
    <n v="17"/>
    <s v="Repeat"/>
    <x v="0"/>
    <x v="1979"/>
  </r>
  <r>
    <x v="227"/>
    <x v="1948"/>
    <x v="0"/>
    <x v="507"/>
    <n v="35.76"/>
    <x v="0"/>
    <s v="Oct 2024"/>
    <n v="19"/>
    <s v="Repeat"/>
    <x v="0"/>
    <x v="1980"/>
  </r>
  <r>
    <x v="227"/>
    <x v="1949"/>
    <x v="0"/>
    <x v="778"/>
    <n v="30.86"/>
    <x v="3"/>
    <s v="Oct 2024"/>
    <n v="20"/>
    <s v="Single"/>
    <x v="1"/>
    <x v="1981"/>
  </r>
  <r>
    <x v="227"/>
    <x v="1950"/>
    <x v="0"/>
    <x v="779"/>
    <n v="35.76"/>
    <x v="0"/>
    <s v="Oct 2024"/>
    <n v="21"/>
    <s v="Repeat"/>
    <x v="0"/>
    <x v="1982"/>
  </r>
  <r>
    <x v="227"/>
    <x v="1951"/>
    <x v="0"/>
    <x v="779"/>
    <n v="35.76"/>
    <x v="0"/>
    <s v="Oct 2024"/>
    <n v="21"/>
    <s v="Repeat"/>
    <x v="0"/>
    <x v="1983"/>
  </r>
  <r>
    <x v="227"/>
    <x v="1952"/>
    <x v="0"/>
    <x v="779"/>
    <n v="35.76"/>
    <x v="0"/>
    <s v="Oct 2024"/>
    <n v="21"/>
    <s v="Repeat"/>
    <x v="0"/>
    <x v="1984"/>
  </r>
  <r>
    <x v="227"/>
    <x v="1953"/>
    <x v="0"/>
    <x v="779"/>
    <n v="35.76"/>
    <x v="1"/>
    <s v="Oct 2024"/>
    <n v="21"/>
    <s v="Repeat"/>
    <x v="0"/>
    <x v="1985"/>
  </r>
  <r>
    <x v="228"/>
    <x v="1954"/>
    <x v="0"/>
    <x v="12"/>
    <n v="35.76"/>
    <x v="4"/>
    <s v="Oct 2024"/>
    <n v="8"/>
    <s v="Repeat"/>
    <x v="0"/>
    <x v="1986"/>
  </r>
  <r>
    <x v="228"/>
    <x v="1955"/>
    <x v="0"/>
    <x v="54"/>
    <n v="35.76"/>
    <x v="4"/>
    <s v="Oct 2024"/>
    <n v="8"/>
    <s v="Repeat"/>
    <x v="0"/>
    <x v="1987"/>
  </r>
  <r>
    <x v="228"/>
    <x v="1956"/>
    <x v="0"/>
    <x v="2"/>
    <n v="35.76"/>
    <x v="4"/>
    <s v="Oct 2024"/>
    <n v="9"/>
    <s v="Repeat"/>
    <x v="0"/>
    <x v="1988"/>
  </r>
  <r>
    <x v="228"/>
    <x v="1957"/>
    <x v="0"/>
    <x v="2"/>
    <n v="35.76"/>
    <x v="4"/>
    <s v="Oct 2024"/>
    <n v="9"/>
    <s v="Repeat"/>
    <x v="0"/>
    <x v="1989"/>
  </r>
  <r>
    <x v="228"/>
    <x v="1958"/>
    <x v="0"/>
    <x v="780"/>
    <n v="35.76"/>
    <x v="7"/>
    <s v="Oct 2024"/>
    <n v="9"/>
    <s v="Repeat"/>
    <x v="0"/>
    <x v="1990"/>
  </r>
  <r>
    <x v="228"/>
    <x v="1959"/>
    <x v="0"/>
    <x v="780"/>
    <n v="35.76"/>
    <x v="7"/>
    <s v="Oct 2024"/>
    <n v="11"/>
    <s v="Repeat"/>
    <x v="0"/>
    <x v="1991"/>
  </r>
  <r>
    <x v="228"/>
    <x v="1960"/>
    <x v="0"/>
    <x v="781"/>
    <n v="35.76"/>
    <x v="0"/>
    <s v="Oct 2024"/>
    <n v="14"/>
    <s v="Repeat"/>
    <x v="0"/>
    <x v="1992"/>
  </r>
  <r>
    <x v="228"/>
    <x v="1961"/>
    <x v="0"/>
    <x v="781"/>
    <n v="35.76"/>
    <x v="7"/>
    <s v="Oct 2024"/>
    <n v="14"/>
    <s v="Repeat"/>
    <x v="0"/>
    <x v="1993"/>
  </r>
  <r>
    <x v="228"/>
    <x v="1962"/>
    <x v="0"/>
    <x v="683"/>
    <n v="25.96"/>
    <x v="2"/>
    <s v="Oct 2024"/>
    <n v="15"/>
    <s v="Repeat"/>
    <x v="0"/>
    <x v="1994"/>
  </r>
  <r>
    <x v="228"/>
    <x v="1963"/>
    <x v="0"/>
    <x v="782"/>
    <n v="35.76"/>
    <x v="0"/>
    <s v="Oct 2024"/>
    <n v="16"/>
    <s v="Single"/>
    <x v="1"/>
    <x v="1995"/>
  </r>
  <r>
    <x v="228"/>
    <x v="1964"/>
    <x v="0"/>
    <x v="783"/>
    <n v="35.76"/>
    <x v="1"/>
    <s v="Oct 2024"/>
    <n v="17"/>
    <s v="Repeat"/>
    <x v="0"/>
    <x v="1996"/>
  </r>
  <r>
    <x v="228"/>
    <x v="1965"/>
    <x v="0"/>
    <x v="12"/>
    <n v="35.76"/>
    <x v="4"/>
    <s v="Oct 2024"/>
    <n v="21"/>
    <s v="Repeat"/>
    <x v="0"/>
    <x v="1997"/>
  </r>
  <r>
    <x v="228"/>
    <x v="1966"/>
    <x v="0"/>
    <x v="12"/>
    <n v="35.76"/>
    <x v="4"/>
    <s v="Oct 2024"/>
    <n v="21"/>
    <s v="Repeat"/>
    <x v="0"/>
    <x v="1998"/>
  </r>
  <r>
    <x v="228"/>
    <x v="1967"/>
    <x v="0"/>
    <x v="784"/>
    <n v="30.86"/>
    <x v="3"/>
    <s v="Oct 2024"/>
    <n v="21"/>
    <s v="Single"/>
    <x v="1"/>
    <x v="1999"/>
  </r>
  <r>
    <x v="228"/>
    <x v="1968"/>
    <x v="0"/>
    <x v="690"/>
    <n v="35.76"/>
    <x v="0"/>
    <s v="Oct 2024"/>
    <n v="22"/>
    <s v="Repeat"/>
    <x v="0"/>
    <x v="2000"/>
  </r>
  <r>
    <x v="229"/>
    <x v="1969"/>
    <x v="0"/>
    <x v="785"/>
    <n v="30.86"/>
    <x v="3"/>
    <s v="Oct 2024"/>
    <n v="8"/>
    <s v="Single"/>
    <x v="1"/>
    <x v="2001"/>
  </r>
  <r>
    <x v="229"/>
    <x v="1970"/>
    <x v="0"/>
    <x v="19"/>
    <n v="35.76"/>
    <x v="0"/>
    <s v="Oct 2024"/>
    <n v="13"/>
    <s v="Repeat"/>
    <x v="0"/>
    <x v="2002"/>
  </r>
  <r>
    <x v="229"/>
    <x v="1971"/>
    <x v="0"/>
    <x v="355"/>
    <n v="35.76"/>
    <x v="7"/>
    <s v="Oct 2024"/>
    <n v="14"/>
    <s v="Repeat"/>
    <x v="0"/>
    <x v="2003"/>
  </r>
  <r>
    <x v="229"/>
    <x v="1972"/>
    <x v="0"/>
    <x v="507"/>
    <n v="35.76"/>
    <x v="1"/>
    <s v="Oct 2024"/>
    <n v="15"/>
    <s v="Repeat"/>
    <x v="0"/>
    <x v="2004"/>
  </r>
  <r>
    <x v="229"/>
    <x v="1973"/>
    <x v="0"/>
    <x v="507"/>
    <n v="35.76"/>
    <x v="0"/>
    <s v="Oct 2024"/>
    <n v="15"/>
    <s v="Repeat"/>
    <x v="0"/>
    <x v="2005"/>
  </r>
  <r>
    <x v="229"/>
    <x v="1974"/>
    <x v="0"/>
    <x v="494"/>
    <n v="35.76"/>
    <x v="0"/>
    <s v="Oct 2024"/>
    <n v="16"/>
    <s v="Repeat"/>
    <x v="0"/>
    <x v="2006"/>
  </r>
  <r>
    <x v="229"/>
    <x v="1975"/>
    <x v="0"/>
    <x v="696"/>
    <n v="35.76"/>
    <x v="0"/>
    <s v="Oct 2024"/>
    <n v="16"/>
    <s v="Repeat"/>
    <x v="0"/>
    <x v="2007"/>
  </r>
  <r>
    <x v="229"/>
    <x v="1976"/>
    <x v="0"/>
    <x v="690"/>
    <n v="35.76"/>
    <x v="4"/>
    <s v="Oct 2024"/>
    <n v="21"/>
    <s v="Repeat"/>
    <x v="0"/>
    <x v="2008"/>
  </r>
  <r>
    <x v="229"/>
    <x v="1977"/>
    <x v="0"/>
    <x v="786"/>
    <n v="35.76"/>
    <x v="7"/>
    <s v="Oct 2024"/>
    <n v="22"/>
    <s v="Single"/>
    <x v="1"/>
    <x v="2009"/>
  </r>
  <r>
    <x v="230"/>
    <x v="1978"/>
    <x v="0"/>
    <x v="570"/>
    <n v="35.76"/>
    <x v="0"/>
    <s v="Oct 2024"/>
    <n v="8"/>
    <s v="Repeat"/>
    <x v="0"/>
    <x v="2010"/>
  </r>
  <r>
    <x v="230"/>
    <x v="1979"/>
    <x v="0"/>
    <x v="570"/>
    <n v="35.76"/>
    <x v="4"/>
    <s v="Oct 2024"/>
    <n v="8"/>
    <s v="Repeat"/>
    <x v="0"/>
    <x v="2011"/>
  </r>
  <r>
    <x v="230"/>
    <x v="1980"/>
    <x v="0"/>
    <x v="787"/>
    <n v="35.76"/>
    <x v="0"/>
    <s v="Oct 2024"/>
    <n v="11"/>
    <s v="Repeat"/>
    <x v="0"/>
    <x v="2012"/>
  </r>
  <r>
    <x v="230"/>
    <x v="1981"/>
    <x v="0"/>
    <x v="650"/>
    <n v="35.76"/>
    <x v="1"/>
    <s v="Oct 2024"/>
    <n v="14"/>
    <s v="Repeat"/>
    <x v="0"/>
    <x v="2013"/>
  </r>
  <r>
    <x v="230"/>
    <x v="1982"/>
    <x v="0"/>
    <x v="650"/>
    <n v="25.96"/>
    <x v="5"/>
    <s v="Oct 2024"/>
    <n v="14"/>
    <s v="Repeat"/>
    <x v="0"/>
    <x v="2014"/>
  </r>
  <r>
    <x v="230"/>
    <x v="1983"/>
    <x v="0"/>
    <x v="455"/>
    <n v="30.86"/>
    <x v="3"/>
    <s v="Oct 2024"/>
    <n v="15"/>
    <s v="Repeat"/>
    <x v="0"/>
    <x v="2015"/>
  </r>
  <r>
    <x v="230"/>
    <x v="1984"/>
    <x v="0"/>
    <x v="788"/>
    <n v="35.76"/>
    <x v="0"/>
    <s v="Oct 2024"/>
    <n v="16"/>
    <s v="Repeat"/>
    <x v="0"/>
    <x v="2016"/>
  </r>
  <r>
    <x v="230"/>
    <x v="1985"/>
    <x v="0"/>
    <x v="788"/>
    <n v="35.76"/>
    <x v="0"/>
    <s v="Oct 2024"/>
    <n v="16"/>
    <s v="Repeat"/>
    <x v="0"/>
    <x v="2017"/>
  </r>
  <r>
    <x v="230"/>
    <x v="192"/>
    <x v="0"/>
    <x v="507"/>
    <n v="35.76"/>
    <x v="0"/>
    <s v="Oct 2024"/>
    <n v="17"/>
    <s v="Repeat"/>
    <x v="0"/>
    <x v="2018"/>
  </r>
  <r>
    <x v="230"/>
    <x v="1986"/>
    <x v="0"/>
    <x v="12"/>
    <n v="35.76"/>
    <x v="4"/>
    <s v="Oct 2024"/>
    <n v="18"/>
    <s v="Repeat"/>
    <x v="0"/>
    <x v="2019"/>
  </r>
  <r>
    <x v="230"/>
    <x v="1987"/>
    <x v="0"/>
    <x v="12"/>
    <n v="35.76"/>
    <x v="4"/>
    <s v="Oct 2024"/>
    <n v="18"/>
    <s v="Repeat"/>
    <x v="0"/>
    <x v="2020"/>
  </r>
  <r>
    <x v="230"/>
    <x v="1988"/>
    <x v="0"/>
    <x v="789"/>
    <n v="35.76"/>
    <x v="1"/>
    <s v="Oct 2024"/>
    <n v="21"/>
    <s v="Repeat"/>
    <x v="0"/>
    <x v="2021"/>
  </r>
  <r>
    <x v="230"/>
    <x v="1989"/>
    <x v="0"/>
    <x v="790"/>
    <n v="25.96"/>
    <x v="5"/>
    <s v="Oct 2024"/>
    <n v="21"/>
    <s v="Single"/>
    <x v="1"/>
    <x v="2022"/>
  </r>
  <r>
    <x v="230"/>
    <x v="1990"/>
    <x v="0"/>
    <x v="791"/>
    <n v="35.76"/>
    <x v="4"/>
    <s v="Oct 2024"/>
    <n v="21"/>
    <s v="Repeat"/>
    <x v="0"/>
    <x v="2023"/>
  </r>
  <r>
    <x v="230"/>
    <x v="1991"/>
    <x v="0"/>
    <x v="792"/>
    <n v="35.76"/>
    <x v="0"/>
    <s v="Oct 2024"/>
    <n v="21"/>
    <s v="Single"/>
    <x v="1"/>
    <x v="2024"/>
  </r>
  <r>
    <x v="230"/>
    <x v="1695"/>
    <x v="0"/>
    <x v="550"/>
    <n v="35.76"/>
    <x v="7"/>
    <s v="Oct 2024"/>
    <n v="22"/>
    <s v="Repeat"/>
    <x v="0"/>
    <x v="2025"/>
  </r>
  <r>
    <x v="231"/>
    <x v="1992"/>
    <x v="0"/>
    <x v="696"/>
    <n v="35.76"/>
    <x v="0"/>
    <s v="Oct 2024"/>
    <n v="7"/>
    <s v="Repeat"/>
    <x v="0"/>
    <x v="2026"/>
  </r>
  <r>
    <x v="231"/>
    <x v="1993"/>
    <x v="0"/>
    <x v="97"/>
    <n v="35.76"/>
    <x v="0"/>
    <s v="Oct 2024"/>
    <n v="8"/>
    <s v="Repeat"/>
    <x v="0"/>
    <x v="2027"/>
  </r>
  <r>
    <x v="231"/>
    <x v="1994"/>
    <x v="0"/>
    <x v="385"/>
    <n v="30.86"/>
    <x v="3"/>
    <s v="Oct 2024"/>
    <n v="9"/>
    <s v="Repeat"/>
    <x v="0"/>
    <x v="2028"/>
  </r>
  <r>
    <x v="231"/>
    <x v="1995"/>
    <x v="0"/>
    <x v="793"/>
    <n v="35.76"/>
    <x v="0"/>
    <s v="Oct 2024"/>
    <n v="9"/>
    <s v="Single"/>
    <x v="1"/>
    <x v="2029"/>
  </r>
  <r>
    <x v="231"/>
    <x v="1996"/>
    <x v="0"/>
    <x v="700"/>
    <n v="25.96"/>
    <x v="2"/>
    <s v="Oct 2024"/>
    <n v="10"/>
    <s v="Repeat"/>
    <x v="0"/>
    <x v="2030"/>
  </r>
  <r>
    <x v="231"/>
    <x v="1997"/>
    <x v="0"/>
    <x v="141"/>
    <n v="25.96"/>
    <x v="5"/>
    <s v="Oct 2024"/>
    <n v="10"/>
    <s v="Repeat"/>
    <x v="0"/>
    <x v="2031"/>
  </r>
  <r>
    <x v="231"/>
    <x v="1998"/>
    <x v="0"/>
    <x v="141"/>
    <n v="25.96"/>
    <x v="5"/>
    <s v="Oct 2024"/>
    <n v="10"/>
    <s v="Repeat"/>
    <x v="0"/>
    <x v="2032"/>
  </r>
  <r>
    <x v="231"/>
    <x v="1999"/>
    <x v="0"/>
    <x v="274"/>
    <n v="21.06"/>
    <x v="6"/>
    <s v="Oct 2024"/>
    <n v="11"/>
    <s v="Repeat"/>
    <x v="0"/>
    <x v="2033"/>
  </r>
  <r>
    <x v="231"/>
    <x v="2000"/>
    <x v="0"/>
    <x v="751"/>
    <n v="35.76"/>
    <x v="7"/>
    <s v="Oct 2024"/>
    <n v="12"/>
    <s v="Repeat"/>
    <x v="0"/>
    <x v="2034"/>
  </r>
  <r>
    <x v="231"/>
    <x v="2001"/>
    <x v="0"/>
    <x v="794"/>
    <n v="35.76"/>
    <x v="0"/>
    <s v="Oct 2024"/>
    <n v="14"/>
    <s v="Single"/>
    <x v="1"/>
    <x v="2035"/>
  </r>
  <r>
    <x v="231"/>
    <x v="2002"/>
    <x v="0"/>
    <x v="726"/>
    <n v="35.76"/>
    <x v="0"/>
    <s v="Oct 2024"/>
    <n v="14"/>
    <s v="Repeat"/>
    <x v="0"/>
    <x v="2036"/>
  </r>
  <r>
    <x v="231"/>
    <x v="2003"/>
    <x v="0"/>
    <x v="795"/>
    <n v="30.86"/>
    <x v="3"/>
    <s v="Oct 2024"/>
    <n v="15"/>
    <s v="Single"/>
    <x v="1"/>
    <x v="2037"/>
  </r>
  <r>
    <x v="231"/>
    <x v="2004"/>
    <x v="0"/>
    <x v="796"/>
    <n v="25.96"/>
    <x v="5"/>
    <s v="Oct 2024"/>
    <n v="15"/>
    <s v="Single"/>
    <x v="1"/>
    <x v="2038"/>
  </r>
  <r>
    <x v="231"/>
    <x v="2005"/>
    <x v="0"/>
    <x v="225"/>
    <n v="35.76"/>
    <x v="4"/>
    <s v="Oct 2024"/>
    <n v="16"/>
    <s v="Repeat"/>
    <x v="0"/>
    <x v="2039"/>
  </r>
  <r>
    <x v="231"/>
    <x v="2006"/>
    <x v="0"/>
    <x v="797"/>
    <n v="35.76"/>
    <x v="0"/>
    <s v="Oct 2024"/>
    <n v="16"/>
    <s v="Single"/>
    <x v="1"/>
    <x v="2040"/>
  </r>
  <r>
    <x v="231"/>
    <x v="2007"/>
    <x v="0"/>
    <x v="798"/>
    <n v="35.76"/>
    <x v="1"/>
    <s v="Oct 2024"/>
    <n v="19"/>
    <s v="Repeat"/>
    <x v="0"/>
    <x v="2041"/>
  </r>
  <r>
    <x v="231"/>
    <x v="2008"/>
    <x v="0"/>
    <x v="799"/>
    <n v="35.76"/>
    <x v="0"/>
    <s v="Oct 2024"/>
    <n v="21"/>
    <s v="Repeat"/>
    <x v="0"/>
    <x v="2042"/>
  </r>
  <r>
    <x v="231"/>
    <x v="2009"/>
    <x v="0"/>
    <x v="789"/>
    <n v="35.76"/>
    <x v="4"/>
    <s v="Oct 2024"/>
    <n v="22"/>
    <s v="Repeat"/>
    <x v="0"/>
    <x v="2043"/>
  </r>
  <r>
    <x v="231"/>
    <x v="2010"/>
    <x v="0"/>
    <x v="791"/>
    <n v="35.76"/>
    <x v="1"/>
    <s v="Oct 2024"/>
    <n v="22"/>
    <s v="Repeat"/>
    <x v="0"/>
    <x v="2044"/>
  </r>
  <r>
    <x v="232"/>
    <x v="2011"/>
    <x v="0"/>
    <x v="696"/>
    <n v="35.76"/>
    <x v="0"/>
    <s v="Oct 2024"/>
    <n v="7"/>
    <s v="Repeat"/>
    <x v="0"/>
    <x v="2045"/>
  </r>
  <r>
    <x v="232"/>
    <x v="2012"/>
    <x v="0"/>
    <x v="696"/>
    <n v="35.76"/>
    <x v="7"/>
    <s v="Oct 2024"/>
    <n v="7"/>
    <s v="Repeat"/>
    <x v="0"/>
    <x v="2046"/>
  </r>
  <r>
    <x v="232"/>
    <x v="2013"/>
    <x v="0"/>
    <x v="276"/>
    <n v="30.86"/>
    <x v="3"/>
    <s v="Oct 2024"/>
    <n v="8"/>
    <s v="Repeat"/>
    <x v="0"/>
    <x v="2047"/>
  </r>
  <r>
    <x v="232"/>
    <x v="2014"/>
    <x v="0"/>
    <x v="800"/>
    <n v="25.96"/>
    <x v="5"/>
    <s v="Oct 2024"/>
    <n v="9"/>
    <s v="Single"/>
    <x v="1"/>
    <x v="2048"/>
  </r>
  <r>
    <x v="232"/>
    <x v="2015"/>
    <x v="0"/>
    <x v="402"/>
    <n v="21.06"/>
    <x v="6"/>
    <s v="Oct 2024"/>
    <n v="10"/>
    <s v="Repeat"/>
    <x v="0"/>
    <x v="2049"/>
  </r>
  <r>
    <x v="232"/>
    <x v="2016"/>
    <x v="0"/>
    <x v="402"/>
    <n v="25.96"/>
    <x v="5"/>
    <s v="Oct 2024"/>
    <n v="10"/>
    <s v="Repeat"/>
    <x v="0"/>
    <x v="2050"/>
  </r>
  <r>
    <x v="232"/>
    <x v="2017"/>
    <x v="0"/>
    <x v="801"/>
    <n v="25.96"/>
    <x v="2"/>
    <s v="Oct 2024"/>
    <n v="18"/>
    <s v="Single"/>
    <x v="1"/>
    <x v="2051"/>
  </r>
  <r>
    <x v="232"/>
    <x v="2018"/>
    <x v="0"/>
    <x v="507"/>
    <n v="35.76"/>
    <x v="1"/>
    <s v="Oct 2024"/>
    <n v="19"/>
    <s v="Repeat"/>
    <x v="0"/>
    <x v="2052"/>
  </r>
  <r>
    <x v="232"/>
    <x v="2019"/>
    <x v="0"/>
    <x v="507"/>
    <n v="35.76"/>
    <x v="0"/>
    <s v="Oct 2024"/>
    <n v="19"/>
    <s v="Repeat"/>
    <x v="0"/>
    <x v="2053"/>
  </r>
  <r>
    <x v="233"/>
    <x v="1934"/>
    <x v="0"/>
    <x v="696"/>
    <n v="35.76"/>
    <x v="0"/>
    <s v="Oct 2024"/>
    <n v="7"/>
    <s v="Repeat"/>
    <x v="0"/>
    <x v="2054"/>
  </r>
  <r>
    <x v="233"/>
    <x v="2020"/>
    <x v="0"/>
    <x v="276"/>
    <n v="30.86"/>
    <x v="3"/>
    <s v="Oct 2024"/>
    <n v="8"/>
    <s v="Repeat"/>
    <x v="0"/>
    <x v="2055"/>
  </r>
  <r>
    <x v="233"/>
    <x v="2021"/>
    <x v="0"/>
    <x v="141"/>
    <n v="25.96"/>
    <x v="5"/>
    <s v="Oct 2024"/>
    <n v="10"/>
    <s v="Repeat"/>
    <x v="0"/>
    <x v="2056"/>
  </r>
  <r>
    <x v="233"/>
    <x v="2022"/>
    <x v="0"/>
    <x v="802"/>
    <n v="30.86"/>
    <x v="3"/>
    <s v="Oct 2024"/>
    <n v="12"/>
    <s v="Repeat"/>
    <x v="0"/>
    <x v="2057"/>
  </r>
  <r>
    <x v="233"/>
    <x v="2023"/>
    <x v="0"/>
    <x v="803"/>
    <n v="30.86"/>
    <x v="3"/>
    <s v="Oct 2024"/>
    <n v="16"/>
    <s v="Repeat"/>
    <x v="0"/>
    <x v="2058"/>
  </r>
  <r>
    <x v="233"/>
    <x v="2024"/>
    <x v="0"/>
    <x v="803"/>
    <n v="30.86"/>
    <x v="3"/>
    <s v="Oct 2024"/>
    <n v="16"/>
    <s v="Repeat"/>
    <x v="0"/>
    <x v="2059"/>
  </r>
  <r>
    <x v="233"/>
    <x v="2025"/>
    <x v="0"/>
    <x v="804"/>
    <n v="35.76"/>
    <x v="7"/>
    <s v="Oct 2024"/>
    <n v="16"/>
    <s v="Repeat"/>
    <x v="0"/>
    <x v="2060"/>
  </r>
  <r>
    <x v="233"/>
    <x v="2026"/>
    <x v="0"/>
    <x v="805"/>
    <n v="21.06"/>
    <x v="6"/>
    <s v="Oct 2024"/>
    <n v="17"/>
    <s v="Single"/>
    <x v="1"/>
    <x v="2061"/>
  </r>
  <r>
    <x v="233"/>
    <x v="2027"/>
    <x v="0"/>
    <x v="40"/>
    <n v="35.76"/>
    <x v="4"/>
    <s v="Oct 2024"/>
    <n v="18"/>
    <s v="Repeat"/>
    <x v="0"/>
    <x v="2062"/>
  </r>
  <r>
    <x v="233"/>
    <x v="2028"/>
    <x v="0"/>
    <x v="40"/>
    <n v="35.76"/>
    <x v="7"/>
    <s v="Oct 2024"/>
    <n v="19"/>
    <s v="Repeat"/>
    <x v="0"/>
    <x v="2063"/>
  </r>
  <r>
    <x v="233"/>
    <x v="2029"/>
    <x v="0"/>
    <x v="518"/>
    <n v="30.86"/>
    <x v="3"/>
    <s v="Oct 2024"/>
    <n v="21"/>
    <s v="Repeat"/>
    <x v="0"/>
    <x v="2064"/>
  </r>
  <r>
    <x v="233"/>
    <x v="2030"/>
    <x v="0"/>
    <x v="806"/>
    <n v="35.76"/>
    <x v="1"/>
    <s v="Oct 2024"/>
    <n v="21"/>
    <s v="Single"/>
    <x v="1"/>
    <x v="2065"/>
  </r>
  <r>
    <x v="233"/>
    <x v="2031"/>
    <x v="0"/>
    <x v="807"/>
    <n v="35.76"/>
    <x v="0"/>
    <s v="Oct 2024"/>
    <n v="22"/>
    <s v="Single"/>
    <x v="1"/>
    <x v="2066"/>
  </r>
  <r>
    <x v="234"/>
    <x v="2032"/>
    <x v="0"/>
    <x v="808"/>
    <n v="25.96"/>
    <x v="2"/>
    <s v="Oct 2024"/>
    <n v="12"/>
    <s v="Single"/>
    <x v="1"/>
    <x v="2067"/>
  </r>
  <r>
    <x v="234"/>
    <x v="2033"/>
    <x v="0"/>
    <x v="809"/>
    <n v="35.76"/>
    <x v="7"/>
    <s v="Oct 2024"/>
    <n v="13"/>
    <s v="Single"/>
    <x v="1"/>
    <x v="2068"/>
  </r>
  <r>
    <x v="234"/>
    <x v="2034"/>
    <x v="0"/>
    <x v="804"/>
    <n v="35.76"/>
    <x v="7"/>
    <s v="Oct 2024"/>
    <n v="14"/>
    <s v="Repeat"/>
    <x v="0"/>
    <x v="2069"/>
  </r>
  <r>
    <x v="234"/>
    <x v="2035"/>
    <x v="0"/>
    <x v="810"/>
    <n v="35.76"/>
    <x v="1"/>
    <s v="Oct 2024"/>
    <n v="14"/>
    <s v="Repeat"/>
    <x v="0"/>
    <x v="2070"/>
  </r>
  <r>
    <x v="234"/>
    <x v="2036"/>
    <x v="0"/>
    <x v="810"/>
    <n v="35.76"/>
    <x v="0"/>
    <s v="Oct 2024"/>
    <n v="14"/>
    <s v="Repeat"/>
    <x v="0"/>
    <x v="2071"/>
  </r>
  <r>
    <x v="234"/>
    <x v="442"/>
    <x v="0"/>
    <x v="788"/>
    <n v="35.76"/>
    <x v="0"/>
    <s v="Oct 2024"/>
    <n v="15"/>
    <s v="Repeat"/>
    <x v="0"/>
    <x v="2072"/>
  </r>
  <r>
    <x v="234"/>
    <x v="2037"/>
    <x v="0"/>
    <x v="788"/>
    <n v="35.76"/>
    <x v="0"/>
    <s v="Oct 2024"/>
    <n v="15"/>
    <s v="Repeat"/>
    <x v="0"/>
    <x v="2073"/>
  </r>
  <r>
    <x v="234"/>
    <x v="2038"/>
    <x v="0"/>
    <x v="811"/>
    <n v="25.96"/>
    <x v="2"/>
    <s v="Oct 2024"/>
    <n v="18"/>
    <s v="Repeat"/>
    <x v="0"/>
    <x v="2074"/>
  </r>
  <r>
    <x v="234"/>
    <x v="2039"/>
    <x v="0"/>
    <x v="811"/>
    <n v="25.96"/>
    <x v="2"/>
    <s v="Oct 2024"/>
    <n v="18"/>
    <s v="Repeat"/>
    <x v="0"/>
    <x v="2075"/>
  </r>
  <r>
    <x v="234"/>
    <x v="2040"/>
    <x v="0"/>
    <x v="507"/>
    <n v="35.76"/>
    <x v="0"/>
    <s v="Oct 2024"/>
    <n v="19"/>
    <s v="Repeat"/>
    <x v="0"/>
    <x v="2076"/>
  </r>
  <r>
    <x v="234"/>
    <x v="2041"/>
    <x v="0"/>
    <x v="812"/>
    <n v="25.96"/>
    <x v="2"/>
    <s v="Oct 2024"/>
    <n v="20"/>
    <s v="Single"/>
    <x v="1"/>
    <x v="2077"/>
  </r>
  <r>
    <x v="234"/>
    <x v="2042"/>
    <x v="0"/>
    <x v="813"/>
    <n v="35.76"/>
    <x v="1"/>
    <s v="Oct 2024"/>
    <n v="21"/>
    <s v="Repeat"/>
    <x v="0"/>
    <x v="2078"/>
  </r>
  <r>
    <x v="234"/>
    <x v="2043"/>
    <x v="0"/>
    <x v="813"/>
    <n v="35.76"/>
    <x v="1"/>
    <s v="Oct 2024"/>
    <n v="21"/>
    <s v="Repeat"/>
    <x v="0"/>
    <x v="2079"/>
  </r>
  <r>
    <x v="234"/>
    <x v="2044"/>
    <x v="0"/>
    <x v="637"/>
    <n v="35.76"/>
    <x v="1"/>
    <s v="Oct 2024"/>
    <n v="21"/>
    <s v="Repeat"/>
    <x v="0"/>
    <x v="2080"/>
  </r>
  <r>
    <x v="234"/>
    <x v="2045"/>
    <x v="0"/>
    <x v="637"/>
    <n v="35.76"/>
    <x v="7"/>
    <s v="Oct 2024"/>
    <n v="21"/>
    <s v="Repeat"/>
    <x v="0"/>
    <x v="2081"/>
  </r>
  <r>
    <x v="235"/>
    <x v="2046"/>
    <x v="0"/>
    <x v="696"/>
    <n v="35.76"/>
    <x v="7"/>
    <s v="Oct 2024"/>
    <n v="7"/>
    <s v="Repeat"/>
    <x v="0"/>
    <x v="2082"/>
  </r>
  <r>
    <x v="235"/>
    <x v="2047"/>
    <x v="0"/>
    <x v="402"/>
    <n v="21.06"/>
    <x v="6"/>
    <s v="Oct 2024"/>
    <n v="7"/>
    <s v="Repeat"/>
    <x v="0"/>
    <x v="2083"/>
  </r>
  <r>
    <x v="235"/>
    <x v="2048"/>
    <x v="0"/>
    <x v="570"/>
    <n v="35.76"/>
    <x v="4"/>
    <s v="Oct 2024"/>
    <n v="8"/>
    <s v="Repeat"/>
    <x v="0"/>
    <x v="2084"/>
  </r>
  <r>
    <x v="235"/>
    <x v="2049"/>
    <x v="0"/>
    <x v="570"/>
    <n v="35.76"/>
    <x v="0"/>
    <s v="Oct 2024"/>
    <n v="8"/>
    <s v="Repeat"/>
    <x v="0"/>
    <x v="2085"/>
  </r>
  <r>
    <x v="235"/>
    <x v="2050"/>
    <x v="0"/>
    <x v="84"/>
    <n v="35.76"/>
    <x v="4"/>
    <s v="Oct 2024"/>
    <n v="8"/>
    <s v="Repeat"/>
    <x v="0"/>
    <x v="2086"/>
  </r>
  <r>
    <x v="235"/>
    <x v="2051"/>
    <x v="0"/>
    <x v="683"/>
    <n v="25.96"/>
    <x v="2"/>
    <s v="Oct 2024"/>
    <n v="10"/>
    <s v="Repeat"/>
    <x v="0"/>
    <x v="2087"/>
  </r>
  <r>
    <x v="235"/>
    <x v="2052"/>
    <x v="0"/>
    <x v="683"/>
    <n v="25.96"/>
    <x v="2"/>
    <s v="Oct 2024"/>
    <n v="10"/>
    <s v="Repeat"/>
    <x v="0"/>
    <x v="2088"/>
  </r>
  <r>
    <x v="235"/>
    <x v="2053"/>
    <x v="0"/>
    <x v="276"/>
    <n v="30.86"/>
    <x v="3"/>
    <s v="Oct 2024"/>
    <n v="10"/>
    <s v="Repeat"/>
    <x v="0"/>
    <x v="2089"/>
  </r>
  <r>
    <x v="235"/>
    <x v="2054"/>
    <x v="0"/>
    <x v="12"/>
    <n v="35.76"/>
    <x v="4"/>
    <s v="Oct 2024"/>
    <n v="11"/>
    <s v="Repeat"/>
    <x v="0"/>
    <x v="2090"/>
  </r>
  <r>
    <x v="235"/>
    <x v="2055"/>
    <x v="0"/>
    <x v="12"/>
    <n v="35.76"/>
    <x v="4"/>
    <s v="Oct 2024"/>
    <n v="11"/>
    <s v="Repeat"/>
    <x v="0"/>
    <x v="2091"/>
  </r>
  <r>
    <x v="235"/>
    <x v="2056"/>
    <x v="0"/>
    <x v="141"/>
    <n v="25.96"/>
    <x v="5"/>
    <s v="Oct 2024"/>
    <n v="12"/>
    <s v="Repeat"/>
    <x v="0"/>
    <x v="2092"/>
  </r>
  <r>
    <x v="235"/>
    <x v="2057"/>
    <x v="0"/>
    <x v="814"/>
    <n v="35.76"/>
    <x v="0"/>
    <s v="Oct 2024"/>
    <n v="12"/>
    <s v="Single"/>
    <x v="1"/>
    <x v="2093"/>
  </r>
  <r>
    <x v="235"/>
    <x v="2058"/>
    <x v="0"/>
    <x v="137"/>
    <n v="35.76"/>
    <x v="7"/>
    <s v="Oct 2024"/>
    <n v="14"/>
    <s v="Repeat"/>
    <x v="0"/>
    <x v="2094"/>
  </r>
  <r>
    <x v="235"/>
    <x v="2059"/>
    <x v="0"/>
    <x v="815"/>
    <n v="35.76"/>
    <x v="1"/>
    <s v="Oct 2024"/>
    <n v="22"/>
    <s v="Repeat"/>
    <x v="0"/>
    <x v="2095"/>
  </r>
  <r>
    <x v="235"/>
    <x v="2060"/>
    <x v="0"/>
    <x v="815"/>
    <n v="21.06"/>
    <x v="6"/>
    <s v="Oct 2024"/>
    <n v="22"/>
    <s v="Repeat"/>
    <x v="0"/>
    <x v="2096"/>
  </r>
  <r>
    <x v="236"/>
    <x v="2061"/>
    <x v="0"/>
    <x v="682"/>
    <n v="35.76"/>
    <x v="7"/>
    <s v="Oct 2024"/>
    <n v="7"/>
    <s v="Repeat"/>
    <x v="0"/>
    <x v="2097"/>
  </r>
  <r>
    <x v="236"/>
    <x v="2062"/>
    <x v="0"/>
    <x v="141"/>
    <n v="25.96"/>
    <x v="5"/>
    <s v="Oct 2024"/>
    <n v="8"/>
    <s v="Repeat"/>
    <x v="0"/>
    <x v="2098"/>
  </r>
  <r>
    <x v="236"/>
    <x v="2063"/>
    <x v="0"/>
    <x v="334"/>
    <n v="35.76"/>
    <x v="7"/>
    <s v="Oct 2024"/>
    <n v="8"/>
    <s v="Repeat"/>
    <x v="0"/>
    <x v="2099"/>
  </r>
  <r>
    <x v="236"/>
    <x v="2064"/>
    <x v="0"/>
    <x v="816"/>
    <n v="25.96"/>
    <x v="2"/>
    <s v="Oct 2024"/>
    <n v="10"/>
    <s v="Single"/>
    <x v="1"/>
    <x v="2100"/>
  </r>
  <r>
    <x v="236"/>
    <x v="2065"/>
    <x v="0"/>
    <x v="40"/>
    <n v="35.76"/>
    <x v="4"/>
    <s v="Oct 2024"/>
    <n v="12"/>
    <s v="Repeat"/>
    <x v="0"/>
    <x v="2101"/>
  </r>
  <r>
    <x v="236"/>
    <x v="2066"/>
    <x v="0"/>
    <x v="817"/>
    <n v="35.76"/>
    <x v="0"/>
    <s v="Oct 2024"/>
    <n v="13"/>
    <s v="Single"/>
    <x v="1"/>
    <x v="2102"/>
  </r>
  <r>
    <x v="236"/>
    <x v="2067"/>
    <x v="0"/>
    <x v="276"/>
    <n v="35.76"/>
    <x v="0"/>
    <s v="Oct 2024"/>
    <n v="14"/>
    <s v="Repeat"/>
    <x v="0"/>
    <x v="2103"/>
  </r>
  <r>
    <x v="236"/>
    <x v="2068"/>
    <x v="0"/>
    <x v="276"/>
    <n v="30.86"/>
    <x v="3"/>
    <s v="Oct 2024"/>
    <n v="14"/>
    <s v="Repeat"/>
    <x v="0"/>
    <x v="2104"/>
  </r>
  <r>
    <x v="236"/>
    <x v="2069"/>
    <x v="0"/>
    <x v="141"/>
    <n v="25.96"/>
    <x v="5"/>
    <s v="Oct 2024"/>
    <n v="15"/>
    <s v="Repeat"/>
    <x v="0"/>
    <x v="2105"/>
  </r>
  <r>
    <x v="236"/>
    <x v="2070"/>
    <x v="0"/>
    <x v="141"/>
    <n v="25.96"/>
    <x v="5"/>
    <s v="Oct 2024"/>
    <n v="15"/>
    <s v="Repeat"/>
    <x v="0"/>
    <x v="2106"/>
  </r>
  <r>
    <x v="236"/>
    <x v="2071"/>
    <x v="0"/>
    <x v="818"/>
    <n v="35.76"/>
    <x v="0"/>
    <s v="Oct 2024"/>
    <n v="15"/>
    <s v="Repeat"/>
    <x v="0"/>
    <x v="2107"/>
  </r>
  <r>
    <x v="236"/>
    <x v="2072"/>
    <x v="0"/>
    <x v="818"/>
    <n v="35.76"/>
    <x v="0"/>
    <s v="Oct 2024"/>
    <n v="15"/>
    <s v="Repeat"/>
    <x v="0"/>
    <x v="2108"/>
  </r>
  <r>
    <x v="236"/>
    <x v="2073"/>
    <x v="0"/>
    <x v="819"/>
    <n v="30.86"/>
    <x v="3"/>
    <s v="Oct 2024"/>
    <n v="15"/>
    <s v="Repeat"/>
    <x v="0"/>
    <x v="2109"/>
  </r>
  <r>
    <x v="236"/>
    <x v="2074"/>
    <x v="0"/>
    <x v="820"/>
    <n v="30.86"/>
    <x v="3"/>
    <s v="Oct 2024"/>
    <n v="15"/>
    <s v="Single"/>
    <x v="1"/>
    <x v="2110"/>
  </r>
  <r>
    <x v="236"/>
    <x v="2075"/>
    <x v="0"/>
    <x v="715"/>
    <n v="35.76"/>
    <x v="7"/>
    <s v="Oct 2024"/>
    <n v="19"/>
    <s v="Repeat"/>
    <x v="0"/>
    <x v="2111"/>
  </r>
  <r>
    <x v="236"/>
    <x v="2076"/>
    <x v="0"/>
    <x v="821"/>
    <n v="30.86"/>
    <x v="3"/>
    <s v="Oct 2024"/>
    <n v="20"/>
    <s v="Single"/>
    <x v="1"/>
    <x v="2112"/>
  </r>
  <r>
    <x v="237"/>
    <x v="2077"/>
    <x v="0"/>
    <x v="347"/>
    <n v="30.86"/>
    <x v="3"/>
    <s v="Oct 2024"/>
    <n v="11"/>
    <s v="Repeat"/>
    <x v="0"/>
    <x v="2113"/>
  </r>
  <r>
    <x v="237"/>
    <x v="2078"/>
    <x v="0"/>
    <x v="276"/>
    <n v="35.76"/>
    <x v="0"/>
    <s v="Oct 2024"/>
    <n v="12"/>
    <s v="Repeat"/>
    <x v="0"/>
    <x v="2114"/>
  </r>
  <r>
    <x v="237"/>
    <x v="2079"/>
    <x v="0"/>
    <x v="276"/>
    <n v="30.86"/>
    <x v="3"/>
    <s v="Oct 2024"/>
    <n v="12"/>
    <s v="Repeat"/>
    <x v="0"/>
    <x v="2115"/>
  </r>
  <r>
    <x v="237"/>
    <x v="2080"/>
    <x v="0"/>
    <x v="822"/>
    <n v="35.76"/>
    <x v="7"/>
    <s v="Oct 2024"/>
    <n v="13"/>
    <s v="Single"/>
    <x v="1"/>
    <x v="2116"/>
  </r>
  <r>
    <x v="237"/>
    <x v="2081"/>
    <x v="0"/>
    <x v="507"/>
    <n v="35.76"/>
    <x v="0"/>
    <s v="Oct 2024"/>
    <n v="16"/>
    <s v="Repeat"/>
    <x v="0"/>
    <x v="2117"/>
  </r>
  <r>
    <x v="238"/>
    <x v="2082"/>
    <x v="0"/>
    <x v="696"/>
    <n v="35.76"/>
    <x v="7"/>
    <s v="Oct 2024"/>
    <n v="7"/>
    <s v="Repeat"/>
    <x v="0"/>
    <x v="2118"/>
  </r>
  <r>
    <x v="238"/>
    <x v="2083"/>
    <x v="0"/>
    <x v="823"/>
    <n v="25.96"/>
    <x v="2"/>
    <s v="Oct 2024"/>
    <n v="8"/>
    <s v="Single"/>
    <x v="1"/>
    <x v="2119"/>
  </r>
  <r>
    <x v="238"/>
    <x v="2084"/>
    <x v="0"/>
    <x v="683"/>
    <n v="35.76"/>
    <x v="0"/>
    <s v="Oct 2024"/>
    <n v="8"/>
    <s v="Repeat"/>
    <x v="0"/>
    <x v="2120"/>
  </r>
  <r>
    <x v="238"/>
    <x v="2085"/>
    <x v="0"/>
    <x v="242"/>
    <n v="30.86"/>
    <x v="3"/>
    <s v="Oct 2024"/>
    <n v="9"/>
    <s v="Repeat"/>
    <x v="0"/>
    <x v="2121"/>
  </r>
  <r>
    <x v="238"/>
    <x v="2086"/>
    <x v="0"/>
    <x v="824"/>
    <n v="35.76"/>
    <x v="0"/>
    <s v="Oct 2024"/>
    <n v="11"/>
    <s v="Repeat"/>
    <x v="0"/>
    <x v="2122"/>
  </r>
  <r>
    <x v="238"/>
    <x v="2087"/>
    <x v="0"/>
    <x v="824"/>
    <n v="35.76"/>
    <x v="0"/>
    <s v="Oct 2024"/>
    <n v="11"/>
    <s v="Repeat"/>
    <x v="0"/>
    <x v="2123"/>
  </r>
  <r>
    <x v="238"/>
    <x v="2088"/>
    <x v="0"/>
    <x v="707"/>
    <n v="35.76"/>
    <x v="1"/>
    <s v="Oct 2024"/>
    <n v="12"/>
    <s v="Repeat"/>
    <x v="0"/>
    <x v="2124"/>
  </r>
  <r>
    <x v="238"/>
    <x v="2089"/>
    <x v="0"/>
    <x v="825"/>
    <n v="30.86"/>
    <x v="3"/>
    <s v="Oct 2024"/>
    <n v="12"/>
    <s v="Single"/>
    <x v="1"/>
    <x v="2125"/>
  </r>
  <r>
    <x v="238"/>
    <x v="2090"/>
    <x v="0"/>
    <x v="826"/>
    <n v="35.76"/>
    <x v="7"/>
    <s v="Oct 2024"/>
    <n v="12"/>
    <s v="Single"/>
    <x v="1"/>
    <x v="2126"/>
  </r>
  <r>
    <x v="238"/>
    <x v="2091"/>
    <x v="0"/>
    <x v="819"/>
    <n v="30.86"/>
    <x v="3"/>
    <s v="Oct 2024"/>
    <n v="14"/>
    <s v="Repeat"/>
    <x v="0"/>
    <x v="2127"/>
  </r>
  <r>
    <x v="238"/>
    <x v="2092"/>
    <x v="0"/>
    <x v="819"/>
    <n v="30.86"/>
    <x v="3"/>
    <s v="Oct 2024"/>
    <n v="14"/>
    <s v="Repeat"/>
    <x v="0"/>
    <x v="2128"/>
  </r>
  <r>
    <x v="238"/>
    <x v="2093"/>
    <x v="0"/>
    <x v="827"/>
    <n v="30.86"/>
    <x v="3"/>
    <s v="Oct 2024"/>
    <n v="14"/>
    <s v="Single"/>
    <x v="1"/>
    <x v="2129"/>
  </r>
  <r>
    <x v="238"/>
    <x v="2094"/>
    <x v="0"/>
    <x v="159"/>
    <n v="35.76"/>
    <x v="0"/>
    <s v="Oct 2024"/>
    <n v="16"/>
    <s v="Repeat"/>
    <x v="0"/>
    <x v="2130"/>
  </r>
  <r>
    <x v="238"/>
    <x v="2095"/>
    <x v="0"/>
    <x v="828"/>
    <n v="35.76"/>
    <x v="4"/>
    <s v="Oct 2024"/>
    <n v="17"/>
    <s v="Repeat"/>
    <x v="0"/>
    <x v="2131"/>
  </r>
  <r>
    <x v="238"/>
    <x v="2096"/>
    <x v="0"/>
    <x v="828"/>
    <n v="35.76"/>
    <x v="4"/>
    <s v="Oct 2024"/>
    <n v="17"/>
    <s v="Repeat"/>
    <x v="0"/>
    <x v="2132"/>
  </r>
  <r>
    <x v="238"/>
    <x v="2097"/>
    <x v="0"/>
    <x v="257"/>
    <n v="35.76"/>
    <x v="7"/>
    <s v="Oct 2024"/>
    <n v="19"/>
    <s v="Repeat"/>
    <x v="0"/>
    <x v="2133"/>
  </r>
  <r>
    <x v="238"/>
    <x v="2098"/>
    <x v="0"/>
    <x v="329"/>
    <n v="30.86"/>
    <x v="3"/>
    <s v="Oct 2024"/>
    <n v="21"/>
    <s v="Repeat"/>
    <x v="0"/>
    <x v="2134"/>
  </r>
  <r>
    <x v="238"/>
    <x v="2099"/>
    <x v="0"/>
    <x v="695"/>
    <n v="30.86"/>
    <x v="3"/>
    <s v="Oct 2024"/>
    <n v="22"/>
    <s v="Repeat"/>
    <x v="0"/>
    <x v="2135"/>
  </r>
  <r>
    <x v="239"/>
    <x v="2100"/>
    <x v="0"/>
    <x v="804"/>
    <n v="35.76"/>
    <x v="0"/>
    <s v="Oct 2024"/>
    <n v="8"/>
    <s v="Repeat"/>
    <x v="0"/>
    <x v="2136"/>
  </r>
  <r>
    <x v="239"/>
    <x v="2101"/>
    <x v="0"/>
    <x v="683"/>
    <n v="35.76"/>
    <x v="0"/>
    <s v="Oct 2024"/>
    <n v="8"/>
    <s v="Repeat"/>
    <x v="0"/>
    <x v="2137"/>
  </r>
  <r>
    <x v="239"/>
    <x v="2102"/>
    <x v="0"/>
    <x v="570"/>
    <n v="35.76"/>
    <x v="0"/>
    <s v="Oct 2024"/>
    <n v="9"/>
    <s v="Repeat"/>
    <x v="0"/>
    <x v="2138"/>
  </r>
  <r>
    <x v="239"/>
    <x v="2103"/>
    <x v="0"/>
    <x v="829"/>
    <n v="30.86"/>
    <x v="3"/>
    <s v="Oct 2024"/>
    <n v="11"/>
    <s v="Single"/>
    <x v="1"/>
    <x v="2139"/>
  </r>
  <r>
    <x v="239"/>
    <x v="2104"/>
    <x v="0"/>
    <x v="830"/>
    <n v="21.06"/>
    <x v="6"/>
    <s v="Oct 2024"/>
    <n v="12"/>
    <s v="Single"/>
    <x v="1"/>
    <x v="2140"/>
  </r>
  <r>
    <x v="239"/>
    <x v="2105"/>
    <x v="0"/>
    <x v="831"/>
    <n v="25.96"/>
    <x v="5"/>
    <s v="Oct 2024"/>
    <n v="14"/>
    <s v="Repeat"/>
    <x v="0"/>
    <x v="2141"/>
  </r>
  <r>
    <x v="239"/>
    <x v="2106"/>
    <x v="0"/>
    <x v="831"/>
    <n v="25.96"/>
    <x v="5"/>
    <s v="Oct 2024"/>
    <n v="14"/>
    <s v="Repeat"/>
    <x v="0"/>
    <x v="2142"/>
  </r>
  <r>
    <x v="239"/>
    <x v="2107"/>
    <x v="0"/>
    <x v="832"/>
    <n v="35.76"/>
    <x v="7"/>
    <s v="Oct 2024"/>
    <n v="14"/>
    <s v="Single"/>
    <x v="1"/>
    <x v="2143"/>
  </r>
  <r>
    <x v="239"/>
    <x v="2108"/>
    <x v="0"/>
    <x v="833"/>
    <n v="35.76"/>
    <x v="1"/>
    <s v="Oct 2024"/>
    <n v="16"/>
    <s v="Single"/>
    <x v="1"/>
    <x v="2144"/>
  </r>
  <r>
    <x v="239"/>
    <x v="2109"/>
    <x v="0"/>
    <x v="834"/>
    <n v="35.76"/>
    <x v="4"/>
    <s v="Oct 2024"/>
    <n v="16"/>
    <s v="Single"/>
    <x v="1"/>
    <x v="2145"/>
  </r>
  <r>
    <x v="239"/>
    <x v="2110"/>
    <x v="0"/>
    <x v="225"/>
    <n v="35.76"/>
    <x v="4"/>
    <s v="Oct 2024"/>
    <n v="16"/>
    <s v="Repeat"/>
    <x v="0"/>
    <x v="2146"/>
  </r>
  <r>
    <x v="239"/>
    <x v="2111"/>
    <x v="0"/>
    <x v="835"/>
    <n v="30.86"/>
    <x v="3"/>
    <s v="Oct 2024"/>
    <n v="18"/>
    <s v="Repeat"/>
    <x v="0"/>
    <x v="2147"/>
  </r>
  <r>
    <x v="239"/>
    <x v="2112"/>
    <x v="0"/>
    <x v="835"/>
    <n v="30.86"/>
    <x v="3"/>
    <s v="Oct 2024"/>
    <n v="18"/>
    <s v="Repeat"/>
    <x v="0"/>
    <x v="2148"/>
  </r>
  <r>
    <x v="239"/>
    <x v="2113"/>
    <x v="0"/>
    <x v="836"/>
    <n v="30.86"/>
    <x v="3"/>
    <s v="Oct 2024"/>
    <n v="19"/>
    <s v="Single"/>
    <x v="1"/>
    <x v="2149"/>
  </r>
  <r>
    <x v="239"/>
    <x v="2114"/>
    <x v="0"/>
    <x v="206"/>
    <n v="35.76"/>
    <x v="7"/>
    <s v="Oct 2024"/>
    <n v="19"/>
    <s v="Repeat"/>
    <x v="0"/>
    <x v="2150"/>
  </r>
  <r>
    <x v="239"/>
    <x v="2115"/>
    <x v="0"/>
    <x v="507"/>
    <n v="35.76"/>
    <x v="1"/>
    <s v="Oct 2024"/>
    <n v="19"/>
    <s v="Repeat"/>
    <x v="0"/>
    <x v="2151"/>
  </r>
  <r>
    <x v="239"/>
    <x v="2116"/>
    <x v="0"/>
    <x v="507"/>
    <n v="35.76"/>
    <x v="0"/>
    <s v="Oct 2024"/>
    <n v="19"/>
    <s v="Repeat"/>
    <x v="0"/>
    <x v="2152"/>
  </r>
  <r>
    <x v="239"/>
    <x v="2117"/>
    <x v="0"/>
    <x v="799"/>
    <n v="35.76"/>
    <x v="0"/>
    <s v="Oct 2024"/>
    <n v="20"/>
    <s v="Repeat"/>
    <x v="0"/>
    <x v="2153"/>
  </r>
  <r>
    <x v="240"/>
    <x v="2118"/>
    <x v="0"/>
    <x v="703"/>
    <n v="35.76"/>
    <x v="0"/>
    <s v="Oct 2024"/>
    <n v="7"/>
    <s v="Repeat"/>
    <x v="0"/>
    <x v="2154"/>
  </r>
  <r>
    <x v="240"/>
    <x v="2119"/>
    <x v="0"/>
    <x v="571"/>
    <n v="30.86"/>
    <x v="3"/>
    <s v="Oct 2024"/>
    <n v="8"/>
    <s v="Repeat"/>
    <x v="0"/>
    <x v="2155"/>
  </r>
  <r>
    <x v="240"/>
    <x v="2120"/>
    <x v="0"/>
    <x v="571"/>
    <n v="30.86"/>
    <x v="3"/>
    <s v="Oct 2024"/>
    <n v="8"/>
    <s v="Repeat"/>
    <x v="0"/>
    <x v="2156"/>
  </r>
  <r>
    <x v="240"/>
    <x v="2121"/>
    <x v="0"/>
    <x v="837"/>
    <n v="35.76"/>
    <x v="0"/>
    <s v="Oct 2024"/>
    <n v="9"/>
    <s v="Single"/>
    <x v="1"/>
    <x v="2157"/>
  </r>
  <r>
    <x v="240"/>
    <x v="2122"/>
    <x v="0"/>
    <x v="838"/>
    <n v="35.76"/>
    <x v="0"/>
    <s v="Oct 2024"/>
    <n v="10"/>
    <s v="Repeat"/>
    <x v="0"/>
    <x v="2158"/>
  </r>
  <r>
    <x v="240"/>
    <x v="2123"/>
    <x v="0"/>
    <x v="838"/>
    <n v="35.76"/>
    <x v="0"/>
    <s v="Oct 2024"/>
    <n v="10"/>
    <s v="Repeat"/>
    <x v="0"/>
    <x v="2159"/>
  </r>
  <r>
    <x v="240"/>
    <x v="2124"/>
    <x v="0"/>
    <x v="375"/>
    <n v="35.76"/>
    <x v="0"/>
    <s v="Oct 2024"/>
    <n v="12"/>
    <s v="Repeat"/>
    <x v="0"/>
    <x v="2160"/>
  </r>
  <r>
    <x v="240"/>
    <x v="2125"/>
    <x v="0"/>
    <x v="375"/>
    <n v="25.96"/>
    <x v="2"/>
    <s v="Oct 2024"/>
    <n v="12"/>
    <s v="Repeat"/>
    <x v="0"/>
    <x v="2161"/>
  </r>
  <r>
    <x v="240"/>
    <x v="2126"/>
    <x v="0"/>
    <x v="734"/>
    <n v="30.86"/>
    <x v="3"/>
    <s v="Oct 2024"/>
    <n v="12"/>
    <s v="Repeat"/>
    <x v="0"/>
    <x v="2162"/>
  </r>
  <r>
    <x v="240"/>
    <x v="2127"/>
    <x v="0"/>
    <x v="839"/>
    <n v="25.96"/>
    <x v="2"/>
    <s v="Oct 2024"/>
    <n v="12"/>
    <s v="Single"/>
    <x v="1"/>
    <x v="2163"/>
  </r>
  <r>
    <x v="240"/>
    <x v="2128"/>
    <x v="0"/>
    <x v="507"/>
    <n v="35.76"/>
    <x v="0"/>
    <s v="Oct 2024"/>
    <n v="15"/>
    <s v="Repeat"/>
    <x v="0"/>
    <x v="2164"/>
  </r>
  <r>
    <x v="240"/>
    <x v="2129"/>
    <x v="0"/>
    <x v="507"/>
    <n v="35.76"/>
    <x v="0"/>
    <s v="Oct 2024"/>
    <n v="15"/>
    <s v="Repeat"/>
    <x v="0"/>
    <x v="2165"/>
  </r>
  <r>
    <x v="240"/>
    <x v="2130"/>
    <x v="0"/>
    <x v="840"/>
    <n v="30.86"/>
    <x v="3"/>
    <s v="Oct 2024"/>
    <n v="16"/>
    <s v="Single"/>
    <x v="1"/>
    <x v="2166"/>
  </r>
  <r>
    <x v="240"/>
    <x v="2131"/>
    <x v="0"/>
    <x v="841"/>
    <n v="35.76"/>
    <x v="1"/>
    <s v="Oct 2024"/>
    <n v="18"/>
    <s v="Single"/>
    <x v="1"/>
    <x v="2167"/>
  </r>
  <r>
    <x v="240"/>
    <x v="2132"/>
    <x v="0"/>
    <x v="819"/>
    <n v="30.86"/>
    <x v="3"/>
    <s v="Oct 2024"/>
    <n v="19"/>
    <s v="Repeat"/>
    <x v="0"/>
    <x v="2168"/>
  </r>
  <r>
    <x v="240"/>
    <x v="2133"/>
    <x v="0"/>
    <x v="842"/>
    <n v="30.86"/>
    <x v="3"/>
    <s v="Oct 2024"/>
    <n v="19"/>
    <s v="Repeat"/>
    <x v="0"/>
    <x v="2169"/>
  </r>
  <r>
    <x v="241"/>
    <x v="2134"/>
    <x v="0"/>
    <x v="703"/>
    <n v="35.76"/>
    <x v="0"/>
    <s v="Oct 2024"/>
    <n v="7"/>
    <s v="Repeat"/>
    <x v="0"/>
    <x v="2170"/>
  </r>
  <r>
    <x v="241"/>
    <x v="2135"/>
    <x v="0"/>
    <x v="683"/>
    <n v="35.76"/>
    <x v="0"/>
    <s v="Oct 2024"/>
    <n v="8"/>
    <s v="Repeat"/>
    <x v="0"/>
    <x v="2171"/>
  </r>
  <r>
    <x v="241"/>
    <x v="2136"/>
    <x v="0"/>
    <x v="276"/>
    <n v="30.86"/>
    <x v="3"/>
    <s v="Oct 2024"/>
    <n v="9"/>
    <s v="Repeat"/>
    <x v="0"/>
    <x v="2172"/>
  </r>
  <r>
    <x v="241"/>
    <x v="2137"/>
    <x v="0"/>
    <x v="843"/>
    <n v="35.76"/>
    <x v="0"/>
    <s v="Oct 2024"/>
    <n v="15"/>
    <s v="Single"/>
    <x v="1"/>
    <x v="2173"/>
  </r>
  <r>
    <x v="241"/>
    <x v="2138"/>
    <x v="0"/>
    <x v="844"/>
    <n v="30.86"/>
    <x v="3"/>
    <s v="Oct 2024"/>
    <n v="16"/>
    <s v="Single"/>
    <x v="1"/>
    <x v="2174"/>
  </r>
  <r>
    <x v="242"/>
    <x v="2139"/>
    <x v="0"/>
    <x v="842"/>
    <n v="35.76"/>
    <x v="4"/>
    <s v="Nov 2024"/>
    <n v="8"/>
    <s v="Repeat"/>
    <x v="0"/>
    <x v="2175"/>
  </r>
  <r>
    <x v="242"/>
    <x v="2140"/>
    <x v="0"/>
    <x v="304"/>
    <n v="25.96"/>
    <x v="2"/>
    <s v="Nov 2024"/>
    <n v="8"/>
    <s v="Repeat"/>
    <x v="0"/>
    <x v="2176"/>
  </r>
  <r>
    <x v="242"/>
    <x v="29"/>
    <x v="0"/>
    <x v="612"/>
    <n v="35.76"/>
    <x v="0"/>
    <s v="Nov 2024"/>
    <n v="10"/>
    <s v="Repeat"/>
    <x v="0"/>
    <x v="2177"/>
  </r>
  <r>
    <x v="242"/>
    <x v="2141"/>
    <x v="0"/>
    <x v="12"/>
    <n v="35.76"/>
    <x v="4"/>
    <s v="Nov 2024"/>
    <n v="12"/>
    <s v="Repeat"/>
    <x v="0"/>
    <x v="2178"/>
  </r>
  <r>
    <x v="242"/>
    <x v="2142"/>
    <x v="0"/>
    <x v="12"/>
    <n v="35.76"/>
    <x v="4"/>
    <s v="Nov 2024"/>
    <n v="12"/>
    <s v="Repeat"/>
    <x v="0"/>
    <x v="2179"/>
  </r>
  <r>
    <x v="242"/>
    <x v="2143"/>
    <x v="0"/>
    <x v="845"/>
    <n v="25.96"/>
    <x v="5"/>
    <s v="Nov 2024"/>
    <n v="15"/>
    <s v="Single"/>
    <x v="1"/>
    <x v="2180"/>
  </r>
  <r>
    <x v="242"/>
    <x v="2144"/>
    <x v="0"/>
    <x v="695"/>
    <n v="30.86"/>
    <x v="3"/>
    <s v="Nov 2024"/>
    <n v="22"/>
    <s v="Repeat"/>
    <x v="0"/>
    <x v="2181"/>
  </r>
  <r>
    <x v="243"/>
    <x v="2145"/>
    <x v="0"/>
    <x v="141"/>
    <n v="25.96"/>
    <x v="5"/>
    <s v="Nov 2024"/>
    <n v="8"/>
    <s v="Repeat"/>
    <x v="0"/>
    <x v="2182"/>
  </r>
  <r>
    <x v="243"/>
    <x v="2146"/>
    <x v="0"/>
    <x v="828"/>
    <n v="35.76"/>
    <x v="4"/>
    <s v="Nov 2024"/>
    <n v="10"/>
    <s v="Repeat"/>
    <x v="0"/>
    <x v="2183"/>
  </r>
  <r>
    <x v="243"/>
    <x v="2147"/>
    <x v="0"/>
    <x v="97"/>
    <n v="30.86"/>
    <x v="3"/>
    <s v="Nov 2024"/>
    <n v="10"/>
    <s v="Repeat"/>
    <x v="0"/>
    <x v="2184"/>
  </r>
  <r>
    <x v="243"/>
    <x v="2148"/>
    <x v="0"/>
    <x v="846"/>
    <n v="30.86"/>
    <x v="3"/>
    <s v="Nov 2024"/>
    <n v="14"/>
    <s v="Single"/>
    <x v="1"/>
    <x v="2185"/>
  </r>
  <r>
    <x v="243"/>
    <x v="2149"/>
    <x v="0"/>
    <x v="507"/>
    <n v="35.76"/>
    <x v="1"/>
    <s v="Nov 2024"/>
    <n v="16"/>
    <s v="Repeat"/>
    <x v="0"/>
    <x v="2186"/>
  </r>
  <r>
    <x v="243"/>
    <x v="2150"/>
    <x v="0"/>
    <x v="507"/>
    <n v="35.76"/>
    <x v="0"/>
    <s v="Nov 2024"/>
    <n v="16"/>
    <s v="Repeat"/>
    <x v="0"/>
    <x v="2187"/>
  </r>
  <r>
    <x v="243"/>
    <x v="2151"/>
    <x v="0"/>
    <x v="847"/>
    <n v="35.76"/>
    <x v="0"/>
    <s v="Nov 2024"/>
    <n v="16"/>
    <s v="Single"/>
    <x v="1"/>
    <x v="2188"/>
  </r>
  <r>
    <x v="243"/>
    <x v="2152"/>
    <x v="0"/>
    <x v="620"/>
    <n v="30.86"/>
    <x v="3"/>
    <s v="Nov 2024"/>
    <n v="18"/>
    <s v="Repeat"/>
    <x v="0"/>
    <x v="2189"/>
  </r>
  <r>
    <x v="243"/>
    <x v="2153"/>
    <x v="0"/>
    <x v="848"/>
    <n v="25.96"/>
    <x v="2"/>
    <s v="Nov 2024"/>
    <n v="18"/>
    <s v="Single"/>
    <x v="1"/>
    <x v="2190"/>
  </r>
  <r>
    <x v="244"/>
    <x v="2154"/>
    <x v="0"/>
    <x v="141"/>
    <n v="25.96"/>
    <x v="5"/>
    <s v="Nov 2024"/>
    <n v="8"/>
    <s v="Repeat"/>
    <x v="0"/>
    <x v="2191"/>
  </r>
  <r>
    <x v="244"/>
    <x v="2155"/>
    <x v="0"/>
    <x v="40"/>
    <n v="30.86"/>
    <x v="3"/>
    <s v="Nov 2024"/>
    <n v="9"/>
    <s v="Repeat"/>
    <x v="0"/>
    <x v="2192"/>
  </r>
  <r>
    <x v="244"/>
    <x v="2156"/>
    <x v="0"/>
    <x v="40"/>
    <n v="30.86"/>
    <x v="3"/>
    <s v="Nov 2024"/>
    <n v="9"/>
    <s v="Repeat"/>
    <x v="0"/>
    <x v="2193"/>
  </r>
  <r>
    <x v="244"/>
    <x v="2157"/>
    <x v="0"/>
    <x v="849"/>
    <n v="35.76"/>
    <x v="0"/>
    <s v="Nov 2024"/>
    <n v="13"/>
    <s v="Repeat"/>
    <x v="0"/>
    <x v="2194"/>
  </r>
  <r>
    <x v="244"/>
    <x v="2158"/>
    <x v="0"/>
    <x v="849"/>
    <n v="30.86"/>
    <x v="3"/>
    <s v="Nov 2024"/>
    <n v="13"/>
    <s v="Repeat"/>
    <x v="0"/>
    <x v="2195"/>
  </r>
  <r>
    <x v="244"/>
    <x v="2159"/>
    <x v="0"/>
    <x v="228"/>
    <n v="35.76"/>
    <x v="4"/>
    <s v="Nov 2024"/>
    <n v="13"/>
    <s v="Repeat"/>
    <x v="0"/>
    <x v="2196"/>
  </r>
  <r>
    <x v="244"/>
    <x v="2160"/>
    <x v="0"/>
    <x v="850"/>
    <n v="25.96"/>
    <x v="2"/>
    <s v="Nov 2024"/>
    <n v="13"/>
    <s v="Single"/>
    <x v="1"/>
    <x v="2197"/>
  </r>
  <r>
    <x v="244"/>
    <x v="2161"/>
    <x v="0"/>
    <x v="851"/>
    <n v="30.86"/>
    <x v="3"/>
    <s v="Nov 2024"/>
    <n v="13"/>
    <s v="Repeat"/>
    <x v="0"/>
    <x v="2198"/>
  </r>
  <r>
    <x v="244"/>
    <x v="2162"/>
    <x v="0"/>
    <x v="622"/>
    <n v="35.76"/>
    <x v="1"/>
    <s v="Nov 2024"/>
    <n v="16"/>
    <s v="Repeat"/>
    <x v="0"/>
    <x v="2199"/>
  </r>
  <r>
    <x v="244"/>
    <x v="2163"/>
    <x v="0"/>
    <x v="622"/>
    <n v="35.76"/>
    <x v="1"/>
    <s v="Nov 2024"/>
    <n v="16"/>
    <s v="Repeat"/>
    <x v="0"/>
    <x v="2200"/>
  </r>
  <r>
    <x v="244"/>
    <x v="2164"/>
    <x v="0"/>
    <x v="852"/>
    <n v="25.96"/>
    <x v="2"/>
    <s v="Nov 2024"/>
    <n v="16"/>
    <s v="Repeat"/>
    <x v="0"/>
    <x v="2201"/>
  </r>
  <r>
    <x v="244"/>
    <x v="2165"/>
    <x v="0"/>
    <x v="852"/>
    <n v="25.96"/>
    <x v="2"/>
    <s v="Nov 2024"/>
    <n v="16"/>
    <s v="Repeat"/>
    <x v="0"/>
    <x v="2202"/>
  </r>
  <r>
    <x v="244"/>
    <x v="2166"/>
    <x v="0"/>
    <x v="225"/>
    <n v="35.76"/>
    <x v="4"/>
    <s v="Nov 2024"/>
    <n v="20"/>
    <s v="Repeat"/>
    <x v="0"/>
    <x v="2203"/>
  </r>
  <r>
    <x v="245"/>
    <x v="2167"/>
    <x v="0"/>
    <x v="696"/>
    <n v="35.76"/>
    <x v="0"/>
    <s v="Nov 2024"/>
    <n v="7"/>
    <s v="Repeat"/>
    <x v="0"/>
    <x v="2204"/>
  </r>
  <r>
    <x v="245"/>
    <x v="2168"/>
    <x v="0"/>
    <x v="276"/>
    <n v="35.76"/>
    <x v="0"/>
    <s v="Nov 2024"/>
    <n v="8"/>
    <s v="Repeat"/>
    <x v="0"/>
    <x v="2205"/>
  </r>
  <r>
    <x v="245"/>
    <x v="2169"/>
    <x v="0"/>
    <x v="276"/>
    <n v="30.86"/>
    <x v="3"/>
    <s v="Nov 2024"/>
    <n v="8"/>
    <s v="Repeat"/>
    <x v="0"/>
    <x v="2206"/>
  </r>
  <r>
    <x v="245"/>
    <x v="2170"/>
    <x v="0"/>
    <x v="853"/>
    <n v="25.96"/>
    <x v="2"/>
    <s v="Nov 2024"/>
    <n v="12"/>
    <s v="Single"/>
    <x v="1"/>
    <x v="2207"/>
  </r>
  <r>
    <x v="245"/>
    <x v="1375"/>
    <x v="0"/>
    <x v="854"/>
    <n v="30.86"/>
    <x v="3"/>
    <s v="Nov 2024"/>
    <n v="12"/>
    <s v="Single"/>
    <x v="1"/>
    <x v="2208"/>
  </r>
  <r>
    <x v="245"/>
    <x v="2171"/>
    <x v="0"/>
    <x v="12"/>
    <n v="35.76"/>
    <x v="4"/>
    <s v="Nov 2024"/>
    <n v="14"/>
    <s v="Repeat"/>
    <x v="0"/>
    <x v="2209"/>
  </r>
  <r>
    <x v="245"/>
    <x v="2172"/>
    <x v="0"/>
    <x v="12"/>
    <n v="35.76"/>
    <x v="4"/>
    <s v="Nov 2024"/>
    <n v="14"/>
    <s v="Repeat"/>
    <x v="0"/>
    <x v="2210"/>
  </r>
  <r>
    <x v="246"/>
    <x v="2173"/>
    <x v="0"/>
    <x v="696"/>
    <n v="35.76"/>
    <x v="4"/>
    <s v="Nov 2024"/>
    <n v="7"/>
    <s v="Repeat"/>
    <x v="0"/>
    <x v="2211"/>
  </r>
  <r>
    <x v="246"/>
    <x v="2174"/>
    <x v="0"/>
    <x v="276"/>
    <n v="30.86"/>
    <x v="3"/>
    <s v="Nov 2024"/>
    <n v="9"/>
    <s v="Repeat"/>
    <x v="0"/>
    <x v="2212"/>
  </r>
  <r>
    <x v="246"/>
    <x v="2175"/>
    <x v="0"/>
    <x v="731"/>
    <n v="35.76"/>
    <x v="7"/>
    <s v="Nov 2024"/>
    <n v="9"/>
    <s v="Repeat"/>
    <x v="0"/>
    <x v="2213"/>
  </r>
  <r>
    <x v="246"/>
    <x v="2176"/>
    <x v="0"/>
    <x v="731"/>
    <n v="30.86"/>
    <x v="3"/>
    <s v="Nov 2024"/>
    <n v="9"/>
    <s v="Repeat"/>
    <x v="0"/>
    <x v="2214"/>
  </r>
  <r>
    <x v="246"/>
    <x v="1997"/>
    <x v="0"/>
    <x v="12"/>
    <n v="30.86"/>
    <x v="3"/>
    <s v="Nov 2024"/>
    <n v="10"/>
    <s v="Repeat"/>
    <x v="0"/>
    <x v="2215"/>
  </r>
  <r>
    <x v="246"/>
    <x v="2177"/>
    <x v="0"/>
    <x v="855"/>
    <n v="35.76"/>
    <x v="4"/>
    <s v="Nov 2024"/>
    <n v="11"/>
    <s v="Single"/>
    <x v="1"/>
    <x v="2216"/>
  </r>
  <r>
    <x v="246"/>
    <x v="2178"/>
    <x v="0"/>
    <x v="856"/>
    <n v="35.76"/>
    <x v="0"/>
    <s v="Nov 2024"/>
    <n v="11"/>
    <s v="Single"/>
    <x v="1"/>
    <x v="2217"/>
  </r>
  <r>
    <x v="246"/>
    <x v="2179"/>
    <x v="0"/>
    <x v="857"/>
    <n v="35.76"/>
    <x v="0"/>
    <s v="Nov 2024"/>
    <n v="14"/>
    <s v="Single"/>
    <x v="1"/>
    <x v="2218"/>
  </r>
  <r>
    <x v="246"/>
    <x v="2180"/>
    <x v="0"/>
    <x v="858"/>
    <n v="35.76"/>
    <x v="0"/>
    <s v="Nov 2024"/>
    <n v="14"/>
    <s v="Single"/>
    <x v="1"/>
    <x v="2219"/>
  </r>
  <r>
    <x v="246"/>
    <x v="2181"/>
    <x v="0"/>
    <x v="455"/>
    <n v="35.76"/>
    <x v="7"/>
    <s v="Nov 2024"/>
    <n v="18"/>
    <s v="Repeat"/>
    <x v="0"/>
    <x v="2220"/>
  </r>
  <r>
    <x v="246"/>
    <x v="2182"/>
    <x v="0"/>
    <x v="455"/>
    <n v="35.76"/>
    <x v="7"/>
    <s v="Nov 2024"/>
    <n v="18"/>
    <s v="Repeat"/>
    <x v="0"/>
    <x v="2221"/>
  </r>
  <r>
    <x v="246"/>
    <x v="2183"/>
    <x v="0"/>
    <x v="455"/>
    <n v="35.76"/>
    <x v="7"/>
    <s v="Nov 2024"/>
    <n v="18"/>
    <s v="Repeat"/>
    <x v="0"/>
    <x v="2222"/>
  </r>
  <r>
    <x v="246"/>
    <x v="2184"/>
    <x v="0"/>
    <x v="859"/>
    <n v="35.76"/>
    <x v="4"/>
    <s v="Nov 2024"/>
    <n v="21"/>
    <s v="Repeat"/>
    <x v="0"/>
    <x v="2223"/>
  </r>
  <r>
    <x v="246"/>
    <x v="2185"/>
    <x v="0"/>
    <x v="859"/>
    <n v="35.76"/>
    <x v="4"/>
    <s v="Nov 2024"/>
    <n v="21"/>
    <s v="Repeat"/>
    <x v="0"/>
    <x v="2224"/>
  </r>
  <r>
    <x v="246"/>
    <x v="2186"/>
    <x v="0"/>
    <x v="722"/>
    <n v="35.76"/>
    <x v="1"/>
    <s v="Nov 2024"/>
    <n v="21"/>
    <s v="Repeat"/>
    <x v="0"/>
    <x v="2225"/>
  </r>
  <r>
    <x v="246"/>
    <x v="2099"/>
    <x v="0"/>
    <x v="637"/>
    <n v="35.76"/>
    <x v="1"/>
    <s v="Nov 2024"/>
    <n v="22"/>
    <s v="Repeat"/>
    <x v="0"/>
    <x v="2226"/>
  </r>
  <r>
    <x v="246"/>
    <x v="2187"/>
    <x v="0"/>
    <x v="637"/>
    <n v="30.86"/>
    <x v="3"/>
    <s v="Nov 2024"/>
    <n v="22"/>
    <s v="Repeat"/>
    <x v="0"/>
    <x v="2227"/>
  </r>
  <r>
    <x v="247"/>
    <x v="2188"/>
    <x v="0"/>
    <x v="570"/>
    <n v="35.76"/>
    <x v="0"/>
    <s v="Nov 2024"/>
    <n v="8"/>
    <s v="Repeat"/>
    <x v="0"/>
    <x v="2228"/>
  </r>
  <r>
    <x v="247"/>
    <x v="2189"/>
    <x v="0"/>
    <x v="860"/>
    <n v="21.06"/>
    <x v="6"/>
    <s v="Nov 2024"/>
    <n v="11"/>
    <s v="Single"/>
    <x v="1"/>
    <x v="2229"/>
  </r>
  <r>
    <x v="247"/>
    <x v="2190"/>
    <x v="0"/>
    <x v="742"/>
    <n v="25.96"/>
    <x v="2"/>
    <s v="Nov 2024"/>
    <n v="13"/>
    <s v="Repeat"/>
    <x v="0"/>
    <x v="2230"/>
  </r>
  <r>
    <x v="247"/>
    <x v="2191"/>
    <x v="0"/>
    <x v="622"/>
    <n v="35.76"/>
    <x v="7"/>
    <s v="Nov 2024"/>
    <n v="15"/>
    <s v="Repeat"/>
    <x v="0"/>
    <x v="2231"/>
  </r>
  <r>
    <x v="247"/>
    <x v="2192"/>
    <x v="0"/>
    <x v="861"/>
    <n v="35.76"/>
    <x v="0"/>
    <s v="Nov 2024"/>
    <n v="16"/>
    <s v="Single"/>
    <x v="1"/>
    <x v="2232"/>
  </r>
  <r>
    <x v="247"/>
    <x v="2193"/>
    <x v="0"/>
    <x v="862"/>
    <n v="35.76"/>
    <x v="7"/>
    <s v="Nov 2024"/>
    <n v="16"/>
    <s v="Repeat"/>
    <x v="0"/>
    <x v="2233"/>
  </r>
  <r>
    <x v="247"/>
    <x v="2194"/>
    <x v="0"/>
    <x v="863"/>
    <n v="35.76"/>
    <x v="1"/>
    <s v="Nov 2024"/>
    <n v="18"/>
    <s v="Repeat"/>
    <x v="0"/>
    <x v="2234"/>
  </r>
  <r>
    <x v="247"/>
    <x v="2195"/>
    <x v="0"/>
    <x v="863"/>
    <n v="35.76"/>
    <x v="1"/>
    <s v="Nov 2024"/>
    <n v="18"/>
    <s v="Repeat"/>
    <x v="0"/>
    <x v="2235"/>
  </r>
  <r>
    <x v="248"/>
    <x v="2196"/>
    <x v="0"/>
    <x v="864"/>
    <n v="35.76"/>
    <x v="0"/>
    <s v="Nov 2024"/>
    <n v="12"/>
    <s v="Single"/>
    <x v="1"/>
    <x v="2236"/>
  </r>
  <r>
    <x v="248"/>
    <x v="2197"/>
    <x v="0"/>
    <x v="865"/>
    <n v="25.96"/>
    <x v="2"/>
    <s v="Nov 2024"/>
    <n v="15"/>
    <s v="Single"/>
    <x v="1"/>
    <x v="2237"/>
  </r>
  <r>
    <x v="248"/>
    <x v="2198"/>
    <x v="0"/>
    <x v="866"/>
    <n v="25.96"/>
    <x v="2"/>
    <s v="Nov 2024"/>
    <n v="16"/>
    <s v="Single"/>
    <x v="1"/>
    <x v="2238"/>
  </r>
  <r>
    <x v="248"/>
    <x v="2199"/>
    <x v="0"/>
    <x v="828"/>
    <n v="35.76"/>
    <x v="4"/>
    <s v="Nov 2024"/>
    <n v="18"/>
    <s v="Repeat"/>
    <x v="0"/>
    <x v="2239"/>
  </r>
  <r>
    <x v="248"/>
    <x v="2200"/>
    <x v="0"/>
    <x v="867"/>
    <n v="35.76"/>
    <x v="1"/>
    <s v="Nov 2024"/>
    <n v="19"/>
    <s v="Repeat"/>
    <x v="0"/>
    <x v="2240"/>
  </r>
  <r>
    <x v="248"/>
    <x v="811"/>
    <x v="0"/>
    <x v="867"/>
    <n v="35.76"/>
    <x v="0"/>
    <s v="Nov 2024"/>
    <n v="19"/>
    <s v="Repeat"/>
    <x v="0"/>
    <x v="2241"/>
  </r>
  <r>
    <x v="248"/>
    <x v="2201"/>
    <x v="0"/>
    <x v="507"/>
    <n v="35.76"/>
    <x v="0"/>
    <s v="Nov 2024"/>
    <n v="20"/>
    <s v="Repeat"/>
    <x v="0"/>
    <x v="2242"/>
  </r>
  <r>
    <x v="249"/>
    <x v="2202"/>
    <x v="0"/>
    <x v="276"/>
    <n v="30.86"/>
    <x v="3"/>
    <s v="Nov 2024"/>
    <n v="9"/>
    <s v="Repeat"/>
    <x v="0"/>
    <x v="2243"/>
  </r>
  <r>
    <x v="249"/>
    <x v="2203"/>
    <x v="0"/>
    <x v="375"/>
    <n v="25.96"/>
    <x v="2"/>
    <s v="Nov 2024"/>
    <n v="9"/>
    <s v="Repeat"/>
    <x v="0"/>
    <x v="2244"/>
  </r>
  <r>
    <x v="249"/>
    <x v="2204"/>
    <x v="0"/>
    <x v="375"/>
    <n v="25.96"/>
    <x v="2"/>
    <s v="Nov 2024"/>
    <n v="9"/>
    <s v="Repeat"/>
    <x v="0"/>
    <x v="2245"/>
  </r>
  <r>
    <x v="249"/>
    <x v="2205"/>
    <x v="0"/>
    <x v="494"/>
    <n v="35.76"/>
    <x v="7"/>
    <s v="Nov 2024"/>
    <n v="11"/>
    <s v="Repeat"/>
    <x v="0"/>
    <x v="2246"/>
  </r>
  <r>
    <x v="249"/>
    <x v="2206"/>
    <x v="0"/>
    <x v="868"/>
    <n v="35.76"/>
    <x v="0"/>
    <s v="Nov 2024"/>
    <n v="13"/>
    <s v="Repeat"/>
    <x v="0"/>
    <x v="2247"/>
  </r>
  <r>
    <x v="249"/>
    <x v="2207"/>
    <x v="0"/>
    <x v="868"/>
    <n v="35.76"/>
    <x v="0"/>
    <s v="Nov 2024"/>
    <n v="13"/>
    <s v="Repeat"/>
    <x v="0"/>
    <x v="2248"/>
  </r>
  <r>
    <x v="249"/>
    <x v="2208"/>
    <x v="0"/>
    <x v="869"/>
    <n v="30.86"/>
    <x v="3"/>
    <s v="Nov 2024"/>
    <n v="16"/>
    <s v="Single"/>
    <x v="1"/>
    <x v="2249"/>
  </r>
  <r>
    <x v="249"/>
    <x v="2209"/>
    <x v="0"/>
    <x v="870"/>
    <n v="30.86"/>
    <x v="3"/>
    <s v="Nov 2024"/>
    <n v="16"/>
    <s v="Single"/>
    <x v="1"/>
    <x v="2250"/>
  </r>
  <r>
    <x v="249"/>
    <x v="1483"/>
    <x v="0"/>
    <x v="871"/>
    <n v="35.76"/>
    <x v="1"/>
    <s v="Nov 2024"/>
    <n v="20"/>
    <s v="Repeat"/>
    <x v="0"/>
    <x v="2251"/>
  </r>
  <r>
    <x v="249"/>
    <x v="2210"/>
    <x v="0"/>
    <x v="872"/>
    <n v="35.76"/>
    <x v="1"/>
    <s v="Nov 2024"/>
    <n v="20"/>
    <s v="Repeat"/>
    <x v="0"/>
    <x v="2252"/>
  </r>
  <r>
    <x v="249"/>
    <x v="2211"/>
    <x v="0"/>
    <x v="872"/>
    <n v="35.76"/>
    <x v="1"/>
    <s v="Nov 2024"/>
    <n v="20"/>
    <s v="Repeat"/>
    <x v="0"/>
    <x v="2253"/>
  </r>
  <r>
    <x v="249"/>
    <x v="2212"/>
    <x v="0"/>
    <x v="690"/>
    <n v="35.76"/>
    <x v="0"/>
    <s v="Nov 2024"/>
    <n v="22"/>
    <s v="Repeat"/>
    <x v="0"/>
    <x v="2254"/>
  </r>
  <r>
    <x v="250"/>
    <x v="2213"/>
    <x v="0"/>
    <x v="276"/>
    <n v="30.86"/>
    <x v="3"/>
    <s v="Nov 2024"/>
    <n v="10"/>
    <s v="Repeat"/>
    <x v="0"/>
    <x v="2255"/>
  </r>
  <r>
    <x v="250"/>
    <x v="2214"/>
    <x v="0"/>
    <x v="141"/>
    <n v="25.96"/>
    <x v="5"/>
    <s v="Nov 2024"/>
    <n v="11"/>
    <s v="Repeat"/>
    <x v="0"/>
    <x v="2256"/>
  </r>
  <r>
    <x v="250"/>
    <x v="2215"/>
    <x v="0"/>
    <x v="141"/>
    <n v="25.96"/>
    <x v="5"/>
    <s v="Nov 2024"/>
    <n v="11"/>
    <s v="Repeat"/>
    <x v="0"/>
    <x v="2257"/>
  </r>
  <r>
    <x v="250"/>
    <x v="2216"/>
    <x v="0"/>
    <x v="873"/>
    <n v="35.76"/>
    <x v="0"/>
    <s v="Nov 2024"/>
    <n v="11"/>
    <s v="Single"/>
    <x v="1"/>
    <x v="2258"/>
  </r>
  <r>
    <x v="250"/>
    <x v="2217"/>
    <x v="0"/>
    <x v="871"/>
    <n v="35.76"/>
    <x v="1"/>
    <s v="Nov 2024"/>
    <n v="13"/>
    <s v="Repeat"/>
    <x v="0"/>
    <x v="2259"/>
  </r>
  <r>
    <x v="250"/>
    <x v="2218"/>
    <x v="0"/>
    <x v="871"/>
    <n v="35.76"/>
    <x v="1"/>
    <s v="Nov 2024"/>
    <n v="13"/>
    <s v="Repeat"/>
    <x v="0"/>
    <x v="2260"/>
  </r>
  <r>
    <x v="250"/>
    <x v="2219"/>
    <x v="0"/>
    <x v="874"/>
    <n v="35.76"/>
    <x v="1"/>
    <s v="Nov 2024"/>
    <n v="14"/>
    <s v="Repeat"/>
    <x v="0"/>
    <x v="2261"/>
  </r>
  <r>
    <x v="250"/>
    <x v="2220"/>
    <x v="0"/>
    <x v="874"/>
    <n v="35.76"/>
    <x v="1"/>
    <s v="Nov 2024"/>
    <n v="14"/>
    <s v="Repeat"/>
    <x v="0"/>
    <x v="2262"/>
  </r>
  <r>
    <x v="250"/>
    <x v="2221"/>
    <x v="0"/>
    <x v="875"/>
    <n v="25.96"/>
    <x v="2"/>
    <s v="Nov 2024"/>
    <n v="14"/>
    <s v="Single"/>
    <x v="1"/>
    <x v="2263"/>
  </r>
  <r>
    <x v="250"/>
    <x v="2222"/>
    <x v="0"/>
    <x v="276"/>
    <n v="30.86"/>
    <x v="3"/>
    <s v="Nov 2024"/>
    <n v="15"/>
    <s v="Repeat"/>
    <x v="0"/>
    <x v="2264"/>
  </r>
  <r>
    <x v="250"/>
    <x v="2223"/>
    <x v="0"/>
    <x v="570"/>
    <n v="35.76"/>
    <x v="0"/>
    <s v="Nov 2024"/>
    <n v="16"/>
    <s v="Repeat"/>
    <x v="0"/>
    <x v="2265"/>
  </r>
  <r>
    <x v="250"/>
    <x v="2224"/>
    <x v="0"/>
    <x v="570"/>
    <n v="35.76"/>
    <x v="4"/>
    <s v="Nov 2024"/>
    <n v="16"/>
    <s v="Repeat"/>
    <x v="0"/>
    <x v="2266"/>
  </r>
  <r>
    <x v="250"/>
    <x v="2225"/>
    <x v="0"/>
    <x v="876"/>
    <n v="25.96"/>
    <x v="2"/>
    <s v="Nov 2024"/>
    <n v="20"/>
    <s v="Repeat"/>
    <x v="0"/>
    <x v="2267"/>
  </r>
  <r>
    <x v="250"/>
    <x v="2226"/>
    <x v="0"/>
    <x v="876"/>
    <n v="35.76"/>
    <x v="0"/>
    <s v="Nov 2024"/>
    <n v="20"/>
    <s v="Repeat"/>
    <x v="0"/>
    <x v="2268"/>
  </r>
  <r>
    <x v="250"/>
    <x v="2227"/>
    <x v="0"/>
    <x v="877"/>
    <n v="35.76"/>
    <x v="4"/>
    <s v="Nov 2024"/>
    <n v="22"/>
    <s v="Repeat"/>
    <x v="0"/>
    <x v="2269"/>
  </r>
  <r>
    <x v="250"/>
    <x v="2228"/>
    <x v="0"/>
    <x v="878"/>
    <n v="25.96"/>
    <x v="2"/>
    <s v="Nov 2024"/>
    <n v="22"/>
    <s v="Repeat"/>
    <x v="0"/>
    <x v="2270"/>
  </r>
  <r>
    <x v="250"/>
    <x v="2229"/>
    <x v="0"/>
    <x v="879"/>
    <n v="25.96"/>
    <x v="2"/>
    <s v="Nov 2024"/>
    <n v="22"/>
    <s v="Single"/>
    <x v="1"/>
    <x v="2271"/>
  </r>
  <r>
    <x v="251"/>
    <x v="2230"/>
    <x v="0"/>
    <x v="880"/>
    <n v="25.96"/>
    <x v="2"/>
    <s v="Nov 2024"/>
    <n v="9"/>
    <s v="Single"/>
    <x v="1"/>
    <x v="2272"/>
  </r>
  <r>
    <x v="251"/>
    <x v="2231"/>
    <x v="0"/>
    <x v="881"/>
    <n v="35.76"/>
    <x v="4"/>
    <s v="Nov 2024"/>
    <n v="17"/>
    <s v="Single"/>
    <x v="1"/>
    <x v="2273"/>
  </r>
  <r>
    <x v="251"/>
    <x v="2232"/>
    <x v="0"/>
    <x v="882"/>
    <n v="35.76"/>
    <x v="1"/>
    <s v="Nov 2024"/>
    <n v="18"/>
    <s v="Single"/>
    <x v="1"/>
    <x v="2274"/>
  </r>
  <r>
    <x v="251"/>
    <x v="313"/>
    <x v="0"/>
    <x v="883"/>
    <n v="35.76"/>
    <x v="1"/>
    <s v="Nov 2024"/>
    <n v="18"/>
    <s v="Single"/>
    <x v="1"/>
    <x v="2275"/>
  </r>
  <r>
    <x v="251"/>
    <x v="2233"/>
    <x v="0"/>
    <x v="884"/>
    <n v="35.76"/>
    <x v="7"/>
    <s v="Nov 2024"/>
    <n v="20"/>
    <s v="Repeat"/>
    <x v="0"/>
    <x v="2276"/>
  </r>
  <r>
    <x v="251"/>
    <x v="2234"/>
    <x v="0"/>
    <x v="884"/>
    <n v="35.76"/>
    <x v="7"/>
    <s v="Nov 2024"/>
    <n v="20"/>
    <s v="Repeat"/>
    <x v="0"/>
    <x v="2277"/>
  </r>
  <r>
    <x v="252"/>
    <x v="2235"/>
    <x v="0"/>
    <x v="696"/>
    <n v="35.76"/>
    <x v="7"/>
    <s v="Nov 2024"/>
    <n v="7"/>
    <s v="Repeat"/>
    <x v="0"/>
    <x v="2278"/>
  </r>
  <r>
    <x v="252"/>
    <x v="2236"/>
    <x v="0"/>
    <x v="276"/>
    <n v="30.86"/>
    <x v="3"/>
    <s v="Nov 2024"/>
    <n v="9"/>
    <s v="Repeat"/>
    <x v="0"/>
    <x v="2279"/>
  </r>
  <r>
    <x v="252"/>
    <x v="2237"/>
    <x v="0"/>
    <x v="141"/>
    <n v="25.96"/>
    <x v="5"/>
    <s v="Nov 2024"/>
    <n v="10"/>
    <s v="Repeat"/>
    <x v="0"/>
    <x v="2280"/>
  </r>
  <r>
    <x v="252"/>
    <x v="2238"/>
    <x v="0"/>
    <x v="206"/>
    <n v="35.76"/>
    <x v="7"/>
    <s v="Nov 2024"/>
    <n v="16"/>
    <s v="Repeat"/>
    <x v="0"/>
    <x v="2281"/>
  </r>
  <r>
    <x v="252"/>
    <x v="2239"/>
    <x v="0"/>
    <x v="206"/>
    <n v="35.76"/>
    <x v="1"/>
    <s v="Nov 2024"/>
    <n v="16"/>
    <s v="Repeat"/>
    <x v="0"/>
    <x v="2282"/>
  </r>
  <r>
    <x v="252"/>
    <x v="2240"/>
    <x v="0"/>
    <x v="885"/>
    <n v="35.76"/>
    <x v="7"/>
    <s v="Nov 2024"/>
    <n v="17"/>
    <s v="Single"/>
    <x v="1"/>
    <x v="2283"/>
  </r>
  <r>
    <x v="252"/>
    <x v="2241"/>
    <x v="0"/>
    <x v="886"/>
    <n v="35.76"/>
    <x v="0"/>
    <s v="Nov 2024"/>
    <n v="19"/>
    <s v="Repeat"/>
    <x v="0"/>
    <x v="2284"/>
  </r>
  <r>
    <x v="252"/>
    <x v="2242"/>
    <x v="0"/>
    <x v="887"/>
    <n v="35.76"/>
    <x v="1"/>
    <s v="Nov 2024"/>
    <n v="19"/>
    <s v="Single"/>
    <x v="1"/>
    <x v="2285"/>
  </r>
  <r>
    <x v="252"/>
    <x v="2243"/>
    <x v="0"/>
    <x v="888"/>
    <n v="35.76"/>
    <x v="0"/>
    <s v="Nov 2024"/>
    <n v="21"/>
    <s v="Repeat"/>
    <x v="0"/>
    <x v="2286"/>
  </r>
  <r>
    <x v="252"/>
    <x v="2244"/>
    <x v="0"/>
    <x v="888"/>
    <n v="35.76"/>
    <x v="0"/>
    <s v="Nov 2024"/>
    <n v="21"/>
    <s v="Repeat"/>
    <x v="0"/>
    <x v="2287"/>
  </r>
  <r>
    <x v="253"/>
    <x v="2245"/>
    <x v="0"/>
    <x v="889"/>
    <n v="35.76"/>
    <x v="0"/>
    <s v="Nov 2024"/>
    <n v="10"/>
    <s v="Single"/>
    <x v="1"/>
    <x v="2288"/>
  </r>
  <r>
    <x v="253"/>
    <x v="2246"/>
    <x v="0"/>
    <x v="890"/>
    <n v="35.76"/>
    <x v="0"/>
    <s v="Nov 2024"/>
    <n v="13"/>
    <s v="Single"/>
    <x v="1"/>
    <x v="2289"/>
  </r>
  <r>
    <x v="253"/>
    <x v="2247"/>
    <x v="0"/>
    <x v="691"/>
    <n v="35.76"/>
    <x v="0"/>
    <s v="Nov 2024"/>
    <n v="14"/>
    <s v="Repeat"/>
    <x v="0"/>
    <x v="2290"/>
  </r>
  <r>
    <x v="253"/>
    <x v="2248"/>
    <x v="0"/>
    <x v="891"/>
    <n v="35.76"/>
    <x v="1"/>
    <s v="Nov 2024"/>
    <n v="16"/>
    <s v="Repeat"/>
    <x v="0"/>
    <x v="2291"/>
  </r>
  <r>
    <x v="253"/>
    <x v="2249"/>
    <x v="0"/>
    <x v="891"/>
    <n v="35.76"/>
    <x v="1"/>
    <s v="Nov 2024"/>
    <n v="16"/>
    <s v="Repeat"/>
    <x v="0"/>
    <x v="2292"/>
  </r>
  <r>
    <x v="253"/>
    <x v="2250"/>
    <x v="0"/>
    <x v="891"/>
    <n v="35.76"/>
    <x v="4"/>
    <s v="Nov 2024"/>
    <n v="16"/>
    <s v="Repeat"/>
    <x v="0"/>
    <x v="2293"/>
  </r>
  <r>
    <x v="253"/>
    <x v="2251"/>
    <x v="0"/>
    <x v="696"/>
    <n v="35.76"/>
    <x v="7"/>
    <s v="Nov 2024"/>
    <n v="18"/>
    <s v="Repeat"/>
    <x v="0"/>
    <x v="2294"/>
  </r>
  <r>
    <x v="253"/>
    <x v="2252"/>
    <x v="0"/>
    <x v="892"/>
    <n v="35.76"/>
    <x v="0"/>
    <s v="Nov 2024"/>
    <n v="20"/>
    <s v="Repeat"/>
    <x v="0"/>
    <x v="2295"/>
  </r>
  <r>
    <x v="253"/>
    <x v="2253"/>
    <x v="0"/>
    <x v="893"/>
    <n v="35.76"/>
    <x v="4"/>
    <s v="Nov 2024"/>
    <n v="20"/>
    <s v="Single"/>
    <x v="1"/>
    <x v="2296"/>
  </r>
  <r>
    <x v="254"/>
    <x v="2254"/>
    <x v="0"/>
    <x v="894"/>
    <n v="30.86"/>
    <x v="3"/>
    <s v="Nov 2024"/>
    <n v="8"/>
    <s v="Single"/>
    <x v="1"/>
    <x v="2297"/>
  </r>
  <r>
    <x v="254"/>
    <x v="2255"/>
    <x v="0"/>
    <x v="892"/>
    <n v="35.76"/>
    <x v="0"/>
    <s v="Nov 2024"/>
    <n v="10"/>
    <s v="Repeat"/>
    <x v="0"/>
    <x v="2298"/>
  </r>
  <r>
    <x v="254"/>
    <x v="2256"/>
    <x v="0"/>
    <x v="895"/>
    <n v="30.86"/>
    <x v="3"/>
    <s v="Nov 2024"/>
    <n v="13"/>
    <s v="Repeat"/>
    <x v="0"/>
    <x v="2299"/>
  </r>
  <r>
    <x v="254"/>
    <x v="2257"/>
    <x v="0"/>
    <x v="895"/>
    <n v="30.86"/>
    <x v="3"/>
    <s v="Nov 2024"/>
    <n v="13"/>
    <s v="Repeat"/>
    <x v="0"/>
    <x v="2300"/>
  </r>
  <r>
    <x v="254"/>
    <x v="244"/>
    <x v="0"/>
    <x v="896"/>
    <n v="30.86"/>
    <x v="3"/>
    <s v="Nov 2024"/>
    <n v="14"/>
    <s v="Repeat"/>
    <x v="0"/>
    <x v="2301"/>
  </r>
  <r>
    <x v="254"/>
    <x v="2258"/>
    <x v="0"/>
    <x v="892"/>
    <n v="35.76"/>
    <x v="0"/>
    <s v="Nov 2024"/>
    <n v="14"/>
    <s v="Repeat"/>
    <x v="0"/>
    <x v="2302"/>
  </r>
  <r>
    <x v="255"/>
    <x v="2259"/>
    <x v="0"/>
    <x v="892"/>
    <n v="35.76"/>
    <x v="0"/>
    <s v="Nov 2024"/>
    <n v="9"/>
    <s v="Repeat"/>
    <x v="0"/>
    <x v="2303"/>
  </r>
  <r>
    <x v="255"/>
    <x v="2260"/>
    <x v="0"/>
    <x v="897"/>
    <n v="25.96"/>
    <x v="2"/>
    <s v="Nov 2024"/>
    <n v="10"/>
    <s v="Single"/>
    <x v="1"/>
    <x v="2304"/>
  </r>
  <r>
    <x v="255"/>
    <x v="2261"/>
    <x v="0"/>
    <x v="898"/>
    <n v="21.06"/>
    <x v="6"/>
    <s v="Nov 2024"/>
    <n v="12"/>
    <s v="Single"/>
    <x v="1"/>
    <x v="2305"/>
  </r>
  <r>
    <x v="255"/>
    <x v="2262"/>
    <x v="0"/>
    <x v="899"/>
    <n v="35.76"/>
    <x v="7"/>
    <s v="Nov 2024"/>
    <n v="15"/>
    <s v="Single"/>
    <x v="1"/>
    <x v="2306"/>
  </r>
  <r>
    <x v="255"/>
    <x v="2263"/>
    <x v="0"/>
    <x v="900"/>
    <n v="35.76"/>
    <x v="0"/>
    <s v="Nov 2024"/>
    <n v="15"/>
    <s v="Repeat"/>
    <x v="0"/>
    <x v="2307"/>
  </r>
  <r>
    <x v="255"/>
    <x v="2264"/>
    <x v="0"/>
    <x v="900"/>
    <n v="35.76"/>
    <x v="7"/>
    <s v="Nov 2024"/>
    <n v="15"/>
    <s v="Repeat"/>
    <x v="0"/>
    <x v="2308"/>
  </r>
  <r>
    <x v="255"/>
    <x v="2265"/>
    <x v="0"/>
    <x v="819"/>
    <n v="30.86"/>
    <x v="3"/>
    <s v="Nov 2024"/>
    <n v="16"/>
    <s v="Repeat"/>
    <x v="0"/>
    <x v="2309"/>
  </r>
  <r>
    <x v="255"/>
    <x v="2266"/>
    <x v="0"/>
    <x v="819"/>
    <n v="35.76"/>
    <x v="7"/>
    <s v="Nov 2024"/>
    <n v="16"/>
    <s v="Repeat"/>
    <x v="0"/>
    <x v="2310"/>
  </r>
  <r>
    <x v="255"/>
    <x v="357"/>
    <x v="0"/>
    <x v="507"/>
    <n v="35.76"/>
    <x v="1"/>
    <s v="Nov 2024"/>
    <n v="19"/>
    <s v="Repeat"/>
    <x v="0"/>
    <x v="2311"/>
  </r>
  <r>
    <x v="255"/>
    <x v="2267"/>
    <x v="0"/>
    <x v="507"/>
    <n v="35.76"/>
    <x v="1"/>
    <s v="Nov 2024"/>
    <n v="19"/>
    <s v="Repeat"/>
    <x v="0"/>
    <x v="2312"/>
  </r>
  <r>
    <x v="255"/>
    <x v="2268"/>
    <x v="0"/>
    <x v="877"/>
    <n v="35.76"/>
    <x v="4"/>
    <s v="Nov 2024"/>
    <n v="20"/>
    <s v="Repeat"/>
    <x v="0"/>
    <x v="2313"/>
  </r>
  <r>
    <x v="255"/>
    <x v="2269"/>
    <x v="0"/>
    <x v="877"/>
    <n v="35.76"/>
    <x v="1"/>
    <s v="Nov 2024"/>
    <n v="20"/>
    <s v="Repeat"/>
    <x v="0"/>
    <x v="2314"/>
  </r>
  <r>
    <x v="255"/>
    <x v="2270"/>
    <x v="0"/>
    <x v="19"/>
    <n v="35.76"/>
    <x v="0"/>
    <s v="Nov 2024"/>
    <n v="21"/>
    <s v="Repeat"/>
    <x v="0"/>
    <x v="2315"/>
  </r>
  <r>
    <x v="255"/>
    <x v="2271"/>
    <x v="0"/>
    <x v="901"/>
    <n v="35.76"/>
    <x v="0"/>
    <s v="Nov 2024"/>
    <n v="22"/>
    <s v="Single"/>
    <x v="1"/>
    <x v="2316"/>
  </r>
  <r>
    <x v="256"/>
    <x v="2272"/>
    <x v="0"/>
    <x v="902"/>
    <n v="30.86"/>
    <x v="3"/>
    <s v="Nov 2024"/>
    <n v="8"/>
    <s v="Single"/>
    <x v="1"/>
    <x v="2317"/>
  </r>
  <r>
    <x v="256"/>
    <x v="2273"/>
    <x v="0"/>
    <x v="769"/>
    <n v="30.86"/>
    <x v="3"/>
    <s v="Nov 2024"/>
    <n v="11"/>
    <s v="Repeat"/>
    <x v="0"/>
    <x v="2318"/>
  </r>
  <r>
    <x v="256"/>
    <x v="2274"/>
    <x v="0"/>
    <x v="903"/>
    <n v="35.76"/>
    <x v="4"/>
    <s v="Nov 2024"/>
    <n v="12"/>
    <s v="Repeat"/>
    <x v="0"/>
    <x v="2319"/>
  </r>
  <r>
    <x v="256"/>
    <x v="2275"/>
    <x v="0"/>
    <x v="904"/>
    <n v="35.76"/>
    <x v="4"/>
    <s v="Nov 2024"/>
    <n v="12"/>
    <s v="Single"/>
    <x v="1"/>
    <x v="2320"/>
  </r>
  <r>
    <x v="256"/>
    <x v="1392"/>
    <x v="0"/>
    <x v="494"/>
    <n v="35.76"/>
    <x v="0"/>
    <s v="Nov 2024"/>
    <n v="13"/>
    <s v="Repeat"/>
    <x v="0"/>
    <x v="2321"/>
  </r>
  <r>
    <x v="256"/>
    <x v="2276"/>
    <x v="0"/>
    <x v="905"/>
    <n v="25.96"/>
    <x v="2"/>
    <s v="Nov 2024"/>
    <n v="15"/>
    <s v="Single"/>
    <x v="1"/>
    <x v="2322"/>
  </r>
  <r>
    <x v="256"/>
    <x v="2277"/>
    <x v="0"/>
    <x v="851"/>
    <n v="30.86"/>
    <x v="3"/>
    <s v="Nov 2024"/>
    <n v="17"/>
    <s v="Repeat"/>
    <x v="0"/>
    <x v="2323"/>
  </r>
  <r>
    <x v="256"/>
    <x v="2278"/>
    <x v="0"/>
    <x v="906"/>
    <n v="35.76"/>
    <x v="0"/>
    <s v="Nov 2024"/>
    <n v="17"/>
    <s v="Repeat"/>
    <x v="0"/>
    <x v="2324"/>
  </r>
  <r>
    <x v="256"/>
    <x v="2279"/>
    <x v="0"/>
    <x v="907"/>
    <n v="35.76"/>
    <x v="1"/>
    <s v="Nov 2024"/>
    <n v="18"/>
    <s v="Repeat"/>
    <x v="0"/>
    <x v="2325"/>
  </r>
  <r>
    <x v="256"/>
    <x v="2280"/>
    <x v="0"/>
    <x v="287"/>
    <n v="30.86"/>
    <x v="3"/>
    <s v="Nov 2024"/>
    <n v="18"/>
    <s v="Repeat"/>
    <x v="0"/>
    <x v="2326"/>
  </r>
  <r>
    <x v="256"/>
    <x v="2281"/>
    <x v="0"/>
    <x v="287"/>
    <n v="30.86"/>
    <x v="3"/>
    <s v="Nov 2024"/>
    <n v="18"/>
    <s v="Repeat"/>
    <x v="0"/>
    <x v="2327"/>
  </r>
  <r>
    <x v="257"/>
    <x v="2282"/>
    <x v="0"/>
    <x v="141"/>
    <n v="25.96"/>
    <x v="5"/>
    <s v="Nov 2024"/>
    <n v="10"/>
    <s v="Repeat"/>
    <x v="0"/>
    <x v="2328"/>
  </r>
  <r>
    <x v="257"/>
    <x v="2283"/>
    <x v="0"/>
    <x v="908"/>
    <n v="25.96"/>
    <x v="5"/>
    <s v="Nov 2024"/>
    <n v="10"/>
    <s v="Single"/>
    <x v="1"/>
    <x v="2329"/>
  </r>
  <r>
    <x v="257"/>
    <x v="2284"/>
    <x v="0"/>
    <x v="909"/>
    <n v="35.76"/>
    <x v="1"/>
    <s v="Nov 2024"/>
    <n v="11"/>
    <s v="Single"/>
    <x v="1"/>
    <x v="2330"/>
  </r>
  <r>
    <x v="257"/>
    <x v="2285"/>
    <x v="0"/>
    <x v="910"/>
    <n v="35.76"/>
    <x v="0"/>
    <s v="Nov 2024"/>
    <n v="11"/>
    <s v="Single"/>
    <x v="1"/>
    <x v="2331"/>
  </r>
  <r>
    <x v="257"/>
    <x v="2286"/>
    <x v="0"/>
    <x v="302"/>
    <n v="25.96"/>
    <x v="2"/>
    <s v="Nov 2024"/>
    <n v="11"/>
    <s v="Repeat"/>
    <x v="0"/>
    <x v="2332"/>
  </r>
  <r>
    <x v="257"/>
    <x v="2287"/>
    <x v="0"/>
    <x v="911"/>
    <n v="35.76"/>
    <x v="7"/>
    <s v="Nov 2024"/>
    <n v="12"/>
    <s v="Single"/>
    <x v="1"/>
    <x v="2333"/>
  </r>
  <r>
    <x v="257"/>
    <x v="2288"/>
    <x v="0"/>
    <x v="912"/>
    <n v="30.86"/>
    <x v="3"/>
    <s v="Nov 2024"/>
    <n v="12"/>
    <s v="Single"/>
    <x v="1"/>
    <x v="2334"/>
  </r>
  <r>
    <x v="257"/>
    <x v="2289"/>
    <x v="0"/>
    <x v="913"/>
    <n v="35.76"/>
    <x v="0"/>
    <s v="Nov 2024"/>
    <n v="12"/>
    <s v="Repeat"/>
    <x v="0"/>
    <x v="2335"/>
  </r>
  <r>
    <x v="257"/>
    <x v="2290"/>
    <x v="0"/>
    <x v="913"/>
    <n v="35.76"/>
    <x v="0"/>
    <s v="Nov 2024"/>
    <n v="12"/>
    <s v="Repeat"/>
    <x v="0"/>
    <x v="2336"/>
  </r>
  <r>
    <x v="257"/>
    <x v="2291"/>
    <x v="0"/>
    <x v="819"/>
    <n v="30.86"/>
    <x v="3"/>
    <s v="Nov 2024"/>
    <n v="13"/>
    <s v="Repeat"/>
    <x v="0"/>
    <x v="2337"/>
  </r>
  <r>
    <x v="257"/>
    <x v="2292"/>
    <x v="0"/>
    <x v="914"/>
    <n v="35.76"/>
    <x v="0"/>
    <s v="Nov 2024"/>
    <n v="13"/>
    <s v="Repeat"/>
    <x v="0"/>
    <x v="2338"/>
  </r>
  <r>
    <x v="257"/>
    <x v="2293"/>
    <x v="0"/>
    <x v="914"/>
    <n v="35.76"/>
    <x v="0"/>
    <s v="Nov 2024"/>
    <n v="13"/>
    <s v="Repeat"/>
    <x v="0"/>
    <x v="2339"/>
  </r>
  <r>
    <x v="257"/>
    <x v="1689"/>
    <x v="0"/>
    <x v="915"/>
    <n v="30.86"/>
    <x v="3"/>
    <s v="Nov 2024"/>
    <n v="14"/>
    <s v="Single"/>
    <x v="1"/>
    <x v="2340"/>
  </r>
  <r>
    <x v="258"/>
    <x v="2294"/>
    <x v="0"/>
    <x v="916"/>
    <n v="30.86"/>
    <x v="3"/>
    <s v="Nov 2024"/>
    <n v="10"/>
    <s v="Single"/>
    <x v="1"/>
    <x v="2341"/>
  </r>
  <r>
    <x v="258"/>
    <x v="2295"/>
    <x v="0"/>
    <x v="917"/>
    <n v="30.86"/>
    <x v="3"/>
    <s v="Nov 2024"/>
    <n v="13"/>
    <s v="Single"/>
    <x v="1"/>
    <x v="2342"/>
  </r>
  <r>
    <x v="258"/>
    <x v="2296"/>
    <x v="0"/>
    <x v="918"/>
    <n v="25.96"/>
    <x v="2"/>
    <s v="Nov 2024"/>
    <n v="14"/>
    <s v="Single"/>
    <x v="1"/>
    <x v="2343"/>
  </r>
  <r>
    <x v="258"/>
    <x v="1859"/>
    <x v="0"/>
    <x v="919"/>
    <n v="30.86"/>
    <x v="3"/>
    <s v="Nov 2024"/>
    <n v="14"/>
    <s v="Single"/>
    <x v="1"/>
    <x v="2344"/>
  </r>
  <r>
    <x v="258"/>
    <x v="2297"/>
    <x v="0"/>
    <x v="920"/>
    <n v="35.76"/>
    <x v="0"/>
    <s v="Nov 2024"/>
    <n v="16"/>
    <s v="Repeat"/>
    <x v="0"/>
    <x v="2345"/>
  </r>
  <r>
    <x v="258"/>
    <x v="2298"/>
    <x v="0"/>
    <x v="920"/>
    <n v="35.76"/>
    <x v="0"/>
    <s v="Nov 2024"/>
    <n v="16"/>
    <s v="Repeat"/>
    <x v="0"/>
    <x v="2346"/>
  </r>
  <r>
    <x v="258"/>
    <x v="2299"/>
    <x v="0"/>
    <x v="921"/>
    <n v="35.76"/>
    <x v="1"/>
    <s v="Nov 2024"/>
    <n v="18"/>
    <s v="Single"/>
    <x v="1"/>
    <x v="2347"/>
  </r>
  <r>
    <x v="258"/>
    <x v="2300"/>
    <x v="0"/>
    <x v="922"/>
    <n v="35.76"/>
    <x v="1"/>
    <s v="Nov 2024"/>
    <n v="19"/>
    <s v="Repeat"/>
    <x v="0"/>
    <x v="2348"/>
  </r>
  <r>
    <x v="258"/>
    <x v="2301"/>
    <x v="0"/>
    <x v="922"/>
    <n v="35.76"/>
    <x v="1"/>
    <s v="Nov 2024"/>
    <n v="19"/>
    <s v="Repeat"/>
    <x v="0"/>
    <x v="2349"/>
  </r>
  <r>
    <x v="259"/>
    <x v="2302"/>
    <x v="0"/>
    <x v="769"/>
    <n v="30.86"/>
    <x v="3"/>
    <s v="Nov 2024"/>
    <n v="7"/>
    <s v="Repeat"/>
    <x v="0"/>
    <x v="2350"/>
  </r>
  <r>
    <x v="259"/>
    <x v="2303"/>
    <x v="0"/>
    <x v="923"/>
    <n v="30.86"/>
    <x v="3"/>
    <s v="Nov 2024"/>
    <n v="7"/>
    <s v="Repeat"/>
    <x v="0"/>
    <x v="2351"/>
  </r>
  <r>
    <x v="259"/>
    <x v="2304"/>
    <x v="0"/>
    <x v="570"/>
    <n v="35.76"/>
    <x v="0"/>
    <s v="Nov 2024"/>
    <n v="7"/>
    <s v="Repeat"/>
    <x v="0"/>
    <x v="2352"/>
  </r>
  <r>
    <x v="259"/>
    <x v="2305"/>
    <x v="0"/>
    <x v="924"/>
    <n v="35.76"/>
    <x v="0"/>
    <s v="Nov 2024"/>
    <n v="16"/>
    <s v="Single"/>
    <x v="1"/>
    <x v="2353"/>
  </r>
  <r>
    <x v="259"/>
    <x v="2306"/>
    <x v="0"/>
    <x v="906"/>
    <n v="35.76"/>
    <x v="0"/>
    <s v="Nov 2024"/>
    <n v="16"/>
    <s v="Repeat"/>
    <x v="0"/>
    <x v="2354"/>
  </r>
  <r>
    <x v="259"/>
    <x v="2307"/>
    <x v="0"/>
    <x v="925"/>
    <n v="35.76"/>
    <x v="0"/>
    <s v="Nov 2024"/>
    <n v="18"/>
    <s v="Single"/>
    <x v="1"/>
    <x v="2355"/>
  </r>
  <r>
    <x v="260"/>
    <x v="2308"/>
    <x v="0"/>
    <x v="696"/>
    <n v="35.76"/>
    <x v="4"/>
    <s v="Nov 2024"/>
    <n v="7"/>
    <s v="Repeat"/>
    <x v="0"/>
    <x v="2356"/>
  </r>
  <r>
    <x v="260"/>
    <x v="1484"/>
    <x v="0"/>
    <x v="923"/>
    <n v="30.86"/>
    <x v="3"/>
    <s v="Nov 2024"/>
    <n v="7"/>
    <s v="Repeat"/>
    <x v="0"/>
    <x v="2357"/>
  </r>
  <r>
    <x v="260"/>
    <x v="2309"/>
    <x v="0"/>
    <x v="923"/>
    <n v="35.76"/>
    <x v="0"/>
    <s v="Nov 2024"/>
    <n v="7"/>
    <s v="Repeat"/>
    <x v="0"/>
    <x v="2358"/>
  </r>
  <r>
    <x v="260"/>
    <x v="2310"/>
    <x v="0"/>
    <x v="926"/>
    <n v="21.06"/>
    <x v="6"/>
    <s v="Nov 2024"/>
    <n v="7"/>
    <s v="Single"/>
    <x v="1"/>
    <x v="2359"/>
  </r>
  <r>
    <x v="260"/>
    <x v="2311"/>
    <x v="0"/>
    <x v="927"/>
    <n v="35.76"/>
    <x v="0"/>
    <s v="Nov 2024"/>
    <n v="7"/>
    <s v="Single"/>
    <x v="1"/>
    <x v="2360"/>
  </r>
  <r>
    <x v="260"/>
    <x v="2312"/>
    <x v="0"/>
    <x v="276"/>
    <n v="30.86"/>
    <x v="3"/>
    <s v="Nov 2024"/>
    <n v="10"/>
    <s v="Repeat"/>
    <x v="0"/>
    <x v="2361"/>
  </r>
  <r>
    <x v="260"/>
    <x v="2313"/>
    <x v="0"/>
    <x v="928"/>
    <n v="35.76"/>
    <x v="0"/>
    <s v="Nov 2024"/>
    <n v="11"/>
    <s v="Single"/>
    <x v="1"/>
    <x v="2362"/>
  </r>
  <r>
    <x v="260"/>
    <x v="2314"/>
    <x v="0"/>
    <x v="12"/>
    <n v="35.76"/>
    <x v="4"/>
    <s v="Nov 2024"/>
    <n v="16"/>
    <s v="Repeat"/>
    <x v="0"/>
    <x v="2363"/>
  </r>
  <r>
    <x v="260"/>
    <x v="2315"/>
    <x v="0"/>
    <x v="12"/>
    <n v="35.76"/>
    <x v="4"/>
    <s v="Nov 2024"/>
    <n v="16"/>
    <s v="Repeat"/>
    <x v="0"/>
    <x v="2364"/>
  </r>
  <r>
    <x v="260"/>
    <x v="2316"/>
    <x v="0"/>
    <x v="206"/>
    <n v="35.76"/>
    <x v="7"/>
    <s v="Nov 2024"/>
    <n v="16"/>
    <s v="Repeat"/>
    <x v="0"/>
    <x v="2365"/>
  </r>
  <r>
    <x v="260"/>
    <x v="2317"/>
    <x v="0"/>
    <x v="929"/>
    <n v="35.76"/>
    <x v="7"/>
    <s v="Nov 2024"/>
    <n v="16"/>
    <s v="Single"/>
    <x v="1"/>
    <x v="2366"/>
  </r>
  <r>
    <x v="261"/>
    <x v="2318"/>
    <x v="0"/>
    <x v="930"/>
    <n v="30.86"/>
    <x v="3"/>
    <s v="Nov 2024"/>
    <n v="13"/>
    <s v="Single"/>
    <x v="1"/>
    <x v="2367"/>
  </r>
  <r>
    <x v="261"/>
    <x v="2319"/>
    <x v="0"/>
    <x v="906"/>
    <n v="35.76"/>
    <x v="0"/>
    <s v="Nov 2024"/>
    <n v="16"/>
    <s v="Repeat"/>
    <x v="0"/>
    <x v="2368"/>
  </r>
  <r>
    <x v="261"/>
    <x v="2320"/>
    <x v="0"/>
    <x v="931"/>
    <n v="35.76"/>
    <x v="7"/>
    <s v="Nov 2024"/>
    <n v="17"/>
    <s v="Repeat"/>
    <x v="0"/>
    <x v="2369"/>
  </r>
  <r>
    <x v="261"/>
    <x v="2321"/>
    <x v="0"/>
    <x v="931"/>
    <n v="35.76"/>
    <x v="1"/>
    <s v="Nov 2024"/>
    <n v="17"/>
    <s v="Repeat"/>
    <x v="0"/>
    <x v="2370"/>
  </r>
  <r>
    <x v="262"/>
    <x v="2322"/>
    <x v="0"/>
    <x v="141"/>
    <n v="25.96"/>
    <x v="5"/>
    <s v="Nov 2024"/>
    <n v="11"/>
    <s v="Repeat"/>
    <x v="0"/>
    <x v="2371"/>
  </r>
  <r>
    <x v="262"/>
    <x v="2323"/>
    <x v="0"/>
    <x v="906"/>
    <n v="35.76"/>
    <x v="0"/>
    <s v="Nov 2024"/>
    <n v="12"/>
    <s v="Repeat"/>
    <x v="0"/>
    <x v="2372"/>
  </r>
  <r>
    <x v="262"/>
    <x v="2324"/>
    <x v="0"/>
    <x v="903"/>
    <n v="35.76"/>
    <x v="4"/>
    <s v="Nov 2024"/>
    <n v="12"/>
    <s v="Repeat"/>
    <x v="0"/>
    <x v="2373"/>
  </r>
  <r>
    <x v="262"/>
    <x v="2325"/>
    <x v="0"/>
    <x v="932"/>
    <n v="35.76"/>
    <x v="4"/>
    <s v="Nov 2024"/>
    <n v="13"/>
    <s v="Single"/>
    <x v="1"/>
    <x v="2374"/>
  </r>
  <r>
    <x v="262"/>
    <x v="2326"/>
    <x v="0"/>
    <x v="906"/>
    <n v="35.76"/>
    <x v="0"/>
    <s v="Nov 2024"/>
    <n v="16"/>
    <s v="Repeat"/>
    <x v="0"/>
    <x v="2375"/>
  </r>
  <r>
    <x v="262"/>
    <x v="2327"/>
    <x v="0"/>
    <x v="933"/>
    <n v="30.86"/>
    <x v="3"/>
    <s v="Nov 2024"/>
    <n v="17"/>
    <s v="Single"/>
    <x v="1"/>
    <x v="2376"/>
  </r>
  <r>
    <x v="262"/>
    <x v="2328"/>
    <x v="0"/>
    <x v="934"/>
    <n v="25.96"/>
    <x v="5"/>
    <s v="Nov 2024"/>
    <n v="17"/>
    <s v="Single"/>
    <x v="1"/>
    <x v="2377"/>
  </r>
  <r>
    <x v="262"/>
    <x v="2329"/>
    <x v="0"/>
    <x v="935"/>
    <n v="35.76"/>
    <x v="1"/>
    <s v="Nov 2024"/>
    <n v="19"/>
    <s v="Single"/>
    <x v="1"/>
    <x v="2378"/>
  </r>
  <r>
    <x v="263"/>
    <x v="2330"/>
    <x v="0"/>
    <x v="906"/>
    <n v="35.76"/>
    <x v="0"/>
    <s v="Nov 2024"/>
    <n v="7"/>
    <s v="Repeat"/>
    <x v="0"/>
    <x v="2379"/>
  </r>
  <r>
    <x v="263"/>
    <x v="2331"/>
    <x v="0"/>
    <x v="696"/>
    <n v="35.76"/>
    <x v="7"/>
    <s v="Nov 2024"/>
    <n v="10"/>
    <s v="Repeat"/>
    <x v="0"/>
    <x v="2380"/>
  </r>
  <r>
    <x v="263"/>
    <x v="2332"/>
    <x v="0"/>
    <x v="936"/>
    <n v="35.76"/>
    <x v="0"/>
    <s v="Nov 2024"/>
    <n v="11"/>
    <s v="Single"/>
    <x v="1"/>
    <x v="2381"/>
  </r>
  <r>
    <x v="263"/>
    <x v="2333"/>
    <x v="0"/>
    <x v="937"/>
    <n v="35.76"/>
    <x v="4"/>
    <s v="Nov 2024"/>
    <n v="11"/>
    <s v="Single"/>
    <x v="1"/>
    <x v="2382"/>
  </r>
  <r>
    <x v="263"/>
    <x v="2334"/>
    <x v="0"/>
    <x v="938"/>
    <n v="35.76"/>
    <x v="1"/>
    <s v="Nov 2024"/>
    <n v="16"/>
    <s v="Repeat"/>
    <x v="0"/>
    <x v="2383"/>
  </r>
  <r>
    <x v="263"/>
    <x v="2335"/>
    <x v="0"/>
    <x v="938"/>
    <n v="35.76"/>
    <x v="0"/>
    <s v="Nov 2024"/>
    <n v="16"/>
    <s v="Repeat"/>
    <x v="0"/>
    <x v="2384"/>
  </r>
  <r>
    <x v="264"/>
    <x v="2336"/>
    <x v="0"/>
    <x v="543"/>
    <n v="25.96"/>
    <x v="5"/>
    <s v="Nov 2024"/>
    <n v="9"/>
    <s v="Repeat"/>
    <x v="0"/>
    <x v="2385"/>
  </r>
  <r>
    <x v="264"/>
    <x v="2337"/>
    <x v="0"/>
    <x v="543"/>
    <n v="25.96"/>
    <x v="5"/>
    <s v="Nov 2024"/>
    <n v="9"/>
    <s v="Repeat"/>
    <x v="0"/>
    <x v="2386"/>
  </r>
  <r>
    <x v="264"/>
    <x v="2338"/>
    <x v="0"/>
    <x v="683"/>
    <n v="35.76"/>
    <x v="0"/>
    <s v="Nov 2024"/>
    <n v="10"/>
    <s v="Repeat"/>
    <x v="0"/>
    <x v="2387"/>
  </r>
  <r>
    <x v="264"/>
    <x v="2339"/>
    <x v="0"/>
    <x v="172"/>
    <n v="35.76"/>
    <x v="7"/>
    <s v="Nov 2024"/>
    <n v="11"/>
    <s v="Repeat"/>
    <x v="0"/>
    <x v="2388"/>
  </r>
  <r>
    <x v="264"/>
    <x v="2340"/>
    <x v="0"/>
    <x v="939"/>
    <n v="25.96"/>
    <x v="2"/>
    <s v="Nov 2024"/>
    <n v="11"/>
    <s v="Repeat"/>
    <x v="0"/>
    <x v="2389"/>
  </r>
  <r>
    <x v="264"/>
    <x v="2341"/>
    <x v="0"/>
    <x v="939"/>
    <n v="25.96"/>
    <x v="2"/>
    <s v="Nov 2024"/>
    <n v="11"/>
    <s v="Repeat"/>
    <x v="0"/>
    <x v="2390"/>
  </r>
  <r>
    <x v="264"/>
    <x v="2342"/>
    <x v="0"/>
    <x v="494"/>
    <n v="35.76"/>
    <x v="1"/>
    <s v="Nov 2024"/>
    <n v="11"/>
    <s v="Repeat"/>
    <x v="0"/>
    <x v="2391"/>
  </r>
  <r>
    <x v="264"/>
    <x v="2343"/>
    <x v="0"/>
    <x v="940"/>
    <n v="35.76"/>
    <x v="0"/>
    <s v="Nov 2024"/>
    <n v="22"/>
    <s v="Single"/>
    <x v="1"/>
    <x v="2392"/>
  </r>
  <r>
    <x v="265"/>
    <x v="2344"/>
    <x v="0"/>
    <x v="570"/>
    <n v="35.76"/>
    <x v="0"/>
    <s v="Nov 2024"/>
    <n v="8"/>
    <s v="Repeat"/>
    <x v="0"/>
    <x v="2393"/>
  </r>
  <r>
    <x v="266"/>
    <x v="2345"/>
    <x v="0"/>
    <x v="696"/>
    <n v="35.76"/>
    <x v="7"/>
    <s v="Nov 2024"/>
    <n v="7"/>
    <s v="Repeat"/>
    <x v="0"/>
    <x v="2394"/>
  </r>
  <r>
    <x v="266"/>
    <x v="2346"/>
    <x v="0"/>
    <x v="941"/>
    <n v="35.76"/>
    <x v="0"/>
    <s v="Nov 2024"/>
    <n v="7"/>
    <s v="Single"/>
    <x v="1"/>
    <x v="2395"/>
  </r>
  <r>
    <x v="266"/>
    <x v="2347"/>
    <x v="0"/>
    <x v="276"/>
    <n v="30.86"/>
    <x v="3"/>
    <s v="Nov 2024"/>
    <n v="9"/>
    <s v="Repeat"/>
    <x v="0"/>
    <x v="2396"/>
  </r>
  <r>
    <x v="266"/>
    <x v="2348"/>
    <x v="0"/>
    <x v="141"/>
    <n v="25.96"/>
    <x v="5"/>
    <s v="Nov 2024"/>
    <n v="10"/>
    <s v="Repeat"/>
    <x v="0"/>
    <x v="2397"/>
  </r>
  <r>
    <x v="266"/>
    <x v="1704"/>
    <x v="0"/>
    <x v="942"/>
    <n v="35.76"/>
    <x v="0"/>
    <s v="Nov 2024"/>
    <n v="12"/>
    <s v="Single"/>
    <x v="1"/>
    <x v="2398"/>
  </r>
  <r>
    <x v="266"/>
    <x v="2349"/>
    <x v="0"/>
    <x v="943"/>
    <n v="35.76"/>
    <x v="0"/>
    <s v="Nov 2024"/>
    <n v="12"/>
    <s v="Single"/>
    <x v="1"/>
    <x v="2399"/>
  </r>
  <r>
    <x v="266"/>
    <x v="2350"/>
    <x v="0"/>
    <x v="871"/>
    <n v="35.76"/>
    <x v="1"/>
    <s v="Nov 2024"/>
    <n v="16"/>
    <s v="Repeat"/>
    <x v="0"/>
    <x v="2400"/>
  </r>
  <r>
    <x v="266"/>
    <x v="2351"/>
    <x v="0"/>
    <x v="944"/>
    <n v="30.86"/>
    <x v="3"/>
    <s v="Nov 2024"/>
    <n v="19"/>
    <s v="Single"/>
    <x v="1"/>
    <x v="2401"/>
  </r>
  <r>
    <x v="266"/>
    <x v="2352"/>
    <x v="0"/>
    <x v="945"/>
    <n v="35.76"/>
    <x v="1"/>
    <s v="Nov 2024"/>
    <n v="19"/>
    <s v="Single"/>
    <x v="1"/>
    <x v="2402"/>
  </r>
  <r>
    <x v="266"/>
    <x v="2353"/>
    <x v="0"/>
    <x v="637"/>
    <n v="35.76"/>
    <x v="1"/>
    <s v="Nov 2024"/>
    <n v="21"/>
    <s v="Repeat"/>
    <x v="0"/>
    <x v="2403"/>
  </r>
  <r>
    <x v="266"/>
    <x v="2354"/>
    <x v="0"/>
    <x v="637"/>
    <n v="35.76"/>
    <x v="7"/>
    <s v="Nov 2024"/>
    <n v="21"/>
    <s v="Repeat"/>
    <x v="0"/>
    <x v="2404"/>
  </r>
  <r>
    <x v="267"/>
    <x v="2355"/>
    <x v="0"/>
    <x v="570"/>
    <n v="35.76"/>
    <x v="0"/>
    <s v="Nov 2024"/>
    <n v="7"/>
    <s v="Repeat"/>
    <x v="0"/>
    <x v="2405"/>
  </r>
  <r>
    <x v="267"/>
    <x v="2356"/>
    <x v="0"/>
    <x v="903"/>
    <n v="35.76"/>
    <x v="4"/>
    <s v="Nov 2024"/>
    <n v="11"/>
    <s v="Repeat"/>
    <x v="0"/>
    <x v="2406"/>
  </r>
  <r>
    <x v="267"/>
    <x v="2357"/>
    <x v="0"/>
    <x v="946"/>
    <n v="25.96"/>
    <x v="2"/>
    <s v="Nov 2024"/>
    <n v="11"/>
    <s v="Single"/>
    <x v="1"/>
    <x v="2407"/>
  </r>
  <r>
    <x v="267"/>
    <x v="2358"/>
    <x v="0"/>
    <x v="947"/>
    <n v="35.76"/>
    <x v="4"/>
    <s v="Nov 2024"/>
    <n v="11"/>
    <s v="Repeat"/>
    <x v="0"/>
    <x v="2408"/>
  </r>
  <r>
    <x v="267"/>
    <x v="2313"/>
    <x v="0"/>
    <x v="947"/>
    <n v="35.76"/>
    <x v="4"/>
    <s v="Nov 2024"/>
    <n v="11"/>
    <s v="Repeat"/>
    <x v="0"/>
    <x v="2409"/>
  </r>
  <r>
    <x v="267"/>
    <x v="2359"/>
    <x v="0"/>
    <x v="948"/>
    <n v="35.76"/>
    <x v="0"/>
    <s v="Nov 2024"/>
    <n v="16"/>
    <s v="Single"/>
    <x v="1"/>
    <x v="2410"/>
  </r>
  <r>
    <x v="267"/>
    <x v="2360"/>
    <x v="0"/>
    <x v="949"/>
    <n v="35.76"/>
    <x v="0"/>
    <s v="Nov 2024"/>
    <n v="16"/>
    <s v="Single"/>
    <x v="1"/>
    <x v="2411"/>
  </r>
  <r>
    <x v="267"/>
    <x v="2361"/>
    <x v="0"/>
    <x v="950"/>
    <n v="25.96"/>
    <x v="2"/>
    <s v="Nov 2024"/>
    <n v="17"/>
    <s v="Repeat"/>
    <x v="0"/>
    <x v="2412"/>
  </r>
  <r>
    <x v="267"/>
    <x v="2362"/>
    <x v="0"/>
    <x v="950"/>
    <n v="30.86"/>
    <x v="3"/>
    <s v="Nov 2024"/>
    <n v="17"/>
    <s v="Repeat"/>
    <x v="0"/>
    <x v="2413"/>
  </r>
  <r>
    <x v="267"/>
    <x v="2363"/>
    <x v="0"/>
    <x v="951"/>
    <n v="35.76"/>
    <x v="4"/>
    <s v="Nov 2024"/>
    <n v="19"/>
    <s v="Single"/>
    <x v="1"/>
    <x v="2414"/>
  </r>
  <r>
    <x v="268"/>
    <x v="2364"/>
    <x v="0"/>
    <x v="952"/>
    <n v="35.76"/>
    <x v="7"/>
    <s v="Nov 2024"/>
    <n v="8"/>
    <s v="Single"/>
    <x v="1"/>
    <x v="2415"/>
  </r>
  <r>
    <x v="268"/>
    <x v="2365"/>
    <x v="0"/>
    <x v="276"/>
    <n v="30.86"/>
    <x v="3"/>
    <s v="Nov 2024"/>
    <n v="9"/>
    <s v="Repeat"/>
    <x v="0"/>
    <x v="2416"/>
  </r>
  <r>
    <x v="268"/>
    <x v="2366"/>
    <x v="0"/>
    <x v="12"/>
    <n v="30.86"/>
    <x v="3"/>
    <s v="Nov 2024"/>
    <n v="20"/>
    <s v="Repeat"/>
    <x v="0"/>
    <x v="2417"/>
  </r>
  <r>
    <x v="268"/>
    <x v="2367"/>
    <x v="0"/>
    <x v="19"/>
    <n v="35.76"/>
    <x v="0"/>
    <s v="Nov 2024"/>
    <n v="20"/>
    <s v="Repeat"/>
    <x v="0"/>
    <x v="2418"/>
  </r>
  <r>
    <x v="268"/>
    <x v="672"/>
    <x v="0"/>
    <x v="507"/>
    <n v="35.76"/>
    <x v="0"/>
    <s v="Nov 2024"/>
    <n v="20"/>
    <s v="Repeat"/>
    <x v="0"/>
    <x v="2419"/>
  </r>
  <r>
    <x v="268"/>
    <x v="2368"/>
    <x v="0"/>
    <x v="748"/>
    <n v="35.76"/>
    <x v="7"/>
    <s v="Nov 2024"/>
    <n v="22"/>
    <s v="Repeat"/>
    <x v="0"/>
    <x v="2420"/>
  </r>
  <r>
    <x v="269"/>
    <x v="2369"/>
    <x v="0"/>
    <x v="696"/>
    <n v="35.76"/>
    <x v="4"/>
    <s v="Nov 2024"/>
    <n v="7"/>
    <s v="Repeat"/>
    <x v="0"/>
    <x v="2421"/>
  </r>
  <r>
    <x v="269"/>
    <x v="2370"/>
    <x v="0"/>
    <x v="570"/>
    <n v="35.76"/>
    <x v="0"/>
    <s v="Nov 2024"/>
    <n v="7"/>
    <s v="Repeat"/>
    <x v="0"/>
    <x v="2422"/>
  </r>
  <r>
    <x v="269"/>
    <x v="2371"/>
    <x v="0"/>
    <x v="385"/>
    <n v="30.86"/>
    <x v="3"/>
    <s v="Nov 2024"/>
    <n v="9"/>
    <s v="Repeat"/>
    <x v="0"/>
    <x v="2423"/>
  </r>
  <r>
    <x v="269"/>
    <x v="2372"/>
    <x v="0"/>
    <x v="385"/>
    <n v="30.86"/>
    <x v="3"/>
    <s v="Nov 2024"/>
    <n v="9"/>
    <s v="Repeat"/>
    <x v="0"/>
    <x v="2424"/>
  </r>
  <r>
    <x v="269"/>
    <x v="2373"/>
    <x v="0"/>
    <x v="953"/>
    <n v="30.86"/>
    <x v="3"/>
    <s v="Nov 2024"/>
    <n v="15"/>
    <s v="Single"/>
    <x v="1"/>
    <x v="2425"/>
  </r>
  <r>
    <x v="269"/>
    <x v="2374"/>
    <x v="0"/>
    <x v="954"/>
    <n v="35.76"/>
    <x v="0"/>
    <s v="Nov 2024"/>
    <n v="15"/>
    <s v="Single"/>
    <x v="1"/>
    <x v="2426"/>
  </r>
  <r>
    <x v="269"/>
    <x v="2375"/>
    <x v="0"/>
    <x v="955"/>
    <n v="35.76"/>
    <x v="4"/>
    <s v="Nov 2024"/>
    <n v="20"/>
    <s v="Single"/>
    <x v="1"/>
    <x v="2427"/>
  </r>
  <r>
    <x v="270"/>
    <x v="590"/>
    <x v="0"/>
    <x v="570"/>
    <n v="35.76"/>
    <x v="4"/>
    <s v="Nov 2024"/>
    <n v="12"/>
    <s v="Repeat"/>
    <x v="0"/>
    <x v="2428"/>
  </r>
  <r>
    <x v="270"/>
    <x v="2376"/>
    <x v="0"/>
    <x v="956"/>
    <n v="25.96"/>
    <x v="2"/>
    <s v="Nov 2024"/>
    <n v="14"/>
    <s v="Repeat"/>
    <x v="0"/>
    <x v="2429"/>
  </r>
  <r>
    <x v="270"/>
    <x v="2377"/>
    <x v="0"/>
    <x v="956"/>
    <n v="35.76"/>
    <x v="1"/>
    <s v="Nov 2024"/>
    <n v="14"/>
    <s v="Repeat"/>
    <x v="0"/>
    <x v="2430"/>
  </r>
  <r>
    <x v="270"/>
    <x v="2378"/>
    <x v="0"/>
    <x v="494"/>
    <n v="35.76"/>
    <x v="4"/>
    <s v="Nov 2024"/>
    <n v="14"/>
    <s v="Repeat"/>
    <x v="0"/>
    <x v="2431"/>
  </r>
  <r>
    <x v="270"/>
    <x v="2379"/>
    <x v="0"/>
    <x v="97"/>
    <n v="30.86"/>
    <x v="3"/>
    <s v="Nov 2024"/>
    <n v="15"/>
    <s v="Repeat"/>
    <x v="0"/>
    <x v="2432"/>
  </r>
  <r>
    <x v="270"/>
    <x v="2380"/>
    <x v="0"/>
    <x v="957"/>
    <n v="30.86"/>
    <x v="3"/>
    <s v="Nov 2024"/>
    <n v="22"/>
    <s v="Single"/>
    <x v="1"/>
    <x v="2433"/>
  </r>
  <r>
    <x v="271"/>
    <x v="2381"/>
    <x v="0"/>
    <x v="40"/>
    <n v="30.86"/>
    <x v="3"/>
    <s v="Dec 2024"/>
    <n v="10"/>
    <s v="Repeat"/>
    <x v="0"/>
    <x v="2434"/>
  </r>
  <r>
    <x v="271"/>
    <x v="2382"/>
    <x v="0"/>
    <x v="40"/>
    <n v="30.86"/>
    <x v="3"/>
    <s v="Dec 2024"/>
    <n v="10"/>
    <s v="Repeat"/>
    <x v="0"/>
    <x v="2435"/>
  </r>
  <r>
    <x v="271"/>
    <x v="2383"/>
    <x v="0"/>
    <x v="385"/>
    <n v="30.86"/>
    <x v="3"/>
    <s v="Dec 2024"/>
    <n v="10"/>
    <s v="Repeat"/>
    <x v="0"/>
    <x v="2436"/>
  </r>
  <r>
    <x v="271"/>
    <x v="2384"/>
    <x v="0"/>
    <x v="958"/>
    <n v="30.86"/>
    <x v="3"/>
    <s v="Dec 2024"/>
    <n v="14"/>
    <s v="Single"/>
    <x v="1"/>
    <x v="2437"/>
  </r>
  <r>
    <x v="271"/>
    <x v="2385"/>
    <x v="0"/>
    <x v="959"/>
    <n v="35.76"/>
    <x v="4"/>
    <s v="Dec 2024"/>
    <n v="15"/>
    <s v="Repeat"/>
    <x v="0"/>
    <x v="2438"/>
  </r>
  <r>
    <x v="271"/>
    <x v="2386"/>
    <x v="0"/>
    <x v="959"/>
    <n v="35.76"/>
    <x v="4"/>
    <s v="Dec 2024"/>
    <n v="15"/>
    <s v="Repeat"/>
    <x v="0"/>
    <x v="2439"/>
  </r>
  <r>
    <x v="271"/>
    <x v="2387"/>
    <x v="0"/>
    <x v="960"/>
    <n v="35.76"/>
    <x v="7"/>
    <s v="Dec 2024"/>
    <n v="15"/>
    <s v="Single"/>
    <x v="1"/>
    <x v="2440"/>
  </r>
  <r>
    <x v="271"/>
    <x v="2388"/>
    <x v="0"/>
    <x v="961"/>
    <n v="35.76"/>
    <x v="0"/>
    <s v="Dec 2024"/>
    <n v="15"/>
    <s v="Single"/>
    <x v="1"/>
    <x v="2441"/>
  </r>
  <r>
    <x v="271"/>
    <x v="2389"/>
    <x v="0"/>
    <x v="962"/>
    <n v="35.76"/>
    <x v="0"/>
    <s v="Dec 2024"/>
    <n v="15"/>
    <s v="Single"/>
    <x v="1"/>
    <x v="2442"/>
  </r>
  <r>
    <x v="271"/>
    <x v="2390"/>
    <x v="0"/>
    <x v="963"/>
    <n v="35.76"/>
    <x v="0"/>
    <s v="Dec 2024"/>
    <n v="16"/>
    <s v="Single"/>
    <x v="1"/>
    <x v="2443"/>
  </r>
  <r>
    <x v="271"/>
    <x v="2391"/>
    <x v="0"/>
    <x v="964"/>
    <n v="35.76"/>
    <x v="0"/>
    <s v="Dec 2024"/>
    <n v="16"/>
    <s v="Single"/>
    <x v="1"/>
    <x v="2444"/>
  </r>
  <r>
    <x v="271"/>
    <x v="2392"/>
    <x v="0"/>
    <x v="965"/>
    <n v="30.86"/>
    <x v="3"/>
    <s v="Dec 2024"/>
    <n v="17"/>
    <s v="Repeat"/>
    <x v="0"/>
    <x v="2445"/>
  </r>
  <r>
    <x v="271"/>
    <x v="2393"/>
    <x v="0"/>
    <x v="965"/>
    <n v="30.86"/>
    <x v="3"/>
    <s v="Dec 2024"/>
    <n v="17"/>
    <s v="Repeat"/>
    <x v="0"/>
    <x v="2446"/>
  </r>
  <r>
    <x v="271"/>
    <x v="2394"/>
    <x v="0"/>
    <x v="966"/>
    <n v="30.86"/>
    <x v="3"/>
    <s v="Dec 2024"/>
    <n v="18"/>
    <s v="Single"/>
    <x v="1"/>
    <x v="2447"/>
  </r>
  <r>
    <x v="272"/>
    <x v="2330"/>
    <x v="0"/>
    <x v="696"/>
    <n v="35.76"/>
    <x v="0"/>
    <s v="Dec 2024"/>
    <n v="7"/>
    <s v="Repeat"/>
    <x v="0"/>
    <x v="2448"/>
  </r>
  <r>
    <x v="272"/>
    <x v="2395"/>
    <x v="0"/>
    <x v="967"/>
    <n v="25.96"/>
    <x v="2"/>
    <s v="Dec 2024"/>
    <n v="7"/>
    <s v="Single"/>
    <x v="1"/>
    <x v="2449"/>
  </r>
  <r>
    <x v="272"/>
    <x v="2396"/>
    <x v="0"/>
    <x v="276"/>
    <n v="30.86"/>
    <x v="3"/>
    <s v="Dec 2024"/>
    <n v="8"/>
    <s v="Repeat"/>
    <x v="0"/>
    <x v="2450"/>
  </r>
  <r>
    <x v="272"/>
    <x v="2397"/>
    <x v="0"/>
    <x v="968"/>
    <n v="35.76"/>
    <x v="4"/>
    <s v="Dec 2024"/>
    <n v="8"/>
    <s v="Single"/>
    <x v="1"/>
    <x v="2451"/>
  </r>
  <r>
    <x v="272"/>
    <x v="2398"/>
    <x v="0"/>
    <x v="141"/>
    <n v="25.96"/>
    <x v="5"/>
    <s v="Dec 2024"/>
    <n v="11"/>
    <s v="Repeat"/>
    <x v="0"/>
    <x v="2452"/>
  </r>
  <r>
    <x v="272"/>
    <x v="2399"/>
    <x v="0"/>
    <x v="969"/>
    <n v="21.06"/>
    <x v="6"/>
    <s v="Dec 2024"/>
    <n v="15"/>
    <s v="Single"/>
    <x v="1"/>
    <x v="2453"/>
  </r>
  <r>
    <x v="272"/>
    <x v="2400"/>
    <x v="0"/>
    <x v="970"/>
    <n v="35.76"/>
    <x v="7"/>
    <s v="Dec 2024"/>
    <n v="16"/>
    <s v="Single"/>
    <x v="1"/>
    <x v="2454"/>
  </r>
  <r>
    <x v="272"/>
    <x v="2401"/>
    <x v="0"/>
    <x v="971"/>
    <n v="25.96"/>
    <x v="2"/>
    <s v="Dec 2024"/>
    <n v="17"/>
    <s v="Single"/>
    <x v="1"/>
    <x v="2455"/>
  </r>
  <r>
    <x v="272"/>
    <x v="2402"/>
    <x v="0"/>
    <x v="972"/>
    <n v="35.76"/>
    <x v="7"/>
    <s v="Dec 2024"/>
    <n v="18"/>
    <s v="Single"/>
    <x v="1"/>
    <x v="2456"/>
  </r>
  <r>
    <x v="273"/>
    <x v="2403"/>
    <x v="0"/>
    <x v="570"/>
    <n v="35.76"/>
    <x v="0"/>
    <s v="Dec 2024"/>
    <n v="8"/>
    <s v="Repeat"/>
    <x v="0"/>
    <x v="2457"/>
  </r>
  <r>
    <x v="273"/>
    <x v="2404"/>
    <x v="0"/>
    <x v="276"/>
    <n v="30.86"/>
    <x v="3"/>
    <s v="Dec 2024"/>
    <n v="9"/>
    <s v="Repeat"/>
    <x v="0"/>
    <x v="2458"/>
  </r>
  <r>
    <x v="273"/>
    <x v="1935"/>
    <x v="0"/>
    <x v="276"/>
    <n v="30.86"/>
    <x v="3"/>
    <s v="Dec 2024"/>
    <n v="9"/>
    <s v="Repeat"/>
    <x v="0"/>
    <x v="2459"/>
  </r>
  <r>
    <x v="273"/>
    <x v="2405"/>
    <x v="0"/>
    <x v="973"/>
    <n v="25.96"/>
    <x v="2"/>
    <s v="Dec 2024"/>
    <n v="11"/>
    <s v="Single"/>
    <x v="1"/>
    <x v="2460"/>
  </r>
  <r>
    <x v="273"/>
    <x v="2406"/>
    <x v="0"/>
    <x v="974"/>
    <n v="30.86"/>
    <x v="3"/>
    <s v="Dec 2024"/>
    <n v="11"/>
    <s v="Single"/>
    <x v="1"/>
    <x v="2461"/>
  </r>
  <r>
    <x v="273"/>
    <x v="2407"/>
    <x v="0"/>
    <x v="819"/>
    <n v="30.86"/>
    <x v="3"/>
    <s v="Dec 2024"/>
    <n v="11"/>
    <s v="Repeat"/>
    <x v="0"/>
    <x v="2462"/>
  </r>
  <r>
    <x v="273"/>
    <x v="2408"/>
    <x v="0"/>
    <x v="819"/>
    <n v="30.86"/>
    <x v="3"/>
    <s v="Dec 2024"/>
    <n v="11"/>
    <s v="Repeat"/>
    <x v="0"/>
    <x v="2463"/>
  </r>
  <r>
    <x v="273"/>
    <x v="2409"/>
    <x v="0"/>
    <x v="975"/>
    <n v="35.76"/>
    <x v="4"/>
    <s v="Dec 2024"/>
    <n v="20"/>
    <s v="Single"/>
    <x v="1"/>
    <x v="2464"/>
  </r>
  <r>
    <x v="273"/>
    <x v="2410"/>
    <x v="0"/>
    <x v="685"/>
    <n v="35.76"/>
    <x v="0"/>
    <s v="Dec 2024"/>
    <n v="21"/>
    <s v="Repeat"/>
    <x v="0"/>
    <x v="2465"/>
  </r>
  <r>
    <x v="273"/>
    <x v="2411"/>
    <x v="0"/>
    <x v="685"/>
    <n v="35.76"/>
    <x v="7"/>
    <s v="Dec 2024"/>
    <n v="21"/>
    <s v="Repeat"/>
    <x v="0"/>
    <x v="2466"/>
  </r>
  <r>
    <x v="273"/>
    <x v="2412"/>
    <x v="0"/>
    <x v="685"/>
    <n v="35.76"/>
    <x v="1"/>
    <s v="Dec 2024"/>
    <n v="21"/>
    <s v="Repeat"/>
    <x v="0"/>
    <x v="2467"/>
  </r>
  <r>
    <x v="273"/>
    <x v="1697"/>
    <x v="0"/>
    <x v="976"/>
    <n v="30.86"/>
    <x v="3"/>
    <s v="Dec 2024"/>
    <n v="22"/>
    <s v="Repeat"/>
    <x v="0"/>
    <x v="2468"/>
  </r>
  <r>
    <x v="273"/>
    <x v="2413"/>
    <x v="0"/>
    <x v="206"/>
    <n v="35.76"/>
    <x v="7"/>
    <s v="Dec 2024"/>
    <n v="22"/>
    <s v="Repeat"/>
    <x v="0"/>
    <x v="2469"/>
  </r>
  <r>
    <x v="274"/>
    <x v="2414"/>
    <x v="0"/>
    <x v="141"/>
    <n v="25.96"/>
    <x v="5"/>
    <s v="Dec 2024"/>
    <n v="8"/>
    <s v="Repeat"/>
    <x v="0"/>
    <x v="2470"/>
  </r>
  <r>
    <x v="274"/>
    <x v="2415"/>
    <x v="0"/>
    <x v="977"/>
    <n v="35.76"/>
    <x v="0"/>
    <s v="Dec 2024"/>
    <n v="8"/>
    <s v="Single"/>
    <x v="1"/>
    <x v="2471"/>
  </r>
  <r>
    <x v="274"/>
    <x v="2416"/>
    <x v="0"/>
    <x v="978"/>
    <n v="35.76"/>
    <x v="0"/>
    <s v="Dec 2024"/>
    <n v="8"/>
    <s v="Single"/>
    <x v="1"/>
    <x v="2472"/>
  </r>
  <r>
    <x v="274"/>
    <x v="2417"/>
    <x v="0"/>
    <x v="979"/>
    <n v="25.96"/>
    <x v="2"/>
    <s v="Dec 2024"/>
    <n v="9"/>
    <s v="Single"/>
    <x v="1"/>
    <x v="2473"/>
  </r>
  <r>
    <x v="274"/>
    <x v="2418"/>
    <x v="0"/>
    <x v="276"/>
    <n v="30.86"/>
    <x v="3"/>
    <s v="Dec 2024"/>
    <n v="10"/>
    <s v="Repeat"/>
    <x v="0"/>
    <x v="2474"/>
  </r>
  <r>
    <x v="274"/>
    <x v="2419"/>
    <x v="0"/>
    <x v="276"/>
    <n v="30.86"/>
    <x v="3"/>
    <s v="Dec 2024"/>
    <n v="10"/>
    <s v="Repeat"/>
    <x v="0"/>
    <x v="2475"/>
  </r>
  <r>
    <x v="274"/>
    <x v="2420"/>
    <x v="0"/>
    <x v="980"/>
    <n v="30.86"/>
    <x v="3"/>
    <s v="Dec 2024"/>
    <n v="10"/>
    <s v="Single"/>
    <x v="1"/>
    <x v="2476"/>
  </r>
  <r>
    <x v="274"/>
    <x v="2421"/>
    <x v="0"/>
    <x v="783"/>
    <n v="35.76"/>
    <x v="1"/>
    <s v="Dec 2024"/>
    <n v="10"/>
    <s v="Repeat"/>
    <x v="0"/>
    <x v="2477"/>
  </r>
  <r>
    <x v="274"/>
    <x v="2422"/>
    <x v="0"/>
    <x v="981"/>
    <n v="30.86"/>
    <x v="3"/>
    <s v="Dec 2024"/>
    <n v="11"/>
    <s v="Single"/>
    <x v="1"/>
    <x v="2478"/>
  </r>
  <r>
    <x v="274"/>
    <x v="2423"/>
    <x v="0"/>
    <x v="982"/>
    <n v="35.76"/>
    <x v="1"/>
    <s v="Dec 2024"/>
    <n v="14"/>
    <s v="Single"/>
    <x v="1"/>
    <x v="2479"/>
  </r>
  <r>
    <x v="275"/>
    <x v="2424"/>
    <x v="0"/>
    <x v="983"/>
    <n v="25.96"/>
    <x v="2"/>
    <s v="Dec 2024"/>
    <n v="8"/>
    <s v="Single"/>
    <x v="1"/>
    <x v="2480"/>
  </r>
  <r>
    <x v="275"/>
    <x v="2425"/>
    <x v="0"/>
    <x v="141"/>
    <n v="25.96"/>
    <x v="5"/>
    <s v="Dec 2024"/>
    <n v="9"/>
    <s v="Repeat"/>
    <x v="0"/>
    <x v="2481"/>
  </r>
  <r>
    <x v="275"/>
    <x v="2426"/>
    <x v="0"/>
    <x v="276"/>
    <n v="30.86"/>
    <x v="3"/>
    <s v="Dec 2024"/>
    <n v="10"/>
    <s v="Repeat"/>
    <x v="0"/>
    <x v="2482"/>
  </r>
  <r>
    <x v="275"/>
    <x v="2427"/>
    <x v="0"/>
    <x v="276"/>
    <n v="30.86"/>
    <x v="3"/>
    <s v="Dec 2024"/>
    <n v="10"/>
    <s v="Repeat"/>
    <x v="0"/>
    <x v="2483"/>
  </r>
  <r>
    <x v="275"/>
    <x v="2428"/>
    <x v="0"/>
    <x v="579"/>
    <n v="35.76"/>
    <x v="0"/>
    <s v="Dec 2024"/>
    <n v="11"/>
    <s v="Repeat"/>
    <x v="0"/>
    <x v="2484"/>
  </r>
  <r>
    <x v="275"/>
    <x v="855"/>
    <x v="0"/>
    <x v="984"/>
    <n v="25.96"/>
    <x v="2"/>
    <s v="Dec 2024"/>
    <n v="11"/>
    <s v="Single"/>
    <x v="1"/>
    <x v="2485"/>
  </r>
  <r>
    <x v="275"/>
    <x v="2429"/>
    <x v="0"/>
    <x v="985"/>
    <n v="35.76"/>
    <x v="7"/>
    <s v="Dec 2024"/>
    <n v="14"/>
    <s v="Single"/>
    <x v="1"/>
    <x v="2486"/>
  </r>
  <r>
    <x v="275"/>
    <x v="2430"/>
    <x v="0"/>
    <x v="906"/>
    <n v="35.76"/>
    <x v="0"/>
    <s v="Dec 2024"/>
    <n v="15"/>
    <s v="Repeat"/>
    <x v="0"/>
    <x v="2487"/>
  </r>
  <r>
    <x v="275"/>
    <x v="2431"/>
    <x v="0"/>
    <x v="771"/>
    <n v="35.76"/>
    <x v="0"/>
    <s v="Dec 2024"/>
    <n v="16"/>
    <s v="Repeat"/>
    <x v="0"/>
    <x v="2488"/>
  </r>
  <r>
    <x v="276"/>
    <x v="2432"/>
    <x v="0"/>
    <x v="906"/>
    <n v="35.76"/>
    <x v="0"/>
    <s v="Dec 2024"/>
    <n v="11"/>
    <s v="Repeat"/>
    <x v="0"/>
    <x v="2489"/>
  </r>
  <r>
    <x v="276"/>
    <x v="2433"/>
    <x v="0"/>
    <x v="938"/>
    <n v="35.76"/>
    <x v="1"/>
    <s v="Dec 2024"/>
    <n v="16"/>
    <s v="Repeat"/>
    <x v="0"/>
    <x v="2490"/>
  </r>
  <r>
    <x v="276"/>
    <x v="2434"/>
    <x v="0"/>
    <x v="731"/>
    <n v="35.76"/>
    <x v="0"/>
    <s v="Dec 2024"/>
    <n v="22"/>
    <s v="Repeat"/>
    <x v="0"/>
    <x v="2491"/>
  </r>
  <r>
    <x v="276"/>
    <x v="2435"/>
    <x v="0"/>
    <x v="731"/>
    <n v="35.76"/>
    <x v="1"/>
    <s v="Dec 2024"/>
    <n v="22"/>
    <s v="Repeat"/>
    <x v="0"/>
    <x v="2492"/>
  </r>
  <r>
    <x v="277"/>
    <x v="2436"/>
    <x v="0"/>
    <x v="986"/>
    <n v="30.86"/>
    <x v="3"/>
    <s v="Dec 2024"/>
    <n v="11"/>
    <s v="Single"/>
    <x v="1"/>
    <x v="2493"/>
  </r>
  <r>
    <x v="277"/>
    <x v="2437"/>
    <x v="0"/>
    <x v="987"/>
    <n v="25.96"/>
    <x v="2"/>
    <s v="Dec 2024"/>
    <n v="14"/>
    <s v="Single"/>
    <x v="1"/>
    <x v="2494"/>
  </r>
  <r>
    <x v="277"/>
    <x v="2438"/>
    <x v="0"/>
    <x v="409"/>
    <n v="35.76"/>
    <x v="0"/>
    <s v="Dec 2024"/>
    <n v="15"/>
    <s v="Repeat"/>
    <x v="0"/>
    <x v="2495"/>
  </r>
  <r>
    <x v="277"/>
    <x v="2439"/>
    <x v="0"/>
    <x v="206"/>
    <n v="35.76"/>
    <x v="7"/>
    <s v="Dec 2024"/>
    <n v="19"/>
    <s v="Repeat"/>
    <x v="0"/>
    <x v="2496"/>
  </r>
  <r>
    <x v="277"/>
    <x v="2440"/>
    <x v="0"/>
    <x v="988"/>
    <n v="30.86"/>
    <x v="3"/>
    <s v="Dec 2024"/>
    <n v="22"/>
    <s v="Single"/>
    <x v="1"/>
    <x v="2497"/>
  </r>
  <r>
    <x v="277"/>
    <x v="2441"/>
    <x v="0"/>
    <x v="989"/>
    <n v="25.96"/>
    <x v="2"/>
    <s v="Dec 2024"/>
    <n v="22"/>
    <s v="Single"/>
    <x v="1"/>
    <x v="2498"/>
  </r>
  <r>
    <x v="278"/>
    <x v="2442"/>
    <x v="0"/>
    <x v="141"/>
    <n v="25.96"/>
    <x v="5"/>
    <s v="Dec 2024"/>
    <n v="8"/>
    <s v="Repeat"/>
    <x v="0"/>
    <x v="2499"/>
  </r>
  <r>
    <x v="278"/>
    <x v="2443"/>
    <x v="0"/>
    <x v="787"/>
    <n v="35.76"/>
    <x v="0"/>
    <s v="Dec 2024"/>
    <n v="10"/>
    <s v="Repeat"/>
    <x v="0"/>
    <x v="2500"/>
  </r>
  <r>
    <x v="278"/>
    <x v="2444"/>
    <x v="0"/>
    <x v="787"/>
    <n v="35.76"/>
    <x v="7"/>
    <s v="Dec 2024"/>
    <n v="10"/>
    <s v="Repeat"/>
    <x v="0"/>
    <x v="2501"/>
  </r>
  <r>
    <x v="278"/>
    <x v="2445"/>
    <x v="0"/>
    <x v="990"/>
    <n v="25.96"/>
    <x v="5"/>
    <s v="Dec 2024"/>
    <n v="12"/>
    <s v="Single"/>
    <x v="1"/>
    <x v="2502"/>
  </r>
  <r>
    <x v="278"/>
    <x v="2446"/>
    <x v="0"/>
    <x v="991"/>
    <n v="30.86"/>
    <x v="3"/>
    <s v="Dec 2024"/>
    <n v="13"/>
    <s v="Repeat"/>
    <x v="0"/>
    <x v="2503"/>
  </r>
  <r>
    <x v="278"/>
    <x v="2447"/>
    <x v="0"/>
    <x v="991"/>
    <n v="30.86"/>
    <x v="3"/>
    <s v="Dec 2024"/>
    <n v="13"/>
    <s v="Repeat"/>
    <x v="0"/>
    <x v="2504"/>
  </r>
  <r>
    <x v="278"/>
    <x v="2448"/>
    <x v="0"/>
    <x v="206"/>
    <n v="35.76"/>
    <x v="7"/>
    <s v="Dec 2024"/>
    <n v="17"/>
    <s v="Repeat"/>
    <x v="0"/>
    <x v="2505"/>
  </r>
  <r>
    <x v="278"/>
    <x v="2449"/>
    <x v="0"/>
    <x v="992"/>
    <n v="21.06"/>
    <x v="6"/>
    <s v="Dec 2024"/>
    <n v="18"/>
    <s v="Single"/>
    <x v="1"/>
    <x v="2506"/>
  </r>
  <r>
    <x v="278"/>
    <x v="2450"/>
    <x v="0"/>
    <x v="97"/>
    <n v="35.76"/>
    <x v="7"/>
    <s v="Dec 2024"/>
    <n v="20"/>
    <s v="Repeat"/>
    <x v="0"/>
    <x v="2507"/>
  </r>
  <r>
    <x v="278"/>
    <x v="2451"/>
    <x v="0"/>
    <x v="993"/>
    <n v="30.86"/>
    <x v="3"/>
    <s v="Dec 2024"/>
    <n v="21"/>
    <s v="Single"/>
    <x v="1"/>
    <x v="2508"/>
  </r>
  <r>
    <x v="278"/>
    <x v="2452"/>
    <x v="0"/>
    <x v="976"/>
    <n v="30.86"/>
    <x v="3"/>
    <s v="Dec 2024"/>
    <n v="21"/>
    <s v="Repeat"/>
    <x v="0"/>
    <x v="2509"/>
  </r>
  <r>
    <x v="279"/>
    <x v="2453"/>
    <x v="0"/>
    <x v="994"/>
    <n v="35.76"/>
    <x v="7"/>
    <s v="Dec 2024"/>
    <n v="8"/>
    <s v="Single"/>
    <x v="1"/>
    <x v="2510"/>
  </r>
  <r>
    <x v="279"/>
    <x v="2454"/>
    <x v="0"/>
    <x v="995"/>
    <n v="25.96"/>
    <x v="2"/>
    <s v="Dec 2024"/>
    <n v="9"/>
    <s v="Single"/>
    <x v="1"/>
    <x v="2511"/>
  </r>
  <r>
    <x v="279"/>
    <x v="2455"/>
    <x v="0"/>
    <x v="276"/>
    <n v="30.86"/>
    <x v="3"/>
    <s v="Dec 2024"/>
    <n v="9"/>
    <s v="Repeat"/>
    <x v="0"/>
    <x v="2512"/>
  </r>
  <r>
    <x v="279"/>
    <x v="2456"/>
    <x v="0"/>
    <x v="802"/>
    <n v="25.96"/>
    <x v="5"/>
    <s v="Dec 2024"/>
    <n v="13"/>
    <s v="Repeat"/>
    <x v="0"/>
    <x v="2513"/>
  </r>
  <r>
    <x v="279"/>
    <x v="2457"/>
    <x v="0"/>
    <x v="996"/>
    <n v="35.76"/>
    <x v="4"/>
    <s v="Dec 2024"/>
    <n v="21"/>
    <s v="Single"/>
    <x v="1"/>
    <x v="2514"/>
  </r>
  <r>
    <x v="280"/>
    <x v="2458"/>
    <x v="0"/>
    <x v="141"/>
    <n v="25.96"/>
    <x v="5"/>
    <s v="Dec 2024"/>
    <n v="12"/>
    <s v="Repeat"/>
    <x v="0"/>
    <x v="2515"/>
  </r>
  <r>
    <x v="280"/>
    <x v="2459"/>
    <x v="0"/>
    <x v="938"/>
    <n v="35.76"/>
    <x v="1"/>
    <s v="Dec 2024"/>
    <n v="18"/>
    <s v="Repeat"/>
    <x v="0"/>
    <x v="2516"/>
  </r>
  <r>
    <x v="281"/>
    <x v="2460"/>
    <x v="0"/>
    <x v="570"/>
    <n v="35.76"/>
    <x v="0"/>
    <s v="Dec 2024"/>
    <n v="7"/>
    <s v="Repeat"/>
    <x v="0"/>
    <x v="2517"/>
  </r>
  <r>
    <x v="281"/>
    <x v="2461"/>
    <x v="0"/>
    <x v="141"/>
    <n v="25.96"/>
    <x v="5"/>
    <s v="Dec 2024"/>
    <n v="10"/>
    <s v="Repeat"/>
    <x v="0"/>
    <x v="2518"/>
  </r>
  <r>
    <x v="281"/>
    <x v="2462"/>
    <x v="0"/>
    <x v="997"/>
    <n v="35.76"/>
    <x v="1"/>
    <s v="Dec 2024"/>
    <n v="12"/>
    <s v="Single"/>
    <x v="1"/>
    <x v="2519"/>
  </r>
  <r>
    <x v="281"/>
    <x v="2463"/>
    <x v="0"/>
    <x v="998"/>
    <n v="21.06"/>
    <x v="6"/>
    <s v="Dec 2024"/>
    <n v="12"/>
    <s v="Single"/>
    <x v="1"/>
    <x v="2520"/>
  </r>
  <r>
    <x v="281"/>
    <x v="2464"/>
    <x v="0"/>
    <x v="999"/>
    <n v="35.76"/>
    <x v="4"/>
    <s v="Dec 2024"/>
    <n v="17"/>
    <s v="Single"/>
    <x v="1"/>
    <x v="2521"/>
  </r>
  <r>
    <x v="281"/>
    <x v="2465"/>
    <x v="0"/>
    <x v="690"/>
    <n v="35.76"/>
    <x v="0"/>
    <s v="Dec 2024"/>
    <n v="21"/>
    <s v="Repeat"/>
    <x v="0"/>
    <x v="2522"/>
  </r>
  <r>
    <x v="281"/>
    <x v="2466"/>
    <x v="0"/>
    <x v="1000"/>
    <n v="35.76"/>
    <x v="0"/>
    <s v="Dec 2024"/>
    <n v="21"/>
    <s v="Repeat"/>
    <x v="0"/>
    <x v="2523"/>
  </r>
  <r>
    <x v="282"/>
    <x v="2467"/>
    <x v="0"/>
    <x v="1001"/>
    <n v="30.86"/>
    <x v="3"/>
    <s v="Dec 2024"/>
    <n v="7"/>
    <s v="Single"/>
    <x v="1"/>
    <x v="2524"/>
  </r>
  <r>
    <x v="282"/>
    <x v="2468"/>
    <x v="0"/>
    <x v="1002"/>
    <n v="25.96"/>
    <x v="2"/>
    <s v="Dec 2024"/>
    <n v="12"/>
    <s v="Single"/>
    <x v="1"/>
    <x v="2525"/>
  </r>
  <r>
    <x v="282"/>
    <x v="2469"/>
    <x v="0"/>
    <x v="1003"/>
    <n v="21.06"/>
    <x v="6"/>
    <s v="Dec 2024"/>
    <n v="16"/>
    <s v="Repeat"/>
    <x v="0"/>
    <x v="2526"/>
  </r>
  <r>
    <x v="282"/>
    <x v="2470"/>
    <x v="0"/>
    <x v="1003"/>
    <n v="21.06"/>
    <x v="6"/>
    <s v="Dec 2024"/>
    <n v="16"/>
    <s v="Repeat"/>
    <x v="0"/>
    <x v="2527"/>
  </r>
  <r>
    <x v="282"/>
    <x v="2471"/>
    <x v="0"/>
    <x v="1003"/>
    <n v="25.96"/>
    <x v="2"/>
    <s v="Dec 2024"/>
    <n v="16"/>
    <s v="Repeat"/>
    <x v="0"/>
    <x v="2528"/>
  </r>
  <r>
    <x v="282"/>
    <x v="2472"/>
    <x v="0"/>
    <x v="922"/>
    <n v="35.76"/>
    <x v="4"/>
    <s v="Dec 2024"/>
    <n v="19"/>
    <s v="Repeat"/>
    <x v="0"/>
    <x v="2529"/>
  </r>
  <r>
    <x v="282"/>
    <x v="2473"/>
    <x v="0"/>
    <x v="922"/>
    <n v="35.76"/>
    <x v="4"/>
    <s v="Dec 2024"/>
    <n v="19"/>
    <s v="Repeat"/>
    <x v="0"/>
    <x v="2530"/>
  </r>
  <r>
    <x v="283"/>
    <x v="2474"/>
    <x v="0"/>
    <x v="1004"/>
    <n v="25.96"/>
    <x v="2"/>
    <s v="Dec 2024"/>
    <n v="12"/>
    <s v="Single"/>
    <x v="1"/>
    <x v="2531"/>
  </r>
  <r>
    <x v="283"/>
    <x v="2475"/>
    <x v="0"/>
    <x v="1003"/>
    <n v="25.96"/>
    <x v="2"/>
    <s v="Dec 2024"/>
    <n v="12"/>
    <s v="Repeat"/>
    <x v="0"/>
    <x v="2532"/>
  </r>
  <r>
    <x v="283"/>
    <x v="2476"/>
    <x v="0"/>
    <x v="1003"/>
    <n v="35.76"/>
    <x v="1"/>
    <s v="Dec 2024"/>
    <n v="12"/>
    <s v="Repeat"/>
    <x v="0"/>
    <x v="2533"/>
  </r>
  <r>
    <x v="283"/>
    <x v="2477"/>
    <x v="0"/>
    <x v="1005"/>
    <n v="35.76"/>
    <x v="1"/>
    <s v="Dec 2024"/>
    <n v="14"/>
    <s v="Single"/>
    <x v="1"/>
    <x v="2534"/>
  </r>
  <r>
    <x v="283"/>
    <x v="2478"/>
    <x v="0"/>
    <x v="494"/>
    <n v="35.76"/>
    <x v="4"/>
    <s v="Dec 2024"/>
    <n v="16"/>
    <s v="Repeat"/>
    <x v="0"/>
    <x v="2535"/>
  </r>
  <r>
    <x v="283"/>
    <x v="2479"/>
    <x v="0"/>
    <x v="876"/>
    <n v="35.76"/>
    <x v="7"/>
    <s v="Dec 2024"/>
    <n v="19"/>
    <s v="Repeat"/>
    <x v="0"/>
    <x v="2536"/>
  </r>
  <r>
    <x v="283"/>
    <x v="2480"/>
    <x v="0"/>
    <x v="876"/>
    <n v="35.76"/>
    <x v="7"/>
    <s v="Dec 2024"/>
    <n v="19"/>
    <s v="Repeat"/>
    <x v="0"/>
    <x v="2537"/>
  </r>
  <r>
    <x v="283"/>
    <x v="2481"/>
    <x v="0"/>
    <x v="748"/>
    <n v="35.76"/>
    <x v="0"/>
    <s v="Dec 2024"/>
    <n v="21"/>
    <s v="Repeat"/>
    <x v="0"/>
    <x v="2538"/>
  </r>
  <r>
    <x v="284"/>
    <x v="2482"/>
    <x v="0"/>
    <x v="1006"/>
    <n v="30.86"/>
    <x v="3"/>
    <s v="Dec 2024"/>
    <n v="8"/>
    <s v="Single"/>
    <x v="1"/>
    <x v="2539"/>
  </r>
  <r>
    <x v="284"/>
    <x v="2483"/>
    <x v="0"/>
    <x v="1007"/>
    <n v="35.76"/>
    <x v="4"/>
    <s v="Dec 2024"/>
    <n v="9"/>
    <s v="Single"/>
    <x v="1"/>
    <x v="2540"/>
  </r>
  <r>
    <x v="284"/>
    <x v="2484"/>
    <x v="0"/>
    <x v="664"/>
    <n v="35.76"/>
    <x v="7"/>
    <s v="Dec 2024"/>
    <n v="11"/>
    <s v="Repeat"/>
    <x v="0"/>
    <x v="2541"/>
  </r>
  <r>
    <x v="284"/>
    <x v="2485"/>
    <x v="0"/>
    <x v="1008"/>
    <n v="25.96"/>
    <x v="2"/>
    <s v="Dec 2024"/>
    <n v="13"/>
    <s v="Repeat"/>
    <x v="0"/>
    <x v="2542"/>
  </r>
  <r>
    <x v="284"/>
    <x v="2486"/>
    <x v="0"/>
    <x v="1008"/>
    <n v="35.76"/>
    <x v="0"/>
    <s v="Dec 2024"/>
    <n v="13"/>
    <s v="Repeat"/>
    <x v="0"/>
    <x v="2543"/>
  </r>
  <r>
    <x v="284"/>
    <x v="2487"/>
    <x v="0"/>
    <x v="612"/>
    <n v="35.76"/>
    <x v="4"/>
    <s v="Dec 2024"/>
    <n v="16"/>
    <s v="Repeat"/>
    <x v="0"/>
    <x v="2544"/>
  </r>
  <r>
    <x v="284"/>
    <x v="2488"/>
    <x v="0"/>
    <x v="40"/>
    <n v="25.96"/>
    <x v="2"/>
    <s v="Dec 2024"/>
    <n v="16"/>
    <s v="Repeat"/>
    <x v="0"/>
    <x v="2545"/>
  </r>
  <r>
    <x v="284"/>
    <x v="2489"/>
    <x v="0"/>
    <x v="40"/>
    <n v="25.96"/>
    <x v="2"/>
    <s v="Dec 2024"/>
    <n v="16"/>
    <s v="Repeat"/>
    <x v="0"/>
    <x v="2546"/>
  </r>
  <r>
    <x v="284"/>
    <x v="2490"/>
    <x v="0"/>
    <x v="1003"/>
    <n v="25.96"/>
    <x v="2"/>
    <s v="Dec 2024"/>
    <n v="17"/>
    <s v="Repeat"/>
    <x v="0"/>
    <x v="2547"/>
  </r>
  <r>
    <x v="284"/>
    <x v="2491"/>
    <x v="0"/>
    <x v="1003"/>
    <n v="25.96"/>
    <x v="2"/>
    <s v="Dec 2024"/>
    <n v="17"/>
    <s v="Repeat"/>
    <x v="0"/>
    <x v="2548"/>
  </r>
  <r>
    <x v="284"/>
    <x v="656"/>
    <x v="0"/>
    <x v="1009"/>
    <n v="30.86"/>
    <x v="3"/>
    <s v="Dec 2024"/>
    <n v="18"/>
    <s v="Single"/>
    <x v="1"/>
    <x v="2549"/>
  </r>
  <r>
    <x v="285"/>
    <x v="2492"/>
    <x v="0"/>
    <x v="570"/>
    <n v="35.76"/>
    <x v="0"/>
    <s v="Dec 2024"/>
    <n v="11"/>
    <s v="Repeat"/>
    <x v="0"/>
    <x v="2550"/>
  </r>
  <r>
    <x v="285"/>
    <x v="2341"/>
    <x v="0"/>
    <x v="570"/>
    <n v="35.76"/>
    <x v="4"/>
    <s v="Dec 2024"/>
    <n v="11"/>
    <s v="Repeat"/>
    <x v="0"/>
    <x v="2551"/>
  </r>
  <r>
    <x v="285"/>
    <x v="2493"/>
    <x v="0"/>
    <x v="798"/>
    <n v="35.76"/>
    <x v="1"/>
    <s v="Dec 2024"/>
    <n v="17"/>
    <s v="Repeat"/>
    <x v="0"/>
    <x v="2552"/>
  </r>
  <r>
    <x v="286"/>
    <x v="2494"/>
    <x v="0"/>
    <x v="570"/>
    <n v="35.76"/>
    <x v="0"/>
    <s v="Dec 2024"/>
    <n v="7"/>
    <s v="Repeat"/>
    <x v="0"/>
    <x v="2553"/>
  </r>
  <r>
    <x v="286"/>
    <x v="2495"/>
    <x v="0"/>
    <x v="1010"/>
    <n v="35.76"/>
    <x v="1"/>
    <s v="Dec 2024"/>
    <n v="8"/>
    <s v="Repeat"/>
    <x v="0"/>
    <x v="2554"/>
  </r>
  <r>
    <x v="286"/>
    <x v="2496"/>
    <x v="0"/>
    <x v="714"/>
    <n v="35.76"/>
    <x v="4"/>
    <s v="Dec 2024"/>
    <n v="8"/>
    <s v="Repeat"/>
    <x v="0"/>
    <x v="2555"/>
  </r>
  <r>
    <x v="286"/>
    <x v="2497"/>
    <x v="0"/>
    <x v="1011"/>
    <n v="30.86"/>
    <x v="3"/>
    <s v="Dec 2024"/>
    <n v="12"/>
    <s v="Single"/>
    <x v="1"/>
    <x v="2556"/>
  </r>
  <r>
    <x v="286"/>
    <x v="2498"/>
    <x v="0"/>
    <x v="886"/>
    <n v="35.76"/>
    <x v="0"/>
    <s v="Dec 2024"/>
    <n v="13"/>
    <s v="Repeat"/>
    <x v="0"/>
    <x v="2557"/>
  </r>
  <r>
    <x v="286"/>
    <x v="237"/>
    <x v="0"/>
    <x v="896"/>
    <n v="35.76"/>
    <x v="1"/>
    <s v="Dec 2024"/>
    <n v="14"/>
    <s v="Repeat"/>
    <x v="0"/>
    <x v="2558"/>
  </r>
  <r>
    <x v="286"/>
    <x v="2499"/>
    <x v="0"/>
    <x v="12"/>
    <n v="35.76"/>
    <x v="0"/>
    <s v="Dec 2024"/>
    <n v="18"/>
    <s v="Repeat"/>
    <x v="0"/>
    <x v="2559"/>
  </r>
  <r>
    <x v="286"/>
    <x v="2500"/>
    <x v="0"/>
    <x v="12"/>
    <n v="30.86"/>
    <x v="3"/>
    <s v="Dec 2024"/>
    <n v="18"/>
    <s v="Repeat"/>
    <x v="0"/>
    <x v="2560"/>
  </r>
  <r>
    <x v="287"/>
    <x v="2501"/>
    <x v="0"/>
    <x v="1012"/>
    <n v="25.96"/>
    <x v="5"/>
    <s v="Dec 2024"/>
    <n v="8"/>
    <s v="Single"/>
    <x v="1"/>
    <x v="2561"/>
  </r>
  <r>
    <x v="287"/>
    <x v="2502"/>
    <x v="0"/>
    <x v="1013"/>
    <n v="35.76"/>
    <x v="7"/>
    <s v="Dec 2024"/>
    <n v="8"/>
    <s v="Single"/>
    <x v="1"/>
    <x v="2562"/>
  </r>
  <r>
    <x v="287"/>
    <x v="2503"/>
    <x v="0"/>
    <x v="276"/>
    <n v="30.86"/>
    <x v="3"/>
    <s v="Dec 2024"/>
    <n v="10"/>
    <s v="Repeat"/>
    <x v="0"/>
    <x v="2563"/>
  </r>
  <r>
    <x v="287"/>
    <x v="2504"/>
    <x v="0"/>
    <x v="1014"/>
    <n v="25.96"/>
    <x v="2"/>
    <s v="Dec 2024"/>
    <n v="16"/>
    <s v="Repeat"/>
    <x v="0"/>
    <x v="2564"/>
  </r>
  <r>
    <x v="287"/>
    <x v="2505"/>
    <x v="0"/>
    <x v="1014"/>
    <n v="35.76"/>
    <x v="4"/>
    <s v="Dec 2024"/>
    <n v="16"/>
    <s v="Repeat"/>
    <x v="0"/>
    <x v="2565"/>
  </r>
  <r>
    <x v="287"/>
    <x v="2506"/>
    <x v="0"/>
    <x v="664"/>
    <n v="35.76"/>
    <x v="7"/>
    <s v="Dec 2024"/>
    <n v="17"/>
    <s v="Repeat"/>
    <x v="0"/>
    <x v="2566"/>
  </r>
  <r>
    <x v="287"/>
    <x v="2507"/>
    <x v="0"/>
    <x v="907"/>
    <n v="35.76"/>
    <x v="4"/>
    <s v="Dec 2024"/>
    <n v="18"/>
    <s v="Repeat"/>
    <x v="0"/>
    <x v="2567"/>
  </r>
  <r>
    <x v="288"/>
    <x v="2508"/>
    <x v="0"/>
    <x v="1015"/>
    <n v="35.76"/>
    <x v="0"/>
    <s v="Dec 2024"/>
    <n v="9"/>
    <s v="Single"/>
    <x v="1"/>
    <x v="2568"/>
  </r>
  <r>
    <x v="288"/>
    <x v="2509"/>
    <x v="0"/>
    <x v="1016"/>
    <n v="30.86"/>
    <x v="3"/>
    <s v="Dec 2024"/>
    <n v="10"/>
    <s v="Repeat"/>
    <x v="0"/>
    <x v="2569"/>
  </r>
  <r>
    <x v="288"/>
    <x v="2510"/>
    <x v="0"/>
    <x v="1016"/>
    <n v="35.76"/>
    <x v="0"/>
    <s v="Dec 2024"/>
    <n v="10"/>
    <s v="Repeat"/>
    <x v="0"/>
    <x v="2570"/>
  </r>
  <r>
    <x v="288"/>
    <x v="2511"/>
    <x v="0"/>
    <x v="1016"/>
    <n v="35.76"/>
    <x v="7"/>
    <s v="Dec 2024"/>
    <n v="10"/>
    <s v="Repeat"/>
    <x v="0"/>
    <x v="2571"/>
  </r>
  <r>
    <x v="289"/>
    <x v="2512"/>
    <x v="0"/>
    <x v="1017"/>
    <n v="35.76"/>
    <x v="1"/>
    <s v="Dec 2024"/>
    <n v="10"/>
    <s v="Single"/>
    <x v="1"/>
    <x v="2572"/>
  </r>
  <r>
    <x v="289"/>
    <x v="49"/>
    <x v="0"/>
    <x v="276"/>
    <n v="30.86"/>
    <x v="3"/>
    <s v="Dec 2024"/>
    <n v="11"/>
    <s v="Repeat"/>
    <x v="0"/>
    <x v="2573"/>
  </r>
  <r>
    <x v="289"/>
    <x v="2513"/>
    <x v="0"/>
    <x v="1018"/>
    <n v="21.06"/>
    <x v="6"/>
    <s v="Dec 2024"/>
    <n v="12"/>
    <s v="Single"/>
    <x v="1"/>
    <x v="2574"/>
  </r>
  <r>
    <x v="289"/>
    <x v="2514"/>
    <x v="0"/>
    <x v="1019"/>
    <n v="35.76"/>
    <x v="1"/>
    <s v="Dec 2024"/>
    <n v="13"/>
    <s v="Single"/>
    <x v="1"/>
    <x v="2575"/>
  </r>
  <r>
    <x v="289"/>
    <x v="2515"/>
    <x v="0"/>
    <x v="206"/>
    <n v="35.76"/>
    <x v="7"/>
    <s v="Dec 2024"/>
    <n v="19"/>
    <s v="Repeat"/>
    <x v="0"/>
    <x v="2576"/>
  </r>
  <r>
    <x v="289"/>
    <x v="2516"/>
    <x v="0"/>
    <x v="40"/>
    <n v="35.76"/>
    <x v="7"/>
    <s v="Dec 2024"/>
    <n v="19"/>
    <s v="Repeat"/>
    <x v="0"/>
    <x v="2577"/>
  </r>
  <r>
    <x v="289"/>
    <x v="2517"/>
    <x v="0"/>
    <x v="1020"/>
    <n v="30.86"/>
    <x v="3"/>
    <s v="Dec 2024"/>
    <n v="19"/>
    <s v="Repeat"/>
    <x v="0"/>
    <x v="2578"/>
  </r>
  <r>
    <x v="289"/>
    <x v="2518"/>
    <x v="0"/>
    <x v="1020"/>
    <n v="35.76"/>
    <x v="1"/>
    <s v="Dec 2024"/>
    <n v="19"/>
    <s v="Repeat"/>
    <x v="0"/>
    <x v="2579"/>
  </r>
  <r>
    <x v="289"/>
    <x v="2519"/>
    <x v="0"/>
    <x v="1021"/>
    <n v="35.76"/>
    <x v="0"/>
    <s v="Dec 2024"/>
    <n v="21"/>
    <s v="Repeat"/>
    <x v="0"/>
    <x v="2580"/>
  </r>
  <r>
    <x v="289"/>
    <x v="2520"/>
    <x v="0"/>
    <x v="1021"/>
    <n v="35.76"/>
    <x v="7"/>
    <s v="Dec 2024"/>
    <n v="21"/>
    <s v="Repeat"/>
    <x v="0"/>
    <x v="2581"/>
  </r>
  <r>
    <x v="290"/>
    <x v="2521"/>
    <x v="0"/>
    <x v="141"/>
    <n v="25.96"/>
    <x v="5"/>
    <s v="Dec 2024"/>
    <n v="8"/>
    <s v="Repeat"/>
    <x v="0"/>
    <x v="2582"/>
  </r>
  <r>
    <x v="290"/>
    <x v="2522"/>
    <x v="0"/>
    <x v="276"/>
    <n v="30.86"/>
    <x v="3"/>
    <s v="Dec 2024"/>
    <n v="9"/>
    <s v="Repeat"/>
    <x v="0"/>
    <x v="2583"/>
  </r>
  <r>
    <x v="290"/>
    <x v="2523"/>
    <x v="0"/>
    <x v="1022"/>
    <n v="35.76"/>
    <x v="7"/>
    <s v="Dec 2024"/>
    <n v="10"/>
    <s v="Single"/>
    <x v="1"/>
    <x v="2584"/>
  </r>
  <r>
    <x v="290"/>
    <x v="2524"/>
    <x v="0"/>
    <x v="141"/>
    <n v="25.96"/>
    <x v="5"/>
    <s v="Dec 2024"/>
    <n v="10"/>
    <s v="Repeat"/>
    <x v="0"/>
    <x v="2585"/>
  </r>
  <r>
    <x v="290"/>
    <x v="2525"/>
    <x v="0"/>
    <x v="819"/>
    <n v="21.06"/>
    <x v="6"/>
    <s v="Dec 2024"/>
    <n v="12"/>
    <s v="Repeat"/>
    <x v="0"/>
    <x v="2586"/>
  </r>
  <r>
    <x v="290"/>
    <x v="2526"/>
    <x v="0"/>
    <x v="819"/>
    <n v="30.86"/>
    <x v="3"/>
    <s v="Dec 2024"/>
    <n v="12"/>
    <s v="Repeat"/>
    <x v="0"/>
    <x v="2587"/>
  </r>
  <r>
    <x v="290"/>
    <x v="2527"/>
    <x v="0"/>
    <x v="1023"/>
    <n v="25.96"/>
    <x v="5"/>
    <s v="Dec 2024"/>
    <n v="14"/>
    <s v="Single"/>
    <x v="1"/>
    <x v="2588"/>
  </r>
  <r>
    <x v="290"/>
    <x v="2528"/>
    <x v="0"/>
    <x v="1024"/>
    <n v="35.76"/>
    <x v="7"/>
    <s v="Dec 2024"/>
    <n v="18"/>
    <s v="Single"/>
    <x v="1"/>
    <x v="2589"/>
  </r>
  <r>
    <x v="290"/>
    <x v="2529"/>
    <x v="0"/>
    <x v="206"/>
    <n v="35.76"/>
    <x v="7"/>
    <s v="Dec 2024"/>
    <n v="18"/>
    <s v="Repeat"/>
    <x v="0"/>
    <x v="2590"/>
  </r>
  <r>
    <x v="291"/>
    <x v="466"/>
    <x v="0"/>
    <x v="1025"/>
    <n v="35.76"/>
    <x v="7"/>
    <s v="Dec 2024"/>
    <n v="10"/>
    <s v="Repeat"/>
    <x v="0"/>
    <x v="2591"/>
  </r>
  <r>
    <x v="291"/>
    <x v="2530"/>
    <x v="0"/>
    <x v="1025"/>
    <n v="35.76"/>
    <x v="0"/>
    <s v="Dec 2024"/>
    <n v="10"/>
    <s v="Repeat"/>
    <x v="0"/>
    <x v="2592"/>
  </r>
  <r>
    <x v="291"/>
    <x v="2531"/>
    <x v="0"/>
    <x v="1026"/>
    <n v="25.96"/>
    <x v="2"/>
    <s v="Dec 2024"/>
    <n v="10"/>
    <s v="Single"/>
    <x v="1"/>
    <x v="2593"/>
  </r>
  <r>
    <x v="291"/>
    <x v="2532"/>
    <x v="0"/>
    <x v="507"/>
    <n v="35.76"/>
    <x v="1"/>
    <s v="Dec 2024"/>
    <n v="15"/>
    <s v="Repeat"/>
    <x v="0"/>
    <x v="2594"/>
  </r>
  <r>
    <x v="291"/>
    <x v="2533"/>
    <x v="0"/>
    <x v="507"/>
    <n v="35.76"/>
    <x v="0"/>
    <s v="Dec 2024"/>
    <n v="15"/>
    <s v="Repeat"/>
    <x v="0"/>
    <x v="2595"/>
  </r>
  <r>
    <x v="291"/>
    <x v="2534"/>
    <x v="0"/>
    <x v="842"/>
    <n v="30.86"/>
    <x v="3"/>
    <s v="Dec 2024"/>
    <n v="15"/>
    <s v="Repeat"/>
    <x v="0"/>
    <x v="2596"/>
  </r>
  <r>
    <x v="291"/>
    <x v="2535"/>
    <x v="0"/>
    <x v="1027"/>
    <n v="35.76"/>
    <x v="0"/>
    <s v="Dec 2024"/>
    <n v="15"/>
    <s v="Single"/>
    <x v="1"/>
    <x v="2597"/>
  </r>
  <r>
    <x v="291"/>
    <x v="759"/>
    <x v="0"/>
    <x v="1020"/>
    <n v="35.76"/>
    <x v="4"/>
    <s v="Dec 2024"/>
    <n v="17"/>
    <s v="Repeat"/>
    <x v="0"/>
    <x v="2598"/>
  </r>
  <r>
    <x v="291"/>
    <x v="2536"/>
    <x v="0"/>
    <x v="1028"/>
    <n v="35.76"/>
    <x v="1"/>
    <s v="Dec 2024"/>
    <n v="18"/>
    <s v="Single"/>
    <x v="1"/>
    <x v="2599"/>
  </r>
  <r>
    <x v="291"/>
    <x v="2537"/>
    <x v="0"/>
    <x v="1029"/>
    <n v="25.96"/>
    <x v="5"/>
    <s v="Dec 2024"/>
    <n v="18"/>
    <s v="Repeat"/>
    <x v="0"/>
    <x v="2600"/>
  </r>
  <r>
    <x v="291"/>
    <x v="2538"/>
    <x v="0"/>
    <x v="1030"/>
    <n v="30.86"/>
    <x v="3"/>
    <s v="Dec 2024"/>
    <n v="19"/>
    <s v="Repeat"/>
    <x v="0"/>
    <x v="2601"/>
  </r>
  <r>
    <x v="291"/>
    <x v="2539"/>
    <x v="0"/>
    <x v="1030"/>
    <n v="25.96"/>
    <x v="5"/>
    <s v="Dec 2024"/>
    <n v="19"/>
    <s v="Repeat"/>
    <x v="0"/>
    <x v="2602"/>
  </r>
  <r>
    <x v="291"/>
    <x v="2540"/>
    <x v="0"/>
    <x v="1029"/>
    <n v="25.96"/>
    <x v="5"/>
    <s v="Dec 2024"/>
    <n v="21"/>
    <s v="Repeat"/>
    <x v="0"/>
    <x v="2603"/>
  </r>
  <r>
    <x v="291"/>
    <x v="2541"/>
    <x v="0"/>
    <x v="1031"/>
    <n v="35.76"/>
    <x v="0"/>
    <s v="Dec 2024"/>
    <n v="21"/>
    <s v="Single"/>
    <x v="1"/>
    <x v="2604"/>
  </r>
  <r>
    <x v="291"/>
    <x v="2542"/>
    <x v="0"/>
    <x v="1029"/>
    <n v="25.96"/>
    <x v="5"/>
    <s v="Dec 2024"/>
    <n v="22"/>
    <s v="Repeat"/>
    <x v="0"/>
    <x v="2605"/>
  </r>
  <r>
    <x v="292"/>
    <x v="2543"/>
    <x v="0"/>
    <x v="333"/>
    <n v="35.76"/>
    <x v="7"/>
    <s v="Dec 2024"/>
    <n v="10"/>
    <s v="Repeat"/>
    <x v="0"/>
    <x v="2606"/>
  </r>
  <r>
    <x v="292"/>
    <x v="2544"/>
    <x v="0"/>
    <x v="206"/>
    <n v="35.76"/>
    <x v="7"/>
    <s v="Dec 2024"/>
    <n v="18"/>
    <s v="Repeat"/>
    <x v="0"/>
    <x v="2607"/>
  </r>
  <r>
    <x v="292"/>
    <x v="2545"/>
    <x v="0"/>
    <x v="1032"/>
    <n v="35.76"/>
    <x v="1"/>
    <s v="Dec 2024"/>
    <n v="19"/>
    <s v="Repeat"/>
    <x v="0"/>
    <x v="2608"/>
  </r>
  <r>
    <x v="292"/>
    <x v="2546"/>
    <x v="0"/>
    <x v="1032"/>
    <n v="35.76"/>
    <x v="1"/>
    <s v="Dec 2024"/>
    <n v="19"/>
    <s v="Repeat"/>
    <x v="0"/>
    <x v="2609"/>
  </r>
  <r>
    <x v="292"/>
    <x v="2547"/>
    <x v="0"/>
    <x v="636"/>
    <n v="35.76"/>
    <x v="1"/>
    <s v="Dec 2024"/>
    <n v="20"/>
    <s v="Repeat"/>
    <x v="0"/>
    <x v="2610"/>
  </r>
  <r>
    <x v="292"/>
    <x v="2548"/>
    <x v="0"/>
    <x v="1033"/>
    <n v="35.76"/>
    <x v="4"/>
    <s v="Dec 2024"/>
    <n v="21"/>
    <s v="Single"/>
    <x v="1"/>
    <x v="2611"/>
  </r>
  <r>
    <x v="292"/>
    <x v="2549"/>
    <x v="0"/>
    <x v="1034"/>
    <n v="25.96"/>
    <x v="5"/>
    <s v="Dec 2024"/>
    <n v="21"/>
    <s v="Repeat"/>
    <x v="0"/>
    <x v="2612"/>
  </r>
  <r>
    <x v="293"/>
    <x v="2550"/>
    <x v="0"/>
    <x v="1029"/>
    <n v="25.96"/>
    <x v="5"/>
    <s v="Dec 2024"/>
    <n v="9"/>
    <s v="Repeat"/>
    <x v="0"/>
    <x v="2613"/>
  </r>
  <r>
    <x v="293"/>
    <x v="2551"/>
    <x v="0"/>
    <x v="276"/>
    <n v="30.86"/>
    <x v="3"/>
    <s v="Dec 2024"/>
    <n v="9"/>
    <s v="Repeat"/>
    <x v="0"/>
    <x v="2614"/>
  </r>
  <r>
    <x v="293"/>
    <x v="2552"/>
    <x v="0"/>
    <x v="42"/>
    <n v="30.86"/>
    <x v="3"/>
    <s v="Dec 2024"/>
    <n v="10"/>
    <s v="Repeat"/>
    <x v="0"/>
    <x v="2615"/>
  </r>
  <r>
    <x v="293"/>
    <x v="2553"/>
    <x v="0"/>
    <x v="570"/>
    <n v="35.76"/>
    <x v="7"/>
    <s v="Dec 2024"/>
    <n v="11"/>
    <s v="Repeat"/>
    <x v="0"/>
    <x v="2616"/>
  </r>
  <r>
    <x v="293"/>
    <x v="2554"/>
    <x v="0"/>
    <x v="1035"/>
    <n v="35.76"/>
    <x v="0"/>
    <s v="Dec 2024"/>
    <n v="14"/>
    <s v="Single"/>
    <x v="1"/>
    <x v="2617"/>
  </r>
  <r>
    <x v="293"/>
    <x v="2555"/>
    <x v="0"/>
    <x v="1036"/>
    <n v="30.86"/>
    <x v="3"/>
    <s v="Dec 2024"/>
    <n v="15"/>
    <s v="Single"/>
    <x v="1"/>
    <x v="2618"/>
  </r>
  <r>
    <x v="293"/>
    <x v="2556"/>
    <x v="0"/>
    <x v="906"/>
    <n v="35.76"/>
    <x v="0"/>
    <s v="Dec 2024"/>
    <n v="16"/>
    <s v="Repeat"/>
    <x v="0"/>
    <x v="2619"/>
  </r>
  <r>
    <x v="293"/>
    <x v="2557"/>
    <x v="0"/>
    <x v="1037"/>
    <n v="25.96"/>
    <x v="5"/>
    <s v="Dec 2024"/>
    <n v="17"/>
    <s v="Repeat"/>
    <x v="0"/>
    <x v="2620"/>
  </r>
  <r>
    <x v="293"/>
    <x v="2558"/>
    <x v="0"/>
    <x v="1037"/>
    <n v="35.76"/>
    <x v="0"/>
    <s v="Dec 2024"/>
    <n v="17"/>
    <s v="Repeat"/>
    <x v="0"/>
    <x v="2621"/>
  </r>
  <r>
    <x v="293"/>
    <x v="2559"/>
    <x v="0"/>
    <x v="1029"/>
    <n v="25.96"/>
    <x v="5"/>
    <s v="Dec 2024"/>
    <n v="20"/>
    <s v="Repeat"/>
    <x v="0"/>
    <x v="2622"/>
  </r>
  <r>
    <x v="294"/>
    <x v="2560"/>
    <x v="0"/>
    <x v="1038"/>
    <n v="30.86"/>
    <x v="3"/>
    <s v="Dec 2024"/>
    <n v="15"/>
    <s v="Single"/>
    <x v="1"/>
    <x v="2623"/>
  </r>
  <r>
    <x v="294"/>
    <x v="1730"/>
    <x v="0"/>
    <x v="1039"/>
    <n v="35.76"/>
    <x v="1"/>
    <s v="Dec 2024"/>
    <n v="16"/>
    <s v="Repeat"/>
    <x v="0"/>
    <x v="2624"/>
  </r>
  <r>
    <x v="294"/>
    <x v="2561"/>
    <x v="0"/>
    <x v="1029"/>
    <n v="25.96"/>
    <x v="5"/>
    <s v="Dec 2024"/>
    <n v="17"/>
    <s v="Repeat"/>
    <x v="0"/>
    <x v="2625"/>
  </r>
  <r>
    <x v="294"/>
    <x v="2562"/>
    <x v="0"/>
    <x v="1039"/>
    <n v="35.76"/>
    <x v="1"/>
    <s v="Dec 2024"/>
    <n v="19"/>
    <s v="Repeat"/>
    <x v="0"/>
    <x v="2626"/>
  </r>
  <r>
    <x v="294"/>
    <x v="2563"/>
    <x v="0"/>
    <x v="1040"/>
    <n v="35.76"/>
    <x v="0"/>
    <s v="Dec 2024"/>
    <n v="19"/>
    <s v="Single"/>
    <x v="1"/>
    <x v="2627"/>
  </r>
  <r>
    <x v="294"/>
    <x v="2564"/>
    <x v="0"/>
    <x v="1039"/>
    <n v="21.06"/>
    <x v="6"/>
    <s v="Dec 2024"/>
    <n v="19"/>
    <s v="Repeat"/>
    <x v="0"/>
    <x v="2628"/>
  </r>
  <r>
    <x v="294"/>
    <x v="2565"/>
    <x v="0"/>
    <x v="97"/>
    <n v="35.76"/>
    <x v="7"/>
    <s v="Dec 2024"/>
    <n v="19"/>
    <s v="Repeat"/>
    <x v="0"/>
    <x v="2629"/>
  </r>
  <r>
    <x v="295"/>
    <x v="2566"/>
    <x v="0"/>
    <x v="1041"/>
    <n v="35.76"/>
    <x v="0"/>
    <s v="Dec 2024"/>
    <n v="10"/>
    <s v="Repeat"/>
    <x v="0"/>
    <x v="2630"/>
  </r>
  <r>
    <x v="295"/>
    <x v="2567"/>
    <x v="0"/>
    <x v="1041"/>
    <n v="35.76"/>
    <x v="0"/>
    <s v="Dec 2024"/>
    <n v="10"/>
    <s v="Repeat"/>
    <x v="0"/>
    <x v="2631"/>
  </r>
  <r>
    <x v="295"/>
    <x v="2568"/>
    <x v="0"/>
    <x v="1042"/>
    <n v="30.86"/>
    <x v="3"/>
    <s v="Dec 2024"/>
    <n v="12"/>
    <s v="Repeat"/>
    <x v="0"/>
    <x v="2632"/>
  </r>
  <r>
    <x v="295"/>
    <x v="2569"/>
    <x v="0"/>
    <x v="1042"/>
    <n v="25.96"/>
    <x v="2"/>
    <s v="Dec 2024"/>
    <n v="12"/>
    <s v="Repeat"/>
    <x v="0"/>
    <x v="2633"/>
  </r>
  <r>
    <x v="295"/>
    <x v="2570"/>
    <x v="0"/>
    <x v="1043"/>
    <n v="30.86"/>
    <x v="3"/>
    <s v="Dec 2024"/>
    <n v="13"/>
    <s v="Single"/>
    <x v="1"/>
    <x v="2634"/>
  </r>
  <r>
    <x v="295"/>
    <x v="2571"/>
    <x v="0"/>
    <x v="1044"/>
    <n v="25.96"/>
    <x v="2"/>
    <s v="Dec 2024"/>
    <n v="13"/>
    <s v="Single"/>
    <x v="1"/>
    <x v="2635"/>
  </r>
  <r>
    <x v="295"/>
    <x v="2572"/>
    <x v="0"/>
    <x v="97"/>
    <n v="35.76"/>
    <x v="7"/>
    <s v="Dec 2024"/>
    <n v="20"/>
    <s v="Repeat"/>
    <x v="0"/>
    <x v="2636"/>
  </r>
  <r>
    <x v="295"/>
    <x v="2573"/>
    <x v="0"/>
    <x v="1045"/>
    <n v="35.76"/>
    <x v="4"/>
    <s v="Dec 2024"/>
    <n v="21"/>
    <s v="Repeat"/>
    <x v="0"/>
    <x v="2637"/>
  </r>
  <r>
    <x v="295"/>
    <x v="2574"/>
    <x v="0"/>
    <x v="1045"/>
    <n v="35.76"/>
    <x v="4"/>
    <s v="Dec 2024"/>
    <n v="21"/>
    <s v="Repeat"/>
    <x v="0"/>
    <x v="2638"/>
  </r>
  <r>
    <x v="295"/>
    <x v="2575"/>
    <x v="0"/>
    <x v="1046"/>
    <n v="35.76"/>
    <x v="0"/>
    <s v="Dec 2024"/>
    <n v="21"/>
    <s v="Single"/>
    <x v="1"/>
    <x v="2639"/>
  </r>
  <r>
    <x v="295"/>
    <x v="2576"/>
    <x v="0"/>
    <x v="154"/>
    <n v="35.76"/>
    <x v="7"/>
    <s v="Dec 2024"/>
    <n v="22"/>
    <s v="Repeat"/>
    <x v="0"/>
    <x v="2640"/>
  </r>
  <r>
    <x v="295"/>
    <x v="2577"/>
    <x v="0"/>
    <x v="154"/>
    <n v="30.86"/>
    <x v="3"/>
    <s v="Dec 2024"/>
    <n v="22"/>
    <s v="Repeat"/>
    <x v="0"/>
    <x v="2641"/>
  </r>
  <r>
    <x v="296"/>
    <x v="2578"/>
    <x v="0"/>
    <x v="1047"/>
    <n v="35.76"/>
    <x v="7"/>
    <s v="Dec 2024"/>
    <n v="13"/>
    <s v="Single"/>
    <x v="1"/>
    <x v="2642"/>
  </r>
  <r>
    <x v="296"/>
    <x v="2579"/>
    <x v="0"/>
    <x v="1048"/>
    <n v="21.06"/>
    <x v="6"/>
    <s v="Dec 2024"/>
    <n v="15"/>
    <s v="Single"/>
    <x v="1"/>
    <x v="2643"/>
  </r>
  <r>
    <x v="297"/>
    <x v="2580"/>
    <x v="0"/>
    <x v="1049"/>
    <n v="25.96"/>
    <x v="2"/>
    <s v="Dec 2024"/>
    <n v="7"/>
    <s v="Single"/>
    <x v="1"/>
    <x v="2644"/>
  </r>
  <r>
    <x v="297"/>
    <x v="2581"/>
    <x v="0"/>
    <x v="1029"/>
    <n v="25.96"/>
    <x v="5"/>
    <s v="Dec 2024"/>
    <n v="8"/>
    <s v="Repeat"/>
    <x v="0"/>
    <x v="2645"/>
  </r>
  <r>
    <x v="297"/>
    <x v="2582"/>
    <x v="0"/>
    <x v="141"/>
    <n v="25.96"/>
    <x v="5"/>
    <s v="Dec 2024"/>
    <n v="9"/>
    <s v="Repeat"/>
    <x v="0"/>
    <x v="2646"/>
  </r>
  <r>
    <x v="297"/>
    <x v="240"/>
    <x v="0"/>
    <x v="276"/>
    <n v="30.86"/>
    <x v="3"/>
    <s v="Dec 2024"/>
    <n v="10"/>
    <s v="Repeat"/>
    <x v="0"/>
    <x v="2647"/>
  </r>
  <r>
    <x v="297"/>
    <x v="2583"/>
    <x v="0"/>
    <x v="1050"/>
    <n v="35.76"/>
    <x v="0"/>
    <s v="Dec 2024"/>
    <n v="17"/>
    <s v="Single"/>
    <x v="1"/>
    <x v="2648"/>
  </r>
  <r>
    <x v="297"/>
    <x v="2584"/>
    <x v="0"/>
    <x v="1051"/>
    <n v="25.96"/>
    <x v="2"/>
    <s v="Dec 2024"/>
    <n v="19"/>
    <s v="Repeat"/>
    <x v="0"/>
    <x v="2649"/>
  </r>
  <r>
    <x v="297"/>
    <x v="2585"/>
    <x v="0"/>
    <x v="1051"/>
    <n v="30.86"/>
    <x v="3"/>
    <s v="Dec 2024"/>
    <n v="19"/>
    <s v="Repeat"/>
    <x v="0"/>
    <x v="2650"/>
  </r>
  <r>
    <x v="297"/>
    <x v="2586"/>
    <x v="0"/>
    <x v="701"/>
    <n v="35.76"/>
    <x v="4"/>
    <s v="Dec 2024"/>
    <n v="22"/>
    <s v="Repeat"/>
    <x v="0"/>
    <x v="2651"/>
  </r>
  <r>
    <x v="298"/>
    <x v="2587"/>
    <x v="0"/>
    <x v="1029"/>
    <n v="25.96"/>
    <x v="5"/>
    <s v="Dec 2024"/>
    <n v="9"/>
    <s v="Repeat"/>
    <x v="0"/>
    <x v="2652"/>
  </r>
  <r>
    <x v="298"/>
    <x v="2588"/>
    <x v="0"/>
    <x v="141"/>
    <n v="25.96"/>
    <x v="5"/>
    <s v="Dec 2024"/>
    <n v="9"/>
    <s v="Repeat"/>
    <x v="0"/>
    <x v="2653"/>
  </r>
  <r>
    <x v="298"/>
    <x v="2589"/>
    <x v="0"/>
    <x v="727"/>
    <n v="30.86"/>
    <x v="3"/>
    <s v="Dec 2024"/>
    <n v="10"/>
    <s v="Repeat"/>
    <x v="0"/>
    <x v="2654"/>
  </r>
  <r>
    <x v="298"/>
    <x v="2590"/>
    <x v="0"/>
    <x v="570"/>
    <n v="35.76"/>
    <x v="0"/>
    <s v="Dec 2024"/>
    <n v="10"/>
    <s v="Repeat"/>
    <x v="0"/>
    <x v="2655"/>
  </r>
  <r>
    <x v="298"/>
    <x v="2591"/>
    <x v="0"/>
    <x v="1052"/>
    <n v="35.76"/>
    <x v="7"/>
    <s v="Dec 2024"/>
    <n v="14"/>
    <s v="Single"/>
    <x v="1"/>
    <x v="2656"/>
  </r>
  <r>
    <x v="298"/>
    <x v="2592"/>
    <x v="0"/>
    <x v="1053"/>
    <n v="35.76"/>
    <x v="1"/>
    <s v="Dec 2024"/>
    <n v="14"/>
    <s v="Single"/>
    <x v="1"/>
    <x v="2657"/>
  </r>
  <r>
    <x v="298"/>
    <x v="2593"/>
    <x v="0"/>
    <x v="507"/>
    <n v="35.76"/>
    <x v="0"/>
    <s v="Dec 2024"/>
    <n v="17"/>
    <s v="Repeat"/>
    <x v="0"/>
    <x v="2658"/>
  </r>
  <r>
    <x v="298"/>
    <x v="2594"/>
    <x v="0"/>
    <x v="1054"/>
    <n v="35.76"/>
    <x v="7"/>
    <s v="Dec 2024"/>
    <n v="22"/>
    <s v="Single"/>
    <x v="1"/>
    <x v="2659"/>
  </r>
  <r>
    <x v="299"/>
    <x v="2595"/>
    <x v="0"/>
    <x v="1029"/>
    <n v="25.96"/>
    <x v="5"/>
    <s v="Dec 2024"/>
    <n v="13"/>
    <s v="Repeat"/>
    <x v="0"/>
    <x v="2660"/>
  </r>
  <r>
    <x v="299"/>
    <x v="2596"/>
    <x v="0"/>
    <x v="1055"/>
    <n v="21.06"/>
    <x v="6"/>
    <s v="Dec 2024"/>
    <n v="15"/>
    <s v="Repeat"/>
    <x v="0"/>
    <x v="2661"/>
  </r>
  <r>
    <x v="299"/>
    <x v="2597"/>
    <x v="0"/>
    <x v="1055"/>
    <n v="25.96"/>
    <x v="2"/>
    <s v="Dec 2024"/>
    <n v="15"/>
    <s v="Repeat"/>
    <x v="0"/>
    <x v="2662"/>
  </r>
  <r>
    <x v="299"/>
    <x v="2598"/>
    <x v="0"/>
    <x v="1056"/>
    <n v="25.96"/>
    <x v="5"/>
    <s v="Dec 2024"/>
    <n v="17"/>
    <s v="Single"/>
    <x v="1"/>
    <x v="2663"/>
  </r>
  <r>
    <x v="299"/>
    <x v="2599"/>
    <x v="0"/>
    <x v="1057"/>
    <n v="21.06"/>
    <x v="6"/>
    <s v="Dec 2024"/>
    <n v="17"/>
    <s v="Single"/>
    <x v="1"/>
    <x v="2664"/>
  </r>
  <r>
    <x v="299"/>
    <x v="2600"/>
    <x v="0"/>
    <x v="1029"/>
    <n v="25.96"/>
    <x v="5"/>
    <s v="Dec 2024"/>
    <n v="19"/>
    <s v="Repeat"/>
    <x v="0"/>
    <x v="2665"/>
  </r>
  <r>
    <x v="299"/>
    <x v="2601"/>
    <x v="0"/>
    <x v="1058"/>
    <n v="35.76"/>
    <x v="1"/>
    <s v="Dec 2024"/>
    <n v="20"/>
    <s v="Single"/>
    <x v="1"/>
    <x v="2666"/>
  </r>
  <r>
    <x v="299"/>
    <x v="2602"/>
    <x v="0"/>
    <x v="729"/>
    <n v="35.76"/>
    <x v="0"/>
    <s v="Dec 2024"/>
    <n v="21"/>
    <s v="Repeat"/>
    <x v="0"/>
    <x v="2667"/>
  </r>
  <r>
    <x v="300"/>
    <x v="2603"/>
    <x v="0"/>
    <x v="1029"/>
    <n v="25.96"/>
    <x v="5"/>
    <s v="Dec 2024"/>
    <n v="9"/>
    <s v="Repeat"/>
    <x v="0"/>
    <x v="2668"/>
  </r>
  <r>
    <x v="300"/>
    <x v="2604"/>
    <x v="0"/>
    <x v="276"/>
    <n v="30.86"/>
    <x v="3"/>
    <s v="Dec 2024"/>
    <n v="9"/>
    <s v="Repeat"/>
    <x v="0"/>
    <x v="2669"/>
  </r>
  <r>
    <x v="300"/>
    <x v="2605"/>
    <x v="0"/>
    <x v="1059"/>
    <n v="35.76"/>
    <x v="0"/>
    <s v="Dec 2024"/>
    <n v="13"/>
    <s v="Repeat"/>
    <x v="0"/>
    <x v="2670"/>
  </r>
  <r>
    <x v="300"/>
    <x v="2606"/>
    <x v="0"/>
    <x v="1059"/>
    <n v="35.76"/>
    <x v="1"/>
    <s v="Dec 2024"/>
    <n v="13"/>
    <s v="Repeat"/>
    <x v="0"/>
    <x v="2671"/>
  </r>
  <r>
    <x v="300"/>
    <x v="2607"/>
    <x v="0"/>
    <x v="920"/>
    <n v="35.76"/>
    <x v="0"/>
    <s v="Dec 2024"/>
    <n v="15"/>
    <s v="Repeat"/>
    <x v="0"/>
    <x v="2672"/>
  </r>
  <r>
    <x v="300"/>
    <x v="2608"/>
    <x v="0"/>
    <x v="920"/>
    <n v="30.86"/>
    <x v="3"/>
    <s v="Dec 2024"/>
    <n v="15"/>
    <s v="Repeat"/>
    <x v="0"/>
    <x v="2673"/>
  </r>
  <r>
    <x v="300"/>
    <x v="2609"/>
    <x v="0"/>
    <x v="1003"/>
    <n v="30.86"/>
    <x v="3"/>
    <s v="Dec 2024"/>
    <n v="16"/>
    <s v="Repeat"/>
    <x v="0"/>
    <x v="2674"/>
  </r>
  <r>
    <x v="300"/>
    <x v="2610"/>
    <x v="0"/>
    <x v="1060"/>
    <n v="25.96"/>
    <x v="2"/>
    <s v="Dec 2024"/>
    <n v="16"/>
    <s v="Single"/>
    <x v="1"/>
    <x v="2675"/>
  </r>
  <r>
    <x v="300"/>
    <x v="2611"/>
    <x v="0"/>
    <x v="886"/>
    <n v="35.76"/>
    <x v="7"/>
    <s v="Dec 2024"/>
    <n v="16"/>
    <s v="Repeat"/>
    <x v="0"/>
    <x v="2676"/>
  </r>
  <r>
    <x v="301"/>
    <x v="2612"/>
    <x v="0"/>
    <x v="1029"/>
    <n v="25.96"/>
    <x v="5"/>
    <s v="Dec 2024"/>
    <n v="8"/>
    <s v="Repeat"/>
    <x v="0"/>
    <x v="2677"/>
  </r>
  <r>
    <x v="301"/>
    <x v="2613"/>
    <x v="0"/>
    <x v="1034"/>
    <n v="35.76"/>
    <x v="7"/>
    <s v="Dec 2024"/>
    <n v="9"/>
    <s v="Repeat"/>
    <x v="0"/>
    <x v="2678"/>
  </r>
  <r>
    <x v="301"/>
    <x v="2614"/>
    <x v="0"/>
    <x v="1034"/>
    <n v="25.96"/>
    <x v="5"/>
    <s v="Dec 2024"/>
    <n v="9"/>
    <s v="Repeat"/>
    <x v="0"/>
    <x v="2679"/>
  </r>
  <r>
    <x v="301"/>
    <x v="2615"/>
    <x v="0"/>
    <x v="1061"/>
    <n v="35.76"/>
    <x v="4"/>
    <s v="Dec 2024"/>
    <n v="9"/>
    <s v="Single"/>
    <x v="1"/>
    <x v="2680"/>
  </r>
  <r>
    <x v="301"/>
    <x v="939"/>
    <x v="0"/>
    <x v="1062"/>
    <n v="30.86"/>
    <x v="3"/>
    <s v="Dec 2024"/>
    <n v="10"/>
    <s v="Repeat"/>
    <x v="0"/>
    <x v="2681"/>
  </r>
  <r>
    <x v="301"/>
    <x v="2616"/>
    <x v="0"/>
    <x v="1062"/>
    <n v="30.86"/>
    <x v="3"/>
    <s v="Dec 2024"/>
    <n v="10"/>
    <s v="Repeat"/>
    <x v="0"/>
    <x v="2682"/>
  </r>
  <r>
    <x v="301"/>
    <x v="2617"/>
    <x v="0"/>
    <x v="195"/>
    <n v="35.76"/>
    <x v="7"/>
    <s v="Dec 2024"/>
    <n v="11"/>
    <s v="Repeat"/>
    <x v="0"/>
    <x v="2683"/>
  </r>
  <r>
    <x v="301"/>
    <x v="2618"/>
    <x v="0"/>
    <x v="195"/>
    <n v="30.86"/>
    <x v="3"/>
    <s v="Dec 2024"/>
    <n v="11"/>
    <s v="Repeat"/>
    <x v="0"/>
    <x v="2684"/>
  </r>
  <r>
    <x v="301"/>
    <x v="2619"/>
    <x v="0"/>
    <x v="12"/>
    <n v="21.06"/>
    <x v="6"/>
    <s v="Dec 2024"/>
    <n v="15"/>
    <s v="Repeat"/>
    <x v="0"/>
    <x v="2685"/>
  </r>
  <r>
    <x v="301"/>
    <x v="2620"/>
    <x v="0"/>
    <x v="12"/>
    <n v="25.96"/>
    <x v="2"/>
    <s v="Dec 2024"/>
    <n v="15"/>
    <s v="Repeat"/>
    <x v="0"/>
    <x v="2686"/>
  </r>
  <r>
    <x v="301"/>
    <x v="1165"/>
    <x v="0"/>
    <x v="1063"/>
    <n v="35.76"/>
    <x v="7"/>
    <s v="Dec 2024"/>
    <n v="16"/>
    <s v="Single"/>
    <x v="1"/>
    <x v="2687"/>
  </r>
  <r>
    <x v="301"/>
    <x v="2621"/>
    <x v="0"/>
    <x v="525"/>
    <n v="35.76"/>
    <x v="0"/>
    <s v="Dec 2024"/>
    <n v="17"/>
    <s v="Repeat"/>
    <x v="0"/>
    <x v="2688"/>
  </r>
  <r>
    <x v="301"/>
    <x v="2622"/>
    <x v="0"/>
    <x v="1064"/>
    <n v="30.86"/>
    <x v="3"/>
    <s v="Dec 2024"/>
    <n v="17"/>
    <s v="Single"/>
    <x v="1"/>
    <x v="2689"/>
  </r>
  <r>
    <x v="301"/>
    <x v="2623"/>
    <x v="0"/>
    <x v="1065"/>
    <n v="35.76"/>
    <x v="7"/>
    <s v="Dec 2024"/>
    <n v="17"/>
    <s v="Single"/>
    <x v="1"/>
    <x v="2690"/>
  </r>
  <r>
    <x v="301"/>
    <x v="2624"/>
    <x v="0"/>
    <x v="1066"/>
    <n v="35.76"/>
    <x v="0"/>
    <s v="Dec 2024"/>
    <n v="19"/>
    <s v="Repeat"/>
    <x v="0"/>
    <x v="2691"/>
  </r>
  <r>
    <x v="301"/>
    <x v="2625"/>
    <x v="0"/>
    <x v="1066"/>
    <n v="35.76"/>
    <x v="1"/>
    <s v="Dec 2024"/>
    <n v="19"/>
    <s v="Repeat"/>
    <x v="0"/>
    <x v="2692"/>
  </r>
  <r>
    <x v="302"/>
    <x v="2626"/>
    <x v="0"/>
    <x v="276"/>
    <n v="30.86"/>
    <x v="3"/>
    <s v="Jan 2025"/>
    <n v="9"/>
    <s v="Repeat"/>
    <x v="0"/>
    <x v="2693"/>
  </r>
  <r>
    <x v="302"/>
    <x v="2627"/>
    <x v="0"/>
    <x v="1067"/>
    <n v="35.76"/>
    <x v="4"/>
    <s v="Jan 2025"/>
    <n v="13"/>
    <s v="Repeat"/>
    <x v="0"/>
    <x v="2694"/>
  </r>
  <r>
    <x v="302"/>
    <x v="2628"/>
    <x v="0"/>
    <x v="1067"/>
    <n v="35.76"/>
    <x v="4"/>
    <s v="Jan 2025"/>
    <n v="13"/>
    <s v="Repeat"/>
    <x v="0"/>
    <x v="2695"/>
  </r>
  <r>
    <x v="302"/>
    <x v="2629"/>
    <x v="0"/>
    <x v="1068"/>
    <n v="25.96"/>
    <x v="5"/>
    <s v="Jan 2025"/>
    <n v="14"/>
    <s v="Repeat"/>
    <x v="0"/>
    <x v="2696"/>
  </r>
  <r>
    <x v="302"/>
    <x v="2630"/>
    <x v="0"/>
    <x v="1068"/>
    <n v="25.96"/>
    <x v="5"/>
    <s v="Jan 2025"/>
    <n v="14"/>
    <s v="Repeat"/>
    <x v="0"/>
    <x v="2697"/>
  </r>
  <r>
    <x v="302"/>
    <x v="2631"/>
    <x v="0"/>
    <x v="1069"/>
    <n v="25.96"/>
    <x v="2"/>
    <s v="Jan 2025"/>
    <n v="16"/>
    <s v="Repeat"/>
    <x v="0"/>
    <x v="2698"/>
  </r>
  <r>
    <x v="302"/>
    <x v="2632"/>
    <x v="0"/>
    <x v="877"/>
    <n v="35.76"/>
    <x v="1"/>
    <s v="Jan 2025"/>
    <n v="16"/>
    <s v="Repeat"/>
    <x v="0"/>
    <x v="2699"/>
  </r>
  <r>
    <x v="302"/>
    <x v="2633"/>
    <x v="0"/>
    <x v="877"/>
    <n v="30.86"/>
    <x v="3"/>
    <s v="Jan 2025"/>
    <n v="16"/>
    <s v="Repeat"/>
    <x v="0"/>
    <x v="2700"/>
  </r>
  <r>
    <x v="302"/>
    <x v="2634"/>
    <x v="0"/>
    <x v="525"/>
    <n v="35.76"/>
    <x v="7"/>
    <s v="Jan 2025"/>
    <n v="17"/>
    <s v="Repeat"/>
    <x v="0"/>
    <x v="2701"/>
  </r>
  <r>
    <x v="303"/>
    <x v="2635"/>
    <x v="0"/>
    <x v="1029"/>
    <n v="25.96"/>
    <x v="5"/>
    <s v="Jan 2025"/>
    <n v="9"/>
    <s v="Repeat"/>
    <x v="0"/>
    <x v="2702"/>
  </r>
  <r>
    <x v="303"/>
    <x v="2636"/>
    <x v="0"/>
    <x v="276"/>
    <n v="30.86"/>
    <x v="3"/>
    <s v="Jan 2025"/>
    <n v="10"/>
    <s v="Repeat"/>
    <x v="0"/>
    <x v="2703"/>
  </r>
  <r>
    <x v="303"/>
    <x v="2637"/>
    <x v="0"/>
    <x v="1070"/>
    <n v="30.86"/>
    <x v="3"/>
    <s v="Jan 2025"/>
    <n v="16"/>
    <s v="Single"/>
    <x v="1"/>
    <x v="2704"/>
  </r>
  <r>
    <x v="303"/>
    <x v="2638"/>
    <x v="0"/>
    <x v="620"/>
    <n v="35.76"/>
    <x v="7"/>
    <s v="Jan 2025"/>
    <n v="22"/>
    <s v="Repeat"/>
    <x v="0"/>
    <x v="2705"/>
  </r>
  <r>
    <x v="303"/>
    <x v="2639"/>
    <x v="0"/>
    <x v="1071"/>
    <n v="25.96"/>
    <x v="2"/>
    <s v="Jan 2025"/>
    <n v="22"/>
    <s v="Single"/>
    <x v="1"/>
    <x v="2706"/>
  </r>
  <r>
    <x v="303"/>
    <x v="2640"/>
    <x v="0"/>
    <x v="1072"/>
    <n v="25.96"/>
    <x v="2"/>
    <s v="Jan 2025"/>
    <n v="22"/>
    <s v="Single"/>
    <x v="1"/>
    <x v="2707"/>
  </r>
  <r>
    <x v="303"/>
    <x v="2641"/>
    <x v="0"/>
    <x v="690"/>
    <n v="35.76"/>
    <x v="0"/>
    <s v="Jan 2025"/>
    <n v="22"/>
    <s v="Repeat"/>
    <x v="0"/>
    <x v="2708"/>
  </r>
  <r>
    <x v="304"/>
    <x v="2642"/>
    <x v="0"/>
    <x v="1029"/>
    <n v="25.96"/>
    <x v="5"/>
    <s v="Jan 2025"/>
    <n v="8"/>
    <s v="Repeat"/>
    <x v="0"/>
    <x v="2709"/>
  </r>
  <r>
    <x v="304"/>
    <x v="2643"/>
    <x v="0"/>
    <x v="1073"/>
    <n v="25.96"/>
    <x v="2"/>
    <s v="Jan 2025"/>
    <n v="9"/>
    <s v="Single"/>
    <x v="1"/>
    <x v="2710"/>
  </r>
  <r>
    <x v="304"/>
    <x v="2644"/>
    <x v="0"/>
    <x v="1074"/>
    <n v="35.76"/>
    <x v="7"/>
    <s v="Jan 2025"/>
    <n v="13"/>
    <s v="Single"/>
    <x v="1"/>
    <x v="2711"/>
  </r>
  <r>
    <x v="304"/>
    <x v="2645"/>
    <x v="0"/>
    <x v="877"/>
    <n v="35.76"/>
    <x v="4"/>
    <s v="Jan 2025"/>
    <n v="15"/>
    <s v="Repeat"/>
    <x v="0"/>
    <x v="2712"/>
  </r>
  <r>
    <x v="304"/>
    <x v="2646"/>
    <x v="0"/>
    <x v="1034"/>
    <n v="30.86"/>
    <x v="3"/>
    <s v="Jan 2025"/>
    <n v="16"/>
    <s v="Repeat"/>
    <x v="0"/>
    <x v="2713"/>
  </r>
  <r>
    <x v="304"/>
    <x v="2647"/>
    <x v="0"/>
    <x v="1034"/>
    <n v="35.76"/>
    <x v="7"/>
    <s v="Jan 2025"/>
    <n v="16"/>
    <s v="Repeat"/>
    <x v="0"/>
    <x v="2714"/>
  </r>
  <r>
    <x v="304"/>
    <x v="2648"/>
    <x v="0"/>
    <x v="1034"/>
    <n v="35.76"/>
    <x v="7"/>
    <s v="Jan 2025"/>
    <n v="16"/>
    <s v="Repeat"/>
    <x v="0"/>
    <x v="2715"/>
  </r>
  <r>
    <x v="304"/>
    <x v="2649"/>
    <x v="0"/>
    <x v="1034"/>
    <n v="25.96"/>
    <x v="5"/>
    <s v="Jan 2025"/>
    <n v="16"/>
    <s v="Repeat"/>
    <x v="0"/>
    <x v="2716"/>
  </r>
  <r>
    <x v="304"/>
    <x v="2650"/>
    <x v="0"/>
    <x v="1075"/>
    <n v="25.96"/>
    <x v="2"/>
    <s v="Jan 2025"/>
    <n v="18"/>
    <s v="Single"/>
    <x v="1"/>
    <x v="2717"/>
  </r>
  <r>
    <x v="304"/>
    <x v="2651"/>
    <x v="0"/>
    <x v="1000"/>
    <n v="35.76"/>
    <x v="0"/>
    <s v="Jan 2025"/>
    <n v="22"/>
    <s v="Repeat"/>
    <x v="0"/>
    <x v="2718"/>
  </r>
  <r>
    <x v="305"/>
    <x v="2652"/>
    <x v="0"/>
    <x v="1076"/>
    <n v="30.86"/>
    <x v="3"/>
    <s v="Jan 2025"/>
    <n v="9"/>
    <s v="Single"/>
    <x v="1"/>
    <x v="2719"/>
  </r>
  <r>
    <x v="305"/>
    <x v="2653"/>
    <x v="0"/>
    <x v="1077"/>
    <n v="35.76"/>
    <x v="0"/>
    <s v="Jan 2025"/>
    <n v="10"/>
    <s v="Single"/>
    <x v="1"/>
    <x v="2720"/>
  </r>
  <r>
    <x v="305"/>
    <x v="2654"/>
    <x v="0"/>
    <x v="1078"/>
    <n v="30.86"/>
    <x v="3"/>
    <s v="Jan 2025"/>
    <n v="22"/>
    <s v="Single"/>
    <x v="1"/>
    <x v="2721"/>
  </r>
  <r>
    <x v="306"/>
    <x v="2655"/>
    <x v="0"/>
    <x v="1079"/>
    <n v="25.96"/>
    <x v="2"/>
    <s v="Jan 2025"/>
    <n v="19"/>
    <s v="Single"/>
    <x v="1"/>
    <x v="2722"/>
  </r>
  <r>
    <x v="307"/>
    <x v="1857"/>
    <x v="0"/>
    <x v="1080"/>
    <n v="35.76"/>
    <x v="7"/>
    <s v="Jan 2025"/>
    <n v="13"/>
    <s v="Single"/>
    <x v="1"/>
    <x v="2723"/>
  </r>
  <r>
    <x v="307"/>
    <x v="2656"/>
    <x v="0"/>
    <x v="1081"/>
    <n v="35.76"/>
    <x v="4"/>
    <s v="Jan 2025"/>
    <n v="22"/>
    <s v="Repeat"/>
    <x v="0"/>
    <x v="2724"/>
  </r>
  <r>
    <x v="307"/>
    <x v="2657"/>
    <x v="0"/>
    <x v="1081"/>
    <n v="35.76"/>
    <x v="4"/>
    <s v="Jan 2025"/>
    <n v="22"/>
    <s v="Repeat"/>
    <x v="0"/>
    <x v="2725"/>
  </r>
  <r>
    <x v="308"/>
    <x v="2658"/>
    <x v="0"/>
    <x v="1082"/>
    <n v="30.86"/>
    <x v="3"/>
    <s v="Jan 2025"/>
    <n v="7"/>
    <s v="Repeat"/>
    <x v="0"/>
    <x v="2726"/>
  </r>
  <r>
    <x v="308"/>
    <x v="2659"/>
    <x v="0"/>
    <x v="1083"/>
    <n v="35.76"/>
    <x v="0"/>
    <s v="Jan 2025"/>
    <n v="9"/>
    <s v="Single"/>
    <x v="1"/>
    <x v="2727"/>
  </r>
  <r>
    <x v="308"/>
    <x v="2660"/>
    <x v="0"/>
    <x v="1034"/>
    <n v="25.96"/>
    <x v="5"/>
    <s v="Jan 2025"/>
    <n v="10"/>
    <s v="Repeat"/>
    <x v="0"/>
    <x v="2728"/>
  </r>
  <r>
    <x v="308"/>
    <x v="2661"/>
    <x v="0"/>
    <x v="206"/>
    <n v="35.76"/>
    <x v="7"/>
    <s v="Jan 2025"/>
    <n v="17"/>
    <s v="Repeat"/>
    <x v="0"/>
    <x v="2729"/>
  </r>
  <r>
    <x v="309"/>
    <x v="2662"/>
    <x v="0"/>
    <x v="1084"/>
    <n v="25.96"/>
    <x v="2"/>
    <s v="Jan 2025"/>
    <n v="8"/>
    <s v="Single"/>
    <x v="1"/>
    <x v="2730"/>
  </r>
  <r>
    <x v="309"/>
    <x v="2663"/>
    <x v="0"/>
    <x v="570"/>
    <n v="35.76"/>
    <x v="0"/>
    <s v="Jan 2025"/>
    <n v="8"/>
    <s v="Repeat"/>
    <x v="0"/>
    <x v="2731"/>
  </r>
  <r>
    <x v="309"/>
    <x v="2664"/>
    <x v="0"/>
    <x v="385"/>
    <n v="30.86"/>
    <x v="3"/>
    <s v="Jan 2025"/>
    <n v="9"/>
    <s v="Repeat"/>
    <x v="0"/>
    <x v="2732"/>
  </r>
  <r>
    <x v="309"/>
    <x v="2665"/>
    <x v="0"/>
    <x v="348"/>
    <n v="21.06"/>
    <x v="6"/>
    <s v="Jan 2025"/>
    <n v="14"/>
    <s v="Repeat"/>
    <x v="0"/>
    <x v="2733"/>
  </r>
  <r>
    <x v="309"/>
    <x v="2666"/>
    <x v="0"/>
    <x v="1085"/>
    <n v="35.76"/>
    <x v="0"/>
    <s v="Jan 2025"/>
    <n v="15"/>
    <s v="Single"/>
    <x v="1"/>
    <x v="2734"/>
  </r>
  <r>
    <x v="309"/>
    <x v="2667"/>
    <x v="0"/>
    <x v="141"/>
    <n v="30.86"/>
    <x v="3"/>
    <s v="Jan 2025"/>
    <n v="15"/>
    <s v="Repeat"/>
    <x v="0"/>
    <x v="2735"/>
  </r>
  <r>
    <x v="309"/>
    <x v="2668"/>
    <x v="0"/>
    <x v="141"/>
    <n v="25.96"/>
    <x v="5"/>
    <s v="Jan 2025"/>
    <n v="15"/>
    <s v="Repeat"/>
    <x v="0"/>
    <x v="2736"/>
  </r>
  <r>
    <x v="309"/>
    <x v="2669"/>
    <x v="0"/>
    <x v="12"/>
    <n v="30.86"/>
    <x v="3"/>
    <s v="Jan 2025"/>
    <n v="20"/>
    <s v="Repeat"/>
    <x v="0"/>
    <x v="2737"/>
  </r>
  <r>
    <x v="309"/>
    <x v="2670"/>
    <x v="0"/>
    <x v="329"/>
    <n v="35.76"/>
    <x v="0"/>
    <s v="Jan 2025"/>
    <n v="22"/>
    <s v="Repeat"/>
    <x v="0"/>
    <x v="2738"/>
  </r>
  <r>
    <x v="310"/>
    <x v="2671"/>
    <x v="0"/>
    <x v="224"/>
    <n v="30.86"/>
    <x v="3"/>
    <s v="Jan 2025"/>
    <n v="8"/>
    <s v="Repeat"/>
    <x v="0"/>
    <x v="2739"/>
  </r>
  <r>
    <x v="310"/>
    <x v="2672"/>
    <x v="0"/>
    <x v="385"/>
    <n v="30.86"/>
    <x v="3"/>
    <s v="Jan 2025"/>
    <n v="9"/>
    <s v="Repeat"/>
    <x v="0"/>
    <x v="2740"/>
  </r>
  <r>
    <x v="310"/>
    <x v="2673"/>
    <x v="0"/>
    <x v="1086"/>
    <n v="35.76"/>
    <x v="7"/>
    <s v="Jan 2025"/>
    <n v="17"/>
    <s v="Single"/>
    <x v="1"/>
    <x v="2741"/>
  </r>
  <r>
    <x v="310"/>
    <x v="2674"/>
    <x v="0"/>
    <x v="1045"/>
    <n v="35.76"/>
    <x v="1"/>
    <s v="Jan 2025"/>
    <n v="17"/>
    <s v="Repeat"/>
    <x v="0"/>
    <x v="2742"/>
  </r>
  <r>
    <x v="310"/>
    <x v="2675"/>
    <x v="0"/>
    <x v="224"/>
    <n v="30.86"/>
    <x v="3"/>
    <s v="Jan 2025"/>
    <n v="17"/>
    <s v="Repeat"/>
    <x v="0"/>
    <x v="2743"/>
  </r>
  <r>
    <x v="311"/>
    <x v="2676"/>
    <x v="0"/>
    <x v="842"/>
    <n v="30.86"/>
    <x v="3"/>
    <s v="Jan 2025"/>
    <n v="7"/>
    <s v="Repeat"/>
    <x v="0"/>
    <x v="2744"/>
  </r>
  <r>
    <x v="311"/>
    <x v="2677"/>
    <x v="0"/>
    <x v="1087"/>
    <n v="35.76"/>
    <x v="1"/>
    <s v="Jan 2025"/>
    <n v="10"/>
    <s v="Single"/>
    <x v="1"/>
    <x v="2745"/>
  </r>
  <r>
    <x v="311"/>
    <x v="2678"/>
    <x v="0"/>
    <x v="1088"/>
    <n v="25.96"/>
    <x v="2"/>
    <s v="Jan 2025"/>
    <n v="11"/>
    <s v="Single"/>
    <x v="1"/>
    <x v="2746"/>
  </r>
  <r>
    <x v="311"/>
    <x v="2679"/>
    <x v="0"/>
    <x v="1089"/>
    <n v="35.76"/>
    <x v="0"/>
    <s v="Jan 2025"/>
    <n v="11"/>
    <s v="Repeat"/>
    <x v="0"/>
    <x v="2747"/>
  </r>
  <r>
    <x v="311"/>
    <x v="2680"/>
    <x v="0"/>
    <x v="1089"/>
    <n v="35.76"/>
    <x v="0"/>
    <s v="Jan 2025"/>
    <n v="11"/>
    <s v="Repeat"/>
    <x v="0"/>
    <x v="2748"/>
  </r>
  <r>
    <x v="311"/>
    <x v="2126"/>
    <x v="0"/>
    <x v="1089"/>
    <n v="35.76"/>
    <x v="0"/>
    <s v="Jan 2025"/>
    <n v="12"/>
    <s v="Repeat"/>
    <x v="0"/>
    <x v="2749"/>
  </r>
  <r>
    <x v="311"/>
    <x v="2681"/>
    <x v="0"/>
    <x v="1089"/>
    <n v="35.76"/>
    <x v="0"/>
    <s v="Jan 2025"/>
    <n v="12"/>
    <s v="Repeat"/>
    <x v="0"/>
    <x v="2750"/>
  </r>
  <r>
    <x v="311"/>
    <x v="2682"/>
    <x v="0"/>
    <x v="1090"/>
    <n v="30.86"/>
    <x v="3"/>
    <s v="Jan 2025"/>
    <n v="14"/>
    <s v="Single"/>
    <x v="1"/>
    <x v="2751"/>
  </r>
  <r>
    <x v="311"/>
    <x v="2683"/>
    <x v="0"/>
    <x v="1091"/>
    <n v="30.86"/>
    <x v="3"/>
    <s v="Jan 2025"/>
    <n v="14"/>
    <s v="Repeat"/>
    <x v="0"/>
    <x v="2752"/>
  </r>
  <r>
    <x v="311"/>
    <x v="2684"/>
    <x v="0"/>
    <x v="1091"/>
    <n v="35.76"/>
    <x v="7"/>
    <s v="Jan 2025"/>
    <n v="14"/>
    <s v="Repeat"/>
    <x v="0"/>
    <x v="2753"/>
  </r>
  <r>
    <x v="311"/>
    <x v="2685"/>
    <x v="0"/>
    <x v="1092"/>
    <n v="35.76"/>
    <x v="0"/>
    <s v="Jan 2025"/>
    <n v="14"/>
    <s v="Single"/>
    <x v="1"/>
    <x v="2754"/>
  </r>
  <r>
    <x v="311"/>
    <x v="2686"/>
    <x v="0"/>
    <x v="1093"/>
    <n v="25.96"/>
    <x v="5"/>
    <s v="Jan 2025"/>
    <n v="17"/>
    <s v="Repeat"/>
    <x v="0"/>
    <x v="2755"/>
  </r>
  <r>
    <x v="311"/>
    <x v="2687"/>
    <x v="0"/>
    <x v="1094"/>
    <n v="35.76"/>
    <x v="0"/>
    <s v="Jan 2025"/>
    <n v="17"/>
    <s v="Single"/>
    <x v="1"/>
    <x v="2756"/>
  </r>
  <r>
    <x v="311"/>
    <x v="2688"/>
    <x v="0"/>
    <x v="1093"/>
    <n v="25.96"/>
    <x v="5"/>
    <s v="Jan 2025"/>
    <n v="17"/>
    <s v="Repeat"/>
    <x v="0"/>
    <x v="2757"/>
  </r>
  <r>
    <x v="311"/>
    <x v="2689"/>
    <x v="0"/>
    <x v="1095"/>
    <n v="30.86"/>
    <x v="3"/>
    <s v="Jan 2025"/>
    <n v="18"/>
    <s v="Single"/>
    <x v="1"/>
    <x v="2758"/>
  </r>
  <r>
    <x v="312"/>
    <x v="2690"/>
    <x v="0"/>
    <x v="842"/>
    <n v="30.86"/>
    <x v="3"/>
    <s v="Jan 2025"/>
    <n v="11"/>
    <s v="Repeat"/>
    <x v="0"/>
    <x v="2759"/>
  </r>
  <r>
    <x v="312"/>
    <x v="620"/>
    <x v="0"/>
    <x v="842"/>
    <n v="25.96"/>
    <x v="2"/>
    <s v="Jan 2025"/>
    <n v="11"/>
    <s v="Repeat"/>
    <x v="0"/>
    <x v="2760"/>
  </r>
  <r>
    <x v="312"/>
    <x v="2691"/>
    <x v="0"/>
    <x v="12"/>
    <n v="30.86"/>
    <x v="3"/>
    <s v="Jan 2025"/>
    <n v="11"/>
    <s v="Repeat"/>
    <x v="0"/>
    <x v="2761"/>
  </r>
  <r>
    <x v="312"/>
    <x v="2692"/>
    <x v="0"/>
    <x v="1096"/>
    <n v="35.76"/>
    <x v="1"/>
    <s v="Jan 2025"/>
    <n v="16"/>
    <s v="Single"/>
    <x v="1"/>
    <x v="2762"/>
  </r>
  <r>
    <x v="312"/>
    <x v="2693"/>
    <x v="0"/>
    <x v="1097"/>
    <n v="30.86"/>
    <x v="3"/>
    <s v="Jan 2025"/>
    <n v="20"/>
    <s v="Repeat"/>
    <x v="0"/>
    <x v="2763"/>
  </r>
  <r>
    <x v="313"/>
    <x v="2694"/>
    <x v="0"/>
    <x v="533"/>
    <n v="30.86"/>
    <x v="3"/>
    <s v="Jan 2025"/>
    <n v="8"/>
    <s v="Repeat"/>
    <x v="0"/>
    <x v="2764"/>
  </r>
  <r>
    <x v="313"/>
    <x v="2695"/>
    <x v="0"/>
    <x v="276"/>
    <n v="30.86"/>
    <x v="3"/>
    <s v="Jan 2025"/>
    <n v="9"/>
    <s v="Repeat"/>
    <x v="0"/>
    <x v="2765"/>
  </r>
  <r>
    <x v="313"/>
    <x v="2696"/>
    <x v="0"/>
    <x v="1034"/>
    <n v="25.96"/>
    <x v="5"/>
    <s v="Jan 2025"/>
    <n v="13"/>
    <s v="Repeat"/>
    <x v="0"/>
    <x v="2766"/>
  </r>
  <r>
    <x v="313"/>
    <x v="2697"/>
    <x v="0"/>
    <x v="906"/>
    <n v="35.76"/>
    <x v="0"/>
    <s v="Jan 2025"/>
    <n v="13"/>
    <s v="Repeat"/>
    <x v="0"/>
    <x v="2767"/>
  </r>
  <r>
    <x v="313"/>
    <x v="2698"/>
    <x v="0"/>
    <x v="1098"/>
    <n v="35.76"/>
    <x v="0"/>
    <s v="Jan 2025"/>
    <n v="14"/>
    <s v="Repeat"/>
    <x v="0"/>
    <x v="2768"/>
  </r>
  <r>
    <x v="313"/>
    <x v="2699"/>
    <x v="0"/>
    <x v="1098"/>
    <n v="35.76"/>
    <x v="7"/>
    <s v="Jan 2025"/>
    <n v="14"/>
    <s v="Repeat"/>
    <x v="0"/>
    <x v="2769"/>
  </r>
  <r>
    <x v="313"/>
    <x v="2700"/>
    <x v="0"/>
    <x v="1099"/>
    <n v="35.76"/>
    <x v="0"/>
    <s v="Jan 2025"/>
    <n v="16"/>
    <s v="Single"/>
    <x v="1"/>
    <x v="2770"/>
  </r>
  <r>
    <x v="313"/>
    <x v="2701"/>
    <x v="0"/>
    <x v="50"/>
    <n v="21.06"/>
    <x v="6"/>
    <s v="Jan 2025"/>
    <n v="20"/>
    <s v="Repeat"/>
    <x v="0"/>
    <x v="2771"/>
  </r>
  <r>
    <x v="314"/>
    <x v="2702"/>
    <x v="0"/>
    <x v="682"/>
    <n v="35.76"/>
    <x v="0"/>
    <s v="Jan 2025"/>
    <n v="7"/>
    <s v="Repeat"/>
    <x v="0"/>
    <x v="2772"/>
  </r>
  <r>
    <x v="314"/>
    <x v="2703"/>
    <x v="0"/>
    <x v="1029"/>
    <n v="25.96"/>
    <x v="5"/>
    <s v="Jan 2025"/>
    <n v="9"/>
    <s v="Repeat"/>
    <x v="0"/>
    <x v="2773"/>
  </r>
  <r>
    <x v="314"/>
    <x v="2704"/>
    <x v="0"/>
    <x v="276"/>
    <n v="30.86"/>
    <x v="3"/>
    <s v="Jan 2025"/>
    <n v="10"/>
    <s v="Repeat"/>
    <x v="0"/>
    <x v="2774"/>
  </r>
  <r>
    <x v="314"/>
    <x v="2705"/>
    <x v="0"/>
    <x v="1100"/>
    <n v="35.76"/>
    <x v="0"/>
    <s v="Jan 2025"/>
    <n v="12"/>
    <s v="Single"/>
    <x v="1"/>
    <x v="2775"/>
  </r>
  <r>
    <x v="314"/>
    <x v="2706"/>
    <x v="0"/>
    <x v="1101"/>
    <n v="30.86"/>
    <x v="3"/>
    <s v="Jan 2025"/>
    <n v="16"/>
    <s v="Repeat"/>
    <x v="0"/>
    <x v="2776"/>
  </r>
  <r>
    <x v="314"/>
    <x v="2707"/>
    <x v="0"/>
    <x v="1101"/>
    <n v="30.86"/>
    <x v="3"/>
    <s v="Jan 2025"/>
    <n v="16"/>
    <s v="Repeat"/>
    <x v="0"/>
    <x v="2777"/>
  </r>
  <r>
    <x v="314"/>
    <x v="2708"/>
    <x v="0"/>
    <x v="206"/>
    <n v="35.76"/>
    <x v="7"/>
    <s v="Jan 2025"/>
    <n v="19"/>
    <s v="Repeat"/>
    <x v="0"/>
    <x v="2778"/>
  </r>
  <r>
    <x v="314"/>
    <x v="2709"/>
    <x v="0"/>
    <x v="1097"/>
    <n v="35.76"/>
    <x v="0"/>
    <s v="Jan 2025"/>
    <n v="21"/>
    <s v="Repeat"/>
    <x v="0"/>
    <x v="2779"/>
  </r>
  <r>
    <x v="315"/>
    <x v="2710"/>
    <x v="0"/>
    <x v="419"/>
    <n v="30.86"/>
    <x v="3"/>
    <s v="Jan 2025"/>
    <n v="9"/>
    <s v="Repeat"/>
    <x v="0"/>
    <x v="2780"/>
  </r>
  <r>
    <x v="315"/>
    <x v="2711"/>
    <x v="0"/>
    <x v="1102"/>
    <n v="25.96"/>
    <x v="2"/>
    <s v="Jan 2025"/>
    <n v="11"/>
    <s v="Single"/>
    <x v="1"/>
    <x v="2781"/>
  </r>
  <r>
    <x v="315"/>
    <x v="2712"/>
    <x v="0"/>
    <x v="886"/>
    <n v="35.76"/>
    <x v="7"/>
    <s v="Jan 2025"/>
    <n v="13"/>
    <s v="Repeat"/>
    <x v="0"/>
    <x v="2782"/>
  </r>
  <r>
    <x v="315"/>
    <x v="2713"/>
    <x v="0"/>
    <x v="634"/>
    <n v="35.76"/>
    <x v="0"/>
    <s v="Jan 2025"/>
    <n v="15"/>
    <s v="Repeat"/>
    <x v="0"/>
    <x v="2783"/>
  </r>
  <r>
    <x v="315"/>
    <x v="2714"/>
    <x v="0"/>
    <x v="1103"/>
    <n v="35.76"/>
    <x v="7"/>
    <s v="Jan 2025"/>
    <n v="15"/>
    <s v="Single"/>
    <x v="1"/>
    <x v="2784"/>
  </r>
  <r>
    <x v="315"/>
    <x v="2715"/>
    <x v="0"/>
    <x v="634"/>
    <n v="35.76"/>
    <x v="0"/>
    <s v="Jan 2025"/>
    <n v="15"/>
    <s v="Repeat"/>
    <x v="0"/>
    <x v="2785"/>
  </r>
  <r>
    <x v="315"/>
    <x v="2716"/>
    <x v="0"/>
    <x v="1104"/>
    <n v="35.76"/>
    <x v="0"/>
    <s v="Jan 2025"/>
    <n v="16"/>
    <s v="Single"/>
    <x v="1"/>
    <x v="2786"/>
  </r>
  <r>
    <x v="315"/>
    <x v="2717"/>
    <x v="0"/>
    <x v="1105"/>
    <n v="35.76"/>
    <x v="0"/>
    <s v="Jan 2025"/>
    <n v="18"/>
    <s v="Single"/>
    <x v="1"/>
    <x v="2787"/>
  </r>
  <r>
    <x v="315"/>
    <x v="2718"/>
    <x v="0"/>
    <x v="1097"/>
    <n v="35.76"/>
    <x v="0"/>
    <s v="Jan 2025"/>
    <n v="19"/>
    <s v="Repeat"/>
    <x v="0"/>
    <x v="2788"/>
  </r>
  <r>
    <x v="315"/>
    <x v="2719"/>
    <x v="0"/>
    <x v="731"/>
    <n v="35.76"/>
    <x v="7"/>
    <s v="Jan 2025"/>
    <n v="21"/>
    <s v="Repeat"/>
    <x v="0"/>
    <x v="2789"/>
  </r>
  <r>
    <x v="316"/>
    <x v="2720"/>
    <x v="0"/>
    <x v="886"/>
    <n v="35.76"/>
    <x v="0"/>
    <s v="Jan 2025"/>
    <n v="9"/>
    <s v="Repeat"/>
    <x v="0"/>
    <x v="2790"/>
  </r>
  <r>
    <x v="316"/>
    <x v="2721"/>
    <x v="0"/>
    <x v="419"/>
    <n v="30.86"/>
    <x v="3"/>
    <s v="Jan 2025"/>
    <n v="9"/>
    <s v="Repeat"/>
    <x v="0"/>
    <x v="2791"/>
  </r>
  <r>
    <x v="316"/>
    <x v="2722"/>
    <x v="0"/>
    <x v="12"/>
    <n v="30.86"/>
    <x v="3"/>
    <s v="Jan 2025"/>
    <n v="10"/>
    <s v="Repeat"/>
    <x v="0"/>
    <x v="2792"/>
  </r>
  <r>
    <x v="316"/>
    <x v="2723"/>
    <x v="0"/>
    <x v="141"/>
    <n v="25.96"/>
    <x v="5"/>
    <s v="Jan 2025"/>
    <n v="12"/>
    <s v="Repeat"/>
    <x v="0"/>
    <x v="2793"/>
  </r>
  <r>
    <x v="316"/>
    <x v="455"/>
    <x v="0"/>
    <x v="1106"/>
    <n v="35.76"/>
    <x v="0"/>
    <s v="Jan 2025"/>
    <n v="15"/>
    <s v="Single"/>
    <x v="1"/>
    <x v="2794"/>
  </r>
  <r>
    <x v="316"/>
    <x v="2724"/>
    <x v="0"/>
    <x v="406"/>
    <n v="35.76"/>
    <x v="0"/>
    <s v="Jan 2025"/>
    <n v="16"/>
    <s v="Repeat"/>
    <x v="0"/>
    <x v="2795"/>
  </r>
  <r>
    <x v="316"/>
    <x v="2725"/>
    <x v="0"/>
    <x v="1097"/>
    <n v="35.76"/>
    <x v="7"/>
    <s v="Jan 2025"/>
    <n v="18"/>
    <s v="Repeat"/>
    <x v="0"/>
    <x v="2796"/>
  </r>
  <r>
    <x v="316"/>
    <x v="2726"/>
    <x v="0"/>
    <x v="1045"/>
    <n v="35.76"/>
    <x v="1"/>
    <s v="Jan 2025"/>
    <n v="21"/>
    <s v="Repeat"/>
    <x v="0"/>
    <x v="2797"/>
  </r>
  <r>
    <x v="316"/>
    <x v="2727"/>
    <x v="0"/>
    <x v="1045"/>
    <n v="35.76"/>
    <x v="1"/>
    <s v="Jan 2025"/>
    <n v="21"/>
    <s v="Repeat"/>
    <x v="0"/>
    <x v="2798"/>
  </r>
  <r>
    <x v="316"/>
    <x v="2728"/>
    <x v="0"/>
    <x v="1107"/>
    <n v="25.96"/>
    <x v="5"/>
    <s v="Jan 2025"/>
    <n v="21"/>
    <s v="Single"/>
    <x v="1"/>
    <x v="2799"/>
  </r>
  <r>
    <x v="317"/>
    <x v="2729"/>
    <x v="0"/>
    <x v="1108"/>
    <n v="35.76"/>
    <x v="4"/>
    <s v="Jan 2025"/>
    <n v="7"/>
    <s v="Single"/>
    <x v="1"/>
    <x v="2800"/>
  </r>
  <r>
    <x v="317"/>
    <x v="2730"/>
    <x v="0"/>
    <x v="1109"/>
    <n v="35.76"/>
    <x v="0"/>
    <s v="Jan 2025"/>
    <n v="8"/>
    <s v="Repeat"/>
    <x v="0"/>
    <x v="2801"/>
  </r>
  <r>
    <x v="317"/>
    <x v="2731"/>
    <x v="0"/>
    <x v="1109"/>
    <n v="35.76"/>
    <x v="7"/>
    <s v="Jan 2025"/>
    <n v="8"/>
    <s v="Repeat"/>
    <x v="0"/>
    <x v="2802"/>
  </r>
  <r>
    <x v="317"/>
    <x v="2732"/>
    <x v="0"/>
    <x v="276"/>
    <n v="30.86"/>
    <x v="3"/>
    <s v="Jan 2025"/>
    <n v="8"/>
    <s v="Repeat"/>
    <x v="0"/>
    <x v="2803"/>
  </r>
  <r>
    <x v="317"/>
    <x v="2733"/>
    <x v="0"/>
    <x v="12"/>
    <n v="30.86"/>
    <x v="3"/>
    <s v="Jan 2025"/>
    <n v="9"/>
    <s v="Repeat"/>
    <x v="0"/>
    <x v="2804"/>
  </r>
  <r>
    <x v="317"/>
    <x v="2734"/>
    <x v="0"/>
    <x v="1110"/>
    <n v="35.76"/>
    <x v="4"/>
    <s v="Jan 2025"/>
    <n v="14"/>
    <s v="Repeat"/>
    <x v="0"/>
    <x v="2805"/>
  </r>
  <r>
    <x v="317"/>
    <x v="2735"/>
    <x v="0"/>
    <x v="1110"/>
    <n v="35.76"/>
    <x v="4"/>
    <s v="Jan 2025"/>
    <n v="14"/>
    <s v="Repeat"/>
    <x v="0"/>
    <x v="2806"/>
  </r>
  <r>
    <x v="317"/>
    <x v="2736"/>
    <x v="0"/>
    <x v="906"/>
    <n v="35.76"/>
    <x v="1"/>
    <s v="Jan 2025"/>
    <n v="17"/>
    <s v="Repeat"/>
    <x v="0"/>
    <x v="2807"/>
  </r>
  <r>
    <x v="317"/>
    <x v="814"/>
    <x v="0"/>
    <x v="877"/>
    <n v="35.76"/>
    <x v="1"/>
    <s v="Jan 2025"/>
    <n v="21"/>
    <s v="Repeat"/>
    <x v="0"/>
    <x v="2808"/>
  </r>
  <r>
    <x v="318"/>
    <x v="2737"/>
    <x v="0"/>
    <x v="1082"/>
    <n v="30.86"/>
    <x v="3"/>
    <s v="Jan 2025"/>
    <n v="10"/>
    <s v="Repeat"/>
    <x v="0"/>
    <x v="2809"/>
  </r>
  <r>
    <x v="318"/>
    <x v="2738"/>
    <x v="0"/>
    <x v="507"/>
    <n v="35.76"/>
    <x v="1"/>
    <s v="Jan 2025"/>
    <n v="16"/>
    <s v="Repeat"/>
    <x v="0"/>
    <x v="2810"/>
  </r>
  <r>
    <x v="318"/>
    <x v="2739"/>
    <x v="0"/>
    <x v="507"/>
    <n v="35.76"/>
    <x v="0"/>
    <s v="Jan 2025"/>
    <n v="16"/>
    <s v="Repeat"/>
    <x v="0"/>
    <x v="2811"/>
  </r>
  <r>
    <x v="318"/>
    <x v="2740"/>
    <x v="0"/>
    <x v="507"/>
    <n v="35.76"/>
    <x v="1"/>
    <s v="Jan 2025"/>
    <n v="16"/>
    <s v="Repeat"/>
    <x v="0"/>
    <x v="2812"/>
  </r>
  <r>
    <x v="319"/>
    <x v="2741"/>
    <x v="0"/>
    <x v="12"/>
    <n v="30.86"/>
    <x v="3"/>
    <s v="Jan 2025"/>
    <n v="8"/>
    <s v="Repeat"/>
    <x v="0"/>
    <x v="2813"/>
  </r>
  <r>
    <x v="319"/>
    <x v="1518"/>
    <x v="0"/>
    <x v="276"/>
    <n v="30.86"/>
    <x v="3"/>
    <s v="Jan 2025"/>
    <n v="10"/>
    <s v="Repeat"/>
    <x v="0"/>
    <x v="2814"/>
  </r>
  <r>
    <x v="319"/>
    <x v="2742"/>
    <x v="0"/>
    <x v="141"/>
    <n v="25.96"/>
    <x v="5"/>
    <s v="Jan 2025"/>
    <n v="11"/>
    <s v="Repeat"/>
    <x v="0"/>
    <x v="2815"/>
  </r>
  <r>
    <x v="319"/>
    <x v="2743"/>
    <x v="0"/>
    <x v="1111"/>
    <n v="25.96"/>
    <x v="2"/>
    <s v="Jan 2025"/>
    <n v="12"/>
    <s v="Repeat"/>
    <x v="0"/>
    <x v="2816"/>
  </r>
  <r>
    <x v="319"/>
    <x v="2744"/>
    <x v="0"/>
    <x v="1111"/>
    <n v="25.96"/>
    <x v="5"/>
    <s v="Jan 2025"/>
    <n v="12"/>
    <s v="Repeat"/>
    <x v="0"/>
    <x v="2817"/>
  </r>
  <r>
    <x v="319"/>
    <x v="2745"/>
    <x v="0"/>
    <x v="1112"/>
    <n v="30.86"/>
    <x v="3"/>
    <s v="Jan 2025"/>
    <n v="13"/>
    <s v="Single"/>
    <x v="1"/>
    <x v="2818"/>
  </r>
  <r>
    <x v="319"/>
    <x v="2746"/>
    <x v="0"/>
    <x v="1113"/>
    <n v="35.76"/>
    <x v="1"/>
    <s v="Jan 2025"/>
    <n v="20"/>
    <s v="Single"/>
    <x v="1"/>
    <x v="2819"/>
  </r>
  <r>
    <x v="319"/>
    <x v="2747"/>
    <x v="0"/>
    <x v="1114"/>
    <n v="35.76"/>
    <x v="7"/>
    <s v="Jan 2025"/>
    <n v="20"/>
    <s v="Repeat"/>
    <x v="0"/>
    <x v="2820"/>
  </r>
  <r>
    <x v="319"/>
    <x v="2748"/>
    <x v="0"/>
    <x v="1114"/>
    <n v="35.76"/>
    <x v="7"/>
    <s v="Jan 2025"/>
    <n v="20"/>
    <s v="Repeat"/>
    <x v="0"/>
    <x v="2821"/>
  </r>
  <r>
    <x v="319"/>
    <x v="2749"/>
    <x v="0"/>
    <x v="1115"/>
    <n v="35.76"/>
    <x v="0"/>
    <s v="Jan 2025"/>
    <n v="21"/>
    <s v="Single"/>
    <x v="1"/>
    <x v="2822"/>
  </r>
  <r>
    <x v="320"/>
    <x v="2750"/>
    <x v="0"/>
    <x v="1010"/>
    <n v="35.76"/>
    <x v="4"/>
    <s v="Jan 2025"/>
    <n v="8"/>
    <s v="Repeat"/>
    <x v="0"/>
    <x v="2823"/>
  </r>
  <r>
    <x v="320"/>
    <x v="2751"/>
    <x v="0"/>
    <x v="141"/>
    <n v="25.96"/>
    <x v="5"/>
    <s v="Jan 2025"/>
    <n v="8"/>
    <s v="Repeat"/>
    <x v="0"/>
    <x v="2824"/>
  </r>
  <r>
    <x v="320"/>
    <x v="2752"/>
    <x v="0"/>
    <x v="1082"/>
    <n v="30.86"/>
    <x v="3"/>
    <s v="Jan 2025"/>
    <n v="8"/>
    <s v="Repeat"/>
    <x v="0"/>
    <x v="2825"/>
  </r>
  <r>
    <x v="320"/>
    <x v="2753"/>
    <x v="0"/>
    <x v="1116"/>
    <n v="25.96"/>
    <x v="2"/>
    <s v="Jan 2025"/>
    <n v="15"/>
    <s v="Single"/>
    <x v="1"/>
    <x v="2826"/>
  </r>
  <r>
    <x v="320"/>
    <x v="2754"/>
    <x v="0"/>
    <x v="1117"/>
    <n v="35.76"/>
    <x v="1"/>
    <s v="Jan 2025"/>
    <n v="18"/>
    <s v="Single"/>
    <x v="1"/>
    <x v="2827"/>
  </r>
  <r>
    <x v="320"/>
    <x v="2755"/>
    <x v="0"/>
    <x v="333"/>
    <n v="35.76"/>
    <x v="0"/>
    <s v="Jan 2025"/>
    <n v="18"/>
    <s v="Repeat"/>
    <x v="0"/>
    <x v="2828"/>
  </r>
  <r>
    <x v="320"/>
    <x v="2756"/>
    <x v="0"/>
    <x v="333"/>
    <n v="35.76"/>
    <x v="0"/>
    <s v="Jan 2025"/>
    <n v="18"/>
    <s v="Repeat"/>
    <x v="0"/>
    <x v="2829"/>
  </r>
  <r>
    <x v="320"/>
    <x v="2757"/>
    <x v="0"/>
    <x v="1110"/>
    <n v="25.96"/>
    <x v="2"/>
    <s v="Jan 2025"/>
    <n v="19"/>
    <s v="Repeat"/>
    <x v="0"/>
    <x v="2830"/>
  </r>
  <r>
    <x v="321"/>
    <x v="2758"/>
    <x v="0"/>
    <x v="1118"/>
    <n v="21.06"/>
    <x v="6"/>
    <s v="Jan 2025"/>
    <n v="11"/>
    <s v="Single"/>
    <x v="1"/>
    <x v="2831"/>
  </r>
  <r>
    <x v="321"/>
    <x v="2759"/>
    <x v="0"/>
    <x v="463"/>
    <n v="30.86"/>
    <x v="3"/>
    <s v="Jan 2025"/>
    <n v="17"/>
    <s v="Repeat"/>
    <x v="0"/>
    <x v="2832"/>
  </r>
  <r>
    <x v="321"/>
    <x v="2760"/>
    <x v="0"/>
    <x v="1119"/>
    <n v="35.76"/>
    <x v="4"/>
    <s v="Jan 2025"/>
    <n v="18"/>
    <s v="Single"/>
    <x v="1"/>
    <x v="2833"/>
  </r>
  <r>
    <x v="321"/>
    <x v="2761"/>
    <x v="0"/>
    <x v="1051"/>
    <n v="30.86"/>
    <x v="3"/>
    <s v="Jan 2025"/>
    <n v="19"/>
    <s v="Repeat"/>
    <x v="0"/>
    <x v="2834"/>
  </r>
  <r>
    <x v="321"/>
    <x v="2762"/>
    <x v="0"/>
    <x v="1051"/>
    <n v="35.76"/>
    <x v="7"/>
    <s v="Jan 2025"/>
    <n v="19"/>
    <s v="Repeat"/>
    <x v="0"/>
    <x v="2835"/>
  </r>
  <r>
    <x v="321"/>
    <x v="2763"/>
    <x v="0"/>
    <x v="1120"/>
    <n v="35.76"/>
    <x v="0"/>
    <s v="Jan 2025"/>
    <n v="19"/>
    <s v="Single"/>
    <x v="1"/>
    <x v="2836"/>
  </r>
  <r>
    <x v="321"/>
    <x v="2764"/>
    <x v="0"/>
    <x v="1121"/>
    <n v="30.86"/>
    <x v="3"/>
    <s v="Jan 2025"/>
    <n v="20"/>
    <s v="Single"/>
    <x v="1"/>
    <x v="2837"/>
  </r>
  <r>
    <x v="322"/>
    <x v="2765"/>
    <x v="0"/>
    <x v="1034"/>
    <n v="35.76"/>
    <x v="7"/>
    <s v="Jan 2025"/>
    <n v="13"/>
    <s v="Repeat"/>
    <x v="0"/>
    <x v="2838"/>
  </r>
  <r>
    <x v="322"/>
    <x v="2766"/>
    <x v="0"/>
    <x v="1034"/>
    <n v="25.96"/>
    <x v="5"/>
    <s v="Jan 2025"/>
    <n v="13"/>
    <s v="Repeat"/>
    <x v="0"/>
    <x v="2839"/>
  </r>
  <r>
    <x v="322"/>
    <x v="2767"/>
    <x v="0"/>
    <x v="1122"/>
    <n v="35.76"/>
    <x v="4"/>
    <s v="Jan 2025"/>
    <n v="15"/>
    <s v="Single"/>
    <x v="1"/>
    <x v="2840"/>
  </r>
  <r>
    <x v="322"/>
    <x v="2768"/>
    <x v="0"/>
    <x v="1123"/>
    <n v="25.96"/>
    <x v="2"/>
    <s v="Jan 2025"/>
    <n v="17"/>
    <s v="Single"/>
    <x v="1"/>
    <x v="2841"/>
  </r>
  <r>
    <x v="322"/>
    <x v="2769"/>
    <x v="0"/>
    <x v="1045"/>
    <n v="35.76"/>
    <x v="4"/>
    <s v="Jan 2025"/>
    <n v="21"/>
    <s v="Repeat"/>
    <x v="0"/>
    <x v="2842"/>
  </r>
  <r>
    <x v="322"/>
    <x v="2770"/>
    <x v="0"/>
    <x v="1124"/>
    <n v="35.76"/>
    <x v="1"/>
    <s v="Jan 2025"/>
    <n v="22"/>
    <s v="Repeat"/>
    <x v="0"/>
    <x v="2843"/>
  </r>
  <r>
    <x v="322"/>
    <x v="2771"/>
    <x v="0"/>
    <x v="1124"/>
    <n v="35.76"/>
    <x v="0"/>
    <s v="Jan 2025"/>
    <n v="22"/>
    <s v="Repeat"/>
    <x v="0"/>
    <x v="2844"/>
  </r>
  <r>
    <x v="323"/>
    <x v="2772"/>
    <x v="0"/>
    <x v="1114"/>
    <n v="35.76"/>
    <x v="7"/>
    <s v="Jan 2025"/>
    <n v="13"/>
    <s v="Repeat"/>
    <x v="0"/>
    <x v="2845"/>
  </r>
  <r>
    <x v="323"/>
    <x v="2773"/>
    <x v="0"/>
    <x v="1125"/>
    <n v="35.76"/>
    <x v="7"/>
    <s v="Jan 2025"/>
    <n v="14"/>
    <s v="Single"/>
    <x v="1"/>
    <x v="2846"/>
  </r>
  <r>
    <x v="323"/>
    <x v="2774"/>
    <x v="0"/>
    <x v="1126"/>
    <n v="25.96"/>
    <x v="2"/>
    <s v="Jan 2025"/>
    <n v="14"/>
    <s v="Single"/>
    <x v="1"/>
    <x v="2847"/>
  </r>
  <r>
    <x v="324"/>
    <x v="2775"/>
    <x v="0"/>
    <x v="1127"/>
    <n v="25.96"/>
    <x v="2"/>
    <s v="Jan 2025"/>
    <n v="12"/>
    <s v="Repeat"/>
    <x v="0"/>
    <x v="2848"/>
  </r>
  <r>
    <x v="324"/>
    <x v="2776"/>
    <x v="0"/>
    <x v="1127"/>
    <n v="21.06"/>
    <x v="6"/>
    <s v="Jan 2025"/>
    <n v="12"/>
    <s v="Repeat"/>
    <x v="0"/>
    <x v="2849"/>
  </r>
  <r>
    <x v="325"/>
    <x v="2777"/>
    <x v="0"/>
    <x v="141"/>
    <n v="25.96"/>
    <x v="5"/>
    <s v="Jan 2025"/>
    <n v="8"/>
    <s v="Repeat"/>
    <x v="0"/>
    <x v="2850"/>
  </r>
  <r>
    <x v="325"/>
    <x v="2778"/>
    <x v="0"/>
    <x v="141"/>
    <n v="25.96"/>
    <x v="2"/>
    <s v="Jan 2025"/>
    <n v="8"/>
    <s v="Repeat"/>
    <x v="0"/>
    <x v="2851"/>
  </r>
  <r>
    <x v="325"/>
    <x v="2779"/>
    <x v="0"/>
    <x v="1128"/>
    <n v="35.76"/>
    <x v="7"/>
    <s v="Jan 2025"/>
    <n v="12"/>
    <s v="Single"/>
    <x v="1"/>
    <x v="2852"/>
  </r>
  <r>
    <x v="325"/>
    <x v="2780"/>
    <x v="0"/>
    <x v="276"/>
    <n v="30.86"/>
    <x v="3"/>
    <s v="Jan 2025"/>
    <n v="13"/>
    <s v="Repeat"/>
    <x v="0"/>
    <x v="2853"/>
  </r>
  <r>
    <x v="325"/>
    <x v="2781"/>
    <x v="0"/>
    <x v="141"/>
    <n v="30.86"/>
    <x v="3"/>
    <s v="Jan 2025"/>
    <n v="15"/>
    <s v="Repeat"/>
    <x v="0"/>
    <x v="2854"/>
  </r>
  <r>
    <x v="325"/>
    <x v="2782"/>
    <x v="0"/>
    <x v="141"/>
    <n v="25.96"/>
    <x v="5"/>
    <s v="Jan 2025"/>
    <n v="15"/>
    <s v="Repeat"/>
    <x v="0"/>
    <x v="2855"/>
  </r>
  <r>
    <x v="325"/>
    <x v="2783"/>
    <x v="0"/>
    <x v="141"/>
    <n v="30.86"/>
    <x v="3"/>
    <s v="Jan 2025"/>
    <n v="15"/>
    <s v="Repeat"/>
    <x v="0"/>
    <x v="2856"/>
  </r>
  <r>
    <x v="325"/>
    <x v="2784"/>
    <x v="0"/>
    <x v="1129"/>
    <n v="35.76"/>
    <x v="0"/>
    <s v="Jan 2025"/>
    <n v="18"/>
    <s v="Single"/>
    <x v="1"/>
    <x v="2857"/>
  </r>
  <r>
    <x v="325"/>
    <x v="2785"/>
    <x v="0"/>
    <x v="1130"/>
    <n v="35.76"/>
    <x v="0"/>
    <s v="Jan 2025"/>
    <n v="19"/>
    <s v="Single"/>
    <x v="1"/>
    <x v="2858"/>
  </r>
  <r>
    <x v="325"/>
    <x v="2786"/>
    <x v="0"/>
    <x v="1131"/>
    <n v="35.76"/>
    <x v="0"/>
    <s v="Jan 2025"/>
    <n v="19"/>
    <s v="Single"/>
    <x v="1"/>
    <x v="2859"/>
  </r>
  <r>
    <x v="326"/>
    <x v="2787"/>
    <x v="0"/>
    <x v="197"/>
    <n v="35.76"/>
    <x v="0"/>
    <s v="Jan 2025"/>
    <n v="8"/>
    <s v="Repeat"/>
    <x v="0"/>
    <x v="2860"/>
  </r>
  <r>
    <x v="326"/>
    <x v="2788"/>
    <x v="0"/>
    <x v="1132"/>
    <n v="25.96"/>
    <x v="2"/>
    <s v="Jan 2025"/>
    <n v="9"/>
    <s v="Repeat"/>
    <x v="0"/>
    <x v="2861"/>
  </r>
  <r>
    <x v="326"/>
    <x v="2789"/>
    <x v="0"/>
    <x v="224"/>
    <n v="30.86"/>
    <x v="3"/>
    <s v="Jan 2025"/>
    <n v="11"/>
    <s v="Repeat"/>
    <x v="0"/>
    <x v="2862"/>
  </r>
  <r>
    <x v="326"/>
    <x v="2790"/>
    <x v="0"/>
    <x v="1133"/>
    <n v="25.96"/>
    <x v="2"/>
    <s v="Jan 2025"/>
    <n v="12"/>
    <s v="Repeat"/>
    <x v="0"/>
    <x v="2863"/>
  </r>
  <r>
    <x v="326"/>
    <x v="2791"/>
    <x v="0"/>
    <x v="1134"/>
    <n v="35.76"/>
    <x v="4"/>
    <s v="Jan 2025"/>
    <n v="16"/>
    <s v="Repeat"/>
    <x v="0"/>
    <x v="2864"/>
  </r>
  <r>
    <x v="326"/>
    <x v="2792"/>
    <x v="0"/>
    <x v="1134"/>
    <n v="25.96"/>
    <x v="5"/>
    <s v="Jan 2025"/>
    <n v="16"/>
    <s v="Repeat"/>
    <x v="0"/>
    <x v="2865"/>
  </r>
  <r>
    <x v="326"/>
    <x v="2793"/>
    <x v="0"/>
    <x v="1135"/>
    <n v="25.96"/>
    <x v="2"/>
    <s v="Jan 2025"/>
    <n v="17"/>
    <s v="Single"/>
    <x v="1"/>
    <x v="2866"/>
  </r>
  <r>
    <x v="326"/>
    <x v="2794"/>
    <x v="0"/>
    <x v="1136"/>
    <n v="35.76"/>
    <x v="0"/>
    <s v="Jan 2025"/>
    <n v="20"/>
    <s v="Single"/>
    <x v="1"/>
    <x v="2867"/>
  </r>
  <r>
    <x v="326"/>
    <x v="2795"/>
    <x v="0"/>
    <x v="1137"/>
    <n v="35.76"/>
    <x v="7"/>
    <s v="Jan 2025"/>
    <n v="20"/>
    <s v="Single"/>
    <x v="1"/>
    <x v="2868"/>
  </r>
  <r>
    <x v="327"/>
    <x v="2796"/>
    <x v="0"/>
    <x v="1069"/>
    <n v="25.96"/>
    <x v="2"/>
    <s v="Jan 2025"/>
    <n v="9"/>
    <s v="Repeat"/>
    <x v="0"/>
    <x v="2869"/>
  </r>
  <r>
    <x v="327"/>
    <x v="2700"/>
    <x v="0"/>
    <x v="1138"/>
    <n v="25.96"/>
    <x v="2"/>
    <s v="Jan 2025"/>
    <n v="16"/>
    <s v="Single"/>
    <x v="1"/>
    <x v="2870"/>
  </r>
  <r>
    <x v="327"/>
    <x v="2797"/>
    <x v="0"/>
    <x v="1139"/>
    <n v="30.86"/>
    <x v="3"/>
    <s v="Jan 2025"/>
    <n v="19"/>
    <s v="Repeat"/>
    <x v="0"/>
    <x v="2871"/>
  </r>
  <r>
    <x v="327"/>
    <x v="2798"/>
    <x v="0"/>
    <x v="1139"/>
    <n v="21.06"/>
    <x v="6"/>
    <s v="Jan 2025"/>
    <n v="19"/>
    <s v="Repeat"/>
    <x v="0"/>
    <x v="2872"/>
  </r>
  <r>
    <x v="328"/>
    <x v="2799"/>
    <x v="0"/>
    <x v="224"/>
    <n v="30.86"/>
    <x v="3"/>
    <s v="Jan 2025"/>
    <n v="9"/>
    <s v="Repeat"/>
    <x v="0"/>
    <x v="2873"/>
  </r>
  <r>
    <x v="328"/>
    <x v="2800"/>
    <x v="0"/>
    <x v="276"/>
    <n v="30.86"/>
    <x v="3"/>
    <s v="Jan 2025"/>
    <n v="10"/>
    <s v="Repeat"/>
    <x v="0"/>
    <x v="2874"/>
  </r>
  <r>
    <x v="328"/>
    <x v="2801"/>
    <x v="0"/>
    <x v="862"/>
    <n v="25.96"/>
    <x v="5"/>
    <s v="Jan 2025"/>
    <n v="11"/>
    <s v="Repeat"/>
    <x v="0"/>
    <x v="2875"/>
  </r>
  <r>
    <x v="328"/>
    <x v="2802"/>
    <x v="0"/>
    <x v="1140"/>
    <n v="35.76"/>
    <x v="1"/>
    <s v="Jan 2025"/>
    <n v="12"/>
    <s v="Single"/>
    <x v="1"/>
    <x v="2876"/>
  </r>
  <r>
    <x v="328"/>
    <x v="2803"/>
    <x v="0"/>
    <x v="1141"/>
    <n v="25.96"/>
    <x v="2"/>
    <s v="Jan 2025"/>
    <n v="13"/>
    <s v="Single"/>
    <x v="1"/>
    <x v="2877"/>
  </r>
  <r>
    <x v="328"/>
    <x v="2804"/>
    <x v="0"/>
    <x v="1142"/>
    <n v="30.86"/>
    <x v="3"/>
    <s v="Jan 2025"/>
    <n v="14"/>
    <s v="Single"/>
    <x v="1"/>
    <x v="2878"/>
  </r>
  <r>
    <x v="328"/>
    <x v="2805"/>
    <x v="0"/>
    <x v="1143"/>
    <n v="35.76"/>
    <x v="1"/>
    <s v="Jan 2025"/>
    <n v="17"/>
    <s v="Single"/>
    <x v="1"/>
    <x v="2879"/>
  </r>
  <r>
    <x v="328"/>
    <x v="2806"/>
    <x v="0"/>
    <x v="1069"/>
    <n v="30.86"/>
    <x v="3"/>
    <s v="Jan 2025"/>
    <n v="18"/>
    <s v="Repeat"/>
    <x v="0"/>
    <x v="2880"/>
  </r>
  <r>
    <x v="328"/>
    <x v="2807"/>
    <x v="0"/>
    <x v="1144"/>
    <n v="25.96"/>
    <x v="5"/>
    <s v="Jan 2025"/>
    <n v="18"/>
    <s v="Single"/>
    <x v="1"/>
    <x v="2881"/>
  </r>
  <r>
    <x v="329"/>
    <x v="2808"/>
    <x v="0"/>
    <x v="141"/>
    <n v="25.96"/>
    <x v="2"/>
    <s v="Jan 2025"/>
    <n v="8"/>
    <s v="Repeat"/>
    <x v="0"/>
    <x v="2882"/>
  </r>
  <r>
    <x v="329"/>
    <x v="2062"/>
    <x v="0"/>
    <x v="141"/>
    <n v="30.86"/>
    <x v="3"/>
    <s v="Jan 2025"/>
    <n v="8"/>
    <s v="Repeat"/>
    <x v="0"/>
    <x v="2883"/>
  </r>
  <r>
    <x v="329"/>
    <x v="2809"/>
    <x v="0"/>
    <x v="304"/>
    <n v="30.86"/>
    <x v="3"/>
    <s v="Jan 2025"/>
    <n v="9"/>
    <s v="Repeat"/>
    <x v="0"/>
    <x v="2884"/>
  </r>
  <r>
    <x v="329"/>
    <x v="619"/>
    <x v="0"/>
    <x v="1145"/>
    <n v="35.76"/>
    <x v="4"/>
    <s v="Jan 2025"/>
    <n v="9"/>
    <s v="Single"/>
    <x v="1"/>
    <x v="2885"/>
  </r>
  <r>
    <x v="329"/>
    <x v="2810"/>
    <x v="0"/>
    <x v="333"/>
    <n v="35.76"/>
    <x v="7"/>
    <s v="Jan 2025"/>
    <n v="9"/>
    <s v="Repeat"/>
    <x v="0"/>
    <x v="2886"/>
  </r>
  <r>
    <x v="329"/>
    <x v="2811"/>
    <x v="0"/>
    <x v="333"/>
    <n v="35.76"/>
    <x v="7"/>
    <s v="Jan 2025"/>
    <n v="9"/>
    <s v="Repeat"/>
    <x v="0"/>
    <x v="2887"/>
  </r>
  <r>
    <x v="329"/>
    <x v="2812"/>
    <x v="0"/>
    <x v="1133"/>
    <n v="35.76"/>
    <x v="0"/>
    <s v="Jan 2025"/>
    <n v="12"/>
    <s v="Repeat"/>
    <x v="0"/>
    <x v="2888"/>
  </r>
  <r>
    <x v="329"/>
    <x v="251"/>
    <x v="0"/>
    <x v="507"/>
    <n v="35.76"/>
    <x v="0"/>
    <s v="Jan 2025"/>
    <n v="12"/>
    <s v="Repeat"/>
    <x v="0"/>
    <x v="2889"/>
  </r>
  <r>
    <x v="329"/>
    <x v="2813"/>
    <x v="0"/>
    <x v="1146"/>
    <n v="35.76"/>
    <x v="7"/>
    <s v="Jan 2025"/>
    <n v="14"/>
    <s v="Single"/>
    <x v="1"/>
    <x v="2890"/>
  </r>
  <r>
    <x v="329"/>
    <x v="2814"/>
    <x v="0"/>
    <x v="304"/>
    <n v="30.86"/>
    <x v="3"/>
    <s v="Jan 2025"/>
    <n v="16"/>
    <s v="Repeat"/>
    <x v="0"/>
    <x v="2891"/>
  </r>
  <r>
    <x v="329"/>
    <x v="2815"/>
    <x v="0"/>
    <x v="1147"/>
    <n v="30.86"/>
    <x v="3"/>
    <s v="Jan 2025"/>
    <n v="22"/>
    <s v="Single"/>
    <x v="1"/>
    <x v="2892"/>
  </r>
  <r>
    <x v="329"/>
    <x v="1628"/>
    <x v="0"/>
    <x v="1148"/>
    <n v="25.96"/>
    <x v="2"/>
    <s v="Jan 2025"/>
    <n v="22"/>
    <s v="Single"/>
    <x v="1"/>
    <x v="2893"/>
  </r>
  <r>
    <x v="330"/>
    <x v="2816"/>
    <x v="0"/>
    <x v="304"/>
    <n v="30.86"/>
    <x v="3"/>
    <s v="Feb 2025"/>
    <n v="8"/>
    <s v="Repeat"/>
    <x v="0"/>
    <x v="2894"/>
  </r>
  <r>
    <x v="330"/>
    <x v="2817"/>
    <x v="0"/>
    <x v="224"/>
    <n v="30.86"/>
    <x v="3"/>
    <s v="Feb 2025"/>
    <n v="10"/>
    <s v="Repeat"/>
    <x v="0"/>
    <x v="2895"/>
  </r>
  <r>
    <x v="330"/>
    <x v="2818"/>
    <x v="0"/>
    <x v="141"/>
    <n v="25.96"/>
    <x v="5"/>
    <s v="Feb 2025"/>
    <n v="13"/>
    <s v="Repeat"/>
    <x v="0"/>
    <x v="2896"/>
  </r>
  <r>
    <x v="330"/>
    <x v="2819"/>
    <x v="0"/>
    <x v="141"/>
    <n v="25.96"/>
    <x v="5"/>
    <s v="Feb 2025"/>
    <n v="13"/>
    <s v="Repeat"/>
    <x v="0"/>
    <x v="2897"/>
  </r>
  <r>
    <x v="330"/>
    <x v="2820"/>
    <x v="0"/>
    <x v="1149"/>
    <n v="35.76"/>
    <x v="7"/>
    <s v="Feb 2025"/>
    <n v="14"/>
    <s v="Repeat"/>
    <x v="0"/>
    <x v="2898"/>
  </r>
  <r>
    <x v="330"/>
    <x v="2821"/>
    <x v="0"/>
    <x v="1149"/>
    <n v="35.76"/>
    <x v="7"/>
    <s v="Feb 2025"/>
    <n v="14"/>
    <s v="Repeat"/>
    <x v="0"/>
    <x v="2899"/>
  </r>
  <r>
    <x v="330"/>
    <x v="2822"/>
    <x v="0"/>
    <x v="1069"/>
    <n v="35.76"/>
    <x v="0"/>
    <s v="Feb 2025"/>
    <n v="15"/>
    <s v="Repeat"/>
    <x v="0"/>
    <x v="2900"/>
  </r>
  <r>
    <x v="330"/>
    <x v="2823"/>
    <x v="0"/>
    <x v="1114"/>
    <n v="35.76"/>
    <x v="7"/>
    <s v="Feb 2025"/>
    <n v="18"/>
    <s v="Repeat"/>
    <x v="0"/>
    <x v="2901"/>
  </r>
  <r>
    <x v="330"/>
    <x v="2824"/>
    <x v="0"/>
    <x v="224"/>
    <n v="30.86"/>
    <x v="3"/>
    <s v="Feb 2025"/>
    <n v="19"/>
    <s v="Repeat"/>
    <x v="0"/>
    <x v="2902"/>
  </r>
  <r>
    <x v="330"/>
    <x v="2825"/>
    <x v="0"/>
    <x v="224"/>
    <n v="30.86"/>
    <x v="3"/>
    <s v="Feb 2025"/>
    <n v="19"/>
    <s v="Repeat"/>
    <x v="0"/>
    <x v="2903"/>
  </r>
  <r>
    <x v="330"/>
    <x v="2826"/>
    <x v="0"/>
    <x v="427"/>
    <n v="30.86"/>
    <x v="3"/>
    <s v="Feb 2025"/>
    <n v="21"/>
    <s v="Repeat"/>
    <x v="0"/>
    <x v="2904"/>
  </r>
  <r>
    <x v="331"/>
    <x v="2827"/>
    <x v="0"/>
    <x v="1132"/>
    <n v="35.76"/>
    <x v="7"/>
    <s v="Feb 2025"/>
    <n v="10"/>
    <s v="Repeat"/>
    <x v="0"/>
    <x v="2905"/>
  </r>
  <r>
    <x v="331"/>
    <x v="2828"/>
    <x v="0"/>
    <x v="1132"/>
    <n v="35.76"/>
    <x v="7"/>
    <s v="Feb 2025"/>
    <n v="10"/>
    <s v="Repeat"/>
    <x v="0"/>
    <x v="2906"/>
  </r>
  <r>
    <x v="331"/>
    <x v="2829"/>
    <x v="0"/>
    <x v="1150"/>
    <n v="35.76"/>
    <x v="0"/>
    <s v="Feb 2025"/>
    <n v="12"/>
    <s v="Single"/>
    <x v="1"/>
    <x v="2907"/>
  </r>
  <r>
    <x v="331"/>
    <x v="2830"/>
    <x v="0"/>
    <x v="1151"/>
    <n v="35.76"/>
    <x v="0"/>
    <s v="Feb 2025"/>
    <n v="12"/>
    <s v="Single"/>
    <x v="1"/>
    <x v="2908"/>
  </r>
  <r>
    <x v="331"/>
    <x v="2831"/>
    <x v="0"/>
    <x v="265"/>
    <n v="30.86"/>
    <x v="3"/>
    <s v="Feb 2025"/>
    <n v="14"/>
    <s v="Repeat"/>
    <x v="0"/>
    <x v="2909"/>
  </r>
  <r>
    <x v="331"/>
    <x v="2832"/>
    <x v="0"/>
    <x v="507"/>
    <n v="35.76"/>
    <x v="0"/>
    <s v="Feb 2025"/>
    <n v="16"/>
    <s v="Repeat"/>
    <x v="0"/>
    <x v="2910"/>
  </r>
  <r>
    <x v="331"/>
    <x v="2833"/>
    <x v="0"/>
    <x v="1152"/>
    <n v="35.76"/>
    <x v="0"/>
    <s v="Feb 2025"/>
    <n v="16"/>
    <s v="Repeat"/>
    <x v="0"/>
    <x v="2911"/>
  </r>
  <r>
    <x v="332"/>
    <x v="2834"/>
    <x v="0"/>
    <x v="1152"/>
    <n v="35.76"/>
    <x v="7"/>
    <s v="Feb 2025"/>
    <n v="7"/>
    <s v="Repeat"/>
    <x v="0"/>
    <x v="2912"/>
  </r>
  <r>
    <x v="332"/>
    <x v="2835"/>
    <x v="0"/>
    <x v="1152"/>
    <n v="30.86"/>
    <x v="3"/>
    <s v="Feb 2025"/>
    <n v="7"/>
    <s v="Repeat"/>
    <x v="0"/>
    <x v="2913"/>
  </r>
  <r>
    <x v="332"/>
    <x v="2836"/>
    <x v="0"/>
    <x v="1152"/>
    <n v="21.06"/>
    <x v="6"/>
    <s v="Feb 2025"/>
    <n v="8"/>
    <s v="Repeat"/>
    <x v="0"/>
    <x v="2914"/>
  </r>
  <r>
    <x v="332"/>
    <x v="2837"/>
    <x v="0"/>
    <x v="1153"/>
    <n v="30.86"/>
    <x v="3"/>
    <s v="Feb 2025"/>
    <n v="8"/>
    <s v="Repeat"/>
    <x v="0"/>
    <x v="2915"/>
  </r>
  <r>
    <x v="332"/>
    <x v="2838"/>
    <x v="0"/>
    <x v="1154"/>
    <n v="25.96"/>
    <x v="2"/>
    <s v="Feb 2025"/>
    <n v="10"/>
    <s v="Single"/>
    <x v="1"/>
    <x v="2916"/>
  </r>
  <r>
    <x v="332"/>
    <x v="2839"/>
    <x v="0"/>
    <x v="1155"/>
    <n v="35.76"/>
    <x v="7"/>
    <s v="Feb 2025"/>
    <n v="10"/>
    <s v="Repeat"/>
    <x v="0"/>
    <x v="2917"/>
  </r>
  <r>
    <x v="332"/>
    <x v="2840"/>
    <x v="0"/>
    <x v="1156"/>
    <n v="30.86"/>
    <x v="3"/>
    <s v="Feb 2025"/>
    <n v="10"/>
    <s v="Repeat"/>
    <x v="0"/>
    <x v="2918"/>
  </r>
  <r>
    <x v="332"/>
    <x v="2841"/>
    <x v="0"/>
    <x v="1157"/>
    <n v="35.76"/>
    <x v="7"/>
    <s v="Feb 2025"/>
    <n v="13"/>
    <s v="Repeat"/>
    <x v="0"/>
    <x v="2919"/>
  </r>
  <r>
    <x v="332"/>
    <x v="2842"/>
    <x v="0"/>
    <x v="1158"/>
    <n v="35.76"/>
    <x v="7"/>
    <s v="Feb 2025"/>
    <n v="13"/>
    <s v="Repeat"/>
    <x v="0"/>
    <x v="2920"/>
  </r>
  <r>
    <x v="332"/>
    <x v="2843"/>
    <x v="0"/>
    <x v="1159"/>
    <n v="25.96"/>
    <x v="2"/>
    <s v="Feb 2025"/>
    <n v="13"/>
    <s v="Single"/>
    <x v="1"/>
    <x v="2921"/>
  </r>
  <r>
    <x v="332"/>
    <x v="2844"/>
    <x v="0"/>
    <x v="1160"/>
    <n v="25.96"/>
    <x v="2"/>
    <s v="Feb 2025"/>
    <n v="14"/>
    <s v="Repeat"/>
    <x v="0"/>
    <x v="2922"/>
  </r>
  <r>
    <x v="332"/>
    <x v="2685"/>
    <x v="0"/>
    <x v="19"/>
    <n v="35.76"/>
    <x v="0"/>
    <s v="Feb 2025"/>
    <n v="14"/>
    <s v="Repeat"/>
    <x v="0"/>
    <x v="2923"/>
  </r>
  <r>
    <x v="332"/>
    <x v="2845"/>
    <x v="0"/>
    <x v="507"/>
    <n v="35.76"/>
    <x v="0"/>
    <s v="Feb 2025"/>
    <n v="14"/>
    <s v="Repeat"/>
    <x v="0"/>
    <x v="2924"/>
  </r>
  <r>
    <x v="332"/>
    <x v="2846"/>
    <x v="0"/>
    <x v="1161"/>
    <n v="35.76"/>
    <x v="0"/>
    <s v="Feb 2025"/>
    <n v="15"/>
    <s v="Repeat"/>
    <x v="0"/>
    <x v="2925"/>
  </r>
  <r>
    <x v="332"/>
    <x v="2847"/>
    <x v="0"/>
    <x v="1110"/>
    <n v="25.96"/>
    <x v="2"/>
    <s v="Feb 2025"/>
    <n v="15"/>
    <s v="Repeat"/>
    <x v="0"/>
    <x v="2926"/>
  </r>
  <r>
    <x v="332"/>
    <x v="2848"/>
    <x v="0"/>
    <x v="1160"/>
    <n v="35.76"/>
    <x v="4"/>
    <s v="Feb 2025"/>
    <n v="17"/>
    <s v="Repeat"/>
    <x v="0"/>
    <x v="2927"/>
  </r>
  <r>
    <x v="332"/>
    <x v="2849"/>
    <x v="0"/>
    <x v="1162"/>
    <n v="30.86"/>
    <x v="3"/>
    <s v="Feb 2025"/>
    <n v="17"/>
    <s v="Repeat"/>
    <x v="0"/>
    <x v="2928"/>
  </r>
  <r>
    <x v="332"/>
    <x v="2850"/>
    <x v="0"/>
    <x v="1163"/>
    <n v="30.86"/>
    <x v="3"/>
    <s v="Feb 2025"/>
    <n v="17"/>
    <s v="Repeat"/>
    <x v="0"/>
    <x v="2929"/>
  </r>
  <r>
    <x v="332"/>
    <x v="2851"/>
    <x v="0"/>
    <x v="1163"/>
    <n v="30.86"/>
    <x v="3"/>
    <s v="Feb 2025"/>
    <n v="17"/>
    <s v="Repeat"/>
    <x v="0"/>
    <x v="2930"/>
  </r>
  <r>
    <x v="332"/>
    <x v="1863"/>
    <x v="0"/>
    <x v="1164"/>
    <n v="35.76"/>
    <x v="1"/>
    <s v="Feb 2025"/>
    <n v="17"/>
    <s v="Repeat"/>
    <x v="0"/>
    <x v="2931"/>
  </r>
  <r>
    <x v="332"/>
    <x v="2852"/>
    <x v="0"/>
    <x v="1164"/>
    <n v="35.76"/>
    <x v="0"/>
    <s v="Feb 2025"/>
    <n v="17"/>
    <s v="Repeat"/>
    <x v="0"/>
    <x v="2932"/>
  </r>
  <r>
    <x v="332"/>
    <x v="2853"/>
    <x v="0"/>
    <x v="1165"/>
    <n v="35.76"/>
    <x v="1"/>
    <s v="Feb 2025"/>
    <n v="17"/>
    <s v="Repeat"/>
    <x v="0"/>
    <x v="2933"/>
  </r>
  <r>
    <x v="332"/>
    <x v="2854"/>
    <x v="0"/>
    <x v="1166"/>
    <n v="30.86"/>
    <x v="3"/>
    <s v="Feb 2025"/>
    <n v="17"/>
    <s v="Repeat"/>
    <x v="0"/>
    <x v="2934"/>
  </r>
  <r>
    <x v="332"/>
    <x v="2855"/>
    <x v="0"/>
    <x v="1167"/>
    <n v="25.96"/>
    <x v="2"/>
    <s v="Feb 2025"/>
    <n v="18"/>
    <s v="Repeat"/>
    <x v="0"/>
    <x v="2935"/>
  </r>
  <r>
    <x v="332"/>
    <x v="1322"/>
    <x v="0"/>
    <x v="1168"/>
    <n v="35.76"/>
    <x v="4"/>
    <s v="Feb 2025"/>
    <n v="20"/>
    <s v="Repeat"/>
    <x v="0"/>
    <x v="2936"/>
  </r>
  <r>
    <x v="333"/>
    <x v="2856"/>
    <x v="0"/>
    <x v="1163"/>
    <n v="30.86"/>
    <x v="3"/>
    <s v="Feb 2025"/>
    <n v="10"/>
    <s v="Repeat"/>
    <x v="0"/>
    <x v="2937"/>
  </r>
  <r>
    <x v="333"/>
    <x v="2857"/>
    <x v="0"/>
    <x v="1110"/>
    <n v="25.96"/>
    <x v="2"/>
    <s v="Feb 2025"/>
    <n v="10"/>
    <s v="Repeat"/>
    <x v="0"/>
    <x v="2938"/>
  </r>
  <r>
    <x v="333"/>
    <x v="2858"/>
    <x v="0"/>
    <x v="1169"/>
    <n v="30.86"/>
    <x v="3"/>
    <s v="Feb 2025"/>
    <n v="12"/>
    <s v="Repeat"/>
    <x v="0"/>
    <x v="2939"/>
  </r>
  <r>
    <x v="333"/>
    <x v="2859"/>
    <x v="0"/>
    <x v="1160"/>
    <n v="25.96"/>
    <x v="5"/>
    <s v="Feb 2025"/>
    <n v="13"/>
    <s v="Repeat"/>
    <x v="0"/>
    <x v="2940"/>
  </r>
  <r>
    <x v="333"/>
    <x v="2860"/>
    <x v="0"/>
    <x v="1170"/>
    <n v="25.96"/>
    <x v="2"/>
    <s v="Feb 2025"/>
    <n v="14"/>
    <s v="Repeat"/>
    <x v="0"/>
    <x v="2941"/>
  </r>
  <r>
    <x v="333"/>
    <x v="2861"/>
    <x v="0"/>
    <x v="1163"/>
    <n v="30.86"/>
    <x v="3"/>
    <s v="Feb 2025"/>
    <n v="14"/>
    <s v="Repeat"/>
    <x v="0"/>
    <x v="2942"/>
  </r>
  <r>
    <x v="333"/>
    <x v="2862"/>
    <x v="0"/>
    <x v="1171"/>
    <n v="25.96"/>
    <x v="2"/>
    <s v="Feb 2025"/>
    <n v="14"/>
    <s v="Repeat"/>
    <x v="0"/>
    <x v="2943"/>
  </r>
  <r>
    <x v="333"/>
    <x v="2863"/>
    <x v="0"/>
    <x v="1157"/>
    <n v="30.86"/>
    <x v="3"/>
    <s v="Feb 2025"/>
    <n v="18"/>
    <s v="Repeat"/>
    <x v="0"/>
    <x v="2944"/>
  </r>
  <r>
    <x v="333"/>
    <x v="2864"/>
    <x v="0"/>
    <x v="1172"/>
    <n v="35.76"/>
    <x v="4"/>
    <s v="Feb 2025"/>
    <n v="19"/>
    <s v="Single"/>
    <x v="1"/>
    <x v="2945"/>
  </r>
  <r>
    <x v="333"/>
    <x v="2865"/>
    <x v="0"/>
    <x v="1173"/>
    <n v="35.76"/>
    <x v="4"/>
    <s v="Feb 2025"/>
    <n v="19"/>
    <s v="Repeat"/>
    <x v="0"/>
    <x v="2946"/>
  </r>
  <r>
    <x v="333"/>
    <x v="2866"/>
    <x v="0"/>
    <x v="1173"/>
    <n v="35.76"/>
    <x v="4"/>
    <s v="Feb 2025"/>
    <n v="19"/>
    <s v="Repeat"/>
    <x v="0"/>
    <x v="2947"/>
  </r>
  <r>
    <x v="333"/>
    <x v="2867"/>
    <x v="0"/>
    <x v="1174"/>
    <n v="25.96"/>
    <x v="5"/>
    <s v="Feb 2025"/>
    <n v="19"/>
    <s v="Repeat"/>
    <x v="0"/>
    <x v="2948"/>
  </r>
  <r>
    <x v="334"/>
    <x v="2868"/>
    <x v="0"/>
    <x v="1156"/>
    <n v="30.86"/>
    <x v="3"/>
    <s v="Feb 2025"/>
    <n v="8"/>
    <s v="Repeat"/>
    <x v="0"/>
    <x v="2949"/>
  </r>
  <r>
    <x v="334"/>
    <x v="2869"/>
    <x v="0"/>
    <x v="1163"/>
    <n v="30.86"/>
    <x v="3"/>
    <s v="Feb 2025"/>
    <n v="9"/>
    <s v="Repeat"/>
    <x v="0"/>
    <x v="2950"/>
  </r>
  <r>
    <x v="334"/>
    <x v="2870"/>
    <x v="0"/>
    <x v="1163"/>
    <n v="25.96"/>
    <x v="2"/>
    <s v="Feb 2025"/>
    <n v="11"/>
    <s v="Repeat"/>
    <x v="0"/>
    <x v="2951"/>
  </r>
  <r>
    <x v="334"/>
    <x v="2871"/>
    <x v="0"/>
    <x v="1163"/>
    <n v="25.96"/>
    <x v="2"/>
    <s v="Feb 2025"/>
    <n v="11"/>
    <s v="Repeat"/>
    <x v="0"/>
    <x v="2952"/>
  </r>
  <r>
    <x v="334"/>
    <x v="2872"/>
    <x v="0"/>
    <x v="1163"/>
    <n v="25.96"/>
    <x v="2"/>
    <s v="Feb 2025"/>
    <n v="11"/>
    <s v="Repeat"/>
    <x v="0"/>
    <x v="2953"/>
  </r>
  <r>
    <x v="334"/>
    <x v="2873"/>
    <x v="0"/>
    <x v="1163"/>
    <n v="30.86"/>
    <x v="3"/>
    <s v="Feb 2025"/>
    <n v="11"/>
    <s v="Repeat"/>
    <x v="0"/>
    <x v="2954"/>
  </r>
  <r>
    <x v="334"/>
    <x v="2874"/>
    <x v="0"/>
    <x v="1175"/>
    <n v="25.96"/>
    <x v="2"/>
    <s v="Feb 2025"/>
    <n v="12"/>
    <s v="Single"/>
    <x v="1"/>
    <x v="2955"/>
  </r>
  <r>
    <x v="334"/>
    <x v="2875"/>
    <x v="0"/>
    <x v="1176"/>
    <n v="25.96"/>
    <x v="2"/>
    <s v="Feb 2025"/>
    <n v="13"/>
    <s v="Repeat"/>
    <x v="0"/>
    <x v="2956"/>
  </r>
  <r>
    <x v="334"/>
    <x v="2876"/>
    <x v="0"/>
    <x v="1171"/>
    <n v="21.06"/>
    <x v="6"/>
    <s v="Feb 2025"/>
    <n v="13"/>
    <s v="Repeat"/>
    <x v="0"/>
    <x v="2957"/>
  </r>
  <r>
    <x v="334"/>
    <x v="2877"/>
    <x v="0"/>
    <x v="1171"/>
    <n v="21.06"/>
    <x v="6"/>
    <s v="Feb 2025"/>
    <n v="13"/>
    <s v="Repeat"/>
    <x v="0"/>
    <x v="2958"/>
  </r>
  <r>
    <x v="334"/>
    <x v="2878"/>
    <x v="0"/>
    <x v="1161"/>
    <n v="35.76"/>
    <x v="7"/>
    <s v="Feb 2025"/>
    <n v="14"/>
    <s v="Repeat"/>
    <x v="0"/>
    <x v="2959"/>
  </r>
  <r>
    <x v="334"/>
    <x v="2879"/>
    <x v="0"/>
    <x v="1177"/>
    <n v="35.76"/>
    <x v="7"/>
    <s v="Feb 2025"/>
    <n v="15"/>
    <s v="Repeat"/>
    <x v="0"/>
    <x v="2960"/>
  </r>
  <r>
    <x v="334"/>
    <x v="2880"/>
    <x v="0"/>
    <x v="1165"/>
    <n v="35.76"/>
    <x v="1"/>
    <s v="Feb 2025"/>
    <n v="16"/>
    <s v="Repeat"/>
    <x v="0"/>
    <x v="2961"/>
  </r>
  <r>
    <x v="334"/>
    <x v="2881"/>
    <x v="0"/>
    <x v="1164"/>
    <n v="35.76"/>
    <x v="0"/>
    <s v="Feb 2025"/>
    <n v="16"/>
    <s v="Repeat"/>
    <x v="0"/>
    <x v="2962"/>
  </r>
  <r>
    <x v="334"/>
    <x v="2882"/>
    <x v="0"/>
    <x v="1164"/>
    <n v="35.76"/>
    <x v="0"/>
    <s v="Feb 2025"/>
    <n v="16"/>
    <s v="Repeat"/>
    <x v="0"/>
    <x v="2963"/>
  </r>
  <r>
    <x v="334"/>
    <x v="2883"/>
    <x v="0"/>
    <x v="1152"/>
    <n v="35.76"/>
    <x v="4"/>
    <s v="Feb 2025"/>
    <n v="16"/>
    <s v="Repeat"/>
    <x v="0"/>
    <x v="2964"/>
  </r>
  <r>
    <x v="334"/>
    <x v="2884"/>
    <x v="0"/>
    <x v="1165"/>
    <n v="35.76"/>
    <x v="1"/>
    <s v="Feb 2025"/>
    <n v="16"/>
    <s v="Repeat"/>
    <x v="0"/>
    <x v="2965"/>
  </r>
  <r>
    <x v="334"/>
    <x v="2885"/>
    <x v="0"/>
    <x v="1178"/>
    <n v="35.76"/>
    <x v="7"/>
    <s v="Feb 2025"/>
    <n v="18"/>
    <s v="Repeat"/>
    <x v="0"/>
    <x v="2966"/>
  </r>
  <r>
    <x v="334"/>
    <x v="2886"/>
    <x v="0"/>
    <x v="1179"/>
    <n v="35.76"/>
    <x v="7"/>
    <s v="Feb 2025"/>
    <n v="18"/>
    <s v="Repeat"/>
    <x v="0"/>
    <x v="2967"/>
  </r>
  <r>
    <x v="334"/>
    <x v="2887"/>
    <x v="0"/>
    <x v="1180"/>
    <n v="35.76"/>
    <x v="4"/>
    <s v="Feb 2025"/>
    <n v="18"/>
    <s v="Single"/>
    <x v="1"/>
    <x v="2968"/>
  </r>
  <r>
    <x v="334"/>
    <x v="2888"/>
    <x v="0"/>
    <x v="1157"/>
    <n v="30.86"/>
    <x v="3"/>
    <s v="Feb 2025"/>
    <n v="18"/>
    <s v="Repeat"/>
    <x v="0"/>
    <x v="2969"/>
  </r>
  <r>
    <x v="334"/>
    <x v="2889"/>
    <x v="0"/>
    <x v="1181"/>
    <n v="35.76"/>
    <x v="7"/>
    <s v="Feb 2025"/>
    <n v="18"/>
    <s v="Single"/>
    <x v="1"/>
    <x v="2970"/>
  </r>
  <r>
    <x v="334"/>
    <x v="2890"/>
    <x v="0"/>
    <x v="507"/>
    <n v="35.76"/>
    <x v="1"/>
    <s v="Feb 2025"/>
    <n v="19"/>
    <s v="Repeat"/>
    <x v="0"/>
    <x v="2971"/>
  </r>
  <r>
    <x v="334"/>
    <x v="2891"/>
    <x v="0"/>
    <x v="1182"/>
    <n v="35.76"/>
    <x v="4"/>
    <s v="Feb 2025"/>
    <n v="20"/>
    <s v="Repeat"/>
    <x v="0"/>
    <x v="2972"/>
  </r>
  <r>
    <x v="335"/>
    <x v="2892"/>
    <x v="0"/>
    <x v="1163"/>
    <n v="30.86"/>
    <x v="3"/>
    <s v="Feb 2025"/>
    <n v="7"/>
    <s v="Repeat"/>
    <x v="0"/>
    <x v="2973"/>
  </r>
  <r>
    <x v="335"/>
    <x v="2893"/>
    <x v="0"/>
    <x v="1171"/>
    <n v="25.96"/>
    <x v="2"/>
    <s v="Feb 2025"/>
    <n v="13"/>
    <s v="Repeat"/>
    <x v="0"/>
    <x v="2974"/>
  </r>
  <r>
    <x v="335"/>
    <x v="2894"/>
    <x v="0"/>
    <x v="1162"/>
    <n v="30.86"/>
    <x v="3"/>
    <s v="Feb 2025"/>
    <n v="14"/>
    <s v="Repeat"/>
    <x v="0"/>
    <x v="2975"/>
  </r>
  <r>
    <x v="335"/>
    <x v="2895"/>
    <x v="0"/>
    <x v="1158"/>
    <n v="35.76"/>
    <x v="7"/>
    <s v="Feb 2025"/>
    <n v="14"/>
    <s v="Repeat"/>
    <x v="0"/>
    <x v="2976"/>
  </r>
  <r>
    <x v="335"/>
    <x v="2896"/>
    <x v="0"/>
    <x v="1163"/>
    <n v="35.76"/>
    <x v="4"/>
    <s v="Feb 2025"/>
    <n v="16"/>
    <s v="Repeat"/>
    <x v="0"/>
    <x v="2977"/>
  </r>
  <r>
    <x v="335"/>
    <x v="2897"/>
    <x v="0"/>
    <x v="1170"/>
    <n v="35.76"/>
    <x v="4"/>
    <s v="Feb 2025"/>
    <n v="17"/>
    <s v="Repeat"/>
    <x v="0"/>
    <x v="2978"/>
  </r>
  <r>
    <x v="335"/>
    <x v="2898"/>
    <x v="0"/>
    <x v="1183"/>
    <n v="35.76"/>
    <x v="4"/>
    <s v="Feb 2025"/>
    <n v="17"/>
    <s v="Single"/>
    <x v="1"/>
    <x v="2979"/>
  </r>
  <r>
    <x v="335"/>
    <x v="1513"/>
    <x v="0"/>
    <x v="1158"/>
    <n v="35.76"/>
    <x v="7"/>
    <s v="Feb 2025"/>
    <n v="19"/>
    <s v="Repeat"/>
    <x v="0"/>
    <x v="2980"/>
  </r>
  <r>
    <x v="335"/>
    <x v="2899"/>
    <x v="0"/>
    <x v="1184"/>
    <n v="21.06"/>
    <x v="6"/>
    <s v="Feb 2025"/>
    <n v="19"/>
    <s v="Repeat"/>
    <x v="0"/>
    <x v="2981"/>
  </r>
  <r>
    <x v="335"/>
    <x v="2900"/>
    <x v="0"/>
    <x v="1185"/>
    <n v="35.76"/>
    <x v="4"/>
    <s v="Feb 2025"/>
    <n v="20"/>
    <s v="Repeat"/>
    <x v="0"/>
    <x v="2982"/>
  </r>
  <r>
    <x v="335"/>
    <x v="2901"/>
    <x v="0"/>
    <x v="1186"/>
    <n v="35.76"/>
    <x v="4"/>
    <s v="Feb 2025"/>
    <n v="20"/>
    <s v="Single"/>
    <x v="1"/>
    <x v="2983"/>
  </r>
  <r>
    <x v="335"/>
    <x v="2902"/>
    <x v="0"/>
    <x v="1163"/>
    <n v="35.76"/>
    <x v="0"/>
    <s v="Feb 2025"/>
    <n v="20"/>
    <s v="Repeat"/>
    <x v="0"/>
    <x v="2984"/>
  </r>
  <r>
    <x v="336"/>
    <x v="2903"/>
    <x v="0"/>
    <x v="1152"/>
    <n v="30.86"/>
    <x v="3"/>
    <s v="Feb 2025"/>
    <n v="8"/>
    <s v="Repeat"/>
    <x v="0"/>
    <x v="2985"/>
  </r>
  <r>
    <x v="336"/>
    <x v="2904"/>
    <x v="0"/>
    <x v="1187"/>
    <n v="30.86"/>
    <x v="3"/>
    <s v="Feb 2025"/>
    <n v="9"/>
    <s v="Repeat"/>
    <x v="0"/>
    <x v="2986"/>
  </r>
  <r>
    <x v="336"/>
    <x v="2905"/>
    <x v="0"/>
    <x v="1188"/>
    <n v="25.96"/>
    <x v="2"/>
    <s v="Feb 2025"/>
    <n v="10"/>
    <s v="Repeat"/>
    <x v="0"/>
    <x v="2987"/>
  </r>
  <r>
    <x v="336"/>
    <x v="2906"/>
    <x v="0"/>
    <x v="1189"/>
    <n v="35.76"/>
    <x v="4"/>
    <s v="Feb 2025"/>
    <n v="12"/>
    <s v="Repeat"/>
    <x v="0"/>
    <x v="2988"/>
  </r>
  <r>
    <x v="336"/>
    <x v="2907"/>
    <x v="0"/>
    <x v="1163"/>
    <n v="30.86"/>
    <x v="3"/>
    <s v="Feb 2025"/>
    <n v="12"/>
    <s v="Repeat"/>
    <x v="0"/>
    <x v="2989"/>
  </r>
  <r>
    <x v="336"/>
    <x v="2908"/>
    <x v="0"/>
    <x v="1190"/>
    <n v="25.96"/>
    <x v="2"/>
    <s v="Feb 2025"/>
    <n v="12"/>
    <s v="Repeat"/>
    <x v="0"/>
    <x v="2990"/>
  </r>
  <r>
    <x v="336"/>
    <x v="2909"/>
    <x v="0"/>
    <x v="1170"/>
    <n v="25.96"/>
    <x v="5"/>
    <s v="Feb 2025"/>
    <n v="16"/>
    <s v="Repeat"/>
    <x v="0"/>
    <x v="2991"/>
  </r>
  <r>
    <x v="336"/>
    <x v="2910"/>
    <x v="0"/>
    <x v="1191"/>
    <n v="35.76"/>
    <x v="0"/>
    <s v="Feb 2025"/>
    <n v="16"/>
    <s v="Repeat"/>
    <x v="0"/>
    <x v="2992"/>
  </r>
  <r>
    <x v="336"/>
    <x v="2911"/>
    <x v="0"/>
    <x v="1165"/>
    <n v="35.76"/>
    <x v="1"/>
    <s v="Feb 2025"/>
    <n v="16"/>
    <s v="Repeat"/>
    <x v="0"/>
    <x v="2993"/>
  </r>
  <r>
    <x v="336"/>
    <x v="2912"/>
    <x v="0"/>
    <x v="1165"/>
    <n v="35.76"/>
    <x v="0"/>
    <s v="Feb 2025"/>
    <n v="16"/>
    <s v="Repeat"/>
    <x v="0"/>
    <x v="2994"/>
  </r>
  <r>
    <x v="336"/>
    <x v="2913"/>
    <x v="0"/>
    <x v="1178"/>
    <n v="35.76"/>
    <x v="4"/>
    <s v="Feb 2025"/>
    <n v="18"/>
    <s v="Repeat"/>
    <x v="0"/>
    <x v="2995"/>
  </r>
  <r>
    <x v="336"/>
    <x v="2914"/>
    <x v="0"/>
    <x v="1179"/>
    <n v="35.76"/>
    <x v="4"/>
    <s v="Feb 2025"/>
    <n v="18"/>
    <s v="Repeat"/>
    <x v="0"/>
    <x v="2996"/>
  </r>
  <r>
    <x v="336"/>
    <x v="2915"/>
    <x v="0"/>
    <x v="1192"/>
    <n v="25.96"/>
    <x v="5"/>
    <s v="Feb 2025"/>
    <n v="18"/>
    <s v="Repeat"/>
    <x v="0"/>
    <x v="2997"/>
  </r>
  <r>
    <x v="336"/>
    <x v="2916"/>
    <x v="0"/>
    <x v="1192"/>
    <n v="35.76"/>
    <x v="4"/>
    <s v="Feb 2025"/>
    <n v="18"/>
    <s v="Repeat"/>
    <x v="0"/>
    <x v="2998"/>
  </r>
  <r>
    <x v="336"/>
    <x v="2917"/>
    <x v="0"/>
    <x v="1193"/>
    <n v="35.76"/>
    <x v="4"/>
    <s v="Feb 2025"/>
    <n v="20"/>
    <s v="Single"/>
    <x v="1"/>
    <x v="2999"/>
  </r>
  <r>
    <x v="336"/>
    <x v="2918"/>
    <x v="0"/>
    <x v="1161"/>
    <n v="25.96"/>
    <x v="5"/>
    <s v="Feb 2025"/>
    <n v="20"/>
    <s v="Repeat"/>
    <x v="0"/>
    <x v="3000"/>
  </r>
  <r>
    <x v="337"/>
    <x v="1765"/>
    <x v="0"/>
    <x v="1163"/>
    <n v="25.96"/>
    <x v="2"/>
    <s v="Feb 2025"/>
    <n v="9"/>
    <s v="Repeat"/>
    <x v="0"/>
    <x v="3001"/>
  </r>
  <r>
    <x v="337"/>
    <x v="2919"/>
    <x v="0"/>
    <x v="1153"/>
    <n v="30.86"/>
    <x v="3"/>
    <s v="Feb 2025"/>
    <n v="10"/>
    <s v="Repeat"/>
    <x v="0"/>
    <x v="3002"/>
  </r>
  <r>
    <x v="337"/>
    <x v="2920"/>
    <x v="0"/>
    <x v="1194"/>
    <n v="25.96"/>
    <x v="5"/>
    <s v="Feb 2025"/>
    <n v="11"/>
    <s v="Repeat"/>
    <x v="0"/>
    <x v="3003"/>
  </r>
  <r>
    <x v="337"/>
    <x v="2921"/>
    <x v="0"/>
    <x v="1195"/>
    <n v="25.96"/>
    <x v="2"/>
    <s v="Feb 2025"/>
    <n v="11"/>
    <s v="Single"/>
    <x v="1"/>
    <x v="3004"/>
  </r>
  <r>
    <x v="337"/>
    <x v="2922"/>
    <x v="0"/>
    <x v="1167"/>
    <n v="25.96"/>
    <x v="2"/>
    <s v="Feb 2025"/>
    <n v="12"/>
    <s v="Repeat"/>
    <x v="0"/>
    <x v="3005"/>
  </r>
  <r>
    <x v="337"/>
    <x v="2923"/>
    <x v="0"/>
    <x v="1170"/>
    <n v="25.96"/>
    <x v="2"/>
    <s v="Feb 2025"/>
    <n v="13"/>
    <s v="Repeat"/>
    <x v="0"/>
    <x v="3006"/>
  </r>
  <r>
    <x v="337"/>
    <x v="2924"/>
    <x v="0"/>
    <x v="1110"/>
    <n v="25.96"/>
    <x v="2"/>
    <s v="Feb 2025"/>
    <n v="15"/>
    <s v="Repeat"/>
    <x v="0"/>
    <x v="3007"/>
  </r>
  <r>
    <x v="337"/>
    <x v="2925"/>
    <x v="0"/>
    <x v="1110"/>
    <n v="25.96"/>
    <x v="2"/>
    <s v="Feb 2025"/>
    <n v="15"/>
    <s v="Repeat"/>
    <x v="0"/>
    <x v="3008"/>
  </r>
  <r>
    <x v="338"/>
    <x v="2926"/>
    <x v="0"/>
    <x v="1161"/>
    <n v="35.76"/>
    <x v="4"/>
    <s v="Feb 2025"/>
    <n v="8"/>
    <s v="Repeat"/>
    <x v="0"/>
    <x v="3009"/>
  </r>
  <r>
    <x v="338"/>
    <x v="2927"/>
    <x v="0"/>
    <x v="1157"/>
    <n v="30.86"/>
    <x v="3"/>
    <s v="Feb 2025"/>
    <n v="10"/>
    <s v="Repeat"/>
    <x v="0"/>
    <x v="3010"/>
  </r>
  <r>
    <x v="338"/>
    <x v="2928"/>
    <x v="0"/>
    <x v="1163"/>
    <n v="25.96"/>
    <x v="2"/>
    <s v="Feb 2025"/>
    <n v="10"/>
    <s v="Repeat"/>
    <x v="0"/>
    <x v="3011"/>
  </r>
  <r>
    <x v="338"/>
    <x v="2929"/>
    <x v="0"/>
    <x v="1196"/>
    <n v="35.76"/>
    <x v="0"/>
    <s v="Feb 2025"/>
    <n v="12"/>
    <s v="Repeat"/>
    <x v="0"/>
    <x v="3012"/>
  </r>
  <r>
    <x v="338"/>
    <x v="2930"/>
    <x v="0"/>
    <x v="1189"/>
    <n v="35.76"/>
    <x v="4"/>
    <s v="Feb 2025"/>
    <n v="15"/>
    <s v="Repeat"/>
    <x v="0"/>
    <x v="3013"/>
  </r>
  <r>
    <x v="338"/>
    <x v="2931"/>
    <x v="0"/>
    <x v="1189"/>
    <n v="35.76"/>
    <x v="0"/>
    <s v="Feb 2025"/>
    <n v="15"/>
    <s v="Repeat"/>
    <x v="0"/>
    <x v="3014"/>
  </r>
  <r>
    <x v="338"/>
    <x v="2932"/>
    <x v="0"/>
    <x v="1178"/>
    <n v="35.76"/>
    <x v="1"/>
    <s v="Feb 2025"/>
    <n v="15"/>
    <s v="Repeat"/>
    <x v="0"/>
    <x v="3015"/>
  </r>
  <r>
    <x v="338"/>
    <x v="2933"/>
    <x v="0"/>
    <x v="1179"/>
    <n v="35.76"/>
    <x v="4"/>
    <s v="Feb 2025"/>
    <n v="15"/>
    <s v="Repeat"/>
    <x v="0"/>
    <x v="3016"/>
  </r>
  <r>
    <x v="338"/>
    <x v="2934"/>
    <x v="0"/>
    <x v="1161"/>
    <n v="25.96"/>
    <x v="5"/>
    <s v="Feb 2025"/>
    <n v="16"/>
    <s v="Repeat"/>
    <x v="0"/>
    <x v="3017"/>
  </r>
  <r>
    <x v="339"/>
    <x v="2935"/>
    <x v="0"/>
    <x v="1152"/>
    <n v="25.96"/>
    <x v="2"/>
    <s v="Feb 2025"/>
    <n v="7"/>
    <s v="Repeat"/>
    <x v="0"/>
    <x v="3018"/>
  </r>
  <r>
    <x v="339"/>
    <x v="2936"/>
    <x v="0"/>
    <x v="1110"/>
    <n v="25.96"/>
    <x v="2"/>
    <s v="Feb 2025"/>
    <n v="8"/>
    <s v="Repeat"/>
    <x v="0"/>
    <x v="3019"/>
  </r>
  <r>
    <x v="339"/>
    <x v="2937"/>
    <x v="0"/>
    <x v="1152"/>
    <n v="25.96"/>
    <x v="2"/>
    <s v="Feb 2025"/>
    <n v="8"/>
    <s v="Repeat"/>
    <x v="0"/>
    <x v="3020"/>
  </r>
  <r>
    <x v="339"/>
    <x v="2938"/>
    <x v="0"/>
    <x v="1153"/>
    <n v="30.86"/>
    <x v="3"/>
    <s v="Feb 2025"/>
    <n v="11"/>
    <s v="Repeat"/>
    <x v="0"/>
    <x v="3021"/>
  </r>
  <r>
    <x v="339"/>
    <x v="2939"/>
    <x v="0"/>
    <x v="1167"/>
    <n v="25.96"/>
    <x v="2"/>
    <s v="Feb 2025"/>
    <n v="13"/>
    <s v="Repeat"/>
    <x v="0"/>
    <x v="3022"/>
  </r>
  <r>
    <x v="339"/>
    <x v="2940"/>
    <x v="0"/>
    <x v="1168"/>
    <n v="35.76"/>
    <x v="4"/>
    <s v="Feb 2025"/>
    <n v="13"/>
    <s v="Repeat"/>
    <x v="0"/>
    <x v="3023"/>
  </r>
  <r>
    <x v="339"/>
    <x v="2941"/>
    <x v="0"/>
    <x v="1197"/>
    <n v="30.86"/>
    <x v="3"/>
    <s v="Feb 2025"/>
    <n v="13"/>
    <s v="Single"/>
    <x v="1"/>
    <x v="3024"/>
  </r>
  <r>
    <x v="339"/>
    <x v="2942"/>
    <x v="0"/>
    <x v="1198"/>
    <n v="25.96"/>
    <x v="2"/>
    <s v="Feb 2025"/>
    <n v="13"/>
    <s v="Repeat"/>
    <x v="0"/>
    <x v="3025"/>
  </r>
  <r>
    <x v="339"/>
    <x v="2943"/>
    <x v="0"/>
    <x v="1199"/>
    <n v="35.76"/>
    <x v="0"/>
    <s v="Feb 2025"/>
    <n v="14"/>
    <s v="Repeat"/>
    <x v="0"/>
    <x v="3026"/>
  </r>
  <r>
    <x v="339"/>
    <x v="2944"/>
    <x v="0"/>
    <x v="1163"/>
    <n v="25.96"/>
    <x v="2"/>
    <s v="Feb 2025"/>
    <n v="14"/>
    <s v="Repeat"/>
    <x v="0"/>
    <x v="3027"/>
  </r>
  <r>
    <x v="339"/>
    <x v="2945"/>
    <x v="0"/>
    <x v="1163"/>
    <n v="35.76"/>
    <x v="4"/>
    <s v="Feb 2025"/>
    <n v="14"/>
    <s v="Repeat"/>
    <x v="0"/>
    <x v="3028"/>
  </r>
  <r>
    <x v="339"/>
    <x v="2946"/>
    <x v="0"/>
    <x v="1163"/>
    <n v="35.76"/>
    <x v="4"/>
    <s v="Feb 2025"/>
    <n v="14"/>
    <s v="Repeat"/>
    <x v="0"/>
    <x v="3029"/>
  </r>
  <r>
    <x v="339"/>
    <x v="471"/>
    <x v="0"/>
    <x v="1200"/>
    <n v="35.76"/>
    <x v="7"/>
    <s v="Feb 2025"/>
    <n v="15"/>
    <s v="Repeat"/>
    <x v="0"/>
    <x v="3030"/>
  </r>
  <r>
    <x v="339"/>
    <x v="2947"/>
    <x v="0"/>
    <x v="1166"/>
    <n v="30.86"/>
    <x v="3"/>
    <s v="Feb 2025"/>
    <n v="15"/>
    <s v="Repeat"/>
    <x v="0"/>
    <x v="3031"/>
  </r>
  <r>
    <x v="339"/>
    <x v="2948"/>
    <x v="0"/>
    <x v="1191"/>
    <n v="35.76"/>
    <x v="0"/>
    <s v="Feb 2025"/>
    <n v="15"/>
    <s v="Repeat"/>
    <x v="0"/>
    <x v="3032"/>
  </r>
  <r>
    <x v="339"/>
    <x v="2949"/>
    <x v="0"/>
    <x v="1165"/>
    <n v="35.76"/>
    <x v="1"/>
    <s v="Feb 2025"/>
    <n v="15"/>
    <s v="Repeat"/>
    <x v="0"/>
    <x v="3033"/>
  </r>
  <r>
    <x v="339"/>
    <x v="2950"/>
    <x v="0"/>
    <x v="1170"/>
    <n v="35.76"/>
    <x v="4"/>
    <s v="Feb 2025"/>
    <n v="16"/>
    <s v="Repeat"/>
    <x v="0"/>
    <x v="3034"/>
  </r>
  <r>
    <x v="339"/>
    <x v="2951"/>
    <x v="0"/>
    <x v="878"/>
    <n v="25.96"/>
    <x v="2"/>
    <s v="Feb 2025"/>
    <n v="17"/>
    <s v="Repeat"/>
    <x v="0"/>
    <x v="3035"/>
  </r>
  <r>
    <x v="339"/>
    <x v="2952"/>
    <x v="0"/>
    <x v="1157"/>
    <n v="30.86"/>
    <x v="3"/>
    <s v="Feb 2025"/>
    <n v="18"/>
    <s v="Repeat"/>
    <x v="0"/>
    <x v="3036"/>
  </r>
  <r>
    <x v="339"/>
    <x v="2953"/>
    <x v="0"/>
    <x v="1178"/>
    <n v="35.76"/>
    <x v="0"/>
    <s v="Feb 2025"/>
    <n v="19"/>
    <s v="Repeat"/>
    <x v="0"/>
    <x v="3037"/>
  </r>
  <r>
    <x v="339"/>
    <x v="2954"/>
    <x v="0"/>
    <x v="1201"/>
    <n v="35.76"/>
    <x v="0"/>
    <s v="Feb 2025"/>
    <n v="19"/>
    <s v="Repeat"/>
    <x v="0"/>
    <x v="3038"/>
  </r>
  <r>
    <x v="340"/>
    <x v="2955"/>
    <x v="0"/>
    <x v="1163"/>
    <n v="25.96"/>
    <x v="2"/>
    <s v="Feb 2025"/>
    <n v="10"/>
    <s v="Repeat"/>
    <x v="0"/>
    <x v="3039"/>
  </r>
  <r>
    <x v="340"/>
    <x v="2956"/>
    <x v="0"/>
    <x v="1176"/>
    <n v="25.96"/>
    <x v="2"/>
    <s v="Feb 2025"/>
    <n v="11"/>
    <s v="Repeat"/>
    <x v="0"/>
    <x v="3040"/>
  </r>
  <r>
    <x v="340"/>
    <x v="2957"/>
    <x v="0"/>
    <x v="1166"/>
    <n v="30.86"/>
    <x v="3"/>
    <s v="Feb 2025"/>
    <n v="11"/>
    <s v="Repeat"/>
    <x v="0"/>
    <x v="3041"/>
  </r>
  <r>
    <x v="340"/>
    <x v="2958"/>
    <x v="0"/>
    <x v="1189"/>
    <n v="35.76"/>
    <x v="4"/>
    <s v="Feb 2025"/>
    <n v="11"/>
    <s v="Repeat"/>
    <x v="0"/>
    <x v="3042"/>
  </r>
  <r>
    <x v="340"/>
    <x v="2959"/>
    <x v="0"/>
    <x v="1156"/>
    <n v="35.76"/>
    <x v="1"/>
    <s v="Feb 2025"/>
    <n v="15"/>
    <s v="Repeat"/>
    <x v="0"/>
    <x v="3043"/>
  </r>
  <r>
    <x v="340"/>
    <x v="2960"/>
    <x v="0"/>
    <x v="1194"/>
    <n v="30.86"/>
    <x v="3"/>
    <s v="Feb 2025"/>
    <n v="16"/>
    <s v="Repeat"/>
    <x v="0"/>
    <x v="3044"/>
  </r>
  <r>
    <x v="340"/>
    <x v="2961"/>
    <x v="0"/>
    <x v="1202"/>
    <n v="21.06"/>
    <x v="6"/>
    <s v="Feb 2025"/>
    <n v="16"/>
    <s v="Repeat"/>
    <x v="0"/>
    <x v="3045"/>
  </r>
  <r>
    <x v="340"/>
    <x v="2962"/>
    <x v="0"/>
    <x v="1163"/>
    <n v="35.76"/>
    <x v="0"/>
    <s v="Feb 2025"/>
    <n v="17"/>
    <s v="Repeat"/>
    <x v="0"/>
    <x v="3046"/>
  </r>
  <r>
    <x v="340"/>
    <x v="2963"/>
    <x v="0"/>
    <x v="1163"/>
    <n v="30.86"/>
    <x v="3"/>
    <s v="Feb 2025"/>
    <n v="17"/>
    <s v="Repeat"/>
    <x v="0"/>
    <x v="3047"/>
  </r>
  <r>
    <x v="340"/>
    <x v="2964"/>
    <x v="0"/>
    <x v="1203"/>
    <n v="30.86"/>
    <x v="3"/>
    <s v="Feb 2025"/>
    <n v="17"/>
    <s v="Repeat"/>
    <x v="0"/>
    <x v="3048"/>
  </r>
  <r>
    <x v="340"/>
    <x v="2965"/>
    <x v="0"/>
    <x v="1110"/>
    <n v="25.96"/>
    <x v="2"/>
    <s v="Feb 2025"/>
    <n v="17"/>
    <s v="Repeat"/>
    <x v="0"/>
    <x v="3049"/>
  </r>
  <r>
    <x v="340"/>
    <x v="2966"/>
    <x v="0"/>
    <x v="1203"/>
    <n v="30.86"/>
    <x v="3"/>
    <s v="Feb 2025"/>
    <n v="17"/>
    <s v="Repeat"/>
    <x v="0"/>
    <x v="3050"/>
  </r>
  <r>
    <x v="340"/>
    <x v="2967"/>
    <x v="0"/>
    <x v="1204"/>
    <n v="35.76"/>
    <x v="0"/>
    <s v="Feb 2025"/>
    <n v="19"/>
    <s v="Repeat"/>
    <x v="0"/>
    <x v="3051"/>
  </r>
  <r>
    <x v="340"/>
    <x v="2968"/>
    <x v="0"/>
    <x v="1204"/>
    <n v="35.76"/>
    <x v="4"/>
    <s v="Feb 2025"/>
    <n v="19"/>
    <s v="Repeat"/>
    <x v="0"/>
    <x v="3052"/>
  </r>
  <r>
    <x v="341"/>
    <x v="2969"/>
    <x v="0"/>
    <x v="1200"/>
    <n v="35.76"/>
    <x v="7"/>
    <s v="Feb 2025"/>
    <n v="7"/>
    <s v="Repeat"/>
    <x v="0"/>
    <x v="3053"/>
  </r>
  <r>
    <x v="341"/>
    <x v="2970"/>
    <x v="0"/>
    <x v="1163"/>
    <n v="25.96"/>
    <x v="2"/>
    <s v="Feb 2025"/>
    <n v="7"/>
    <s v="Repeat"/>
    <x v="0"/>
    <x v="3054"/>
  </r>
  <r>
    <x v="341"/>
    <x v="2971"/>
    <x v="0"/>
    <x v="1163"/>
    <n v="35.76"/>
    <x v="4"/>
    <s v="Feb 2025"/>
    <n v="8"/>
    <s v="Repeat"/>
    <x v="0"/>
    <x v="3055"/>
  </r>
  <r>
    <x v="341"/>
    <x v="2972"/>
    <x v="0"/>
    <x v="1153"/>
    <n v="30.86"/>
    <x v="3"/>
    <s v="Feb 2025"/>
    <n v="9"/>
    <s v="Repeat"/>
    <x v="0"/>
    <x v="3056"/>
  </r>
  <r>
    <x v="341"/>
    <x v="2973"/>
    <x v="0"/>
    <x v="1188"/>
    <n v="25.96"/>
    <x v="2"/>
    <s v="Feb 2025"/>
    <n v="10"/>
    <s v="Repeat"/>
    <x v="0"/>
    <x v="3057"/>
  </r>
  <r>
    <x v="341"/>
    <x v="2974"/>
    <x v="0"/>
    <x v="1205"/>
    <n v="25.96"/>
    <x v="2"/>
    <s v="Feb 2025"/>
    <n v="12"/>
    <s v="Single"/>
    <x v="1"/>
    <x v="3058"/>
  </r>
  <r>
    <x v="341"/>
    <x v="2975"/>
    <x v="0"/>
    <x v="1206"/>
    <n v="25.96"/>
    <x v="2"/>
    <s v="Feb 2025"/>
    <n v="13"/>
    <s v="Repeat"/>
    <x v="0"/>
    <x v="3059"/>
  </r>
  <r>
    <x v="341"/>
    <x v="2976"/>
    <x v="0"/>
    <x v="1160"/>
    <n v="35.76"/>
    <x v="1"/>
    <s v="Feb 2025"/>
    <n v="13"/>
    <s v="Repeat"/>
    <x v="0"/>
    <x v="3060"/>
  </r>
  <r>
    <x v="341"/>
    <x v="2977"/>
    <x v="0"/>
    <x v="1164"/>
    <n v="35.76"/>
    <x v="1"/>
    <s v="Feb 2025"/>
    <n v="15"/>
    <s v="Repeat"/>
    <x v="0"/>
    <x v="3061"/>
  </r>
  <r>
    <x v="341"/>
    <x v="2978"/>
    <x v="0"/>
    <x v="1191"/>
    <n v="35.76"/>
    <x v="0"/>
    <s v="Feb 2025"/>
    <n v="15"/>
    <s v="Repeat"/>
    <x v="0"/>
    <x v="3062"/>
  </r>
  <r>
    <x v="341"/>
    <x v="2979"/>
    <x v="0"/>
    <x v="1165"/>
    <n v="35.76"/>
    <x v="1"/>
    <s v="Feb 2025"/>
    <n v="15"/>
    <s v="Repeat"/>
    <x v="0"/>
    <x v="3063"/>
  </r>
  <r>
    <x v="341"/>
    <x v="2980"/>
    <x v="0"/>
    <x v="1160"/>
    <n v="25.96"/>
    <x v="2"/>
    <s v="Feb 2025"/>
    <n v="16"/>
    <s v="Repeat"/>
    <x v="0"/>
    <x v="3064"/>
  </r>
  <r>
    <x v="341"/>
    <x v="2981"/>
    <x v="0"/>
    <x v="1160"/>
    <n v="25.96"/>
    <x v="2"/>
    <s v="Feb 2025"/>
    <n v="16"/>
    <s v="Repeat"/>
    <x v="0"/>
    <x v="3065"/>
  </r>
  <r>
    <x v="341"/>
    <x v="1440"/>
    <x v="0"/>
    <x v="1200"/>
    <n v="35.76"/>
    <x v="7"/>
    <s v="Feb 2025"/>
    <n v="17"/>
    <s v="Repeat"/>
    <x v="0"/>
    <x v="3066"/>
  </r>
  <r>
    <x v="341"/>
    <x v="2982"/>
    <x v="0"/>
    <x v="1110"/>
    <n v="25.96"/>
    <x v="2"/>
    <s v="Feb 2025"/>
    <n v="17"/>
    <s v="Repeat"/>
    <x v="0"/>
    <x v="3067"/>
  </r>
  <r>
    <x v="341"/>
    <x v="2983"/>
    <x v="0"/>
    <x v="507"/>
    <n v="35.76"/>
    <x v="0"/>
    <s v="Feb 2025"/>
    <n v="20"/>
    <s v="Repeat"/>
    <x v="0"/>
    <x v="3068"/>
  </r>
  <r>
    <x v="341"/>
    <x v="2902"/>
    <x v="0"/>
    <x v="1178"/>
    <n v="35.76"/>
    <x v="4"/>
    <s v="Feb 2025"/>
    <n v="20"/>
    <s v="Repeat"/>
    <x v="0"/>
    <x v="3069"/>
  </r>
  <r>
    <x v="341"/>
    <x v="2984"/>
    <x v="0"/>
    <x v="1158"/>
    <n v="35.76"/>
    <x v="7"/>
    <s v="Feb 2025"/>
    <n v="21"/>
    <s v="Repeat"/>
    <x v="0"/>
    <x v="3070"/>
  </r>
  <r>
    <x v="342"/>
    <x v="2985"/>
    <x v="0"/>
    <x v="1153"/>
    <n v="30.86"/>
    <x v="3"/>
    <s v="Feb 2025"/>
    <n v="7"/>
    <s v="Repeat"/>
    <x v="0"/>
    <x v="3071"/>
  </r>
  <r>
    <x v="342"/>
    <x v="2986"/>
    <x v="0"/>
    <x v="1152"/>
    <n v="25.96"/>
    <x v="2"/>
    <s v="Feb 2025"/>
    <n v="8"/>
    <s v="Repeat"/>
    <x v="0"/>
    <x v="3072"/>
  </r>
  <r>
    <x v="342"/>
    <x v="2987"/>
    <x v="0"/>
    <x v="1207"/>
    <n v="21.06"/>
    <x v="6"/>
    <s v="Feb 2025"/>
    <n v="9"/>
    <s v="Repeat"/>
    <x v="0"/>
    <x v="3073"/>
  </r>
  <r>
    <x v="342"/>
    <x v="2988"/>
    <x v="0"/>
    <x v="1168"/>
    <n v="35.76"/>
    <x v="4"/>
    <s v="Feb 2025"/>
    <n v="9"/>
    <s v="Repeat"/>
    <x v="0"/>
    <x v="3074"/>
  </r>
  <r>
    <x v="342"/>
    <x v="2989"/>
    <x v="0"/>
    <x v="1156"/>
    <n v="30.86"/>
    <x v="3"/>
    <s v="Feb 2025"/>
    <n v="10"/>
    <s v="Repeat"/>
    <x v="0"/>
    <x v="3075"/>
  </r>
  <r>
    <x v="342"/>
    <x v="248"/>
    <x v="0"/>
    <x v="1157"/>
    <n v="30.86"/>
    <x v="3"/>
    <s v="Feb 2025"/>
    <n v="10"/>
    <s v="Repeat"/>
    <x v="0"/>
    <x v="3076"/>
  </r>
  <r>
    <x v="342"/>
    <x v="2990"/>
    <x v="0"/>
    <x v="1163"/>
    <n v="25.96"/>
    <x v="2"/>
    <s v="Feb 2025"/>
    <n v="16"/>
    <s v="Repeat"/>
    <x v="0"/>
    <x v="3077"/>
  </r>
  <r>
    <x v="342"/>
    <x v="1781"/>
    <x v="0"/>
    <x v="1163"/>
    <n v="25.96"/>
    <x v="2"/>
    <s v="Feb 2025"/>
    <n v="16"/>
    <s v="Repeat"/>
    <x v="0"/>
    <x v="3078"/>
  </r>
  <r>
    <x v="342"/>
    <x v="2991"/>
    <x v="0"/>
    <x v="1178"/>
    <n v="30.86"/>
    <x v="3"/>
    <s v="Feb 2025"/>
    <n v="17"/>
    <s v="Repeat"/>
    <x v="0"/>
    <x v="3079"/>
  </r>
  <r>
    <x v="342"/>
    <x v="2992"/>
    <x v="0"/>
    <x v="1179"/>
    <n v="30.86"/>
    <x v="3"/>
    <s v="Feb 2025"/>
    <n v="17"/>
    <s v="Repeat"/>
    <x v="0"/>
    <x v="3080"/>
  </r>
  <r>
    <x v="342"/>
    <x v="2993"/>
    <x v="0"/>
    <x v="1208"/>
    <n v="35.76"/>
    <x v="0"/>
    <s v="Feb 2025"/>
    <n v="18"/>
    <s v="Repeat"/>
    <x v="0"/>
    <x v="3081"/>
  </r>
  <r>
    <x v="342"/>
    <x v="2994"/>
    <x v="0"/>
    <x v="46"/>
    <n v="35.76"/>
    <x v="7"/>
    <s v="Feb 2025"/>
    <n v="18"/>
    <s v="Repeat"/>
    <x v="0"/>
    <x v="3082"/>
  </r>
  <r>
    <x v="342"/>
    <x v="2995"/>
    <x v="0"/>
    <x v="1209"/>
    <n v="35.76"/>
    <x v="0"/>
    <s v="Feb 2025"/>
    <n v="19"/>
    <s v="Repeat"/>
    <x v="0"/>
    <x v="3083"/>
  </r>
  <r>
    <x v="343"/>
    <x v="2996"/>
    <x v="0"/>
    <x v="1163"/>
    <n v="25.96"/>
    <x v="2"/>
    <s v="Feb 2025"/>
    <n v="11"/>
    <s v="Repeat"/>
    <x v="0"/>
    <x v="3084"/>
  </r>
  <r>
    <x v="343"/>
    <x v="2997"/>
    <x v="0"/>
    <x v="1210"/>
    <n v="35.76"/>
    <x v="1"/>
    <s v="Feb 2025"/>
    <n v="14"/>
    <s v="Repeat"/>
    <x v="0"/>
    <x v="3085"/>
  </r>
  <r>
    <x v="343"/>
    <x v="2998"/>
    <x v="0"/>
    <x v="1198"/>
    <n v="25.96"/>
    <x v="2"/>
    <s v="Feb 2025"/>
    <n v="14"/>
    <s v="Repeat"/>
    <x v="0"/>
    <x v="3086"/>
  </r>
  <r>
    <x v="343"/>
    <x v="2999"/>
    <x v="0"/>
    <x v="1198"/>
    <n v="21.06"/>
    <x v="6"/>
    <s v="Feb 2025"/>
    <n v="14"/>
    <s v="Repeat"/>
    <x v="0"/>
    <x v="3087"/>
  </r>
  <r>
    <x v="343"/>
    <x v="3000"/>
    <x v="0"/>
    <x v="1211"/>
    <n v="30.86"/>
    <x v="3"/>
    <s v="Feb 2025"/>
    <n v="14"/>
    <s v="Single"/>
    <x v="1"/>
    <x v="3088"/>
  </r>
  <r>
    <x v="343"/>
    <x v="3001"/>
    <x v="0"/>
    <x v="1200"/>
    <n v="35.76"/>
    <x v="7"/>
    <s v="Feb 2025"/>
    <n v="15"/>
    <s v="Repeat"/>
    <x v="0"/>
    <x v="3089"/>
  </r>
  <r>
    <x v="343"/>
    <x v="3002"/>
    <x v="0"/>
    <x v="507"/>
    <n v="35.76"/>
    <x v="7"/>
    <s v="Feb 2025"/>
    <n v="15"/>
    <s v="Repeat"/>
    <x v="0"/>
    <x v="3090"/>
  </r>
  <r>
    <x v="343"/>
    <x v="3003"/>
    <x v="0"/>
    <x v="507"/>
    <n v="35.76"/>
    <x v="0"/>
    <s v="Feb 2025"/>
    <n v="15"/>
    <s v="Repeat"/>
    <x v="0"/>
    <x v="3091"/>
  </r>
  <r>
    <x v="343"/>
    <x v="3004"/>
    <x v="0"/>
    <x v="1212"/>
    <n v="35.76"/>
    <x v="1"/>
    <s v="Feb 2025"/>
    <n v="15"/>
    <s v="Repeat"/>
    <x v="0"/>
    <x v="3092"/>
  </r>
  <r>
    <x v="343"/>
    <x v="3005"/>
    <x v="0"/>
    <x v="1212"/>
    <n v="35.76"/>
    <x v="7"/>
    <s v="Feb 2025"/>
    <n v="15"/>
    <s v="Repeat"/>
    <x v="0"/>
    <x v="3093"/>
  </r>
  <r>
    <x v="343"/>
    <x v="3006"/>
    <x v="0"/>
    <x v="1160"/>
    <n v="25.96"/>
    <x v="2"/>
    <s v="Feb 2025"/>
    <n v="17"/>
    <s v="Repeat"/>
    <x v="0"/>
    <x v="3094"/>
  </r>
  <r>
    <x v="343"/>
    <x v="3007"/>
    <x v="0"/>
    <x v="1160"/>
    <n v="35.76"/>
    <x v="4"/>
    <s v="Feb 2025"/>
    <n v="17"/>
    <s v="Repeat"/>
    <x v="0"/>
    <x v="3095"/>
  </r>
  <r>
    <x v="343"/>
    <x v="3008"/>
    <x v="0"/>
    <x v="1202"/>
    <n v="21.06"/>
    <x v="6"/>
    <s v="Feb 2025"/>
    <n v="17"/>
    <s v="Repeat"/>
    <x v="0"/>
    <x v="3096"/>
  </r>
  <r>
    <x v="343"/>
    <x v="3009"/>
    <x v="0"/>
    <x v="1213"/>
    <n v="30.86"/>
    <x v="3"/>
    <s v="Feb 2025"/>
    <n v="17"/>
    <s v="Single"/>
    <x v="1"/>
    <x v="3097"/>
  </r>
  <r>
    <x v="343"/>
    <x v="3010"/>
    <x v="0"/>
    <x v="1214"/>
    <n v="25.96"/>
    <x v="2"/>
    <s v="Feb 2025"/>
    <n v="21"/>
    <s v="Repeat"/>
    <x v="0"/>
    <x v="3098"/>
  </r>
  <r>
    <x v="344"/>
    <x v="3011"/>
    <x v="0"/>
    <x v="1200"/>
    <n v="35.76"/>
    <x v="7"/>
    <s v="Feb 2025"/>
    <n v="9"/>
    <s v="Repeat"/>
    <x v="0"/>
    <x v="3099"/>
  </r>
  <r>
    <x v="344"/>
    <x v="3012"/>
    <x v="0"/>
    <x v="1163"/>
    <n v="35.76"/>
    <x v="7"/>
    <s v="Feb 2025"/>
    <n v="12"/>
    <s v="Repeat"/>
    <x v="0"/>
    <x v="3100"/>
  </r>
  <r>
    <x v="344"/>
    <x v="3013"/>
    <x v="0"/>
    <x v="1163"/>
    <n v="25.96"/>
    <x v="2"/>
    <s v="Feb 2025"/>
    <n v="12"/>
    <s v="Repeat"/>
    <x v="0"/>
    <x v="3101"/>
  </r>
  <r>
    <x v="344"/>
    <x v="3014"/>
    <x v="0"/>
    <x v="878"/>
    <n v="30.86"/>
    <x v="3"/>
    <s v="Feb 2025"/>
    <n v="13"/>
    <s v="Repeat"/>
    <x v="0"/>
    <x v="3102"/>
  </r>
  <r>
    <x v="344"/>
    <x v="3015"/>
    <x v="0"/>
    <x v="1200"/>
    <n v="30.86"/>
    <x v="3"/>
    <s v="Feb 2025"/>
    <n v="13"/>
    <s v="Repeat"/>
    <x v="0"/>
    <x v="3103"/>
  </r>
  <r>
    <x v="344"/>
    <x v="3016"/>
    <x v="0"/>
    <x v="1184"/>
    <n v="35.76"/>
    <x v="7"/>
    <s v="Feb 2025"/>
    <n v="14"/>
    <s v="Repeat"/>
    <x v="0"/>
    <x v="3104"/>
  </r>
  <r>
    <x v="344"/>
    <x v="3017"/>
    <x v="0"/>
    <x v="1215"/>
    <n v="25.96"/>
    <x v="2"/>
    <s v="Feb 2025"/>
    <n v="14"/>
    <s v="Repeat"/>
    <x v="0"/>
    <x v="3105"/>
  </r>
  <r>
    <x v="344"/>
    <x v="3018"/>
    <x v="0"/>
    <x v="1201"/>
    <n v="35.76"/>
    <x v="1"/>
    <s v="Feb 2025"/>
    <n v="15"/>
    <s v="Repeat"/>
    <x v="0"/>
    <x v="3106"/>
  </r>
  <r>
    <x v="344"/>
    <x v="3019"/>
    <x v="0"/>
    <x v="1179"/>
    <n v="35.76"/>
    <x v="1"/>
    <s v="Feb 2025"/>
    <n v="15"/>
    <s v="Repeat"/>
    <x v="0"/>
    <x v="3107"/>
  </r>
  <r>
    <x v="345"/>
    <x v="3020"/>
    <x v="0"/>
    <x v="1216"/>
    <n v="25.96"/>
    <x v="2"/>
    <s v="Feb 2025"/>
    <n v="10"/>
    <s v="Repeat"/>
    <x v="0"/>
    <x v="3108"/>
  </r>
  <r>
    <x v="345"/>
    <x v="3021"/>
    <x v="0"/>
    <x v="1169"/>
    <n v="25.96"/>
    <x v="2"/>
    <s v="Feb 2025"/>
    <n v="10"/>
    <s v="Repeat"/>
    <x v="0"/>
    <x v="3109"/>
  </r>
  <r>
    <x v="345"/>
    <x v="1700"/>
    <x v="0"/>
    <x v="1169"/>
    <n v="30.86"/>
    <x v="3"/>
    <s v="Feb 2025"/>
    <n v="10"/>
    <s v="Repeat"/>
    <x v="0"/>
    <x v="3110"/>
  </r>
  <r>
    <x v="345"/>
    <x v="250"/>
    <x v="0"/>
    <x v="1156"/>
    <n v="35.76"/>
    <x v="1"/>
    <s v="Feb 2025"/>
    <n v="11"/>
    <s v="Repeat"/>
    <x v="0"/>
    <x v="3111"/>
  </r>
  <r>
    <x v="345"/>
    <x v="467"/>
    <x v="0"/>
    <x v="1160"/>
    <n v="25.96"/>
    <x v="2"/>
    <s v="Feb 2025"/>
    <n v="11"/>
    <s v="Repeat"/>
    <x v="0"/>
    <x v="3112"/>
  </r>
  <r>
    <x v="345"/>
    <x v="346"/>
    <x v="0"/>
    <x v="1196"/>
    <n v="35.76"/>
    <x v="1"/>
    <s v="Feb 2025"/>
    <n v="14"/>
    <s v="Repeat"/>
    <x v="0"/>
    <x v="3113"/>
  </r>
  <r>
    <x v="345"/>
    <x v="3022"/>
    <x v="0"/>
    <x v="1196"/>
    <n v="35.76"/>
    <x v="0"/>
    <s v="Feb 2025"/>
    <n v="14"/>
    <s v="Repeat"/>
    <x v="0"/>
    <x v="3114"/>
  </r>
  <r>
    <x v="345"/>
    <x v="3023"/>
    <x v="0"/>
    <x v="1163"/>
    <n v="35.76"/>
    <x v="1"/>
    <s v="Feb 2025"/>
    <n v="17"/>
    <s v="Repeat"/>
    <x v="0"/>
    <x v="3115"/>
  </r>
  <r>
    <x v="345"/>
    <x v="3024"/>
    <x v="0"/>
    <x v="1163"/>
    <n v="30.86"/>
    <x v="3"/>
    <s v="Feb 2025"/>
    <n v="17"/>
    <s v="Repeat"/>
    <x v="0"/>
    <x v="3116"/>
  </r>
  <r>
    <x v="345"/>
    <x v="3025"/>
    <x v="0"/>
    <x v="1217"/>
    <n v="30.86"/>
    <x v="3"/>
    <s v="Feb 2025"/>
    <n v="17"/>
    <s v="Repeat"/>
    <x v="0"/>
    <x v="3117"/>
  </r>
  <r>
    <x v="346"/>
    <x v="3026"/>
    <x v="0"/>
    <x v="1200"/>
    <n v="35.76"/>
    <x v="7"/>
    <s v="Feb 2025"/>
    <n v="6"/>
    <s v="Repeat"/>
    <x v="0"/>
    <x v="3118"/>
  </r>
  <r>
    <x v="346"/>
    <x v="3027"/>
    <x v="0"/>
    <x v="1163"/>
    <n v="25.96"/>
    <x v="2"/>
    <s v="Feb 2025"/>
    <n v="8"/>
    <s v="Repeat"/>
    <x v="0"/>
    <x v="3119"/>
  </r>
  <r>
    <x v="346"/>
    <x v="3028"/>
    <x v="0"/>
    <x v="1160"/>
    <n v="25.96"/>
    <x v="2"/>
    <s v="Feb 2025"/>
    <n v="9"/>
    <s v="Repeat"/>
    <x v="0"/>
    <x v="3120"/>
  </r>
  <r>
    <x v="346"/>
    <x v="3029"/>
    <x v="0"/>
    <x v="1218"/>
    <n v="30.86"/>
    <x v="3"/>
    <s v="Feb 2025"/>
    <n v="9"/>
    <s v="Repeat"/>
    <x v="0"/>
    <x v="3121"/>
  </r>
  <r>
    <x v="346"/>
    <x v="3030"/>
    <x v="0"/>
    <x v="1210"/>
    <n v="35.76"/>
    <x v="1"/>
    <s v="Feb 2025"/>
    <n v="9"/>
    <s v="Repeat"/>
    <x v="0"/>
    <x v="3122"/>
  </r>
  <r>
    <x v="346"/>
    <x v="3031"/>
    <x v="0"/>
    <x v="1219"/>
    <n v="30.86"/>
    <x v="3"/>
    <s v="Feb 2025"/>
    <n v="10"/>
    <s v="Repeat"/>
    <x v="0"/>
    <x v="3123"/>
  </r>
  <r>
    <x v="346"/>
    <x v="3032"/>
    <x v="0"/>
    <x v="1160"/>
    <n v="25.96"/>
    <x v="2"/>
    <s v="Feb 2025"/>
    <n v="10"/>
    <s v="Repeat"/>
    <x v="0"/>
    <x v="3124"/>
  </r>
  <r>
    <x v="346"/>
    <x v="3033"/>
    <x v="0"/>
    <x v="1203"/>
    <n v="30.86"/>
    <x v="3"/>
    <s v="Feb 2025"/>
    <n v="11"/>
    <s v="Repeat"/>
    <x v="0"/>
    <x v="3125"/>
  </r>
  <r>
    <x v="346"/>
    <x v="3034"/>
    <x v="0"/>
    <x v="1202"/>
    <n v="21.06"/>
    <x v="6"/>
    <s v="Feb 2025"/>
    <n v="11"/>
    <s v="Repeat"/>
    <x v="0"/>
    <x v="3126"/>
  </r>
  <r>
    <x v="346"/>
    <x v="3035"/>
    <x v="0"/>
    <x v="1220"/>
    <n v="35.76"/>
    <x v="7"/>
    <s v="Feb 2025"/>
    <n v="12"/>
    <s v="Repeat"/>
    <x v="0"/>
    <x v="3127"/>
  </r>
  <r>
    <x v="346"/>
    <x v="3036"/>
    <x v="0"/>
    <x v="1221"/>
    <n v="35.76"/>
    <x v="0"/>
    <s v="Feb 2025"/>
    <n v="14"/>
    <s v="Single"/>
    <x v="1"/>
    <x v="3128"/>
  </r>
  <r>
    <x v="346"/>
    <x v="3037"/>
    <x v="0"/>
    <x v="1194"/>
    <n v="30.86"/>
    <x v="3"/>
    <s v="Feb 2025"/>
    <n v="15"/>
    <s v="Repeat"/>
    <x v="0"/>
    <x v="3129"/>
  </r>
  <r>
    <x v="346"/>
    <x v="3038"/>
    <x v="0"/>
    <x v="1191"/>
    <n v="35.76"/>
    <x v="0"/>
    <s v="Feb 2025"/>
    <n v="15"/>
    <s v="Repeat"/>
    <x v="0"/>
    <x v="3130"/>
  </r>
  <r>
    <x v="346"/>
    <x v="3039"/>
    <x v="0"/>
    <x v="1218"/>
    <n v="21.06"/>
    <x v="6"/>
    <s v="Feb 2025"/>
    <n v="16"/>
    <s v="Repeat"/>
    <x v="0"/>
    <x v="3131"/>
  </r>
  <r>
    <x v="346"/>
    <x v="3040"/>
    <x v="0"/>
    <x v="1170"/>
    <n v="25.96"/>
    <x v="2"/>
    <s v="Feb 2025"/>
    <n v="16"/>
    <s v="Repeat"/>
    <x v="0"/>
    <x v="3132"/>
  </r>
  <r>
    <x v="346"/>
    <x v="3041"/>
    <x v="0"/>
    <x v="1222"/>
    <n v="30.86"/>
    <x v="3"/>
    <s v="Feb 2025"/>
    <n v="17"/>
    <s v="Repeat"/>
    <x v="0"/>
    <x v="3133"/>
  </r>
  <r>
    <x v="346"/>
    <x v="3042"/>
    <x v="0"/>
    <x v="1206"/>
    <n v="25.96"/>
    <x v="2"/>
    <s v="Feb 2025"/>
    <n v="18"/>
    <s v="Repeat"/>
    <x v="0"/>
    <x v="3134"/>
  </r>
  <r>
    <x v="346"/>
    <x v="3043"/>
    <x v="0"/>
    <x v="1223"/>
    <n v="25.96"/>
    <x v="2"/>
    <s v="Feb 2025"/>
    <n v="19"/>
    <s v="Repeat"/>
    <x v="0"/>
    <x v="3135"/>
  </r>
  <r>
    <x v="346"/>
    <x v="3044"/>
    <x v="0"/>
    <x v="1223"/>
    <n v="25.96"/>
    <x v="2"/>
    <s v="Feb 2025"/>
    <n v="19"/>
    <s v="Repeat"/>
    <x v="0"/>
    <x v="3136"/>
  </r>
  <r>
    <x v="346"/>
    <x v="3045"/>
    <x v="0"/>
    <x v="1192"/>
    <n v="35.76"/>
    <x v="0"/>
    <s v="Feb 2025"/>
    <n v="20"/>
    <s v="Repeat"/>
    <x v="0"/>
    <x v="3137"/>
  </r>
  <r>
    <x v="347"/>
    <x v="3046"/>
    <x v="0"/>
    <x v="1163"/>
    <n v="25.96"/>
    <x v="2"/>
    <s v="Feb 2025"/>
    <n v="8"/>
    <s v="Repeat"/>
    <x v="0"/>
    <x v="3138"/>
  </r>
  <r>
    <x v="347"/>
    <x v="3047"/>
    <x v="0"/>
    <x v="1163"/>
    <n v="25.96"/>
    <x v="2"/>
    <s v="Feb 2025"/>
    <n v="8"/>
    <s v="Repeat"/>
    <x v="0"/>
    <x v="3139"/>
  </r>
  <r>
    <x v="347"/>
    <x v="3048"/>
    <x v="0"/>
    <x v="1110"/>
    <n v="25.96"/>
    <x v="2"/>
    <s v="Feb 2025"/>
    <n v="11"/>
    <s v="Repeat"/>
    <x v="0"/>
    <x v="3140"/>
  </r>
  <r>
    <x v="347"/>
    <x v="3049"/>
    <x v="0"/>
    <x v="1198"/>
    <n v="25.96"/>
    <x v="2"/>
    <s v="Feb 2025"/>
    <n v="11"/>
    <s v="Repeat"/>
    <x v="0"/>
    <x v="3141"/>
  </r>
  <r>
    <x v="347"/>
    <x v="3050"/>
    <x v="0"/>
    <x v="1203"/>
    <n v="30.86"/>
    <x v="3"/>
    <s v="Feb 2025"/>
    <n v="11"/>
    <s v="Repeat"/>
    <x v="0"/>
    <x v="3142"/>
  </r>
  <r>
    <x v="347"/>
    <x v="3051"/>
    <x v="0"/>
    <x v="1218"/>
    <n v="30.86"/>
    <x v="3"/>
    <s v="Feb 2025"/>
    <n v="12"/>
    <s v="Repeat"/>
    <x v="0"/>
    <x v="3143"/>
  </r>
  <r>
    <x v="347"/>
    <x v="3052"/>
    <x v="0"/>
    <x v="1224"/>
    <n v="35.76"/>
    <x v="4"/>
    <s v="Feb 2025"/>
    <n v="13"/>
    <s v="Single"/>
    <x v="1"/>
    <x v="3144"/>
  </r>
  <r>
    <x v="347"/>
    <x v="3053"/>
    <x v="0"/>
    <x v="1215"/>
    <n v="25.96"/>
    <x v="2"/>
    <s v="Feb 2025"/>
    <n v="13"/>
    <s v="Repeat"/>
    <x v="0"/>
    <x v="3145"/>
  </r>
  <r>
    <x v="347"/>
    <x v="3054"/>
    <x v="0"/>
    <x v="1222"/>
    <n v="30.86"/>
    <x v="3"/>
    <s v="Feb 2025"/>
    <n v="13"/>
    <s v="Repeat"/>
    <x v="0"/>
    <x v="3146"/>
  </r>
  <r>
    <x v="347"/>
    <x v="3055"/>
    <x v="0"/>
    <x v="1210"/>
    <n v="35.76"/>
    <x v="1"/>
    <s v="Feb 2025"/>
    <n v="17"/>
    <s v="Repeat"/>
    <x v="0"/>
    <x v="3147"/>
  </r>
  <r>
    <x v="347"/>
    <x v="3056"/>
    <x v="0"/>
    <x v="1225"/>
    <n v="30.86"/>
    <x v="3"/>
    <s v="Feb 2025"/>
    <n v="17"/>
    <s v="Repeat"/>
    <x v="0"/>
    <x v="3148"/>
  </r>
  <r>
    <x v="347"/>
    <x v="3057"/>
    <x v="0"/>
    <x v="1225"/>
    <n v="21.06"/>
    <x v="6"/>
    <s v="Feb 2025"/>
    <n v="17"/>
    <s v="Repeat"/>
    <x v="0"/>
    <x v="3149"/>
  </r>
  <r>
    <x v="347"/>
    <x v="3058"/>
    <x v="0"/>
    <x v="1225"/>
    <n v="35.76"/>
    <x v="4"/>
    <s v="Feb 2025"/>
    <n v="17"/>
    <s v="Repeat"/>
    <x v="0"/>
    <x v="3150"/>
  </r>
  <r>
    <x v="347"/>
    <x v="3059"/>
    <x v="0"/>
    <x v="1225"/>
    <n v="35.76"/>
    <x v="4"/>
    <s v="Feb 2025"/>
    <n v="17"/>
    <s v="Repeat"/>
    <x v="0"/>
    <x v="3151"/>
  </r>
  <r>
    <x v="347"/>
    <x v="3060"/>
    <x v="0"/>
    <x v="1226"/>
    <n v="35.76"/>
    <x v="4"/>
    <s v="Feb 2025"/>
    <n v="19"/>
    <s v="Single"/>
    <x v="1"/>
    <x v="3152"/>
  </r>
  <r>
    <x v="347"/>
    <x v="3061"/>
    <x v="0"/>
    <x v="1185"/>
    <n v="35.76"/>
    <x v="4"/>
    <s v="Feb 2025"/>
    <n v="20"/>
    <s v="Repeat"/>
    <x v="0"/>
    <x v="3153"/>
  </r>
  <r>
    <x v="347"/>
    <x v="3062"/>
    <x v="0"/>
    <x v="1212"/>
    <n v="35.76"/>
    <x v="1"/>
    <s v="Feb 2025"/>
    <n v="20"/>
    <s v="Repeat"/>
    <x v="0"/>
    <x v="3154"/>
  </r>
  <r>
    <x v="347"/>
    <x v="3063"/>
    <x v="0"/>
    <x v="1222"/>
    <n v="30.86"/>
    <x v="3"/>
    <s v="Feb 2025"/>
    <n v="21"/>
    <s v="Repeat"/>
    <x v="0"/>
    <x v="3155"/>
  </r>
  <r>
    <x v="348"/>
    <x v="3064"/>
    <x v="0"/>
    <x v="1161"/>
    <n v="35.76"/>
    <x v="7"/>
    <s v="Feb 2025"/>
    <n v="8"/>
    <s v="Repeat"/>
    <x v="0"/>
    <x v="3156"/>
  </r>
  <r>
    <x v="348"/>
    <x v="3065"/>
    <x v="0"/>
    <x v="1152"/>
    <n v="25.96"/>
    <x v="2"/>
    <s v="Feb 2025"/>
    <n v="8"/>
    <s v="Repeat"/>
    <x v="0"/>
    <x v="3157"/>
  </r>
  <r>
    <x v="348"/>
    <x v="3066"/>
    <x v="0"/>
    <x v="1170"/>
    <n v="25.96"/>
    <x v="2"/>
    <s v="Feb 2025"/>
    <n v="8"/>
    <s v="Repeat"/>
    <x v="0"/>
    <x v="3158"/>
  </r>
  <r>
    <x v="348"/>
    <x v="3067"/>
    <x v="0"/>
    <x v="1220"/>
    <n v="35.76"/>
    <x v="7"/>
    <s v="Feb 2025"/>
    <n v="9"/>
    <s v="Repeat"/>
    <x v="0"/>
    <x v="3159"/>
  </r>
  <r>
    <x v="348"/>
    <x v="3068"/>
    <x v="0"/>
    <x v="1167"/>
    <n v="25.96"/>
    <x v="2"/>
    <s v="Feb 2025"/>
    <n v="10"/>
    <s v="Repeat"/>
    <x v="0"/>
    <x v="3160"/>
  </r>
  <r>
    <x v="348"/>
    <x v="3069"/>
    <x v="0"/>
    <x v="1227"/>
    <n v="35.76"/>
    <x v="1"/>
    <s v="Feb 2025"/>
    <n v="10"/>
    <s v="Repeat"/>
    <x v="0"/>
    <x v="3161"/>
  </r>
  <r>
    <x v="348"/>
    <x v="3070"/>
    <x v="0"/>
    <x v="1207"/>
    <n v="30.86"/>
    <x v="3"/>
    <s v="Feb 2025"/>
    <n v="10"/>
    <s v="Repeat"/>
    <x v="0"/>
    <x v="3162"/>
  </r>
  <r>
    <x v="348"/>
    <x v="3071"/>
    <x v="0"/>
    <x v="1198"/>
    <n v="25.96"/>
    <x v="2"/>
    <s v="Feb 2025"/>
    <n v="12"/>
    <s v="Repeat"/>
    <x v="0"/>
    <x v="3163"/>
  </r>
  <r>
    <x v="348"/>
    <x v="3072"/>
    <x v="0"/>
    <x v="1168"/>
    <n v="35.76"/>
    <x v="4"/>
    <s v="Feb 2025"/>
    <n v="12"/>
    <s v="Repeat"/>
    <x v="0"/>
    <x v="3164"/>
  </r>
  <r>
    <x v="348"/>
    <x v="3073"/>
    <x v="0"/>
    <x v="1171"/>
    <n v="25.96"/>
    <x v="2"/>
    <s v="Feb 2025"/>
    <n v="13"/>
    <s v="Repeat"/>
    <x v="0"/>
    <x v="3165"/>
  </r>
  <r>
    <x v="348"/>
    <x v="3074"/>
    <x v="0"/>
    <x v="1158"/>
    <n v="35.76"/>
    <x v="7"/>
    <s v="Feb 2025"/>
    <n v="15"/>
    <s v="Repeat"/>
    <x v="0"/>
    <x v="3166"/>
  </r>
  <r>
    <x v="348"/>
    <x v="3075"/>
    <x v="0"/>
    <x v="1110"/>
    <n v="25.96"/>
    <x v="2"/>
    <s v="Feb 2025"/>
    <n v="17"/>
    <s v="Repeat"/>
    <x v="0"/>
    <x v="3167"/>
  </r>
  <r>
    <x v="348"/>
    <x v="3076"/>
    <x v="0"/>
    <x v="1158"/>
    <n v="35.76"/>
    <x v="7"/>
    <s v="Feb 2025"/>
    <n v="17"/>
    <s v="Repeat"/>
    <x v="0"/>
    <x v="3168"/>
  </r>
  <r>
    <x v="348"/>
    <x v="3077"/>
    <x v="0"/>
    <x v="1217"/>
    <n v="30.86"/>
    <x v="3"/>
    <s v="Feb 2025"/>
    <n v="17"/>
    <s v="Repeat"/>
    <x v="0"/>
    <x v="3169"/>
  </r>
  <r>
    <x v="348"/>
    <x v="3078"/>
    <x v="0"/>
    <x v="1228"/>
    <n v="35.76"/>
    <x v="7"/>
    <s v="Feb 2025"/>
    <n v="18"/>
    <s v="Single"/>
    <x v="1"/>
    <x v="3170"/>
  </r>
  <r>
    <x v="348"/>
    <x v="3079"/>
    <x v="0"/>
    <x v="1229"/>
    <n v="35.76"/>
    <x v="0"/>
    <s v="Feb 2025"/>
    <n v="19"/>
    <s v="Single"/>
    <x v="1"/>
    <x v="3171"/>
  </r>
  <r>
    <x v="348"/>
    <x v="3080"/>
    <x v="0"/>
    <x v="1179"/>
    <n v="35.76"/>
    <x v="4"/>
    <s v="Feb 2025"/>
    <n v="19"/>
    <s v="Repeat"/>
    <x v="0"/>
    <x v="3172"/>
  </r>
  <r>
    <x v="348"/>
    <x v="3081"/>
    <x v="0"/>
    <x v="1179"/>
    <n v="35.76"/>
    <x v="1"/>
    <s v="Feb 2025"/>
    <n v="19"/>
    <s v="Repeat"/>
    <x v="0"/>
    <x v="3173"/>
  </r>
  <r>
    <x v="348"/>
    <x v="3082"/>
    <x v="0"/>
    <x v="1191"/>
    <n v="35.76"/>
    <x v="0"/>
    <s v="Feb 2025"/>
    <n v="19"/>
    <s v="Repeat"/>
    <x v="0"/>
    <x v="3174"/>
  </r>
  <r>
    <x v="348"/>
    <x v="3083"/>
    <x v="0"/>
    <x v="1182"/>
    <n v="35.76"/>
    <x v="4"/>
    <s v="Feb 2025"/>
    <n v="20"/>
    <s v="Repeat"/>
    <x v="0"/>
    <x v="3175"/>
  </r>
  <r>
    <x v="349"/>
    <x v="3084"/>
    <x v="0"/>
    <x v="1161"/>
    <n v="35.76"/>
    <x v="7"/>
    <s v="Feb 2025"/>
    <n v="7"/>
    <s v="Repeat"/>
    <x v="0"/>
    <x v="3176"/>
  </r>
  <r>
    <x v="349"/>
    <x v="3085"/>
    <x v="0"/>
    <x v="1167"/>
    <n v="25.96"/>
    <x v="2"/>
    <s v="Feb 2025"/>
    <n v="9"/>
    <s v="Repeat"/>
    <x v="0"/>
    <x v="3177"/>
  </r>
  <r>
    <x v="349"/>
    <x v="3086"/>
    <x v="0"/>
    <x v="1163"/>
    <n v="35.76"/>
    <x v="7"/>
    <s v="Feb 2025"/>
    <n v="10"/>
    <s v="Repeat"/>
    <x v="0"/>
    <x v="3178"/>
  </r>
  <r>
    <x v="349"/>
    <x v="3087"/>
    <x v="0"/>
    <x v="1163"/>
    <n v="25.96"/>
    <x v="2"/>
    <s v="Feb 2025"/>
    <n v="10"/>
    <s v="Repeat"/>
    <x v="0"/>
    <x v="3179"/>
  </r>
  <r>
    <x v="349"/>
    <x v="3088"/>
    <x v="0"/>
    <x v="1167"/>
    <n v="25.96"/>
    <x v="2"/>
    <s v="Feb 2025"/>
    <n v="10"/>
    <s v="Repeat"/>
    <x v="0"/>
    <x v="3180"/>
  </r>
  <r>
    <x v="349"/>
    <x v="3089"/>
    <x v="0"/>
    <x v="1198"/>
    <n v="25.96"/>
    <x v="2"/>
    <s v="Feb 2025"/>
    <n v="10"/>
    <s v="Repeat"/>
    <x v="0"/>
    <x v="3181"/>
  </r>
  <r>
    <x v="349"/>
    <x v="3014"/>
    <x v="0"/>
    <x v="1203"/>
    <n v="30.86"/>
    <x v="3"/>
    <s v="Feb 2025"/>
    <n v="13"/>
    <s v="Repeat"/>
    <x v="0"/>
    <x v="3182"/>
  </r>
  <r>
    <x v="349"/>
    <x v="3090"/>
    <x v="0"/>
    <x v="1196"/>
    <n v="35.76"/>
    <x v="0"/>
    <s v="Feb 2025"/>
    <n v="14"/>
    <s v="Repeat"/>
    <x v="0"/>
    <x v="3183"/>
  </r>
  <r>
    <x v="349"/>
    <x v="3091"/>
    <x v="0"/>
    <x v="1163"/>
    <n v="25.96"/>
    <x v="2"/>
    <s v="Feb 2025"/>
    <n v="14"/>
    <s v="Repeat"/>
    <x v="0"/>
    <x v="3184"/>
  </r>
  <r>
    <x v="349"/>
    <x v="3092"/>
    <x v="0"/>
    <x v="1163"/>
    <n v="25.96"/>
    <x v="2"/>
    <s v="Feb 2025"/>
    <n v="14"/>
    <s v="Repeat"/>
    <x v="0"/>
    <x v="3185"/>
  </r>
  <r>
    <x v="349"/>
    <x v="3093"/>
    <x v="0"/>
    <x v="1230"/>
    <n v="21.06"/>
    <x v="6"/>
    <s v="Feb 2025"/>
    <n v="15"/>
    <s v="Single"/>
    <x v="1"/>
    <x v="3186"/>
  </r>
  <r>
    <x v="349"/>
    <x v="3094"/>
    <x v="0"/>
    <x v="1156"/>
    <n v="35.76"/>
    <x v="7"/>
    <s v="Feb 2025"/>
    <n v="16"/>
    <s v="Repeat"/>
    <x v="0"/>
    <x v="3187"/>
  </r>
  <r>
    <x v="349"/>
    <x v="3095"/>
    <x v="0"/>
    <x v="1231"/>
    <n v="35.76"/>
    <x v="7"/>
    <s v="Feb 2025"/>
    <n v="16"/>
    <s v="Repeat"/>
    <x v="0"/>
    <x v="3188"/>
  </r>
  <r>
    <x v="349"/>
    <x v="3096"/>
    <x v="0"/>
    <x v="1231"/>
    <n v="35.76"/>
    <x v="1"/>
    <s v="Feb 2025"/>
    <n v="17"/>
    <s v="Repeat"/>
    <x v="0"/>
    <x v="3189"/>
  </r>
  <r>
    <x v="349"/>
    <x v="3097"/>
    <x v="0"/>
    <x v="1163"/>
    <n v="25.96"/>
    <x v="2"/>
    <s v="Feb 2025"/>
    <n v="17"/>
    <s v="Repeat"/>
    <x v="0"/>
    <x v="3190"/>
  </r>
  <r>
    <x v="349"/>
    <x v="3098"/>
    <x v="0"/>
    <x v="1232"/>
    <n v="25.96"/>
    <x v="2"/>
    <s v="Feb 2025"/>
    <n v="18"/>
    <s v="Repeat"/>
    <x v="0"/>
    <x v="3191"/>
  </r>
  <r>
    <x v="349"/>
    <x v="3099"/>
    <x v="0"/>
    <x v="1233"/>
    <n v="35.76"/>
    <x v="1"/>
    <s v="Feb 2025"/>
    <n v="19"/>
    <s v="Repeat"/>
    <x v="0"/>
    <x v="3192"/>
  </r>
  <r>
    <x v="349"/>
    <x v="2624"/>
    <x v="0"/>
    <x v="1234"/>
    <n v="35.76"/>
    <x v="4"/>
    <s v="Feb 2025"/>
    <n v="19"/>
    <s v="Repeat"/>
    <x v="0"/>
    <x v="3193"/>
  </r>
  <r>
    <x v="349"/>
    <x v="3100"/>
    <x v="0"/>
    <x v="1169"/>
    <n v="35.76"/>
    <x v="0"/>
    <s v="Feb 2025"/>
    <n v="20"/>
    <s v="Repeat"/>
    <x v="0"/>
    <x v="3194"/>
  </r>
  <r>
    <x v="350"/>
    <x v="3101"/>
    <x v="0"/>
    <x v="1163"/>
    <n v="25.96"/>
    <x v="2"/>
    <s v="Feb 2025"/>
    <n v="6"/>
    <s v="Repeat"/>
    <x v="0"/>
    <x v="3195"/>
  </r>
  <r>
    <x v="350"/>
    <x v="3102"/>
    <x v="0"/>
    <x v="1235"/>
    <n v="35.76"/>
    <x v="0"/>
    <s v="Feb 2025"/>
    <n v="9"/>
    <s v="Single"/>
    <x v="1"/>
    <x v="3196"/>
  </r>
  <r>
    <x v="350"/>
    <x v="3103"/>
    <x v="0"/>
    <x v="1236"/>
    <n v="35.76"/>
    <x v="7"/>
    <s v="Feb 2025"/>
    <n v="9"/>
    <s v="Single"/>
    <x v="1"/>
    <x v="3197"/>
  </r>
  <r>
    <x v="350"/>
    <x v="3104"/>
    <x v="0"/>
    <x v="1237"/>
    <n v="21.06"/>
    <x v="6"/>
    <s v="Feb 2025"/>
    <n v="9"/>
    <s v="Repeat"/>
    <x v="0"/>
    <x v="3198"/>
  </r>
  <r>
    <x v="350"/>
    <x v="3105"/>
    <x v="0"/>
    <x v="1232"/>
    <n v="25.96"/>
    <x v="2"/>
    <s v="Feb 2025"/>
    <n v="10"/>
    <s v="Repeat"/>
    <x v="0"/>
    <x v="3199"/>
  </r>
  <r>
    <x v="350"/>
    <x v="3106"/>
    <x v="0"/>
    <x v="1163"/>
    <n v="30.86"/>
    <x v="3"/>
    <s v="Feb 2025"/>
    <n v="11"/>
    <s v="Repeat"/>
    <x v="0"/>
    <x v="3200"/>
  </r>
  <r>
    <x v="350"/>
    <x v="2743"/>
    <x v="0"/>
    <x v="1110"/>
    <n v="25.96"/>
    <x v="2"/>
    <s v="Feb 2025"/>
    <n v="12"/>
    <s v="Repeat"/>
    <x v="0"/>
    <x v="3201"/>
  </r>
  <r>
    <x v="350"/>
    <x v="3107"/>
    <x v="0"/>
    <x v="1238"/>
    <n v="25.96"/>
    <x v="2"/>
    <s v="Feb 2025"/>
    <n v="12"/>
    <s v="Single"/>
    <x v="1"/>
    <x v="3202"/>
  </r>
  <r>
    <x v="350"/>
    <x v="3108"/>
    <x v="0"/>
    <x v="1198"/>
    <n v="25.96"/>
    <x v="2"/>
    <s v="Feb 2025"/>
    <n v="12"/>
    <s v="Repeat"/>
    <x v="0"/>
    <x v="3203"/>
  </r>
  <r>
    <x v="350"/>
    <x v="3109"/>
    <x v="0"/>
    <x v="1167"/>
    <n v="25.96"/>
    <x v="2"/>
    <s v="Feb 2025"/>
    <n v="12"/>
    <s v="Repeat"/>
    <x v="0"/>
    <x v="3204"/>
  </r>
  <r>
    <x v="350"/>
    <x v="3110"/>
    <x v="0"/>
    <x v="1203"/>
    <n v="25.96"/>
    <x v="2"/>
    <s v="Feb 2025"/>
    <n v="13"/>
    <s v="Repeat"/>
    <x v="0"/>
    <x v="3205"/>
  </r>
  <r>
    <x v="350"/>
    <x v="1066"/>
    <x v="0"/>
    <x v="1203"/>
    <n v="25.96"/>
    <x v="2"/>
    <s v="Feb 2025"/>
    <n v="14"/>
    <s v="Repeat"/>
    <x v="0"/>
    <x v="3206"/>
  </r>
  <r>
    <x v="350"/>
    <x v="3111"/>
    <x v="0"/>
    <x v="1161"/>
    <n v="35.76"/>
    <x v="7"/>
    <s v="Feb 2025"/>
    <n v="15"/>
    <s v="Repeat"/>
    <x v="0"/>
    <x v="3207"/>
  </r>
  <r>
    <x v="350"/>
    <x v="3112"/>
    <x v="0"/>
    <x v="1163"/>
    <n v="25.96"/>
    <x v="2"/>
    <s v="Feb 2025"/>
    <n v="15"/>
    <s v="Repeat"/>
    <x v="0"/>
    <x v="3208"/>
  </r>
  <r>
    <x v="350"/>
    <x v="3113"/>
    <x v="0"/>
    <x v="1163"/>
    <n v="25.96"/>
    <x v="2"/>
    <s v="Feb 2025"/>
    <n v="15"/>
    <s v="Repeat"/>
    <x v="0"/>
    <x v="3209"/>
  </r>
  <r>
    <x v="350"/>
    <x v="3114"/>
    <x v="0"/>
    <x v="1203"/>
    <n v="25.96"/>
    <x v="2"/>
    <s v="Feb 2025"/>
    <n v="15"/>
    <s v="Repeat"/>
    <x v="0"/>
    <x v="3210"/>
  </r>
  <r>
    <x v="350"/>
    <x v="3115"/>
    <x v="0"/>
    <x v="1239"/>
    <n v="35.76"/>
    <x v="4"/>
    <s v="Feb 2025"/>
    <n v="16"/>
    <s v="Single"/>
    <x v="1"/>
    <x v="3211"/>
  </r>
  <r>
    <x v="350"/>
    <x v="3116"/>
    <x v="0"/>
    <x v="1191"/>
    <n v="35.76"/>
    <x v="0"/>
    <s v="Feb 2025"/>
    <n v="16"/>
    <s v="Repeat"/>
    <x v="0"/>
    <x v="3212"/>
  </r>
  <r>
    <x v="350"/>
    <x v="3117"/>
    <x v="0"/>
    <x v="1165"/>
    <n v="35.76"/>
    <x v="1"/>
    <s v="Feb 2025"/>
    <n v="16"/>
    <s v="Repeat"/>
    <x v="0"/>
    <x v="3213"/>
  </r>
  <r>
    <x v="350"/>
    <x v="803"/>
    <x v="0"/>
    <x v="1165"/>
    <n v="35.76"/>
    <x v="0"/>
    <s v="Feb 2025"/>
    <n v="16"/>
    <s v="Repeat"/>
    <x v="0"/>
    <x v="3214"/>
  </r>
  <r>
    <x v="350"/>
    <x v="3118"/>
    <x v="0"/>
    <x v="1178"/>
    <n v="35.76"/>
    <x v="4"/>
    <s v="Feb 2025"/>
    <n v="19"/>
    <s v="Repeat"/>
    <x v="0"/>
    <x v="3215"/>
  </r>
  <r>
    <x v="350"/>
    <x v="3119"/>
    <x v="0"/>
    <x v="1178"/>
    <n v="35.76"/>
    <x v="4"/>
    <s v="Feb 2025"/>
    <n v="19"/>
    <s v="Repeat"/>
    <x v="0"/>
    <x v="3216"/>
  </r>
  <r>
    <x v="350"/>
    <x v="3120"/>
    <x v="0"/>
    <x v="1184"/>
    <n v="35.76"/>
    <x v="7"/>
    <s v="Feb 2025"/>
    <n v="19"/>
    <s v="Repeat"/>
    <x v="0"/>
    <x v="3217"/>
  </r>
  <r>
    <x v="351"/>
    <x v="3121"/>
    <x v="0"/>
    <x v="1240"/>
    <n v="35.76"/>
    <x v="1"/>
    <s v="Feb 2025"/>
    <n v="10"/>
    <s v="Single"/>
    <x v="1"/>
    <x v="3218"/>
  </r>
  <r>
    <x v="351"/>
    <x v="3122"/>
    <x v="0"/>
    <x v="1241"/>
    <n v="25.96"/>
    <x v="2"/>
    <s v="Feb 2025"/>
    <n v="11"/>
    <s v="Single"/>
    <x v="1"/>
    <x v="3219"/>
  </r>
  <r>
    <x v="351"/>
    <x v="3123"/>
    <x v="0"/>
    <x v="1190"/>
    <n v="25.96"/>
    <x v="2"/>
    <s v="Feb 2025"/>
    <n v="11"/>
    <s v="Repeat"/>
    <x v="0"/>
    <x v="3220"/>
  </r>
  <r>
    <x v="351"/>
    <x v="3124"/>
    <x v="0"/>
    <x v="95"/>
    <n v="21.06"/>
    <x v="6"/>
    <s v="Feb 2025"/>
    <n v="12"/>
    <s v="Repeat"/>
    <x v="0"/>
    <x v="3221"/>
  </r>
  <r>
    <x v="351"/>
    <x v="3125"/>
    <x v="0"/>
    <x v="1162"/>
    <n v="30.86"/>
    <x v="3"/>
    <s v="Feb 2025"/>
    <n v="15"/>
    <s v="Repeat"/>
    <x v="0"/>
    <x v="3222"/>
  </r>
  <r>
    <x v="352"/>
    <x v="3126"/>
    <x v="0"/>
    <x v="1156"/>
    <n v="30.86"/>
    <x v="3"/>
    <s v="Feb 2025"/>
    <n v="10"/>
    <s v="Repeat"/>
    <x v="0"/>
    <x v="3223"/>
  </r>
  <r>
    <x v="352"/>
    <x v="3127"/>
    <x v="0"/>
    <x v="1163"/>
    <n v="30.86"/>
    <x v="3"/>
    <s v="Feb 2025"/>
    <n v="12"/>
    <s v="Repeat"/>
    <x v="0"/>
    <x v="3224"/>
  </r>
  <r>
    <x v="352"/>
    <x v="3128"/>
    <x v="0"/>
    <x v="1163"/>
    <n v="30.86"/>
    <x v="3"/>
    <s v="Feb 2025"/>
    <n v="12"/>
    <s v="Repeat"/>
    <x v="0"/>
    <x v="3225"/>
  </r>
  <r>
    <x v="352"/>
    <x v="3129"/>
    <x v="0"/>
    <x v="1242"/>
    <n v="35.76"/>
    <x v="7"/>
    <s v="Feb 2025"/>
    <n v="13"/>
    <s v="Single"/>
    <x v="1"/>
    <x v="3226"/>
  </r>
  <r>
    <x v="352"/>
    <x v="3130"/>
    <x v="0"/>
    <x v="1156"/>
    <n v="35.76"/>
    <x v="4"/>
    <s v="Feb 2025"/>
    <n v="14"/>
    <s v="Repeat"/>
    <x v="0"/>
    <x v="3227"/>
  </r>
  <r>
    <x v="352"/>
    <x v="3131"/>
    <x v="0"/>
    <x v="1243"/>
    <n v="25.96"/>
    <x v="2"/>
    <s v="Feb 2025"/>
    <n v="17"/>
    <s v="Single"/>
    <x v="1"/>
    <x v="3228"/>
  </r>
  <r>
    <x v="353"/>
    <x v="3132"/>
    <x v="0"/>
    <x v="1220"/>
    <n v="30.86"/>
    <x v="3"/>
    <s v="Feb 2025"/>
    <n v="9"/>
    <s v="Repeat"/>
    <x v="0"/>
    <x v="3229"/>
  </r>
  <r>
    <x v="353"/>
    <x v="3133"/>
    <x v="0"/>
    <x v="1244"/>
    <n v="35.76"/>
    <x v="0"/>
    <s v="Feb 2025"/>
    <n v="9"/>
    <s v="Repeat"/>
    <x v="0"/>
    <x v="3230"/>
  </r>
  <r>
    <x v="353"/>
    <x v="3134"/>
    <x v="0"/>
    <x v="1163"/>
    <n v="25.96"/>
    <x v="2"/>
    <s v="Feb 2025"/>
    <n v="10"/>
    <s v="Repeat"/>
    <x v="0"/>
    <x v="3231"/>
  </r>
  <r>
    <x v="353"/>
    <x v="3135"/>
    <x v="0"/>
    <x v="1245"/>
    <n v="30.86"/>
    <x v="3"/>
    <s v="Feb 2025"/>
    <n v="10"/>
    <s v="Repeat"/>
    <x v="0"/>
    <x v="3232"/>
  </r>
  <r>
    <x v="353"/>
    <x v="125"/>
    <x v="0"/>
    <x v="1245"/>
    <n v="30.86"/>
    <x v="3"/>
    <s v="Feb 2025"/>
    <n v="10"/>
    <s v="Repeat"/>
    <x v="0"/>
    <x v="3233"/>
  </r>
  <r>
    <x v="353"/>
    <x v="3136"/>
    <x v="0"/>
    <x v="1244"/>
    <n v="35.76"/>
    <x v="4"/>
    <s v="Feb 2025"/>
    <n v="10"/>
    <s v="Repeat"/>
    <x v="0"/>
    <x v="3234"/>
  </r>
  <r>
    <x v="353"/>
    <x v="3137"/>
    <x v="0"/>
    <x v="1191"/>
    <n v="35.76"/>
    <x v="0"/>
    <s v="Feb 2025"/>
    <n v="12"/>
    <s v="Repeat"/>
    <x v="0"/>
    <x v="3235"/>
  </r>
  <r>
    <x v="353"/>
    <x v="3138"/>
    <x v="0"/>
    <x v="1191"/>
    <n v="35.76"/>
    <x v="4"/>
    <s v="Feb 2025"/>
    <n v="13"/>
    <s v="Repeat"/>
    <x v="0"/>
    <x v="3236"/>
  </r>
  <r>
    <x v="353"/>
    <x v="3139"/>
    <x v="0"/>
    <x v="1163"/>
    <n v="30.86"/>
    <x v="3"/>
    <s v="Feb 2025"/>
    <n v="15"/>
    <s v="Repeat"/>
    <x v="0"/>
    <x v="3237"/>
  </r>
  <r>
    <x v="353"/>
    <x v="3140"/>
    <x v="0"/>
    <x v="1246"/>
    <n v="35.76"/>
    <x v="4"/>
    <s v="Feb 2025"/>
    <n v="16"/>
    <s v="Repeat"/>
    <x v="0"/>
    <x v="3238"/>
  </r>
  <r>
    <x v="353"/>
    <x v="3141"/>
    <x v="0"/>
    <x v="1184"/>
    <n v="35.76"/>
    <x v="7"/>
    <s v="Feb 2025"/>
    <n v="16"/>
    <s v="Repeat"/>
    <x v="0"/>
    <x v="3239"/>
  </r>
  <r>
    <x v="353"/>
    <x v="3142"/>
    <x v="0"/>
    <x v="1177"/>
    <n v="35.76"/>
    <x v="0"/>
    <s v="Feb 2025"/>
    <n v="16"/>
    <s v="Repeat"/>
    <x v="0"/>
    <x v="3240"/>
  </r>
  <r>
    <x v="353"/>
    <x v="3143"/>
    <x v="0"/>
    <x v="1170"/>
    <n v="25.96"/>
    <x v="2"/>
    <s v="Feb 2025"/>
    <n v="16"/>
    <s v="Repeat"/>
    <x v="0"/>
    <x v="3241"/>
  </r>
  <r>
    <x v="353"/>
    <x v="3144"/>
    <x v="0"/>
    <x v="1170"/>
    <n v="25.96"/>
    <x v="2"/>
    <s v="Feb 2025"/>
    <n v="17"/>
    <s v="Repeat"/>
    <x v="0"/>
    <x v="3242"/>
  </r>
  <r>
    <x v="353"/>
    <x v="3145"/>
    <x v="0"/>
    <x v="1222"/>
    <n v="30.86"/>
    <x v="3"/>
    <s v="Feb 2025"/>
    <n v="17"/>
    <s v="Repeat"/>
    <x v="0"/>
    <x v="3243"/>
  </r>
  <r>
    <x v="353"/>
    <x v="3146"/>
    <x v="0"/>
    <x v="1162"/>
    <n v="30.86"/>
    <x v="3"/>
    <s v="Feb 2025"/>
    <n v="18"/>
    <s v="Repeat"/>
    <x v="0"/>
    <x v="3244"/>
  </r>
  <r>
    <x v="353"/>
    <x v="2459"/>
    <x v="0"/>
    <x v="1191"/>
    <n v="35.76"/>
    <x v="0"/>
    <s v="Feb 2025"/>
    <n v="18"/>
    <s v="Repeat"/>
    <x v="0"/>
    <x v="3245"/>
  </r>
  <r>
    <x v="353"/>
    <x v="3147"/>
    <x v="0"/>
    <x v="878"/>
    <n v="30.86"/>
    <x v="3"/>
    <s v="Feb 2025"/>
    <n v="19"/>
    <s v="Repeat"/>
    <x v="0"/>
    <x v="3246"/>
  </r>
  <r>
    <x v="353"/>
    <x v="3148"/>
    <x v="0"/>
    <x v="1179"/>
    <n v="35.76"/>
    <x v="1"/>
    <s v="Feb 2025"/>
    <n v="19"/>
    <s v="Repeat"/>
    <x v="0"/>
    <x v="3247"/>
  </r>
  <r>
    <x v="353"/>
    <x v="3149"/>
    <x v="0"/>
    <x v="1247"/>
    <n v="35.76"/>
    <x v="0"/>
    <s v="Feb 2025"/>
    <n v="19"/>
    <s v="Repeat"/>
    <x v="0"/>
    <x v="3248"/>
  </r>
  <r>
    <x v="353"/>
    <x v="3150"/>
    <x v="0"/>
    <x v="1179"/>
    <n v="35.76"/>
    <x v="4"/>
    <s v="Feb 2025"/>
    <n v="19"/>
    <s v="Repeat"/>
    <x v="0"/>
    <x v="3249"/>
  </r>
  <r>
    <x v="353"/>
    <x v="3151"/>
    <x v="0"/>
    <x v="1156"/>
    <n v="35.76"/>
    <x v="4"/>
    <s v="Feb 2025"/>
    <n v="20"/>
    <s v="Repeat"/>
    <x v="0"/>
    <x v="3250"/>
  </r>
  <r>
    <x v="354"/>
    <x v="3152"/>
    <x v="0"/>
    <x v="1153"/>
    <n v="30.86"/>
    <x v="3"/>
    <s v="Feb 2025"/>
    <n v="8"/>
    <s v="Repeat"/>
    <x v="0"/>
    <x v="3251"/>
  </r>
  <r>
    <x v="354"/>
    <x v="3153"/>
    <x v="0"/>
    <x v="1152"/>
    <n v="25.96"/>
    <x v="2"/>
    <s v="Feb 2025"/>
    <n v="8"/>
    <s v="Repeat"/>
    <x v="0"/>
    <x v="3252"/>
  </r>
  <r>
    <x v="354"/>
    <x v="3154"/>
    <x v="0"/>
    <x v="1152"/>
    <n v="30.86"/>
    <x v="3"/>
    <s v="Feb 2025"/>
    <n v="8"/>
    <s v="Repeat"/>
    <x v="0"/>
    <x v="3253"/>
  </r>
  <r>
    <x v="354"/>
    <x v="3155"/>
    <x v="0"/>
    <x v="1237"/>
    <n v="21.06"/>
    <x v="6"/>
    <s v="Feb 2025"/>
    <n v="10"/>
    <s v="Repeat"/>
    <x v="0"/>
    <x v="3254"/>
  </r>
  <r>
    <x v="354"/>
    <x v="3156"/>
    <x v="0"/>
    <x v="1170"/>
    <n v="25.96"/>
    <x v="2"/>
    <s v="Feb 2025"/>
    <n v="11"/>
    <s v="Repeat"/>
    <x v="0"/>
    <x v="3255"/>
  </r>
  <r>
    <x v="354"/>
    <x v="3157"/>
    <x v="0"/>
    <x v="1152"/>
    <n v="25.96"/>
    <x v="2"/>
    <s v="Feb 2025"/>
    <n v="11"/>
    <s v="Repeat"/>
    <x v="0"/>
    <x v="3256"/>
  </r>
  <r>
    <x v="354"/>
    <x v="3158"/>
    <x v="0"/>
    <x v="1184"/>
    <n v="35.76"/>
    <x v="7"/>
    <s v="Feb 2025"/>
    <n v="12"/>
    <s v="Repeat"/>
    <x v="0"/>
    <x v="3257"/>
  </r>
  <r>
    <x v="354"/>
    <x v="3159"/>
    <x v="0"/>
    <x v="1161"/>
    <n v="35.76"/>
    <x v="7"/>
    <s v="Feb 2025"/>
    <n v="14"/>
    <s v="Repeat"/>
    <x v="0"/>
    <x v="3258"/>
  </r>
  <r>
    <x v="354"/>
    <x v="3160"/>
    <x v="0"/>
    <x v="19"/>
    <n v="25.96"/>
    <x v="2"/>
    <s v="Feb 2025"/>
    <n v="16"/>
    <s v="Repeat"/>
    <x v="0"/>
    <x v="3259"/>
  </r>
  <r>
    <x v="354"/>
    <x v="3161"/>
    <x v="0"/>
    <x v="19"/>
    <n v="25.96"/>
    <x v="2"/>
    <s v="Feb 2025"/>
    <n v="16"/>
    <s v="Repeat"/>
    <x v="0"/>
    <x v="3260"/>
  </r>
  <r>
    <x v="354"/>
    <x v="3162"/>
    <x v="0"/>
    <x v="1234"/>
    <n v="35.76"/>
    <x v="4"/>
    <s v="Feb 2025"/>
    <n v="18"/>
    <s v="Repeat"/>
    <x v="0"/>
    <x v="3261"/>
  </r>
  <r>
    <x v="354"/>
    <x v="3163"/>
    <x v="0"/>
    <x v="1152"/>
    <n v="35.76"/>
    <x v="7"/>
    <s v="Feb 2025"/>
    <n v="19"/>
    <s v="Repeat"/>
    <x v="0"/>
    <x v="3262"/>
  </r>
  <r>
    <x v="355"/>
    <x v="3164"/>
    <x v="0"/>
    <x v="1170"/>
    <n v="25.96"/>
    <x v="2"/>
    <s v="Feb 2025"/>
    <n v="8"/>
    <s v="Repeat"/>
    <x v="0"/>
    <x v="3263"/>
  </r>
  <r>
    <x v="355"/>
    <x v="3165"/>
    <x v="0"/>
    <x v="1248"/>
    <n v="30.86"/>
    <x v="3"/>
    <s v="Feb 2025"/>
    <n v="10"/>
    <s v="Repeat"/>
    <x v="0"/>
    <x v="3264"/>
  </r>
  <r>
    <x v="355"/>
    <x v="1144"/>
    <x v="0"/>
    <x v="1248"/>
    <n v="30.86"/>
    <x v="3"/>
    <s v="Feb 2025"/>
    <n v="10"/>
    <s v="Repeat"/>
    <x v="0"/>
    <x v="3265"/>
  </r>
  <r>
    <x v="355"/>
    <x v="3166"/>
    <x v="0"/>
    <x v="1155"/>
    <n v="35.76"/>
    <x v="1"/>
    <s v="Feb 2025"/>
    <n v="10"/>
    <s v="Repeat"/>
    <x v="0"/>
    <x v="3266"/>
  </r>
  <r>
    <x v="355"/>
    <x v="3167"/>
    <x v="0"/>
    <x v="1168"/>
    <n v="35.76"/>
    <x v="4"/>
    <s v="Feb 2025"/>
    <n v="13"/>
    <s v="Repeat"/>
    <x v="0"/>
    <x v="3267"/>
  </r>
  <r>
    <x v="355"/>
    <x v="3168"/>
    <x v="0"/>
    <x v="1191"/>
    <n v="35.76"/>
    <x v="0"/>
    <s v="Feb 2025"/>
    <n v="13"/>
    <s v="Repeat"/>
    <x v="0"/>
    <x v="3268"/>
  </r>
  <r>
    <x v="355"/>
    <x v="3169"/>
    <x v="0"/>
    <x v="1110"/>
    <n v="25.96"/>
    <x v="2"/>
    <s v="Feb 2025"/>
    <n v="15"/>
    <s v="Repeat"/>
    <x v="0"/>
    <x v="3269"/>
  </r>
  <r>
    <x v="355"/>
    <x v="3170"/>
    <x v="0"/>
    <x v="1249"/>
    <n v="25.96"/>
    <x v="2"/>
    <s v="Feb 2025"/>
    <n v="15"/>
    <s v="Single"/>
    <x v="1"/>
    <x v="3270"/>
  </r>
  <r>
    <x v="355"/>
    <x v="3171"/>
    <x v="0"/>
    <x v="1247"/>
    <n v="25.96"/>
    <x v="5"/>
    <s v="Feb 2025"/>
    <n v="15"/>
    <s v="Repeat"/>
    <x v="0"/>
    <x v="3271"/>
  </r>
  <r>
    <x v="355"/>
    <x v="3172"/>
    <x v="0"/>
    <x v="1250"/>
    <n v="35.76"/>
    <x v="1"/>
    <s v="Feb 2025"/>
    <n v="15"/>
    <s v="Repeat"/>
    <x v="0"/>
    <x v="3272"/>
  </r>
  <r>
    <x v="355"/>
    <x v="3173"/>
    <x v="0"/>
    <x v="1250"/>
    <n v="25.96"/>
    <x v="2"/>
    <s v="Feb 2025"/>
    <n v="15"/>
    <s v="Repeat"/>
    <x v="0"/>
    <x v="3273"/>
  </r>
  <r>
    <x v="355"/>
    <x v="3174"/>
    <x v="0"/>
    <x v="1190"/>
    <n v="25.96"/>
    <x v="2"/>
    <s v="Feb 2025"/>
    <n v="15"/>
    <s v="Repeat"/>
    <x v="0"/>
    <x v="3274"/>
  </r>
  <r>
    <x v="355"/>
    <x v="3175"/>
    <x v="0"/>
    <x v="1164"/>
    <n v="35.76"/>
    <x v="0"/>
    <s v="Feb 2025"/>
    <n v="16"/>
    <s v="Repeat"/>
    <x v="0"/>
    <x v="3275"/>
  </r>
  <r>
    <x v="355"/>
    <x v="3176"/>
    <x v="0"/>
    <x v="1165"/>
    <n v="35.76"/>
    <x v="1"/>
    <s v="Feb 2025"/>
    <n v="16"/>
    <s v="Repeat"/>
    <x v="0"/>
    <x v="3276"/>
  </r>
  <r>
    <x v="355"/>
    <x v="3177"/>
    <x v="0"/>
    <x v="1191"/>
    <n v="35.76"/>
    <x v="0"/>
    <s v="Feb 2025"/>
    <n v="16"/>
    <s v="Repeat"/>
    <x v="0"/>
    <x v="3277"/>
  </r>
  <r>
    <x v="355"/>
    <x v="3178"/>
    <x v="0"/>
    <x v="1166"/>
    <n v="30.86"/>
    <x v="3"/>
    <s v="Feb 2025"/>
    <n v="17"/>
    <s v="Repeat"/>
    <x v="0"/>
    <x v="3278"/>
  </r>
  <r>
    <x v="355"/>
    <x v="3179"/>
    <x v="0"/>
    <x v="1163"/>
    <n v="35.76"/>
    <x v="0"/>
    <s v="Feb 2025"/>
    <n v="18"/>
    <s v="Repeat"/>
    <x v="0"/>
    <x v="3279"/>
  </r>
  <r>
    <x v="355"/>
    <x v="850"/>
    <x v="0"/>
    <x v="1163"/>
    <n v="35.76"/>
    <x v="7"/>
    <s v="Feb 2025"/>
    <n v="18"/>
    <s v="Repeat"/>
    <x v="0"/>
    <x v="3280"/>
  </r>
  <r>
    <x v="356"/>
    <x v="3180"/>
    <x v="0"/>
    <x v="1163"/>
    <n v="35.76"/>
    <x v="7"/>
    <s v="Feb 2025"/>
    <n v="7"/>
    <s v="Repeat"/>
    <x v="0"/>
    <x v="3281"/>
  </r>
  <r>
    <x v="356"/>
    <x v="3181"/>
    <x v="0"/>
    <x v="1161"/>
    <n v="35.76"/>
    <x v="7"/>
    <s v="Feb 2025"/>
    <n v="7"/>
    <s v="Repeat"/>
    <x v="0"/>
    <x v="3282"/>
  </r>
  <r>
    <x v="356"/>
    <x v="3182"/>
    <x v="0"/>
    <x v="1237"/>
    <n v="21.06"/>
    <x v="6"/>
    <s v="Feb 2025"/>
    <n v="10"/>
    <s v="Repeat"/>
    <x v="0"/>
    <x v="3283"/>
  </r>
  <r>
    <x v="356"/>
    <x v="3183"/>
    <x v="0"/>
    <x v="1168"/>
    <n v="35.76"/>
    <x v="4"/>
    <s v="Feb 2025"/>
    <n v="11"/>
    <s v="Repeat"/>
    <x v="0"/>
    <x v="3284"/>
  </r>
  <r>
    <x v="356"/>
    <x v="3184"/>
    <x v="0"/>
    <x v="1251"/>
    <n v="35.76"/>
    <x v="4"/>
    <s v="Feb 2025"/>
    <n v="12"/>
    <s v="Single"/>
    <x v="1"/>
    <x v="3285"/>
  </r>
  <r>
    <x v="356"/>
    <x v="3185"/>
    <x v="0"/>
    <x v="1252"/>
    <n v="30.86"/>
    <x v="3"/>
    <s v="Feb 2025"/>
    <n v="13"/>
    <s v="Single"/>
    <x v="1"/>
    <x v="3286"/>
  </r>
  <r>
    <x v="356"/>
    <x v="2058"/>
    <x v="0"/>
    <x v="1163"/>
    <n v="25.96"/>
    <x v="2"/>
    <s v="Feb 2025"/>
    <n v="14"/>
    <s v="Repeat"/>
    <x v="0"/>
    <x v="3287"/>
  </r>
  <r>
    <x v="356"/>
    <x v="3186"/>
    <x v="0"/>
    <x v="1253"/>
    <n v="35.76"/>
    <x v="0"/>
    <s v="Feb 2025"/>
    <n v="14"/>
    <s v="Single"/>
    <x v="1"/>
    <x v="3288"/>
  </r>
  <r>
    <x v="356"/>
    <x v="3187"/>
    <x v="0"/>
    <x v="1170"/>
    <n v="25.96"/>
    <x v="2"/>
    <s v="Feb 2025"/>
    <n v="15"/>
    <s v="Repeat"/>
    <x v="0"/>
    <x v="3289"/>
  </r>
  <r>
    <x v="356"/>
    <x v="3188"/>
    <x v="0"/>
    <x v="1170"/>
    <n v="25.96"/>
    <x v="2"/>
    <s v="Feb 2025"/>
    <n v="16"/>
    <s v="Repeat"/>
    <x v="0"/>
    <x v="3290"/>
  </r>
  <r>
    <x v="356"/>
    <x v="3189"/>
    <x v="0"/>
    <x v="1190"/>
    <n v="25.96"/>
    <x v="2"/>
    <s v="Feb 2025"/>
    <n v="17"/>
    <s v="Repeat"/>
    <x v="0"/>
    <x v="3291"/>
  </r>
  <r>
    <x v="356"/>
    <x v="3190"/>
    <x v="0"/>
    <x v="1170"/>
    <n v="25.96"/>
    <x v="2"/>
    <s v="Feb 2025"/>
    <n v="17"/>
    <s v="Repeat"/>
    <x v="0"/>
    <x v="3292"/>
  </r>
  <r>
    <x v="356"/>
    <x v="3191"/>
    <x v="0"/>
    <x v="1254"/>
    <n v="35.76"/>
    <x v="0"/>
    <s v="Feb 2025"/>
    <n v="17"/>
    <s v="Repeat"/>
    <x v="0"/>
    <x v="3293"/>
  </r>
  <r>
    <x v="356"/>
    <x v="3192"/>
    <x v="0"/>
    <x v="1208"/>
    <n v="35.76"/>
    <x v="0"/>
    <s v="Feb 2025"/>
    <n v="18"/>
    <s v="Repeat"/>
    <x v="0"/>
    <x v="3294"/>
  </r>
  <r>
    <x v="356"/>
    <x v="3193"/>
    <x v="0"/>
    <x v="1184"/>
    <n v="35.76"/>
    <x v="7"/>
    <s v="Feb 2025"/>
    <n v="18"/>
    <s v="Repeat"/>
    <x v="0"/>
    <x v="3295"/>
  </r>
  <r>
    <x v="356"/>
    <x v="3194"/>
    <x v="0"/>
    <x v="1179"/>
    <n v="35.76"/>
    <x v="4"/>
    <s v="Feb 2025"/>
    <n v="18"/>
    <s v="Repeat"/>
    <x v="0"/>
    <x v="3296"/>
  </r>
  <r>
    <x v="356"/>
    <x v="3195"/>
    <x v="0"/>
    <x v="1179"/>
    <n v="35.76"/>
    <x v="4"/>
    <s v="Feb 2025"/>
    <n v="18"/>
    <s v="Repeat"/>
    <x v="0"/>
    <x v="3297"/>
  </r>
  <r>
    <x v="356"/>
    <x v="3196"/>
    <x v="0"/>
    <x v="1215"/>
    <n v="35.76"/>
    <x v="0"/>
    <s v="Feb 2025"/>
    <n v="19"/>
    <s v="Repeat"/>
    <x v="0"/>
    <x v="3298"/>
  </r>
  <r>
    <x v="356"/>
    <x v="3197"/>
    <x v="0"/>
    <x v="46"/>
    <n v="35.76"/>
    <x v="7"/>
    <s v="Feb 2025"/>
    <n v="20"/>
    <s v="Repeat"/>
    <x v="0"/>
    <x v="3299"/>
  </r>
  <r>
    <x v="357"/>
    <x v="3198"/>
    <x v="0"/>
    <x v="1163"/>
    <n v="30.86"/>
    <x v="3"/>
    <s v="Feb 2025"/>
    <n v="6"/>
    <s v="Repeat"/>
    <x v="0"/>
    <x v="3300"/>
  </r>
  <r>
    <x v="357"/>
    <x v="3199"/>
    <x v="0"/>
    <x v="1163"/>
    <n v="30.86"/>
    <x v="3"/>
    <s v="Feb 2025"/>
    <n v="6"/>
    <s v="Repeat"/>
    <x v="0"/>
    <x v="3301"/>
  </r>
  <r>
    <x v="357"/>
    <x v="3200"/>
    <x v="0"/>
    <x v="1161"/>
    <n v="35.76"/>
    <x v="7"/>
    <s v="Feb 2025"/>
    <n v="7"/>
    <s v="Repeat"/>
    <x v="0"/>
    <x v="3302"/>
  </r>
  <r>
    <x v="357"/>
    <x v="3201"/>
    <x v="0"/>
    <x v="1255"/>
    <n v="21.06"/>
    <x v="6"/>
    <s v="Feb 2025"/>
    <n v="8"/>
    <s v="Single"/>
    <x v="1"/>
    <x v="3303"/>
  </r>
  <r>
    <x v="357"/>
    <x v="3202"/>
    <x v="0"/>
    <x v="1162"/>
    <n v="30.86"/>
    <x v="3"/>
    <s v="Feb 2025"/>
    <n v="9"/>
    <s v="Repeat"/>
    <x v="0"/>
    <x v="3304"/>
  </r>
  <r>
    <x v="357"/>
    <x v="3203"/>
    <x v="0"/>
    <x v="1110"/>
    <n v="25.96"/>
    <x v="2"/>
    <s v="Feb 2025"/>
    <n v="14"/>
    <s v="Repeat"/>
    <x v="0"/>
    <x v="3305"/>
  </r>
  <r>
    <x v="357"/>
    <x v="3204"/>
    <x v="0"/>
    <x v="1110"/>
    <n v="25.96"/>
    <x v="2"/>
    <s v="Feb 2025"/>
    <n v="14"/>
    <s v="Repeat"/>
    <x v="0"/>
    <x v="3306"/>
  </r>
  <r>
    <x v="357"/>
    <x v="3205"/>
    <x v="0"/>
    <x v="1163"/>
    <n v="25.96"/>
    <x v="2"/>
    <s v="Feb 2025"/>
    <n v="14"/>
    <s v="Repeat"/>
    <x v="0"/>
    <x v="3307"/>
  </r>
  <r>
    <x v="357"/>
    <x v="3206"/>
    <x v="0"/>
    <x v="1191"/>
    <n v="35.76"/>
    <x v="0"/>
    <s v="Feb 2025"/>
    <n v="14"/>
    <s v="Repeat"/>
    <x v="0"/>
    <x v="3308"/>
  </r>
  <r>
    <x v="357"/>
    <x v="3207"/>
    <x v="0"/>
    <x v="1110"/>
    <n v="25.96"/>
    <x v="2"/>
    <s v="Feb 2025"/>
    <n v="15"/>
    <s v="Repeat"/>
    <x v="0"/>
    <x v="3309"/>
  </r>
  <r>
    <x v="357"/>
    <x v="3208"/>
    <x v="0"/>
    <x v="1156"/>
    <n v="35.76"/>
    <x v="4"/>
    <s v="Feb 2025"/>
    <n v="16"/>
    <s v="Repeat"/>
    <x v="0"/>
    <x v="3310"/>
  </r>
  <r>
    <x v="357"/>
    <x v="3209"/>
    <x v="0"/>
    <x v="1170"/>
    <n v="25.96"/>
    <x v="2"/>
    <s v="Feb 2025"/>
    <n v="16"/>
    <s v="Repeat"/>
    <x v="0"/>
    <x v="3311"/>
  </r>
  <r>
    <x v="357"/>
    <x v="3210"/>
    <x v="0"/>
    <x v="1191"/>
    <n v="35.76"/>
    <x v="0"/>
    <s v="Feb 2025"/>
    <n v="17"/>
    <s v="Repeat"/>
    <x v="0"/>
    <x v="3312"/>
  </r>
  <r>
    <x v="357"/>
    <x v="3211"/>
    <x v="0"/>
    <x v="1256"/>
    <n v="30.86"/>
    <x v="3"/>
    <s v="Feb 2025"/>
    <n v="17"/>
    <s v="Repeat"/>
    <x v="0"/>
    <x v="3313"/>
  </r>
  <r>
    <x v="357"/>
    <x v="3212"/>
    <x v="0"/>
    <x v="1170"/>
    <n v="25.96"/>
    <x v="2"/>
    <s v="Feb 2025"/>
    <n v="17"/>
    <s v="Repeat"/>
    <x v="0"/>
    <x v="3314"/>
  </r>
  <r>
    <x v="357"/>
    <x v="3213"/>
    <x v="0"/>
    <x v="1190"/>
    <n v="25.96"/>
    <x v="2"/>
    <s v="Feb 2025"/>
    <n v="17"/>
    <s v="Repeat"/>
    <x v="0"/>
    <x v="3315"/>
  </r>
  <r>
    <x v="357"/>
    <x v="3214"/>
    <x v="0"/>
    <x v="1257"/>
    <n v="35.76"/>
    <x v="0"/>
    <s v="Feb 2025"/>
    <n v="18"/>
    <s v="Repeat"/>
    <x v="0"/>
    <x v="3316"/>
  </r>
  <r>
    <x v="358"/>
    <x v="3215"/>
    <x v="0"/>
    <x v="1184"/>
    <n v="35.76"/>
    <x v="7"/>
    <s v="Mar 2025"/>
    <n v="10"/>
    <s v="Repeat"/>
    <x v="0"/>
    <x v="3317"/>
  </r>
  <r>
    <x v="358"/>
    <x v="3216"/>
    <x v="0"/>
    <x v="1190"/>
    <n v="25.96"/>
    <x v="2"/>
    <s v="Mar 2025"/>
    <n v="11"/>
    <s v="Repeat"/>
    <x v="0"/>
    <x v="3318"/>
  </r>
  <r>
    <x v="358"/>
    <x v="3217"/>
    <x v="0"/>
    <x v="1198"/>
    <n v="25.96"/>
    <x v="2"/>
    <s v="Mar 2025"/>
    <n v="11"/>
    <s v="Repeat"/>
    <x v="0"/>
    <x v="3319"/>
  </r>
  <r>
    <x v="358"/>
    <x v="3218"/>
    <x v="0"/>
    <x v="1254"/>
    <n v="35.76"/>
    <x v="0"/>
    <s v="Mar 2025"/>
    <n v="14"/>
    <s v="Repeat"/>
    <x v="0"/>
    <x v="3320"/>
  </r>
  <r>
    <x v="358"/>
    <x v="3219"/>
    <x v="0"/>
    <x v="1152"/>
    <n v="25.96"/>
    <x v="2"/>
    <s v="Mar 2025"/>
    <n v="15"/>
    <s v="Repeat"/>
    <x v="0"/>
    <x v="3321"/>
  </r>
  <r>
    <x v="358"/>
    <x v="3220"/>
    <x v="0"/>
    <x v="1157"/>
    <n v="30.86"/>
    <x v="3"/>
    <s v="Mar 2025"/>
    <n v="15"/>
    <s v="Repeat"/>
    <x v="0"/>
    <x v="3322"/>
  </r>
  <r>
    <x v="358"/>
    <x v="3221"/>
    <x v="0"/>
    <x v="1184"/>
    <n v="35.76"/>
    <x v="7"/>
    <s v="Mar 2025"/>
    <n v="16"/>
    <s v="Repeat"/>
    <x v="0"/>
    <x v="3323"/>
  </r>
  <r>
    <x v="358"/>
    <x v="3222"/>
    <x v="0"/>
    <x v="1258"/>
    <n v="25.96"/>
    <x v="2"/>
    <s v="Mar 2025"/>
    <n v="17"/>
    <s v="Single"/>
    <x v="1"/>
    <x v="3324"/>
  </r>
  <r>
    <x v="359"/>
    <x v="1107"/>
    <x v="0"/>
    <x v="1163"/>
    <n v="35.76"/>
    <x v="4"/>
    <s v="Mar 2025"/>
    <n v="9"/>
    <s v="Repeat"/>
    <x v="0"/>
    <x v="3325"/>
  </r>
  <r>
    <x v="359"/>
    <x v="3223"/>
    <x v="0"/>
    <x v="1189"/>
    <n v="35.76"/>
    <x v="0"/>
    <s v="Mar 2025"/>
    <n v="12"/>
    <s v="Repeat"/>
    <x v="0"/>
    <x v="3326"/>
  </r>
  <r>
    <x v="359"/>
    <x v="3224"/>
    <x v="0"/>
    <x v="1217"/>
    <n v="30.86"/>
    <x v="3"/>
    <s v="Mar 2025"/>
    <n v="13"/>
    <s v="Repeat"/>
    <x v="0"/>
    <x v="3327"/>
  </r>
  <r>
    <x v="359"/>
    <x v="3225"/>
    <x v="0"/>
    <x v="1152"/>
    <n v="30.86"/>
    <x v="3"/>
    <s v="Mar 2025"/>
    <n v="15"/>
    <s v="Repeat"/>
    <x v="0"/>
    <x v="3328"/>
  </r>
  <r>
    <x v="359"/>
    <x v="3226"/>
    <x v="0"/>
    <x v="1152"/>
    <n v="25.96"/>
    <x v="2"/>
    <s v="Mar 2025"/>
    <n v="15"/>
    <s v="Repeat"/>
    <x v="0"/>
    <x v="3329"/>
  </r>
  <r>
    <x v="359"/>
    <x v="3227"/>
    <x v="0"/>
    <x v="1190"/>
    <n v="25.96"/>
    <x v="2"/>
    <s v="Mar 2025"/>
    <n v="15"/>
    <s v="Repeat"/>
    <x v="0"/>
    <x v="3330"/>
  </r>
  <r>
    <x v="360"/>
    <x v="3228"/>
    <x v="0"/>
    <x v="1161"/>
    <n v="35.76"/>
    <x v="7"/>
    <s v="Mar 2025"/>
    <n v="8"/>
    <s v="Repeat"/>
    <x v="0"/>
    <x v="3331"/>
  </r>
  <r>
    <x v="360"/>
    <x v="3229"/>
    <x v="0"/>
    <x v="1244"/>
    <n v="35.76"/>
    <x v="4"/>
    <s v="Mar 2025"/>
    <n v="9"/>
    <s v="Repeat"/>
    <x v="0"/>
    <x v="3332"/>
  </r>
  <r>
    <x v="360"/>
    <x v="3230"/>
    <x v="0"/>
    <x v="1244"/>
    <n v="35.76"/>
    <x v="0"/>
    <s v="Mar 2025"/>
    <n v="9"/>
    <s v="Repeat"/>
    <x v="0"/>
    <x v="3333"/>
  </r>
  <r>
    <x v="360"/>
    <x v="3231"/>
    <x v="0"/>
    <x v="1227"/>
    <n v="35.76"/>
    <x v="1"/>
    <s v="Mar 2025"/>
    <n v="10"/>
    <s v="Repeat"/>
    <x v="0"/>
    <x v="3334"/>
  </r>
  <r>
    <x v="360"/>
    <x v="3232"/>
    <x v="0"/>
    <x v="1259"/>
    <n v="35.76"/>
    <x v="1"/>
    <s v="Mar 2025"/>
    <n v="10"/>
    <s v="Repeat"/>
    <x v="0"/>
    <x v="3335"/>
  </r>
  <r>
    <x v="360"/>
    <x v="3233"/>
    <x v="0"/>
    <x v="1184"/>
    <n v="35.76"/>
    <x v="7"/>
    <s v="Mar 2025"/>
    <n v="12"/>
    <s v="Repeat"/>
    <x v="0"/>
    <x v="3336"/>
  </r>
  <r>
    <x v="360"/>
    <x v="3234"/>
    <x v="0"/>
    <x v="1191"/>
    <n v="35.76"/>
    <x v="0"/>
    <s v="Mar 2025"/>
    <n v="15"/>
    <s v="Repeat"/>
    <x v="0"/>
    <x v="3337"/>
  </r>
  <r>
    <x v="360"/>
    <x v="3235"/>
    <x v="0"/>
    <x v="1167"/>
    <n v="25.96"/>
    <x v="2"/>
    <s v="Mar 2025"/>
    <n v="15"/>
    <s v="Repeat"/>
    <x v="0"/>
    <x v="3338"/>
  </r>
  <r>
    <x v="360"/>
    <x v="2556"/>
    <x v="0"/>
    <x v="1196"/>
    <n v="35.76"/>
    <x v="4"/>
    <s v="Mar 2025"/>
    <n v="16"/>
    <s v="Repeat"/>
    <x v="0"/>
    <x v="3339"/>
  </r>
  <r>
    <x v="360"/>
    <x v="3236"/>
    <x v="0"/>
    <x v="1191"/>
    <n v="35.76"/>
    <x v="0"/>
    <s v="Mar 2025"/>
    <n v="16"/>
    <s v="Repeat"/>
    <x v="0"/>
    <x v="3340"/>
  </r>
  <r>
    <x v="360"/>
    <x v="3237"/>
    <x v="0"/>
    <x v="1164"/>
    <n v="35.76"/>
    <x v="0"/>
    <s v="Mar 2025"/>
    <n v="16"/>
    <s v="Repeat"/>
    <x v="0"/>
    <x v="3341"/>
  </r>
  <r>
    <x v="360"/>
    <x v="3238"/>
    <x v="0"/>
    <x v="1158"/>
    <n v="35.76"/>
    <x v="7"/>
    <s v="Mar 2025"/>
    <n v="16"/>
    <s v="Repeat"/>
    <x v="0"/>
    <x v="3342"/>
  </r>
  <r>
    <x v="360"/>
    <x v="3239"/>
    <x v="0"/>
    <x v="1158"/>
    <n v="35.76"/>
    <x v="7"/>
    <s v="Mar 2025"/>
    <n v="16"/>
    <s v="Repeat"/>
    <x v="0"/>
    <x v="3343"/>
  </r>
  <r>
    <x v="360"/>
    <x v="3240"/>
    <x v="0"/>
    <x v="1170"/>
    <n v="25.96"/>
    <x v="2"/>
    <s v="Mar 2025"/>
    <n v="16"/>
    <s v="Repeat"/>
    <x v="0"/>
    <x v="3344"/>
  </r>
  <r>
    <x v="360"/>
    <x v="3241"/>
    <x v="0"/>
    <x v="1256"/>
    <n v="30.86"/>
    <x v="3"/>
    <s v="Mar 2025"/>
    <n v="17"/>
    <s v="Repeat"/>
    <x v="0"/>
    <x v="3345"/>
  </r>
  <r>
    <x v="360"/>
    <x v="3242"/>
    <x v="0"/>
    <x v="1198"/>
    <n v="25.96"/>
    <x v="2"/>
    <s v="Mar 2025"/>
    <n v="17"/>
    <s v="Repeat"/>
    <x v="0"/>
    <x v="3346"/>
  </r>
  <r>
    <x v="360"/>
    <x v="3243"/>
    <x v="0"/>
    <x v="1198"/>
    <n v="35.76"/>
    <x v="1"/>
    <s v="Mar 2025"/>
    <n v="17"/>
    <s v="Repeat"/>
    <x v="0"/>
    <x v="3347"/>
  </r>
  <r>
    <x v="360"/>
    <x v="3244"/>
    <x v="0"/>
    <x v="1198"/>
    <n v="25.96"/>
    <x v="2"/>
    <s v="Mar 2025"/>
    <n v="17"/>
    <s v="Repeat"/>
    <x v="0"/>
    <x v="3348"/>
  </r>
  <r>
    <x v="360"/>
    <x v="3245"/>
    <x v="0"/>
    <x v="1179"/>
    <n v="35.76"/>
    <x v="1"/>
    <s v="Mar 2025"/>
    <n v="17"/>
    <s v="Repeat"/>
    <x v="0"/>
    <x v="3349"/>
  </r>
  <r>
    <x v="360"/>
    <x v="3246"/>
    <x v="0"/>
    <x v="1178"/>
    <n v="35.76"/>
    <x v="1"/>
    <s v="Mar 2025"/>
    <n v="17"/>
    <s v="Repeat"/>
    <x v="0"/>
    <x v="3350"/>
  </r>
  <r>
    <x v="360"/>
    <x v="3247"/>
    <x v="0"/>
    <x v="1162"/>
    <n v="30.86"/>
    <x v="3"/>
    <s v="Mar 2025"/>
    <n v="18"/>
    <s v="Repeat"/>
    <x v="0"/>
    <x v="3351"/>
  </r>
  <r>
    <x v="360"/>
    <x v="3248"/>
    <x v="0"/>
    <x v="1257"/>
    <n v="35.76"/>
    <x v="0"/>
    <s v="Mar 2025"/>
    <n v="18"/>
    <s v="Repeat"/>
    <x v="0"/>
    <x v="3352"/>
  </r>
  <r>
    <x v="361"/>
    <x v="3249"/>
    <x v="0"/>
    <x v="1161"/>
    <n v="35.76"/>
    <x v="7"/>
    <s v="Mar 2025"/>
    <n v="7"/>
    <s v="Repeat"/>
    <x v="0"/>
    <x v="3353"/>
  </r>
  <r>
    <x v="361"/>
    <x v="3250"/>
    <x v="0"/>
    <x v="1163"/>
    <n v="25.96"/>
    <x v="2"/>
    <s v="Mar 2025"/>
    <n v="7"/>
    <s v="Repeat"/>
    <x v="0"/>
    <x v="3354"/>
  </r>
  <r>
    <x v="361"/>
    <x v="3251"/>
    <x v="0"/>
    <x v="1187"/>
    <n v="30.86"/>
    <x v="3"/>
    <s v="Mar 2025"/>
    <n v="8"/>
    <s v="Repeat"/>
    <x v="0"/>
    <x v="3355"/>
  </r>
  <r>
    <x v="361"/>
    <x v="3252"/>
    <x v="0"/>
    <x v="1163"/>
    <n v="25.96"/>
    <x v="2"/>
    <s v="Mar 2025"/>
    <n v="9"/>
    <s v="Repeat"/>
    <x v="0"/>
    <x v="3356"/>
  </r>
  <r>
    <x v="361"/>
    <x v="3253"/>
    <x v="0"/>
    <x v="1163"/>
    <n v="25.96"/>
    <x v="2"/>
    <s v="Mar 2025"/>
    <n v="9"/>
    <s v="Repeat"/>
    <x v="0"/>
    <x v="3357"/>
  </r>
  <r>
    <x v="361"/>
    <x v="3254"/>
    <x v="0"/>
    <x v="1260"/>
    <n v="25.96"/>
    <x v="2"/>
    <s v="Mar 2025"/>
    <n v="9"/>
    <s v="Repeat"/>
    <x v="0"/>
    <x v="3358"/>
  </r>
  <r>
    <x v="361"/>
    <x v="3255"/>
    <x v="0"/>
    <x v="1222"/>
    <n v="30.86"/>
    <x v="3"/>
    <s v="Mar 2025"/>
    <n v="11"/>
    <s v="Repeat"/>
    <x v="0"/>
    <x v="3359"/>
  </r>
  <r>
    <x v="361"/>
    <x v="3256"/>
    <x v="0"/>
    <x v="1176"/>
    <n v="25.96"/>
    <x v="2"/>
    <s v="Mar 2025"/>
    <n v="11"/>
    <s v="Repeat"/>
    <x v="0"/>
    <x v="3360"/>
  </r>
  <r>
    <x v="361"/>
    <x v="3257"/>
    <x v="0"/>
    <x v="1167"/>
    <n v="25.96"/>
    <x v="2"/>
    <s v="Mar 2025"/>
    <n v="11"/>
    <s v="Repeat"/>
    <x v="0"/>
    <x v="3361"/>
  </r>
  <r>
    <x v="361"/>
    <x v="3258"/>
    <x v="0"/>
    <x v="1167"/>
    <n v="25.96"/>
    <x v="2"/>
    <s v="Mar 2025"/>
    <n v="11"/>
    <s v="Repeat"/>
    <x v="0"/>
    <x v="3362"/>
  </r>
  <r>
    <x v="361"/>
    <x v="3259"/>
    <x v="0"/>
    <x v="1110"/>
    <n v="25.96"/>
    <x v="2"/>
    <s v="Mar 2025"/>
    <n v="11"/>
    <s v="Repeat"/>
    <x v="0"/>
    <x v="3363"/>
  </r>
  <r>
    <x v="361"/>
    <x v="3260"/>
    <x v="0"/>
    <x v="1189"/>
    <n v="35.76"/>
    <x v="4"/>
    <s v="Mar 2025"/>
    <n v="12"/>
    <s v="Repeat"/>
    <x v="0"/>
    <x v="3364"/>
  </r>
  <r>
    <x v="361"/>
    <x v="3117"/>
    <x v="0"/>
    <x v="1167"/>
    <n v="25.96"/>
    <x v="2"/>
    <s v="Mar 2025"/>
    <n v="16"/>
    <s v="Repeat"/>
    <x v="0"/>
    <x v="3365"/>
  </r>
  <r>
    <x v="361"/>
    <x v="2281"/>
    <x v="0"/>
    <x v="1234"/>
    <n v="35.76"/>
    <x v="4"/>
    <s v="Mar 2025"/>
    <n v="18"/>
    <s v="Repeat"/>
    <x v="0"/>
    <x v="3366"/>
  </r>
  <r>
    <x v="361"/>
    <x v="3261"/>
    <x v="0"/>
    <x v="1174"/>
    <n v="35.76"/>
    <x v="0"/>
    <s v="Mar 2025"/>
    <n v="19"/>
    <s v="Repeat"/>
    <x v="0"/>
    <x v="3367"/>
  </r>
  <r>
    <x v="361"/>
    <x v="3262"/>
    <x v="0"/>
    <x v="1246"/>
    <n v="35.76"/>
    <x v="0"/>
    <s v="Mar 2025"/>
    <n v="20"/>
    <s v="Repeat"/>
    <x v="0"/>
    <x v="3368"/>
  </r>
  <r>
    <x v="362"/>
    <x v="3263"/>
    <x v="0"/>
    <x v="1163"/>
    <n v="30.86"/>
    <x v="3"/>
    <s v="Mar 2025"/>
    <n v="8"/>
    <s v="Repeat"/>
    <x v="0"/>
    <x v="3369"/>
  </r>
  <r>
    <x v="362"/>
    <x v="3264"/>
    <x v="0"/>
    <x v="1167"/>
    <n v="25.96"/>
    <x v="2"/>
    <s v="Mar 2025"/>
    <n v="9"/>
    <s v="Repeat"/>
    <x v="0"/>
    <x v="3370"/>
  </r>
  <r>
    <x v="362"/>
    <x v="212"/>
    <x v="0"/>
    <x v="1198"/>
    <n v="25.96"/>
    <x v="2"/>
    <s v="Mar 2025"/>
    <n v="10"/>
    <s v="Repeat"/>
    <x v="0"/>
    <x v="3371"/>
  </r>
  <r>
    <x v="362"/>
    <x v="3265"/>
    <x v="0"/>
    <x v="1198"/>
    <n v="25.96"/>
    <x v="2"/>
    <s v="Mar 2025"/>
    <n v="10"/>
    <s v="Repeat"/>
    <x v="0"/>
    <x v="3372"/>
  </r>
  <r>
    <x v="362"/>
    <x v="3266"/>
    <x v="0"/>
    <x v="1261"/>
    <n v="35.76"/>
    <x v="7"/>
    <s v="Mar 2025"/>
    <n v="10"/>
    <s v="Single"/>
    <x v="1"/>
    <x v="3373"/>
  </r>
  <r>
    <x v="362"/>
    <x v="3267"/>
    <x v="0"/>
    <x v="1248"/>
    <n v="30.86"/>
    <x v="3"/>
    <s v="Mar 2025"/>
    <n v="10"/>
    <s v="Repeat"/>
    <x v="0"/>
    <x v="3374"/>
  </r>
  <r>
    <x v="362"/>
    <x v="3268"/>
    <x v="0"/>
    <x v="1184"/>
    <n v="35.76"/>
    <x v="7"/>
    <s v="Mar 2025"/>
    <n v="11"/>
    <s v="Repeat"/>
    <x v="0"/>
    <x v="3375"/>
  </r>
  <r>
    <x v="362"/>
    <x v="3269"/>
    <x v="0"/>
    <x v="1262"/>
    <n v="35.76"/>
    <x v="4"/>
    <s v="Mar 2025"/>
    <n v="11"/>
    <s v="Repeat"/>
    <x v="0"/>
    <x v="3376"/>
  </r>
  <r>
    <x v="362"/>
    <x v="3270"/>
    <x v="0"/>
    <x v="1198"/>
    <n v="25.96"/>
    <x v="2"/>
    <s v="Mar 2025"/>
    <n v="11"/>
    <s v="Repeat"/>
    <x v="0"/>
    <x v="3377"/>
  </r>
  <r>
    <x v="362"/>
    <x v="3271"/>
    <x v="0"/>
    <x v="1167"/>
    <n v="25.96"/>
    <x v="2"/>
    <s v="Mar 2025"/>
    <n v="11"/>
    <s v="Repeat"/>
    <x v="0"/>
    <x v="3378"/>
  </r>
  <r>
    <x v="362"/>
    <x v="3272"/>
    <x v="0"/>
    <x v="1110"/>
    <n v="25.96"/>
    <x v="2"/>
    <s v="Mar 2025"/>
    <n v="12"/>
    <s v="Repeat"/>
    <x v="0"/>
    <x v="3379"/>
  </r>
  <r>
    <x v="362"/>
    <x v="3273"/>
    <x v="0"/>
    <x v="1191"/>
    <n v="35.76"/>
    <x v="0"/>
    <s v="Mar 2025"/>
    <n v="15"/>
    <s v="Repeat"/>
    <x v="0"/>
    <x v="3380"/>
  </r>
  <r>
    <x v="362"/>
    <x v="3274"/>
    <x v="0"/>
    <x v="1164"/>
    <n v="35.76"/>
    <x v="0"/>
    <s v="Mar 2025"/>
    <n v="15"/>
    <s v="Repeat"/>
    <x v="0"/>
    <x v="3381"/>
  </r>
  <r>
    <x v="362"/>
    <x v="3275"/>
    <x v="0"/>
    <x v="1165"/>
    <n v="35.76"/>
    <x v="1"/>
    <s v="Mar 2025"/>
    <n v="15"/>
    <s v="Repeat"/>
    <x v="0"/>
    <x v="3382"/>
  </r>
  <r>
    <x v="362"/>
    <x v="3276"/>
    <x v="0"/>
    <x v="1222"/>
    <n v="30.86"/>
    <x v="3"/>
    <s v="Mar 2025"/>
    <n v="17"/>
    <s v="Repeat"/>
    <x v="0"/>
    <x v="3383"/>
  </r>
  <r>
    <x v="362"/>
    <x v="3277"/>
    <x v="0"/>
    <x v="1263"/>
    <n v="21.06"/>
    <x v="6"/>
    <s v="Mar 2025"/>
    <n v="17"/>
    <s v="Single"/>
    <x v="1"/>
    <x v="3384"/>
  </r>
  <r>
    <x v="362"/>
    <x v="3278"/>
    <x v="0"/>
    <x v="1191"/>
    <n v="35.76"/>
    <x v="0"/>
    <s v="Mar 2025"/>
    <n v="17"/>
    <s v="Repeat"/>
    <x v="0"/>
    <x v="3385"/>
  </r>
  <r>
    <x v="362"/>
    <x v="3279"/>
    <x v="0"/>
    <x v="1158"/>
    <n v="35.76"/>
    <x v="7"/>
    <s v="Mar 2025"/>
    <n v="18"/>
    <s v="Repeat"/>
    <x v="0"/>
    <x v="3386"/>
  </r>
  <r>
    <x v="362"/>
    <x v="3280"/>
    <x v="0"/>
    <x v="1264"/>
    <n v="35.76"/>
    <x v="4"/>
    <s v="Mar 2025"/>
    <n v="19"/>
    <s v="Repeat"/>
    <x v="0"/>
    <x v="3387"/>
  </r>
  <r>
    <x v="363"/>
    <x v="3281"/>
    <x v="0"/>
    <x v="1210"/>
    <n v="35.76"/>
    <x v="1"/>
    <s v="Mar 2025"/>
    <n v="9"/>
    <s v="Repeat"/>
    <x v="0"/>
    <x v="3388"/>
  </r>
  <r>
    <x v="363"/>
    <x v="3282"/>
    <x v="0"/>
    <x v="1207"/>
    <n v="21.06"/>
    <x v="6"/>
    <s v="Mar 2025"/>
    <n v="9"/>
    <s v="Repeat"/>
    <x v="0"/>
    <x v="3389"/>
  </r>
  <r>
    <x v="363"/>
    <x v="3283"/>
    <x v="0"/>
    <x v="1207"/>
    <n v="30.86"/>
    <x v="3"/>
    <s v="Mar 2025"/>
    <n v="10"/>
    <s v="Repeat"/>
    <x v="0"/>
    <x v="3390"/>
  </r>
  <r>
    <x v="363"/>
    <x v="3284"/>
    <x v="0"/>
    <x v="1163"/>
    <n v="25.96"/>
    <x v="2"/>
    <s v="Mar 2025"/>
    <n v="10"/>
    <s v="Repeat"/>
    <x v="0"/>
    <x v="3391"/>
  </r>
  <r>
    <x v="363"/>
    <x v="3285"/>
    <x v="0"/>
    <x v="1163"/>
    <n v="25.96"/>
    <x v="2"/>
    <s v="Mar 2025"/>
    <n v="10"/>
    <s v="Repeat"/>
    <x v="0"/>
    <x v="3392"/>
  </r>
  <r>
    <x v="363"/>
    <x v="3286"/>
    <x v="0"/>
    <x v="1198"/>
    <n v="25.96"/>
    <x v="2"/>
    <s v="Mar 2025"/>
    <n v="11"/>
    <s v="Repeat"/>
    <x v="0"/>
    <x v="3393"/>
  </r>
  <r>
    <x v="363"/>
    <x v="3287"/>
    <x v="0"/>
    <x v="1265"/>
    <n v="35.76"/>
    <x v="7"/>
    <s v="Mar 2025"/>
    <n v="11"/>
    <s v="Single"/>
    <x v="1"/>
    <x v="3394"/>
  </r>
  <r>
    <x v="363"/>
    <x v="3288"/>
    <x v="0"/>
    <x v="1215"/>
    <n v="35.76"/>
    <x v="0"/>
    <s v="Mar 2025"/>
    <n v="13"/>
    <s v="Repeat"/>
    <x v="0"/>
    <x v="3395"/>
  </r>
  <r>
    <x v="363"/>
    <x v="3289"/>
    <x v="0"/>
    <x v="1216"/>
    <n v="30.86"/>
    <x v="3"/>
    <s v="Mar 2025"/>
    <n v="16"/>
    <s v="Repeat"/>
    <x v="0"/>
    <x v="3396"/>
  </r>
  <r>
    <x v="363"/>
    <x v="3290"/>
    <x v="0"/>
    <x v="1163"/>
    <n v="35.76"/>
    <x v="4"/>
    <s v="Mar 2025"/>
    <n v="17"/>
    <s v="Repeat"/>
    <x v="0"/>
    <x v="3397"/>
  </r>
  <r>
    <x v="363"/>
    <x v="3291"/>
    <x v="0"/>
    <x v="1158"/>
    <n v="35.76"/>
    <x v="7"/>
    <s v="Mar 2025"/>
    <n v="18"/>
    <s v="Repeat"/>
    <x v="0"/>
    <x v="3398"/>
  </r>
  <r>
    <x v="363"/>
    <x v="3292"/>
    <x v="0"/>
    <x v="1153"/>
    <n v="30.86"/>
    <x v="3"/>
    <s v="Mar 2025"/>
    <n v="19"/>
    <s v="Repeat"/>
    <x v="0"/>
    <x v="3399"/>
  </r>
  <r>
    <x v="364"/>
    <x v="3293"/>
    <x v="0"/>
    <x v="1161"/>
    <n v="35.76"/>
    <x v="7"/>
    <s v="Mar 2025"/>
    <n v="7"/>
    <s v="Repeat"/>
    <x v="0"/>
    <x v="3400"/>
  </r>
  <r>
    <x v="364"/>
    <x v="3294"/>
    <x v="0"/>
    <x v="1110"/>
    <n v="25.96"/>
    <x v="2"/>
    <s v="Mar 2025"/>
    <n v="8"/>
    <s v="Repeat"/>
    <x v="0"/>
    <x v="3401"/>
  </r>
  <r>
    <x v="364"/>
    <x v="3295"/>
    <x v="0"/>
    <x v="1110"/>
    <n v="25.96"/>
    <x v="2"/>
    <s v="Mar 2025"/>
    <n v="8"/>
    <s v="Repeat"/>
    <x v="0"/>
    <x v="3402"/>
  </r>
  <r>
    <x v="364"/>
    <x v="3296"/>
    <x v="0"/>
    <x v="1163"/>
    <n v="25.96"/>
    <x v="2"/>
    <s v="Mar 2025"/>
    <n v="9"/>
    <s v="Repeat"/>
    <x v="0"/>
    <x v="3403"/>
  </r>
  <r>
    <x v="364"/>
    <x v="3297"/>
    <x v="0"/>
    <x v="1155"/>
    <n v="35.76"/>
    <x v="1"/>
    <s v="Mar 2025"/>
    <n v="10"/>
    <s v="Repeat"/>
    <x v="0"/>
    <x v="3404"/>
  </r>
  <r>
    <x v="364"/>
    <x v="3298"/>
    <x v="0"/>
    <x v="1266"/>
    <n v="30.86"/>
    <x v="3"/>
    <s v="Mar 2025"/>
    <n v="10"/>
    <s v="Repeat"/>
    <x v="0"/>
    <x v="3405"/>
  </r>
  <r>
    <x v="364"/>
    <x v="3299"/>
    <x v="0"/>
    <x v="1266"/>
    <n v="30.86"/>
    <x v="3"/>
    <s v="Mar 2025"/>
    <n v="10"/>
    <s v="Repeat"/>
    <x v="0"/>
    <x v="3406"/>
  </r>
  <r>
    <x v="364"/>
    <x v="3300"/>
    <x v="0"/>
    <x v="1262"/>
    <n v="35.76"/>
    <x v="4"/>
    <s v="Mar 2025"/>
    <n v="10"/>
    <s v="Repeat"/>
    <x v="0"/>
    <x v="3407"/>
  </r>
  <r>
    <x v="364"/>
    <x v="3301"/>
    <x v="0"/>
    <x v="1189"/>
    <n v="35.76"/>
    <x v="4"/>
    <s v="Mar 2025"/>
    <n v="11"/>
    <s v="Repeat"/>
    <x v="0"/>
    <x v="3408"/>
  </r>
  <r>
    <x v="364"/>
    <x v="3302"/>
    <x v="0"/>
    <x v="1157"/>
    <n v="30.86"/>
    <x v="3"/>
    <s v="Mar 2025"/>
    <n v="12"/>
    <s v="Repeat"/>
    <x v="0"/>
    <x v="3409"/>
  </r>
  <r>
    <x v="364"/>
    <x v="3303"/>
    <x v="0"/>
    <x v="1210"/>
    <n v="35.76"/>
    <x v="1"/>
    <s v="Mar 2025"/>
    <n v="13"/>
    <s v="Repeat"/>
    <x v="0"/>
    <x v="3410"/>
  </r>
  <r>
    <x v="364"/>
    <x v="1564"/>
    <x v="0"/>
    <x v="1260"/>
    <n v="25.96"/>
    <x v="2"/>
    <s v="Mar 2025"/>
    <n v="13"/>
    <s v="Repeat"/>
    <x v="0"/>
    <x v="3411"/>
  </r>
  <r>
    <x v="364"/>
    <x v="3304"/>
    <x v="0"/>
    <x v="1184"/>
    <n v="35.76"/>
    <x v="7"/>
    <s v="Mar 2025"/>
    <n v="14"/>
    <s v="Repeat"/>
    <x v="0"/>
    <x v="3412"/>
  </r>
  <r>
    <x v="364"/>
    <x v="3305"/>
    <x v="0"/>
    <x v="1191"/>
    <n v="35.76"/>
    <x v="0"/>
    <s v="Mar 2025"/>
    <n v="15"/>
    <s v="Repeat"/>
    <x v="0"/>
    <x v="3413"/>
  </r>
  <r>
    <x v="364"/>
    <x v="3306"/>
    <x v="0"/>
    <x v="1164"/>
    <n v="35.76"/>
    <x v="0"/>
    <s v="Mar 2025"/>
    <n v="15"/>
    <s v="Repeat"/>
    <x v="0"/>
    <x v="3414"/>
  </r>
  <r>
    <x v="364"/>
    <x v="3307"/>
    <x v="0"/>
    <x v="1191"/>
    <n v="35.76"/>
    <x v="0"/>
    <s v="Mar 2025"/>
    <n v="17"/>
    <s v="Repeat"/>
    <x v="0"/>
    <x v="3415"/>
  </r>
  <r>
    <x v="364"/>
    <x v="3308"/>
    <x v="0"/>
    <x v="1165"/>
    <n v="35.76"/>
    <x v="1"/>
    <s v="Mar 2025"/>
    <n v="17"/>
    <s v="Repeat"/>
    <x v="0"/>
    <x v="3416"/>
  </r>
  <r>
    <x v="365"/>
    <x v="3309"/>
    <x v="0"/>
    <x v="1207"/>
    <n v="30.86"/>
    <x v="3"/>
    <s v="Mar 2025"/>
    <n v="9"/>
    <s v="Repeat"/>
    <x v="0"/>
    <x v="3417"/>
  </r>
  <r>
    <x v="365"/>
    <x v="3310"/>
    <x v="0"/>
    <x v="1162"/>
    <n v="30.86"/>
    <x v="3"/>
    <s v="Mar 2025"/>
    <n v="9"/>
    <s v="Repeat"/>
    <x v="0"/>
    <x v="3418"/>
  </r>
  <r>
    <x v="365"/>
    <x v="3311"/>
    <x v="0"/>
    <x v="1163"/>
    <n v="25.96"/>
    <x v="2"/>
    <s v="Mar 2025"/>
    <n v="10"/>
    <s v="Repeat"/>
    <x v="0"/>
    <x v="3419"/>
  </r>
  <r>
    <x v="365"/>
    <x v="3312"/>
    <x v="0"/>
    <x v="1190"/>
    <n v="25.96"/>
    <x v="2"/>
    <s v="Mar 2025"/>
    <n v="11"/>
    <s v="Repeat"/>
    <x v="0"/>
    <x v="3420"/>
  </r>
  <r>
    <x v="365"/>
    <x v="3313"/>
    <x v="0"/>
    <x v="1190"/>
    <n v="25.96"/>
    <x v="2"/>
    <s v="Mar 2025"/>
    <n v="11"/>
    <s v="Repeat"/>
    <x v="0"/>
    <x v="3421"/>
  </r>
  <r>
    <x v="365"/>
    <x v="3314"/>
    <x v="0"/>
    <x v="1267"/>
    <n v="30.86"/>
    <x v="3"/>
    <s v="Mar 2025"/>
    <n v="12"/>
    <s v="Repeat"/>
    <x v="0"/>
    <x v="3422"/>
  </r>
  <r>
    <x v="365"/>
    <x v="3315"/>
    <x v="0"/>
    <x v="1110"/>
    <n v="25.96"/>
    <x v="2"/>
    <s v="Mar 2025"/>
    <n v="12"/>
    <s v="Repeat"/>
    <x v="0"/>
    <x v="3423"/>
  </r>
  <r>
    <x v="365"/>
    <x v="3316"/>
    <x v="0"/>
    <x v="1162"/>
    <n v="35.76"/>
    <x v="7"/>
    <s v="Mar 2025"/>
    <n v="13"/>
    <s v="Repeat"/>
    <x v="0"/>
    <x v="3424"/>
  </r>
  <r>
    <x v="366"/>
    <x v="3317"/>
    <x v="0"/>
    <x v="1268"/>
    <n v="21.06"/>
    <x v="6"/>
    <s v="Mar 2025"/>
    <n v="9"/>
    <s v="Single"/>
    <x v="1"/>
    <x v="3425"/>
  </r>
  <r>
    <x v="366"/>
    <x v="3318"/>
    <x v="0"/>
    <x v="1269"/>
    <n v="30.86"/>
    <x v="3"/>
    <s v="Mar 2025"/>
    <n v="11"/>
    <s v="Single"/>
    <x v="1"/>
    <x v="3426"/>
  </r>
  <r>
    <x v="366"/>
    <x v="1780"/>
    <x v="0"/>
    <x v="1184"/>
    <n v="35.76"/>
    <x v="7"/>
    <s v="Mar 2025"/>
    <n v="13"/>
    <s v="Repeat"/>
    <x v="0"/>
    <x v="3427"/>
  </r>
  <r>
    <x v="366"/>
    <x v="3319"/>
    <x v="0"/>
    <x v="1163"/>
    <n v="25.96"/>
    <x v="2"/>
    <s v="Mar 2025"/>
    <n v="14"/>
    <s v="Repeat"/>
    <x v="0"/>
    <x v="3428"/>
  </r>
  <r>
    <x v="366"/>
    <x v="3320"/>
    <x v="0"/>
    <x v="1153"/>
    <n v="35.76"/>
    <x v="7"/>
    <s v="Mar 2025"/>
    <n v="15"/>
    <s v="Repeat"/>
    <x v="0"/>
    <x v="3429"/>
  </r>
  <r>
    <x v="366"/>
    <x v="3321"/>
    <x v="0"/>
    <x v="1110"/>
    <n v="25.96"/>
    <x v="2"/>
    <s v="Mar 2025"/>
    <n v="15"/>
    <s v="Repeat"/>
    <x v="0"/>
    <x v="3430"/>
  </r>
  <r>
    <x v="366"/>
    <x v="3322"/>
    <x v="0"/>
    <x v="1217"/>
    <n v="30.86"/>
    <x v="3"/>
    <s v="Mar 2025"/>
    <n v="15"/>
    <s v="Repeat"/>
    <x v="0"/>
    <x v="3431"/>
  </r>
  <r>
    <x v="366"/>
    <x v="3323"/>
    <x v="0"/>
    <x v="1270"/>
    <n v="35.76"/>
    <x v="4"/>
    <s v="Mar 2025"/>
    <n v="15"/>
    <s v="Single"/>
    <x v="1"/>
    <x v="3432"/>
  </r>
  <r>
    <x v="367"/>
    <x v="3324"/>
    <x v="0"/>
    <x v="1271"/>
    <n v="25.96"/>
    <x v="2"/>
    <s v="Mar 2025"/>
    <n v="8"/>
    <s v="Repeat"/>
    <x v="0"/>
    <x v="3433"/>
  </r>
  <r>
    <x v="367"/>
    <x v="3325"/>
    <x v="0"/>
    <x v="1271"/>
    <n v="35.76"/>
    <x v="0"/>
    <s v="Mar 2025"/>
    <n v="8"/>
    <s v="Repeat"/>
    <x v="0"/>
    <x v="3434"/>
  </r>
  <r>
    <x v="367"/>
    <x v="3326"/>
    <x v="0"/>
    <x v="1153"/>
    <n v="30.86"/>
    <x v="3"/>
    <s v="Mar 2025"/>
    <n v="9"/>
    <s v="Repeat"/>
    <x v="0"/>
    <x v="3435"/>
  </r>
  <r>
    <x v="367"/>
    <x v="3327"/>
    <x v="0"/>
    <x v="1210"/>
    <n v="35.76"/>
    <x v="1"/>
    <s v="Mar 2025"/>
    <n v="9"/>
    <s v="Repeat"/>
    <x v="0"/>
    <x v="3436"/>
  </r>
  <r>
    <x v="367"/>
    <x v="3328"/>
    <x v="0"/>
    <x v="1272"/>
    <n v="35.76"/>
    <x v="4"/>
    <s v="Mar 2025"/>
    <n v="9"/>
    <s v="Single"/>
    <x v="1"/>
    <x v="3437"/>
  </r>
  <r>
    <x v="367"/>
    <x v="3329"/>
    <x v="0"/>
    <x v="1273"/>
    <n v="35.76"/>
    <x v="1"/>
    <s v="Mar 2025"/>
    <n v="10"/>
    <s v="Single"/>
    <x v="1"/>
    <x v="3438"/>
  </r>
  <r>
    <x v="367"/>
    <x v="3330"/>
    <x v="0"/>
    <x v="1171"/>
    <n v="25.96"/>
    <x v="2"/>
    <s v="Mar 2025"/>
    <n v="12"/>
    <s v="Repeat"/>
    <x v="0"/>
    <x v="3439"/>
  </r>
  <r>
    <x v="367"/>
    <x v="3331"/>
    <x v="0"/>
    <x v="1170"/>
    <n v="25.96"/>
    <x v="2"/>
    <s v="Mar 2025"/>
    <n v="15"/>
    <s v="Repeat"/>
    <x v="0"/>
    <x v="3440"/>
  </r>
  <r>
    <x v="367"/>
    <x v="3332"/>
    <x v="0"/>
    <x v="1212"/>
    <n v="35.76"/>
    <x v="1"/>
    <s v="Mar 2025"/>
    <n v="15"/>
    <s v="Repeat"/>
    <x v="0"/>
    <x v="3441"/>
  </r>
  <r>
    <x v="367"/>
    <x v="3333"/>
    <x v="0"/>
    <x v="1191"/>
    <n v="35.76"/>
    <x v="0"/>
    <s v="Mar 2025"/>
    <n v="16"/>
    <s v="Repeat"/>
    <x v="0"/>
    <x v="3442"/>
  </r>
  <r>
    <x v="367"/>
    <x v="3334"/>
    <x v="0"/>
    <x v="1165"/>
    <n v="35.76"/>
    <x v="0"/>
    <s v="Mar 2025"/>
    <n v="16"/>
    <s v="Repeat"/>
    <x v="0"/>
    <x v="3443"/>
  </r>
  <r>
    <x v="367"/>
    <x v="3335"/>
    <x v="0"/>
    <x v="1274"/>
    <n v="35.76"/>
    <x v="7"/>
    <s v="Mar 2025"/>
    <n v="16"/>
    <s v="Repeat"/>
    <x v="0"/>
    <x v="3444"/>
  </r>
  <r>
    <x v="367"/>
    <x v="3336"/>
    <x v="0"/>
    <x v="1274"/>
    <n v="30.86"/>
    <x v="3"/>
    <s v="Mar 2025"/>
    <n v="16"/>
    <s v="Repeat"/>
    <x v="0"/>
    <x v="3445"/>
  </r>
  <r>
    <x v="367"/>
    <x v="3337"/>
    <x v="0"/>
    <x v="1170"/>
    <n v="25.96"/>
    <x v="2"/>
    <s v="Mar 2025"/>
    <n v="18"/>
    <s v="Repeat"/>
    <x v="0"/>
    <x v="3446"/>
  </r>
  <r>
    <x v="367"/>
    <x v="1635"/>
    <x v="0"/>
    <x v="1257"/>
    <n v="35.76"/>
    <x v="0"/>
    <s v="Mar 2025"/>
    <n v="18"/>
    <s v="Repeat"/>
    <x v="0"/>
    <x v="3447"/>
  </r>
  <r>
    <x v="367"/>
    <x v="3338"/>
    <x v="0"/>
    <x v="1257"/>
    <n v="35.76"/>
    <x v="0"/>
    <s v="Mar 2025"/>
    <n v="18"/>
    <s v="Repeat"/>
    <x v="0"/>
    <x v="3448"/>
  </r>
  <r>
    <x v="367"/>
    <x v="3339"/>
    <x v="0"/>
    <x v="1157"/>
    <n v="30.86"/>
    <x v="3"/>
    <s v="Mar 2025"/>
    <n v="19"/>
    <s v="Repeat"/>
    <x v="0"/>
    <x v="3449"/>
  </r>
  <r>
    <x v="368"/>
    <x v="3340"/>
    <x v="0"/>
    <x v="1170"/>
    <n v="25.96"/>
    <x v="2"/>
    <s v="Mar 2025"/>
    <n v="8"/>
    <s v="Repeat"/>
    <x v="0"/>
    <x v="3450"/>
  </r>
  <r>
    <x v="368"/>
    <x v="3341"/>
    <x v="0"/>
    <x v="1163"/>
    <n v="35.76"/>
    <x v="7"/>
    <s v="Mar 2025"/>
    <n v="9"/>
    <s v="Repeat"/>
    <x v="0"/>
    <x v="3451"/>
  </r>
  <r>
    <x v="368"/>
    <x v="3342"/>
    <x v="0"/>
    <x v="1275"/>
    <n v="35.76"/>
    <x v="0"/>
    <s v="Mar 2025"/>
    <n v="9"/>
    <s v="Repeat"/>
    <x v="0"/>
    <x v="3452"/>
  </r>
  <r>
    <x v="368"/>
    <x v="2420"/>
    <x v="0"/>
    <x v="1170"/>
    <n v="25.96"/>
    <x v="2"/>
    <s v="Mar 2025"/>
    <n v="10"/>
    <s v="Repeat"/>
    <x v="0"/>
    <x v="3453"/>
  </r>
  <r>
    <x v="368"/>
    <x v="3343"/>
    <x v="0"/>
    <x v="1170"/>
    <n v="25.96"/>
    <x v="2"/>
    <s v="Mar 2025"/>
    <n v="12"/>
    <s v="Repeat"/>
    <x v="0"/>
    <x v="3454"/>
  </r>
  <r>
    <x v="368"/>
    <x v="3344"/>
    <x v="0"/>
    <x v="1171"/>
    <n v="25.96"/>
    <x v="2"/>
    <s v="Mar 2025"/>
    <n v="13"/>
    <s v="Repeat"/>
    <x v="0"/>
    <x v="3455"/>
  </r>
  <r>
    <x v="368"/>
    <x v="3345"/>
    <x v="0"/>
    <x v="1276"/>
    <n v="35.76"/>
    <x v="1"/>
    <s v="Mar 2025"/>
    <n v="16"/>
    <s v="Repeat"/>
    <x v="0"/>
    <x v="3456"/>
  </r>
  <r>
    <x v="368"/>
    <x v="1536"/>
    <x v="0"/>
    <x v="1276"/>
    <n v="35.76"/>
    <x v="4"/>
    <s v="Mar 2025"/>
    <n v="16"/>
    <s v="Repeat"/>
    <x v="0"/>
    <x v="3457"/>
  </r>
  <r>
    <x v="368"/>
    <x v="2961"/>
    <x v="0"/>
    <x v="1210"/>
    <n v="35.76"/>
    <x v="1"/>
    <s v="Mar 2025"/>
    <n v="16"/>
    <s v="Repeat"/>
    <x v="0"/>
    <x v="3458"/>
  </r>
  <r>
    <x v="368"/>
    <x v="3346"/>
    <x v="0"/>
    <x v="1184"/>
    <n v="35.76"/>
    <x v="7"/>
    <s v="Mar 2025"/>
    <n v="17"/>
    <s v="Repeat"/>
    <x v="0"/>
    <x v="3459"/>
  </r>
  <r>
    <x v="368"/>
    <x v="3347"/>
    <x v="0"/>
    <x v="1157"/>
    <n v="30.86"/>
    <x v="3"/>
    <s v="Mar 2025"/>
    <n v="18"/>
    <s v="Repeat"/>
    <x v="0"/>
    <x v="3460"/>
  </r>
  <r>
    <x v="368"/>
    <x v="3348"/>
    <x v="0"/>
    <x v="1209"/>
    <n v="35.76"/>
    <x v="0"/>
    <s v="Mar 2025"/>
    <n v="19"/>
    <s v="Repeat"/>
    <x v="0"/>
    <x v="3461"/>
  </r>
  <r>
    <x v="368"/>
    <x v="3349"/>
    <x v="0"/>
    <x v="1185"/>
    <n v="35.76"/>
    <x v="4"/>
    <s v="Mar 2025"/>
    <n v="20"/>
    <s v="Repeat"/>
    <x v="0"/>
    <x v="3462"/>
  </r>
  <r>
    <x v="369"/>
    <x v="1319"/>
    <x v="0"/>
    <x v="1277"/>
    <n v="35.76"/>
    <x v="4"/>
    <s v="Mar 2025"/>
    <n v="11"/>
    <s v="Single"/>
    <x v="1"/>
    <x v="3463"/>
  </r>
  <r>
    <x v="369"/>
    <x v="3350"/>
    <x v="0"/>
    <x v="1161"/>
    <n v="30.86"/>
    <x v="3"/>
    <s v="Mar 2025"/>
    <n v="11"/>
    <s v="Repeat"/>
    <x v="0"/>
    <x v="3464"/>
  </r>
  <r>
    <x v="369"/>
    <x v="3351"/>
    <x v="0"/>
    <x v="1161"/>
    <n v="35.76"/>
    <x v="7"/>
    <s v="Mar 2025"/>
    <n v="11"/>
    <s v="Repeat"/>
    <x v="0"/>
    <x v="3465"/>
  </r>
  <r>
    <x v="369"/>
    <x v="3352"/>
    <x v="0"/>
    <x v="1163"/>
    <n v="25.96"/>
    <x v="2"/>
    <s v="Mar 2025"/>
    <n v="11"/>
    <s v="Repeat"/>
    <x v="0"/>
    <x v="3466"/>
  </r>
  <r>
    <x v="369"/>
    <x v="3353"/>
    <x v="0"/>
    <x v="1163"/>
    <n v="25.96"/>
    <x v="2"/>
    <s v="Mar 2025"/>
    <n v="11"/>
    <s v="Repeat"/>
    <x v="0"/>
    <x v="3467"/>
  </r>
  <r>
    <x v="369"/>
    <x v="3354"/>
    <x v="0"/>
    <x v="1278"/>
    <n v="25.96"/>
    <x v="2"/>
    <s v="Mar 2025"/>
    <n v="12"/>
    <s v="Single"/>
    <x v="1"/>
    <x v="3468"/>
  </r>
  <r>
    <x v="369"/>
    <x v="3355"/>
    <x v="0"/>
    <x v="1279"/>
    <n v="35.76"/>
    <x v="1"/>
    <s v="Mar 2025"/>
    <n v="12"/>
    <s v="Repeat"/>
    <x v="0"/>
    <x v="3469"/>
  </r>
  <r>
    <x v="369"/>
    <x v="3356"/>
    <x v="0"/>
    <x v="1280"/>
    <n v="35.76"/>
    <x v="0"/>
    <s v="Mar 2025"/>
    <n v="13"/>
    <s v="Single"/>
    <x v="1"/>
    <x v="3470"/>
  </r>
  <r>
    <x v="369"/>
    <x v="3357"/>
    <x v="0"/>
    <x v="1199"/>
    <n v="35.76"/>
    <x v="0"/>
    <s v="Mar 2025"/>
    <n v="13"/>
    <s v="Repeat"/>
    <x v="0"/>
    <x v="3471"/>
  </r>
  <r>
    <x v="369"/>
    <x v="3358"/>
    <x v="0"/>
    <x v="1281"/>
    <n v="35.76"/>
    <x v="7"/>
    <s v="Mar 2025"/>
    <n v="16"/>
    <s v="Single"/>
    <x v="1"/>
    <x v="3472"/>
  </r>
  <r>
    <x v="369"/>
    <x v="3359"/>
    <x v="0"/>
    <x v="1191"/>
    <n v="35.76"/>
    <x v="0"/>
    <s v="Mar 2025"/>
    <n v="16"/>
    <s v="Repeat"/>
    <x v="0"/>
    <x v="3473"/>
  </r>
  <r>
    <x v="369"/>
    <x v="3360"/>
    <x v="0"/>
    <x v="1165"/>
    <n v="35.76"/>
    <x v="0"/>
    <s v="Mar 2025"/>
    <n v="16"/>
    <s v="Repeat"/>
    <x v="0"/>
    <x v="3474"/>
  </r>
  <r>
    <x v="369"/>
    <x v="3361"/>
    <x v="0"/>
    <x v="1170"/>
    <n v="25.96"/>
    <x v="2"/>
    <s v="Mar 2025"/>
    <n v="18"/>
    <s v="Repeat"/>
    <x v="0"/>
    <x v="3475"/>
  </r>
  <r>
    <x v="369"/>
    <x v="3362"/>
    <x v="0"/>
    <x v="1264"/>
    <n v="35.76"/>
    <x v="4"/>
    <s v="Mar 2025"/>
    <n v="18"/>
    <s v="Repeat"/>
    <x v="0"/>
    <x v="3476"/>
  </r>
  <r>
    <x v="369"/>
    <x v="3363"/>
    <x v="0"/>
    <x v="1282"/>
    <n v="25.96"/>
    <x v="2"/>
    <s v="Mar 2025"/>
    <n v="18"/>
    <s v="Single"/>
    <x v="1"/>
    <x v="3477"/>
  </r>
  <r>
    <x v="369"/>
    <x v="3364"/>
    <x v="0"/>
    <x v="1158"/>
    <n v="35.76"/>
    <x v="7"/>
    <s v="Mar 2025"/>
    <n v="18"/>
    <s v="Repeat"/>
    <x v="0"/>
    <x v="3478"/>
  </r>
  <r>
    <x v="369"/>
    <x v="3365"/>
    <x v="0"/>
    <x v="1170"/>
    <n v="25.96"/>
    <x v="2"/>
    <s v="Mar 2025"/>
    <n v="18"/>
    <s v="Repeat"/>
    <x v="0"/>
    <x v="3479"/>
  </r>
  <r>
    <x v="370"/>
    <x v="3366"/>
    <x v="0"/>
    <x v="1161"/>
    <n v="35.76"/>
    <x v="7"/>
    <s v="Mar 2025"/>
    <n v="7"/>
    <s v="Repeat"/>
    <x v="0"/>
    <x v="3480"/>
  </r>
  <r>
    <x v="370"/>
    <x v="3367"/>
    <x v="0"/>
    <x v="1153"/>
    <n v="30.86"/>
    <x v="3"/>
    <s v="Mar 2025"/>
    <n v="8"/>
    <s v="Repeat"/>
    <x v="0"/>
    <x v="3481"/>
  </r>
  <r>
    <x v="370"/>
    <x v="1069"/>
    <x v="0"/>
    <x v="1163"/>
    <n v="30.86"/>
    <x v="3"/>
    <s v="Mar 2025"/>
    <n v="9"/>
    <s v="Repeat"/>
    <x v="0"/>
    <x v="3482"/>
  </r>
  <r>
    <x v="370"/>
    <x v="3368"/>
    <x v="0"/>
    <x v="1168"/>
    <n v="35.76"/>
    <x v="0"/>
    <s v="Mar 2025"/>
    <n v="9"/>
    <s v="Repeat"/>
    <x v="0"/>
    <x v="3483"/>
  </r>
  <r>
    <x v="370"/>
    <x v="3369"/>
    <x v="0"/>
    <x v="1207"/>
    <n v="21.06"/>
    <x v="6"/>
    <s v="Mar 2025"/>
    <n v="9"/>
    <s v="Repeat"/>
    <x v="0"/>
    <x v="3484"/>
  </r>
  <r>
    <x v="370"/>
    <x v="3370"/>
    <x v="0"/>
    <x v="1283"/>
    <n v="25.96"/>
    <x v="2"/>
    <s v="Mar 2025"/>
    <n v="9"/>
    <s v="Single"/>
    <x v="1"/>
    <x v="3485"/>
  </r>
  <r>
    <x v="370"/>
    <x v="3371"/>
    <x v="0"/>
    <x v="1284"/>
    <n v="30.86"/>
    <x v="3"/>
    <s v="Mar 2025"/>
    <n v="9"/>
    <s v="Single"/>
    <x v="1"/>
    <x v="3486"/>
  </r>
  <r>
    <x v="370"/>
    <x v="1822"/>
    <x v="0"/>
    <x v="1167"/>
    <n v="25.96"/>
    <x v="2"/>
    <s v="Mar 2025"/>
    <n v="11"/>
    <s v="Repeat"/>
    <x v="0"/>
    <x v="3487"/>
  </r>
  <r>
    <x v="370"/>
    <x v="3372"/>
    <x v="0"/>
    <x v="1191"/>
    <n v="35.76"/>
    <x v="0"/>
    <s v="Mar 2025"/>
    <n v="12"/>
    <s v="Repeat"/>
    <x v="0"/>
    <x v="3488"/>
  </r>
  <r>
    <x v="370"/>
    <x v="3373"/>
    <x v="0"/>
    <x v="1285"/>
    <n v="30.86"/>
    <x v="3"/>
    <s v="Mar 2025"/>
    <n v="14"/>
    <s v="Single"/>
    <x v="1"/>
    <x v="3489"/>
  </r>
  <r>
    <x v="370"/>
    <x v="2894"/>
    <x v="0"/>
    <x v="1194"/>
    <n v="25.96"/>
    <x v="2"/>
    <s v="Mar 2025"/>
    <n v="14"/>
    <s v="Repeat"/>
    <x v="0"/>
    <x v="3490"/>
  </r>
  <r>
    <x v="370"/>
    <x v="3374"/>
    <x v="0"/>
    <x v="1158"/>
    <n v="35.76"/>
    <x v="7"/>
    <s v="Mar 2025"/>
    <n v="18"/>
    <s v="Repeat"/>
    <x v="0"/>
    <x v="3491"/>
  </r>
  <r>
    <x v="371"/>
    <x v="3375"/>
    <x v="0"/>
    <x v="1170"/>
    <n v="25.96"/>
    <x v="2"/>
    <s v="Mar 2025"/>
    <n v="7"/>
    <s v="Repeat"/>
    <x v="0"/>
    <x v="3492"/>
  </r>
  <r>
    <x v="371"/>
    <x v="3376"/>
    <x v="0"/>
    <x v="1286"/>
    <n v="30.86"/>
    <x v="3"/>
    <s v="Mar 2025"/>
    <n v="8"/>
    <s v="Single"/>
    <x v="1"/>
    <x v="3493"/>
  </r>
  <r>
    <x v="371"/>
    <x v="3377"/>
    <x v="0"/>
    <x v="1271"/>
    <n v="25.96"/>
    <x v="2"/>
    <s v="Mar 2025"/>
    <n v="8"/>
    <s v="Repeat"/>
    <x v="0"/>
    <x v="3494"/>
  </r>
  <r>
    <x v="371"/>
    <x v="3378"/>
    <x v="0"/>
    <x v="1287"/>
    <n v="35.76"/>
    <x v="0"/>
    <s v="Mar 2025"/>
    <n v="9"/>
    <s v="Single"/>
    <x v="1"/>
    <x v="3495"/>
  </r>
  <r>
    <x v="371"/>
    <x v="3379"/>
    <x v="0"/>
    <x v="1207"/>
    <n v="21.06"/>
    <x v="6"/>
    <s v="Mar 2025"/>
    <n v="9"/>
    <s v="Repeat"/>
    <x v="0"/>
    <x v="3496"/>
  </r>
  <r>
    <x v="371"/>
    <x v="3380"/>
    <x v="0"/>
    <x v="1170"/>
    <n v="25.96"/>
    <x v="2"/>
    <s v="Mar 2025"/>
    <n v="9"/>
    <s v="Repeat"/>
    <x v="0"/>
    <x v="3497"/>
  </r>
  <r>
    <x v="371"/>
    <x v="3381"/>
    <x v="0"/>
    <x v="1110"/>
    <n v="25.96"/>
    <x v="2"/>
    <s v="Mar 2025"/>
    <n v="10"/>
    <s v="Repeat"/>
    <x v="0"/>
    <x v="3498"/>
  </r>
  <r>
    <x v="371"/>
    <x v="3382"/>
    <x v="0"/>
    <x v="1288"/>
    <n v="35.76"/>
    <x v="0"/>
    <s v="Mar 2025"/>
    <n v="10"/>
    <s v="Repeat"/>
    <x v="0"/>
    <x v="3499"/>
  </r>
  <r>
    <x v="371"/>
    <x v="3383"/>
    <x v="0"/>
    <x v="1288"/>
    <n v="35.76"/>
    <x v="7"/>
    <s v="Mar 2025"/>
    <n v="10"/>
    <s v="Repeat"/>
    <x v="0"/>
    <x v="3500"/>
  </r>
  <r>
    <x v="371"/>
    <x v="3384"/>
    <x v="0"/>
    <x v="1170"/>
    <n v="25.96"/>
    <x v="2"/>
    <s v="Mar 2025"/>
    <n v="14"/>
    <s v="Repeat"/>
    <x v="0"/>
    <x v="3501"/>
  </r>
  <r>
    <x v="371"/>
    <x v="3385"/>
    <x v="0"/>
    <x v="1165"/>
    <n v="35.76"/>
    <x v="0"/>
    <s v="Mar 2025"/>
    <n v="14"/>
    <s v="Repeat"/>
    <x v="0"/>
    <x v="3502"/>
  </r>
  <r>
    <x v="371"/>
    <x v="3386"/>
    <x v="0"/>
    <x v="1191"/>
    <n v="35.76"/>
    <x v="0"/>
    <s v="Mar 2025"/>
    <n v="15"/>
    <s v="Repeat"/>
    <x v="0"/>
    <x v="3503"/>
  </r>
  <r>
    <x v="371"/>
    <x v="3387"/>
    <x v="0"/>
    <x v="1165"/>
    <n v="35.76"/>
    <x v="0"/>
    <s v="Mar 2025"/>
    <n v="15"/>
    <s v="Repeat"/>
    <x v="0"/>
    <x v="3504"/>
  </r>
  <r>
    <x v="371"/>
    <x v="3388"/>
    <x v="0"/>
    <x v="1170"/>
    <n v="25.96"/>
    <x v="2"/>
    <s v="Mar 2025"/>
    <n v="16"/>
    <s v="Repeat"/>
    <x v="0"/>
    <x v="3505"/>
  </r>
  <r>
    <x v="371"/>
    <x v="1566"/>
    <x v="0"/>
    <x v="1276"/>
    <n v="35.76"/>
    <x v="4"/>
    <s v="Mar 2025"/>
    <n v="16"/>
    <s v="Repeat"/>
    <x v="0"/>
    <x v="3506"/>
  </r>
  <r>
    <x v="371"/>
    <x v="3389"/>
    <x v="0"/>
    <x v="1289"/>
    <n v="35.76"/>
    <x v="4"/>
    <s v="Mar 2025"/>
    <n v="16"/>
    <s v="Repeat"/>
    <x v="0"/>
    <x v="3507"/>
  </r>
  <r>
    <x v="371"/>
    <x v="3390"/>
    <x v="0"/>
    <x v="1289"/>
    <n v="35.76"/>
    <x v="4"/>
    <s v="Mar 2025"/>
    <n v="16"/>
    <s v="Repeat"/>
    <x v="0"/>
    <x v="3508"/>
  </r>
  <r>
    <x v="371"/>
    <x v="3391"/>
    <x v="0"/>
    <x v="1290"/>
    <n v="25.96"/>
    <x v="2"/>
    <s v="Mar 2025"/>
    <n v="17"/>
    <s v="Repeat"/>
    <x v="0"/>
    <x v="3509"/>
  </r>
  <r>
    <x v="371"/>
    <x v="3392"/>
    <x v="0"/>
    <x v="1167"/>
    <n v="25.96"/>
    <x v="2"/>
    <s v="Mar 2025"/>
    <n v="17"/>
    <s v="Repeat"/>
    <x v="0"/>
    <x v="3510"/>
  </r>
  <r>
    <x v="371"/>
    <x v="3393"/>
    <x v="0"/>
    <x v="1191"/>
    <n v="35.76"/>
    <x v="0"/>
    <s v="Mar 2025"/>
    <n v="17"/>
    <s v="Repeat"/>
    <x v="0"/>
    <x v="3511"/>
  </r>
  <r>
    <x v="371"/>
    <x v="3394"/>
    <x v="0"/>
    <x v="1165"/>
    <n v="35.76"/>
    <x v="0"/>
    <s v="Mar 2025"/>
    <n v="17"/>
    <s v="Repeat"/>
    <x v="0"/>
    <x v="3512"/>
  </r>
  <r>
    <x v="371"/>
    <x v="3395"/>
    <x v="0"/>
    <x v="1291"/>
    <n v="25.96"/>
    <x v="2"/>
    <s v="Mar 2025"/>
    <n v="20"/>
    <s v="Single"/>
    <x v="1"/>
    <x v="3513"/>
  </r>
  <r>
    <x v="371"/>
    <x v="3396"/>
    <x v="0"/>
    <x v="1214"/>
    <n v="25.96"/>
    <x v="2"/>
    <s v="Mar 2025"/>
    <n v="21"/>
    <s v="Repeat"/>
    <x v="0"/>
    <x v="3514"/>
  </r>
  <r>
    <x v="372"/>
    <x v="3397"/>
    <x v="0"/>
    <x v="1163"/>
    <n v="30.86"/>
    <x v="3"/>
    <s v="Mar 2025"/>
    <n v="9"/>
    <s v="Repeat"/>
    <x v="0"/>
    <x v="3515"/>
  </r>
  <r>
    <x v="372"/>
    <x v="3398"/>
    <x v="0"/>
    <x v="1158"/>
    <n v="35.76"/>
    <x v="7"/>
    <s v="Mar 2025"/>
    <n v="10"/>
    <s v="Repeat"/>
    <x v="0"/>
    <x v="3516"/>
  </r>
  <r>
    <x v="372"/>
    <x v="3399"/>
    <x v="0"/>
    <x v="1167"/>
    <n v="25.96"/>
    <x v="2"/>
    <s v="Mar 2025"/>
    <n v="13"/>
    <s v="Repeat"/>
    <x v="0"/>
    <x v="3517"/>
  </r>
  <r>
    <x v="372"/>
    <x v="2392"/>
    <x v="0"/>
    <x v="46"/>
    <n v="35.76"/>
    <x v="7"/>
    <s v="Mar 2025"/>
    <n v="17"/>
    <s v="Repeat"/>
    <x v="0"/>
    <x v="3518"/>
  </r>
  <r>
    <x v="372"/>
    <x v="3400"/>
    <x v="0"/>
    <x v="1152"/>
    <n v="30.86"/>
    <x v="3"/>
    <s v="Mar 2025"/>
    <n v="17"/>
    <s v="Repeat"/>
    <x v="0"/>
    <x v="3519"/>
  </r>
  <r>
    <x v="372"/>
    <x v="3401"/>
    <x v="0"/>
    <x v="1217"/>
    <n v="30.86"/>
    <x v="3"/>
    <s v="Mar 2025"/>
    <n v="19"/>
    <s v="Repeat"/>
    <x v="0"/>
    <x v="3520"/>
  </r>
  <r>
    <x v="372"/>
    <x v="3402"/>
    <x v="0"/>
    <x v="1292"/>
    <n v="35.76"/>
    <x v="7"/>
    <s v="Mar 2025"/>
    <n v="19"/>
    <s v="Single"/>
    <x v="1"/>
    <x v="3521"/>
  </r>
  <r>
    <x v="373"/>
    <x v="3403"/>
    <x v="0"/>
    <x v="1161"/>
    <n v="35.76"/>
    <x v="7"/>
    <s v="Mar 2025"/>
    <n v="9"/>
    <s v="Repeat"/>
    <x v="0"/>
    <x v="3522"/>
  </r>
  <r>
    <x v="373"/>
    <x v="3404"/>
    <x v="0"/>
    <x v="1293"/>
    <n v="30.86"/>
    <x v="3"/>
    <s v="Mar 2025"/>
    <n v="9"/>
    <s v="Repeat"/>
    <x v="0"/>
    <x v="3523"/>
  </r>
  <r>
    <x v="373"/>
    <x v="3405"/>
    <x v="0"/>
    <x v="1294"/>
    <n v="35.76"/>
    <x v="0"/>
    <s v="Mar 2025"/>
    <n v="10"/>
    <s v="Repeat"/>
    <x v="0"/>
    <x v="3524"/>
  </r>
  <r>
    <x v="373"/>
    <x v="3406"/>
    <x v="0"/>
    <x v="1294"/>
    <n v="35.76"/>
    <x v="1"/>
    <s v="Mar 2025"/>
    <n v="12"/>
    <s v="Repeat"/>
    <x v="0"/>
    <x v="3525"/>
  </r>
  <r>
    <x v="373"/>
    <x v="3407"/>
    <x v="0"/>
    <x v="1170"/>
    <n v="25.96"/>
    <x v="2"/>
    <s v="Mar 2025"/>
    <n v="14"/>
    <s v="Repeat"/>
    <x v="0"/>
    <x v="3526"/>
  </r>
  <r>
    <x v="374"/>
    <x v="3408"/>
    <x v="0"/>
    <x v="1163"/>
    <n v="25.96"/>
    <x v="2"/>
    <s v="Mar 2025"/>
    <n v="6"/>
    <s v="Repeat"/>
    <x v="0"/>
    <x v="3527"/>
  </r>
  <r>
    <x v="374"/>
    <x v="3409"/>
    <x v="0"/>
    <x v="1110"/>
    <n v="25.96"/>
    <x v="2"/>
    <s v="Mar 2025"/>
    <n v="8"/>
    <s v="Repeat"/>
    <x v="0"/>
    <x v="3528"/>
  </r>
  <r>
    <x v="374"/>
    <x v="3410"/>
    <x v="0"/>
    <x v="1110"/>
    <n v="25.96"/>
    <x v="2"/>
    <s v="Mar 2025"/>
    <n v="8"/>
    <s v="Repeat"/>
    <x v="0"/>
    <x v="3529"/>
  </r>
  <r>
    <x v="374"/>
    <x v="3411"/>
    <x v="0"/>
    <x v="1153"/>
    <n v="30.86"/>
    <x v="3"/>
    <s v="Mar 2025"/>
    <n v="9"/>
    <s v="Repeat"/>
    <x v="0"/>
    <x v="3530"/>
  </r>
  <r>
    <x v="374"/>
    <x v="3412"/>
    <x v="0"/>
    <x v="1163"/>
    <n v="25.96"/>
    <x v="2"/>
    <s v="Mar 2025"/>
    <n v="10"/>
    <s v="Repeat"/>
    <x v="0"/>
    <x v="3531"/>
  </r>
  <r>
    <x v="374"/>
    <x v="3413"/>
    <x v="0"/>
    <x v="1203"/>
    <n v="25.96"/>
    <x v="2"/>
    <s v="Mar 2025"/>
    <n v="13"/>
    <s v="Repeat"/>
    <x v="0"/>
    <x v="3532"/>
  </r>
  <r>
    <x v="374"/>
    <x v="3414"/>
    <x v="0"/>
    <x v="1276"/>
    <n v="35.76"/>
    <x v="4"/>
    <s v="Mar 2025"/>
    <n v="14"/>
    <s v="Repeat"/>
    <x v="0"/>
    <x v="3533"/>
  </r>
  <r>
    <x v="374"/>
    <x v="3415"/>
    <x v="0"/>
    <x v="1276"/>
    <n v="35.76"/>
    <x v="4"/>
    <s v="Mar 2025"/>
    <n v="14"/>
    <s v="Repeat"/>
    <x v="0"/>
    <x v="3534"/>
  </r>
  <r>
    <x v="374"/>
    <x v="3416"/>
    <x v="0"/>
    <x v="1295"/>
    <n v="35.76"/>
    <x v="0"/>
    <s v="Mar 2025"/>
    <n v="14"/>
    <s v="Repeat"/>
    <x v="0"/>
    <x v="3535"/>
  </r>
  <r>
    <x v="374"/>
    <x v="3417"/>
    <x v="0"/>
    <x v="1158"/>
    <n v="35.76"/>
    <x v="7"/>
    <s v="Mar 2025"/>
    <n v="15"/>
    <s v="Repeat"/>
    <x v="0"/>
    <x v="3536"/>
  </r>
  <r>
    <x v="374"/>
    <x v="3418"/>
    <x v="0"/>
    <x v="1165"/>
    <n v="35.76"/>
    <x v="0"/>
    <s v="Mar 2025"/>
    <n v="15"/>
    <s v="Repeat"/>
    <x v="0"/>
    <x v="3537"/>
  </r>
  <r>
    <x v="374"/>
    <x v="3419"/>
    <x v="0"/>
    <x v="1191"/>
    <n v="35.76"/>
    <x v="0"/>
    <s v="Mar 2025"/>
    <n v="15"/>
    <s v="Repeat"/>
    <x v="0"/>
    <x v="3538"/>
  </r>
  <r>
    <x v="374"/>
    <x v="3420"/>
    <x v="0"/>
    <x v="1167"/>
    <n v="25.96"/>
    <x v="2"/>
    <s v="Mar 2025"/>
    <n v="16"/>
    <s v="Repeat"/>
    <x v="0"/>
    <x v="3539"/>
  </r>
  <r>
    <x v="375"/>
    <x v="3421"/>
    <x v="0"/>
    <x v="1296"/>
    <n v="30.86"/>
    <x v="3"/>
    <s v="Mar 2025"/>
    <n v="8"/>
    <s v="Single"/>
    <x v="1"/>
    <x v="3540"/>
  </r>
  <r>
    <x v="375"/>
    <x v="3422"/>
    <x v="0"/>
    <x v="1168"/>
    <n v="35.76"/>
    <x v="0"/>
    <s v="Mar 2025"/>
    <n v="8"/>
    <s v="Repeat"/>
    <x v="0"/>
    <x v="3541"/>
  </r>
  <r>
    <x v="375"/>
    <x v="3423"/>
    <x v="0"/>
    <x v="1215"/>
    <n v="35.76"/>
    <x v="0"/>
    <s v="Mar 2025"/>
    <n v="10"/>
    <s v="Repeat"/>
    <x v="0"/>
    <x v="3542"/>
  </r>
  <r>
    <x v="375"/>
    <x v="3424"/>
    <x v="0"/>
    <x v="1215"/>
    <n v="25.96"/>
    <x v="2"/>
    <s v="Mar 2025"/>
    <n v="10"/>
    <s v="Repeat"/>
    <x v="0"/>
    <x v="3543"/>
  </r>
  <r>
    <x v="375"/>
    <x v="3425"/>
    <x v="0"/>
    <x v="1297"/>
    <n v="35.76"/>
    <x v="1"/>
    <s v="Mar 2025"/>
    <n v="11"/>
    <s v="Repeat"/>
    <x v="0"/>
    <x v="3544"/>
  </r>
  <r>
    <x v="375"/>
    <x v="3426"/>
    <x v="0"/>
    <x v="1297"/>
    <n v="35.76"/>
    <x v="1"/>
    <s v="Mar 2025"/>
    <n v="11"/>
    <s v="Repeat"/>
    <x v="0"/>
    <x v="3545"/>
  </r>
  <r>
    <x v="375"/>
    <x v="3427"/>
    <x v="0"/>
    <x v="1293"/>
    <n v="30.86"/>
    <x v="3"/>
    <s v="Mar 2025"/>
    <n v="14"/>
    <s v="Repeat"/>
    <x v="0"/>
    <x v="3546"/>
  </r>
  <r>
    <x v="375"/>
    <x v="3428"/>
    <x v="0"/>
    <x v="1110"/>
    <n v="25.96"/>
    <x v="2"/>
    <s v="Mar 2025"/>
    <n v="15"/>
    <s v="Repeat"/>
    <x v="0"/>
    <x v="3547"/>
  </r>
  <r>
    <x v="375"/>
    <x v="3429"/>
    <x v="0"/>
    <x v="1166"/>
    <n v="30.86"/>
    <x v="3"/>
    <s v="Mar 2025"/>
    <n v="15"/>
    <s v="Repeat"/>
    <x v="0"/>
    <x v="3548"/>
  </r>
  <r>
    <x v="375"/>
    <x v="3430"/>
    <x v="0"/>
    <x v="1203"/>
    <n v="25.96"/>
    <x v="2"/>
    <s v="Mar 2025"/>
    <n v="16"/>
    <s v="Repeat"/>
    <x v="0"/>
    <x v="3549"/>
  </r>
  <r>
    <x v="375"/>
    <x v="3431"/>
    <x v="0"/>
    <x v="1165"/>
    <n v="35.76"/>
    <x v="0"/>
    <s v="Mar 2025"/>
    <n v="16"/>
    <s v="Repeat"/>
    <x v="0"/>
    <x v="3550"/>
  </r>
  <r>
    <x v="375"/>
    <x v="3432"/>
    <x v="0"/>
    <x v="1203"/>
    <n v="21.06"/>
    <x v="6"/>
    <s v="Mar 2025"/>
    <n v="16"/>
    <s v="Repeat"/>
    <x v="0"/>
    <x v="3551"/>
  </r>
  <r>
    <x v="375"/>
    <x v="3433"/>
    <x v="0"/>
    <x v="1163"/>
    <n v="35.76"/>
    <x v="4"/>
    <s v="Mar 2025"/>
    <n v="18"/>
    <s v="Repeat"/>
    <x v="0"/>
    <x v="3552"/>
  </r>
  <r>
    <x v="375"/>
    <x v="3434"/>
    <x v="0"/>
    <x v="1163"/>
    <n v="35.76"/>
    <x v="4"/>
    <s v="Mar 2025"/>
    <n v="18"/>
    <s v="Repeat"/>
    <x v="0"/>
    <x v="3553"/>
  </r>
  <r>
    <x v="375"/>
    <x v="3435"/>
    <x v="0"/>
    <x v="1276"/>
    <n v="35.76"/>
    <x v="4"/>
    <s v="Mar 2025"/>
    <n v="20"/>
    <s v="Repeat"/>
    <x v="0"/>
    <x v="3554"/>
  </r>
  <r>
    <x v="375"/>
    <x v="3436"/>
    <x v="0"/>
    <x v="1276"/>
    <n v="35.76"/>
    <x v="4"/>
    <s v="Mar 2025"/>
    <n v="20"/>
    <s v="Repeat"/>
    <x v="0"/>
    <x v="3555"/>
  </r>
  <r>
    <x v="375"/>
    <x v="3437"/>
    <x v="0"/>
    <x v="1298"/>
    <n v="35.76"/>
    <x v="0"/>
    <s v="Mar 2025"/>
    <n v="21"/>
    <s v="Repeat"/>
    <x v="0"/>
    <x v="3556"/>
  </r>
  <r>
    <x v="376"/>
    <x v="3438"/>
    <x v="0"/>
    <x v="1152"/>
    <n v="25.96"/>
    <x v="2"/>
    <s v="Mar 2025"/>
    <n v="7"/>
    <s v="Repeat"/>
    <x v="0"/>
    <x v="3557"/>
  </r>
  <r>
    <x v="376"/>
    <x v="3439"/>
    <x v="0"/>
    <x v="261"/>
    <n v="25.96"/>
    <x v="2"/>
    <s v="Mar 2025"/>
    <n v="7"/>
    <s v="Repeat"/>
    <x v="0"/>
    <x v="3558"/>
  </r>
  <r>
    <x v="376"/>
    <x v="3440"/>
    <x v="0"/>
    <x v="1161"/>
    <n v="35.76"/>
    <x v="7"/>
    <s v="Mar 2025"/>
    <n v="7"/>
    <s v="Repeat"/>
    <x v="0"/>
    <x v="3559"/>
  </r>
  <r>
    <x v="376"/>
    <x v="3441"/>
    <x v="0"/>
    <x v="19"/>
    <n v="25.96"/>
    <x v="2"/>
    <s v="Mar 2025"/>
    <n v="8"/>
    <s v="Repeat"/>
    <x v="0"/>
    <x v="3560"/>
  </r>
  <r>
    <x v="376"/>
    <x v="3442"/>
    <x v="0"/>
    <x v="1227"/>
    <n v="35.76"/>
    <x v="1"/>
    <s v="Mar 2025"/>
    <n v="10"/>
    <s v="Repeat"/>
    <x v="0"/>
    <x v="3561"/>
  </r>
  <r>
    <x v="376"/>
    <x v="3443"/>
    <x v="0"/>
    <x v="1110"/>
    <n v="25.96"/>
    <x v="2"/>
    <s v="Mar 2025"/>
    <n v="11"/>
    <s v="Repeat"/>
    <x v="0"/>
    <x v="3562"/>
  </r>
  <r>
    <x v="376"/>
    <x v="3444"/>
    <x v="0"/>
    <x v="1299"/>
    <n v="25.96"/>
    <x v="2"/>
    <s v="Mar 2025"/>
    <n v="12"/>
    <s v="Single"/>
    <x v="1"/>
    <x v="3563"/>
  </r>
  <r>
    <x v="376"/>
    <x v="3445"/>
    <x v="0"/>
    <x v="1295"/>
    <n v="35.76"/>
    <x v="0"/>
    <s v="Mar 2025"/>
    <n v="15"/>
    <s v="Repeat"/>
    <x v="0"/>
    <x v="3564"/>
  </r>
  <r>
    <x v="376"/>
    <x v="3446"/>
    <x v="0"/>
    <x v="1300"/>
    <n v="35.76"/>
    <x v="0"/>
    <s v="Mar 2025"/>
    <n v="15"/>
    <s v="Single"/>
    <x v="1"/>
    <x v="3565"/>
  </r>
  <r>
    <x v="376"/>
    <x v="3447"/>
    <x v="0"/>
    <x v="1191"/>
    <n v="35.76"/>
    <x v="0"/>
    <s v="Mar 2025"/>
    <n v="16"/>
    <s v="Repeat"/>
    <x v="0"/>
    <x v="3566"/>
  </r>
  <r>
    <x v="376"/>
    <x v="3448"/>
    <x v="0"/>
    <x v="1167"/>
    <n v="25.96"/>
    <x v="2"/>
    <s v="Mar 2025"/>
    <n v="16"/>
    <s v="Repeat"/>
    <x v="0"/>
    <x v="3567"/>
  </r>
  <r>
    <x v="376"/>
    <x v="3449"/>
    <x v="0"/>
    <x v="1158"/>
    <n v="35.76"/>
    <x v="7"/>
    <s v="Mar 2025"/>
    <n v="16"/>
    <s v="Repeat"/>
    <x v="0"/>
    <x v="3568"/>
  </r>
  <r>
    <x v="376"/>
    <x v="3450"/>
    <x v="0"/>
    <x v="1158"/>
    <n v="35.76"/>
    <x v="7"/>
    <s v="Mar 2025"/>
    <n v="16"/>
    <s v="Repeat"/>
    <x v="0"/>
    <x v="3569"/>
  </r>
  <r>
    <x v="376"/>
    <x v="3451"/>
    <x v="0"/>
    <x v="1152"/>
    <n v="25.96"/>
    <x v="2"/>
    <s v="Mar 2025"/>
    <n v="16"/>
    <s v="Repeat"/>
    <x v="0"/>
    <x v="3570"/>
  </r>
  <r>
    <x v="376"/>
    <x v="3452"/>
    <x v="0"/>
    <x v="1110"/>
    <n v="25.96"/>
    <x v="2"/>
    <s v="Mar 2025"/>
    <n v="16"/>
    <s v="Repeat"/>
    <x v="0"/>
    <x v="3571"/>
  </r>
  <r>
    <x v="376"/>
    <x v="3453"/>
    <x v="0"/>
    <x v="1275"/>
    <n v="35.76"/>
    <x v="4"/>
    <s v="Mar 2025"/>
    <n v="16"/>
    <s v="Repeat"/>
    <x v="0"/>
    <x v="3572"/>
  </r>
  <r>
    <x v="376"/>
    <x v="2849"/>
    <x v="0"/>
    <x v="1219"/>
    <n v="30.86"/>
    <x v="3"/>
    <s v="Mar 2025"/>
    <n v="17"/>
    <s v="Repeat"/>
    <x v="0"/>
    <x v="3573"/>
  </r>
  <r>
    <x v="376"/>
    <x v="3454"/>
    <x v="0"/>
    <x v="1222"/>
    <n v="30.86"/>
    <x v="3"/>
    <s v="Mar 2025"/>
    <n v="17"/>
    <s v="Repeat"/>
    <x v="0"/>
    <x v="3574"/>
  </r>
  <r>
    <x v="376"/>
    <x v="3455"/>
    <x v="0"/>
    <x v="1301"/>
    <n v="25.96"/>
    <x v="5"/>
    <s v="Mar 2025"/>
    <n v="18"/>
    <s v="Single"/>
    <x v="1"/>
    <x v="3575"/>
  </r>
  <r>
    <x v="376"/>
    <x v="3456"/>
    <x v="0"/>
    <x v="1302"/>
    <n v="21.06"/>
    <x v="6"/>
    <s v="Mar 2025"/>
    <n v="18"/>
    <s v="Repeat"/>
    <x v="0"/>
    <x v="3576"/>
  </r>
  <r>
    <x v="376"/>
    <x v="3457"/>
    <x v="0"/>
    <x v="1303"/>
    <n v="21.06"/>
    <x v="6"/>
    <s v="Mar 2025"/>
    <n v="18"/>
    <s v="Single"/>
    <x v="1"/>
    <x v="3577"/>
  </r>
  <r>
    <x v="377"/>
    <x v="3458"/>
    <x v="0"/>
    <x v="1304"/>
    <n v="30.86"/>
    <x v="3"/>
    <s v="Mar 2025"/>
    <n v="8"/>
    <s v="Single"/>
    <x v="1"/>
    <x v="3578"/>
  </r>
  <r>
    <x v="377"/>
    <x v="3459"/>
    <x v="0"/>
    <x v="1152"/>
    <n v="30.86"/>
    <x v="3"/>
    <s v="Mar 2025"/>
    <n v="9"/>
    <s v="Repeat"/>
    <x v="0"/>
    <x v="3579"/>
  </r>
  <r>
    <x v="377"/>
    <x v="3460"/>
    <x v="0"/>
    <x v="1293"/>
    <n v="30.86"/>
    <x v="3"/>
    <s v="Mar 2025"/>
    <n v="10"/>
    <s v="Repeat"/>
    <x v="0"/>
    <x v="3580"/>
  </r>
  <r>
    <x v="377"/>
    <x v="3461"/>
    <x v="0"/>
    <x v="1305"/>
    <n v="25.96"/>
    <x v="2"/>
    <s v="Mar 2025"/>
    <n v="10"/>
    <s v="Single"/>
    <x v="1"/>
    <x v="3581"/>
  </r>
  <r>
    <x v="377"/>
    <x v="3462"/>
    <x v="0"/>
    <x v="1110"/>
    <n v="25.96"/>
    <x v="2"/>
    <s v="Mar 2025"/>
    <n v="10"/>
    <s v="Repeat"/>
    <x v="0"/>
    <x v="3582"/>
  </r>
  <r>
    <x v="377"/>
    <x v="3463"/>
    <x v="0"/>
    <x v="1306"/>
    <n v="25.96"/>
    <x v="2"/>
    <s v="Mar 2025"/>
    <n v="12"/>
    <s v="Repeat"/>
    <x v="0"/>
    <x v="3583"/>
  </r>
  <r>
    <x v="377"/>
    <x v="3464"/>
    <x v="0"/>
    <x v="1152"/>
    <n v="25.96"/>
    <x v="2"/>
    <s v="Mar 2025"/>
    <n v="14"/>
    <s v="Repeat"/>
    <x v="0"/>
    <x v="3584"/>
  </r>
  <r>
    <x v="377"/>
    <x v="3465"/>
    <x v="0"/>
    <x v="1290"/>
    <n v="25.96"/>
    <x v="2"/>
    <s v="Mar 2025"/>
    <n v="14"/>
    <s v="Repeat"/>
    <x v="0"/>
    <x v="3585"/>
  </r>
  <r>
    <x v="377"/>
    <x v="3466"/>
    <x v="0"/>
    <x v="1290"/>
    <n v="21.06"/>
    <x v="6"/>
    <s v="Mar 2025"/>
    <n v="14"/>
    <s v="Repeat"/>
    <x v="0"/>
    <x v="3586"/>
  </r>
  <r>
    <x v="377"/>
    <x v="3467"/>
    <x v="0"/>
    <x v="1307"/>
    <n v="25.96"/>
    <x v="5"/>
    <s v="Mar 2025"/>
    <n v="14"/>
    <s v="Single"/>
    <x v="1"/>
    <x v="3587"/>
  </r>
  <r>
    <x v="377"/>
    <x v="3468"/>
    <x v="0"/>
    <x v="1308"/>
    <n v="35.76"/>
    <x v="7"/>
    <s v="Mar 2025"/>
    <n v="14"/>
    <s v="Single"/>
    <x v="1"/>
    <x v="3588"/>
  </r>
  <r>
    <x v="377"/>
    <x v="3469"/>
    <x v="0"/>
    <x v="1161"/>
    <n v="35.76"/>
    <x v="7"/>
    <s v="Mar 2025"/>
    <n v="14"/>
    <s v="Repeat"/>
    <x v="0"/>
    <x v="3589"/>
  </r>
  <r>
    <x v="377"/>
    <x v="2069"/>
    <x v="0"/>
    <x v="1170"/>
    <n v="25.96"/>
    <x v="2"/>
    <s v="Mar 2025"/>
    <n v="15"/>
    <s v="Repeat"/>
    <x v="0"/>
    <x v="3590"/>
  </r>
  <r>
    <x v="377"/>
    <x v="3470"/>
    <x v="0"/>
    <x v="1276"/>
    <n v="25.96"/>
    <x v="2"/>
    <s v="Mar 2025"/>
    <n v="15"/>
    <s v="Repeat"/>
    <x v="0"/>
    <x v="3591"/>
  </r>
  <r>
    <x v="377"/>
    <x v="1715"/>
    <x v="0"/>
    <x v="1158"/>
    <n v="35.76"/>
    <x v="7"/>
    <s v="Mar 2025"/>
    <n v="16"/>
    <s v="Repeat"/>
    <x v="0"/>
    <x v="3592"/>
  </r>
  <r>
    <x v="377"/>
    <x v="3471"/>
    <x v="0"/>
    <x v="1309"/>
    <n v="25.96"/>
    <x v="2"/>
    <s v="Mar 2025"/>
    <n v="17"/>
    <s v="Repeat"/>
    <x v="0"/>
    <x v="3593"/>
  </r>
  <r>
    <x v="377"/>
    <x v="3472"/>
    <x v="0"/>
    <x v="1233"/>
    <n v="35.76"/>
    <x v="1"/>
    <s v="Mar 2025"/>
    <n v="18"/>
    <s v="Repeat"/>
    <x v="0"/>
    <x v="3594"/>
  </r>
  <r>
    <x v="377"/>
    <x v="3473"/>
    <x v="0"/>
    <x v="1310"/>
    <n v="35.76"/>
    <x v="4"/>
    <s v="Mar 2025"/>
    <n v="19"/>
    <s v="Single"/>
    <x v="1"/>
    <x v="3595"/>
  </r>
  <r>
    <x v="377"/>
    <x v="3474"/>
    <x v="0"/>
    <x v="1158"/>
    <n v="35.76"/>
    <x v="7"/>
    <s v="Mar 2025"/>
    <n v="19"/>
    <s v="Repeat"/>
    <x v="0"/>
    <x v="3596"/>
  </r>
  <r>
    <x v="377"/>
    <x v="3475"/>
    <x v="0"/>
    <x v="1298"/>
    <n v="35.76"/>
    <x v="0"/>
    <s v="Mar 2025"/>
    <n v="21"/>
    <s v="Repeat"/>
    <x v="0"/>
    <x v="3597"/>
  </r>
  <r>
    <x v="378"/>
    <x v="3476"/>
    <x v="0"/>
    <x v="1163"/>
    <n v="30.86"/>
    <x v="3"/>
    <s v="Mar 2025"/>
    <n v="7"/>
    <s v="Repeat"/>
    <x v="0"/>
    <x v="3598"/>
  </r>
  <r>
    <x v="378"/>
    <x v="3477"/>
    <x v="0"/>
    <x v="1163"/>
    <n v="30.86"/>
    <x v="3"/>
    <s v="Mar 2025"/>
    <n v="7"/>
    <s v="Repeat"/>
    <x v="0"/>
    <x v="3599"/>
  </r>
  <r>
    <x v="378"/>
    <x v="3478"/>
    <x v="0"/>
    <x v="1306"/>
    <n v="25.96"/>
    <x v="2"/>
    <s v="Mar 2025"/>
    <n v="8"/>
    <s v="Repeat"/>
    <x v="0"/>
    <x v="3600"/>
  </r>
  <r>
    <x v="378"/>
    <x v="3479"/>
    <x v="0"/>
    <x v="1110"/>
    <n v="25.96"/>
    <x v="2"/>
    <s v="Mar 2025"/>
    <n v="8"/>
    <s v="Repeat"/>
    <x v="0"/>
    <x v="3601"/>
  </r>
  <r>
    <x v="378"/>
    <x v="3480"/>
    <x v="0"/>
    <x v="1110"/>
    <n v="25.96"/>
    <x v="2"/>
    <s v="Mar 2025"/>
    <n v="8"/>
    <s v="Repeat"/>
    <x v="0"/>
    <x v="3602"/>
  </r>
  <r>
    <x v="378"/>
    <x v="3481"/>
    <x v="0"/>
    <x v="1311"/>
    <n v="35.76"/>
    <x v="7"/>
    <s v="Mar 2025"/>
    <n v="8"/>
    <s v="Single"/>
    <x v="1"/>
    <x v="3603"/>
  </r>
  <r>
    <x v="378"/>
    <x v="3482"/>
    <x v="0"/>
    <x v="1163"/>
    <n v="25.96"/>
    <x v="2"/>
    <s v="Mar 2025"/>
    <n v="11"/>
    <s v="Repeat"/>
    <x v="0"/>
    <x v="3604"/>
  </r>
  <r>
    <x v="378"/>
    <x v="3483"/>
    <x v="0"/>
    <x v="19"/>
    <n v="35.76"/>
    <x v="0"/>
    <s v="Mar 2025"/>
    <n v="11"/>
    <s v="Repeat"/>
    <x v="0"/>
    <x v="3605"/>
  </r>
  <r>
    <x v="378"/>
    <x v="3484"/>
    <x v="0"/>
    <x v="1306"/>
    <n v="25.96"/>
    <x v="2"/>
    <s v="Mar 2025"/>
    <n v="13"/>
    <s v="Repeat"/>
    <x v="0"/>
    <x v="3606"/>
  </r>
  <r>
    <x v="378"/>
    <x v="3485"/>
    <x v="0"/>
    <x v="1275"/>
    <n v="35.76"/>
    <x v="0"/>
    <s v="Mar 2025"/>
    <n v="13"/>
    <s v="Repeat"/>
    <x v="0"/>
    <x v="3607"/>
  </r>
  <r>
    <x v="378"/>
    <x v="3486"/>
    <x v="0"/>
    <x v="1158"/>
    <n v="35.76"/>
    <x v="7"/>
    <s v="Mar 2025"/>
    <n v="14"/>
    <s v="Repeat"/>
    <x v="0"/>
    <x v="3608"/>
  </r>
  <r>
    <x v="378"/>
    <x v="3487"/>
    <x v="0"/>
    <x v="1312"/>
    <n v="35.76"/>
    <x v="7"/>
    <s v="Mar 2025"/>
    <n v="15"/>
    <s v="Single"/>
    <x v="1"/>
    <x v="3609"/>
  </r>
  <r>
    <x v="378"/>
    <x v="3488"/>
    <x v="0"/>
    <x v="1170"/>
    <n v="25.96"/>
    <x v="2"/>
    <s v="Mar 2025"/>
    <n v="15"/>
    <s v="Repeat"/>
    <x v="0"/>
    <x v="3610"/>
  </r>
  <r>
    <x v="378"/>
    <x v="3489"/>
    <x v="0"/>
    <x v="1110"/>
    <n v="35.76"/>
    <x v="0"/>
    <s v="Mar 2025"/>
    <n v="15"/>
    <s v="Repeat"/>
    <x v="0"/>
    <x v="3611"/>
  </r>
  <r>
    <x v="378"/>
    <x v="3490"/>
    <x v="0"/>
    <x v="1163"/>
    <n v="35.76"/>
    <x v="7"/>
    <s v="Mar 2025"/>
    <n v="15"/>
    <s v="Repeat"/>
    <x v="0"/>
    <x v="3612"/>
  </r>
  <r>
    <x v="378"/>
    <x v="3491"/>
    <x v="0"/>
    <x v="1259"/>
    <n v="35.76"/>
    <x v="1"/>
    <s v="Mar 2025"/>
    <n v="17"/>
    <s v="Repeat"/>
    <x v="0"/>
    <x v="3613"/>
  </r>
  <r>
    <x v="378"/>
    <x v="3492"/>
    <x v="0"/>
    <x v="1165"/>
    <n v="35.76"/>
    <x v="0"/>
    <s v="Mar 2025"/>
    <n v="17"/>
    <s v="Repeat"/>
    <x v="0"/>
    <x v="3614"/>
  </r>
  <r>
    <x v="378"/>
    <x v="3493"/>
    <x v="0"/>
    <x v="1191"/>
    <n v="35.76"/>
    <x v="0"/>
    <s v="Mar 2025"/>
    <n v="17"/>
    <s v="Repeat"/>
    <x v="0"/>
    <x v="3615"/>
  </r>
  <r>
    <x v="378"/>
    <x v="3494"/>
    <x v="0"/>
    <x v="507"/>
    <n v="35.76"/>
    <x v="0"/>
    <s v="Mar 2025"/>
    <n v="18"/>
    <s v="Repeat"/>
    <x v="0"/>
    <x v="3616"/>
  </r>
  <r>
    <x v="378"/>
    <x v="59"/>
    <x v="0"/>
    <x v="1170"/>
    <n v="25.96"/>
    <x v="2"/>
    <s v="Mar 2025"/>
    <n v="18"/>
    <s v="Repeat"/>
    <x v="0"/>
    <x v="3617"/>
  </r>
  <r>
    <x v="379"/>
    <x v="3495"/>
    <x v="0"/>
    <x v="1274"/>
    <n v="30.86"/>
    <x v="3"/>
    <s v="Mar 2025"/>
    <n v="9"/>
    <s v="Repeat"/>
    <x v="0"/>
    <x v="3618"/>
  </r>
  <r>
    <x v="379"/>
    <x v="3496"/>
    <x v="0"/>
    <x v="1152"/>
    <n v="30.86"/>
    <x v="3"/>
    <s v="Mar 2025"/>
    <n v="10"/>
    <s v="Repeat"/>
    <x v="0"/>
    <x v="3619"/>
  </r>
  <r>
    <x v="379"/>
    <x v="3497"/>
    <x v="0"/>
    <x v="1259"/>
    <n v="35.76"/>
    <x v="1"/>
    <s v="Mar 2025"/>
    <n v="11"/>
    <s v="Repeat"/>
    <x v="0"/>
    <x v="3620"/>
  </r>
  <r>
    <x v="379"/>
    <x v="3498"/>
    <x v="0"/>
    <x v="1279"/>
    <n v="35.76"/>
    <x v="4"/>
    <s v="Mar 2025"/>
    <n v="11"/>
    <s v="Repeat"/>
    <x v="0"/>
    <x v="3621"/>
  </r>
  <r>
    <x v="379"/>
    <x v="3499"/>
    <x v="0"/>
    <x v="1313"/>
    <n v="30.86"/>
    <x v="3"/>
    <s v="Mar 2025"/>
    <n v="12"/>
    <s v="Single"/>
    <x v="1"/>
    <x v="3622"/>
  </r>
  <r>
    <x v="379"/>
    <x v="3260"/>
    <x v="0"/>
    <x v="1306"/>
    <n v="25.96"/>
    <x v="2"/>
    <s v="Mar 2025"/>
    <n v="12"/>
    <s v="Repeat"/>
    <x v="0"/>
    <x v="3623"/>
  </r>
  <r>
    <x v="379"/>
    <x v="3500"/>
    <x v="0"/>
    <x v="1309"/>
    <n v="25.96"/>
    <x v="2"/>
    <s v="Mar 2025"/>
    <n v="13"/>
    <s v="Repeat"/>
    <x v="0"/>
    <x v="3624"/>
  </r>
  <r>
    <x v="379"/>
    <x v="3501"/>
    <x v="0"/>
    <x v="1267"/>
    <n v="30.86"/>
    <x v="3"/>
    <s v="Mar 2025"/>
    <n v="13"/>
    <s v="Repeat"/>
    <x v="0"/>
    <x v="3625"/>
  </r>
  <r>
    <x v="379"/>
    <x v="3502"/>
    <x v="0"/>
    <x v="1302"/>
    <n v="21.06"/>
    <x v="6"/>
    <s v="Mar 2025"/>
    <n v="15"/>
    <s v="Repeat"/>
    <x v="0"/>
    <x v="3626"/>
  </r>
  <r>
    <x v="379"/>
    <x v="3503"/>
    <x v="0"/>
    <x v="1274"/>
    <n v="35.76"/>
    <x v="0"/>
    <s v="Mar 2025"/>
    <n v="16"/>
    <s v="Repeat"/>
    <x v="0"/>
    <x v="3627"/>
  </r>
  <r>
    <x v="379"/>
    <x v="3504"/>
    <x v="0"/>
    <x v="1274"/>
    <n v="30.86"/>
    <x v="3"/>
    <s v="Mar 2025"/>
    <n v="17"/>
    <s v="Repeat"/>
    <x v="0"/>
    <x v="3628"/>
  </r>
  <r>
    <x v="379"/>
    <x v="3505"/>
    <x v="0"/>
    <x v="1314"/>
    <n v="30.86"/>
    <x v="3"/>
    <s v="Mar 2025"/>
    <n v="19"/>
    <s v="Single"/>
    <x v="1"/>
    <x v="3629"/>
  </r>
  <r>
    <x v="380"/>
    <x v="3506"/>
    <x v="0"/>
    <x v="1196"/>
    <n v="35.76"/>
    <x v="0"/>
    <s v="Mar 2025"/>
    <n v="10"/>
    <s v="Repeat"/>
    <x v="0"/>
    <x v="3630"/>
  </r>
  <r>
    <x v="380"/>
    <x v="3507"/>
    <x v="0"/>
    <x v="1158"/>
    <n v="35.76"/>
    <x v="7"/>
    <s v="Mar 2025"/>
    <n v="10"/>
    <s v="Repeat"/>
    <x v="0"/>
    <x v="3631"/>
  </r>
  <r>
    <x v="380"/>
    <x v="3508"/>
    <x v="0"/>
    <x v="1315"/>
    <n v="35.76"/>
    <x v="4"/>
    <s v="Mar 2025"/>
    <n v="14"/>
    <s v="Repeat"/>
    <x v="0"/>
    <x v="3632"/>
  </r>
  <r>
    <x v="380"/>
    <x v="3509"/>
    <x v="0"/>
    <x v="1315"/>
    <n v="35.76"/>
    <x v="4"/>
    <s v="Mar 2025"/>
    <n v="14"/>
    <s v="Repeat"/>
    <x v="0"/>
    <x v="3633"/>
  </r>
  <r>
    <x v="380"/>
    <x v="3510"/>
    <x v="0"/>
    <x v="1316"/>
    <n v="25.96"/>
    <x v="2"/>
    <s v="Mar 2025"/>
    <n v="15"/>
    <s v="Single"/>
    <x v="1"/>
    <x v="3634"/>
  </r>
  <r>
    <x v="380"/>
    <x v="3511"/>
    <x v="0"/>
    <x v="1275"/>
    <n v="35.76"/>
    <x v="0"/>
    <s v="Mar 2025"/>
    <n v="18"/>
    <s v="Repeat"/>
    <x v="0"/>
    <x v="36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5EC02-574E-4749-85A3-606B17A444FD}"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dataField="1"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Fields count="1">
    <field x="-2"/>
  </colFields>
  <colItems count="2">
    <i>
      <x/>
    </i>
    <i i="1">
      <x v="1"/>
    </i>
  </colItems>
  <dataFields count="2">
    <dataField name="Sum of Price" fld="4" baseField="0" baseItem="0" numFmtId="167"/>
    <dataField name="Count of Transaction_Id" fld="10"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2E2655-4BAC-4BF8-9B06-BAC6262020DB}"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dataField="1" showAll="0"/>
    <pivotField numFmtId="165" showAll="0"/>
    <pivotField showAll="0">
      <items count="9">
        <item x="2"/>
        <item x="3"/>
        <item x="7"/>
        <item x="4"/>
        <item x="5"/>
        <item x="6"/>
        <item x="1"/>
        <item x="0"/>
        <item t="default"/>
      </items>
    </pivotField>
    <pivotField showAll="0"/>
    <pivotField showAll="0"/>
    <pivotField showAll="0"/>
    <pivotField axis="axisRow" showAll="0">
      <items count="4">
        <item x="2"/>
        <item x="0"/>
        <item x="1"/>
        <item t="default"/>
      </items>
    </pivotField>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4">
    <i>
      <x/>
    </i>
    <i>
      <x v="1"/>
    </i>
    <i>
      <x v="2"/>
    </i>
    <i t="grand">
      <x/>
    </i>
  </rowItems>
  <colItems count="1">
    <i/>
  </colItems>
  <dataFields count="1">
    <dataField name="Count of Card 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3E3A2C-AE0F-4DA5-8F1E-5DC9D9247AF9}"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3:K12"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showAll="0"/>
    <pivotField numFmtId="165" showAll="0"/>
    <pivotField axis="axisRow" showAll="0" sortType="de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6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9">
    <i>
      <x v="1"/>
    </i>
    <i>
      <x v="7"/>
    </i>
    <i>
      <x/>
    </i>
    <i>
      <x v="2"/>
    </i>
    <i>
      <x v="4"/>
    </i>
    <i>
      <x v="6"/>
    </i>
    <i>
      <x v="3"/>
    </i>
    <i>
      <x v="5"/>
    </i>
    <i t="grand">
      <x/>
    </i>
  </rowItems>
  <colItems count="1">
    <i/>
  </colItems>
  <dataFields count="1">
    <dataField name="Count of Transaction_Id"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A50D3-795C-4A63-AE5A-8B62B48CD93E}" name="PivotTable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2"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showAll="0"/>
    <pivotField dataField="1" numFmtId="165"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9">
    <i>
      <x v="5"/>
    </i>
    <i>
      <x v="4"/>
    </i>
    <i>
      <x v="3"/>
    </i>
    <i>
      <x v="6"/>
    </i>
    <i>
      <x/>
    </i>
    <i>
      <x v="2"/>
    </i>
    <i>
      <x v="1"/>
    </i>
    <i>
      <x v="7"/>
    </i>
    <i t="grand">
      <x/>
    </i>
  </rowItems>
  <colItems count="1">
    <i/>
  </colItems>
  <dataFields count="1">
    <dataField name="Revenue" fld="4" baseField="0" baseItem="0" numFmtId="167"/>
  </dataFields>
  <formats count="2">
    <format dxfId="2">
      <pivotArea collapsedLevelsAreSubtotals="1" fieldPosition="0">
        <references count="2">
          <reference field="4294967294" count="1" selected="0">
            <x v="0"/>
          </reference>
          <reference field="5" count="0"/>
        </references>
      </pivotArea>
    </format>
    <format dxfId="3">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8D5BC5-EEAC-4D37-8FF0-FDC89CDBCE16}" name="PivotTable1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21"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showAll="0"/>
    <pivotField numFmtId="165" showAll="0"/>
    <pivotField showAll="0">
      <items count="9">
        <item x="2"/>
        <item x="3"/>
        <item x="7"/>
        <item x="4"/>
        <item x="5"/>
        <item x="6"/>
        <item x="1"/>
        <item x="0"/>
        <item t="default"/>
      </items>
    </pivotField>
    <pivotField showAll="0"/>
    <pivotField showAll="0"/>
    <pivotField showAll="0"/>
    <pivotField showAll="0"/>
    <pivotField dataField="1" showAll="0"/>
    <pivotField showAll="0" defaultSubtotal="0"/>
    <pivotField showAll="0" defaultSubtotal="0"/>
    <pivotField axis="axisRow"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3"/>
  </rowFields>
  <rowItems count="18">
    <i>
      <x v="7"/>
    </i>
    <i>
      <x v="8"/>
    </i>
    <i>
      <x v="9"/>
    </i>
    <i>
      <x v="10"/>
    </i>
    <i>
      <x v="11"/>
    </i>
    <i>
      <x v="12"/>
    </i>
    <i>
      <x v="13"/>
    </i>
    <i>
      <x v="14"/>
    </i>
    <i>
      <x v="15"/>
    </i>
    <i>
      <x v="16"/>
    </i>
    <i>
      <x v="17"/>
    </i>
    <i>
      <x v="18"/>
    </i>
    <i>
      <x v="19"/>
    </i>
    <i>
      <x v="20"/>
    </i>
    <i>
      <x v="21"/>
    </i>
    <i>
      <x v="22"/>
    </i>
    <i>
      <x v="23"/>
    </i>
    <i t="grand">
      <x/>
    </i>
  </rowItems>
  <colItems count="1">
    <i/>
  </colItems>
  <dataFields count="1">
    <dataField name="Count of Transaction_Id" fld="1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AC4F6E-5E0B-4A0B-99B8-C2C3B22FADB1}" name="PivotTable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6"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showAll="0">
      <items count="3">
        <item x="0"/>
        <item x="1"/>
        <item t="default"/>
      </items>
    </pivotField>
    <pivotField showAll="0"/>
    <pivotField dataField="1" numFmtId="165" showAll="0"/>
    <pivotField showAll="0">
      <items count="9">
        <item x="2"/>
        <item x="3"/>
        <item x="7"/>
        <item x="4"/>
        <item x="5"/>
        <item x="6"/>
        <item x="1"/>
        <item x="0"/>
        <item t="default"/>
      </items>
    </pivotField>
    <pivotField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Price" fld="4" baseField="0"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FEE19E-F2EB-4174-A1FC-2CE1545FEB9E}"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6" firstHeaderRow="1" firstDataRow="1" firstDataCol="1"/>
  <pivotFields count="17">
    <pivotField numFmtId="166"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164" showAll="0">
      <items count="3513">
        <item x="3026"/>
        <item x="3198"/>
        <item x="3408"/>
        <item x="3199"/>
        <item x="3101"/>
        <item x="3366"/>
        <item x="2935"/>
        <item x="3438"/>
        <item x="2834"/>
        <item x="3439"/>
        <item x="2835"/>
        <item x="3293"/>
        <item x="3476"/>
        <item x="3440"/>
        <item x="3477"/>
        <item x="2892"/>
        <item x="2969"/>
        <item x="3200"/>
        <item x="3180"/>
        <item x="3249"/>
        <item x="3181"/>
        <item x="1377"/>
        <item x="2658"/>
        <item x="1124"/>
        <item x="3250"/>
        <item x="2011"/>
        <item x="964"/>
        <item x="934"/>
        <item x="2012"/>
        <item x="1199"/>
        <item x="2970"/>
        <item x="1256"/>
        <item x="1257"/>
        <item x="2702"/>
        <item x="2046"/>
        <item x="2729"/>
        <item x="2985"/>
        <item x="585"/>
        <item x="1078"/>
        <item x="1339"/>
        <item x="2167"/>
        <item x="74"/>
        <item x="2676"/>
        <item x="2047"/>
        <item x="75"/>
        <item x="774"/>
        <item x="2082"/>
        <item x="1933"/>
        <item x="1723"/>
        <item x="815"/>
        <item x="2235"/>
        <item x="1992"/>
        <item x="2308"/>
        <item x="2345"/>
        <item x="2173"/>
        <item x="2460"/>
        <item x="2061"/>
        <item x="2580"/>
        <item x="2330"/>
        <item x="1484"/>
        <item x="1654"/>
        <item x="2395"/>
        <item x="2118"/>
        <item x="2309"/>
        <item x="2494"/>
        <item x="2302"/>
        <item x="2369"/>
        <item x="2303"/>
        <item x="2310"/>
        <item x="1485"/>
        <item x="650"/>
        <item x="2134"/>
        <item x="2346"/>
        <item x="2355"/>
        <item x="1817"/>
        <item x="2311"/>
        <item x="1026"/>
        <item x="1844"/>
        <item x="1553"/>
        <item x="3375"/>
        <item x="1486"/>
        <item x="3084"/>
        <item x="1487"/>
        <item x="1529"/>
        <item x="1736"/>
        <item x="2304"/>
        <item x="2370"/>
        <item x="1934"/>
        <item x="2467"/>
        <item x="513"/>
        <item x="1325"/>
        <item x="514"/>
        <item x="1102"/>
        <item x="515"/>
        <item x="3152"/>
        <item x="1845"/>
        <item x="2083"/>
        <item x="505"/>
        <item x="506"/>
        <item x="951"/>
        <item x="3441"/>
        <item x="2495"/>
        <item x="2836"/>
        <item x="2750"/>
        <item x="1079"/>
        <item x="987"/>
        <item x="1687"/>
        <item x="988"/>
        <item x="2662"/>
        <item x="2777"/>
        <item x="989"/>
        <item x="2694"/>
        <item x="872"/>
        <item x="1709"/>
        <item x="3064"/>
        <item x="1554"/>
        <item x="2837"/>
        <item x="2254"/>
        <item x="1299"/>
        <item x="3409"/>
        <item x="3065"/>
        <item x="3201"/>
        <item x="2048"/>
        <item x="2049"/>
        <item x="2403"/>
        <item x="2188"/>
        <item x="1362"/>
        <item x="1800"/>
        <item x="1501"/>
        <item x="1068"/>
        <item x="1846"/>
        <item x="1002"/>
        <item x="3458"/>
        <item x="998"/>
        <item x="3376"/>
        <item x="1350"/>
        <item x="1901"/>
        <item x="1356"/>
        <item x="1351"/>
        <item x="2521"/>
        <item x="1478"/>
        <item x="731"/>
        <item x="1363"/>
        <item x="2936"/>
        <item x="3478"/>
        <item x="2344"/>
        <item x="1579"/>
        <item x="1364"/>
        <item x="816"/>
        <item x="3410"/>
        <item x="722"/>
        <item x="2751"/>
        <item x="1154"/>
        <item x="2050"/>
        <item x="859"/>
        <item x="2752"/>
        <item x="2145"/>
        <item x="1993"/>
        <item x="1080"/>
        <item x="1919"/>
        <item x="2396"/>
        <item x="702"/>
        <item x="1405"/>
        <item x="1340"/>
        <item x="2154"/>
        <item x="703"/>
        <item x="3421"/>
        <item x="3367"/>
        <item x="3228"/>
        <item x="2139"/>
        <item x="1397"/>
        <item x="2937"/>
        <item x="2013"/>
        <item x="1446"/>
        <item x="1818"/>
        <item x="1231"/>
        <item x="2730"/>
        <item x="1357"/>
        <item x="2787"/>
        <item x="1885"/>
        <item x="664"/>
        <item x="1313"/>
        <item x="2482"/>
        <item x="1358"/>
        <item x="542"/>
        <item x="2731"/>
        <item x="1406"/>
        <item x="1869"/>
        <item x="1847"/>
        <item x="3479"/>
        <item x="639"/>
        <item x="1314"/>
        <item x="3480"/>
        <item x="1848"/>
        <item x="2442"/>
        <item x="2741"/>
        <item x="640"/>
        <item x="1580"/>
        <item x="2140"/>
        <item x="1300"/>
        <item x="2453"/>
        <item x="2778"/>
        <item x="2414"/>
        <item x="1606"/>
        <item x="1036"/>
        <item x="1640"/>
        <item x="1788"/>
        <item x="1341"/>
        <item x="3422"/>
        <item x="1969"/>
        <item x="1902"/>
        <item x="1342"/>
        <item x="3324"/>
        <item x="1447"/>
        <item x="1585"/>
        <item x="2084"/>
        <item x="3481"/>
        <item x="3325"/>
        <item x="1920"/>
        <item x="1207"/>
        <item x="641"/>
        <item x="618"/>
        <item x="2168"/>
        <item x="1555"/>
        <item x="1103"/>
        <item x="1208"/>
        <item x="463"/>
        <item x="1104"/>
        <item x="2135"/>
        <item x="2169"/>
        <item x="464"/>
        <item x="844"/>
        <item x="3263"/>
        <item x="475"/>
        <item x="465"/>
        <item x="1003"/>
        <item x="1326"/>
        <item x="1978"/>
        <item x="999"/>
        <item x="2808"/>
        <item x="2100"/>
        <item x="1530"/>
        <item x="1301"/>
        <item x="1407"/>
        <item x="2364"/>
        <item x="2062"/>
        <item x="1979"/>
        <item x="1954"/>
        <item x="2868"/>
        <item x="1556"/>
        <item x="1537"/>
        <item x="1737"/>
        <item x="1955"/>
        <item x="1664"/>
        <item x="1755"/>
        <item x="1352"/>
        <item x="1243"/>
        <item x="2903"/>
        <item x="1004"/>
        <item x="1209"/>
        <item x="3294"/>
        <item x="2020"/>
        <item x="1756"/>
        <item x="2272"/>
        <item x="2986"/>
        <item x="3295"/>
        <item x="3340"/>
        <item x="2119"/>
        <item x="1191"/>
        <item x="2496"/>
        <item x="2101"/>
        <item x="1510"/>
        <item x="1192"/>
        <item x="2120"/>
        <item x="3066"/>
        <item x="2732"/>
        <item x="1829"/>
        <item x="2501"/>
        <item x="1456"/>
        <item x="1027"/>
        <item x="2671"/>
        <item x="3153"/>
        <item x="2926"/>
        <item x="1005"/>
        <item x="1789"/>
        <item x="1315"/>
        <item x="1160"/>
        <item x="3154"/>
        <item x="1398"/>
        <item x="2816"/>
        <item x="2415"/>
        <item x="1316"/>
        <item x="1790"/>
        <item x="1006"/>
        <item x="1399"/>
        <item x="3251"/>
        <item x="2416"/>
        <item x="2612"/>
        <item x="2502"/>
        <item x="711"/>
        <item x="2063"/>
        <item x="3046"/>
        <item x="3027"/>
        <item x="2397"/>
        <item x="1141"/>
        <item x="2424"/>
        <item x="712"/>
        <item x="3047"/>
        <item x="1531"/>
        <item x="762"/>
        <item x="2971"/>
        <item x="1448"/>
        <item x="1849"/>
        <item x="1181"/>
        <item x="1302"/>
        <item x="2663"/>
        <item x="1850"/>
        <item x="798"/>
        <item x="763"/>
        <item x="3164"/>
        <item x="2581"/>
        <item x="1851"/>
        <item x="2642"/>
        <item x="1710"/>
        <item x="3377"/>
        <item x="1711"/>
        <item x="2587"/>
        <item x="3378"/>
        <item x="1764"/>
        <item x="496"/>
        <item x="990"/>
        <item x="3028"/>
        <item x="1765"/>
        <item x="1007"/>
        <item x="1136"/>
        <item x="991"/>
        <item x="2664"/>
        <item x="3202"/>
        <item x="3296"/>
        <item x="2603"/>
        <item x="3411"/>
        <item x="2483"/>
        <item x="1408"/>
        <item x="2550"/>
        <item x="2635"/>
        <item x="1630"/>
        <item x="1409"/>
        <item x="2417"/>
        <item x="727"/>
        <item x="1069"/>
        <item x="1994"/>
        <item x="3495"/>
        <item x="1801"/>
        <item x="1791"/>
        <item x="2174"/>
        <item x="2202"/>
        <item x="3326"/>
        <item x="2904"/>
        <item x="2371"/>
        <item x="2372"/>
        <item x="1381"/>
        <item x="1052"/>
        <item x="3252"/>
        <item x="2582"/>
        <item x="1792"/>
        <item x="1557"/>
        <item x="3253"/>
        <item x="2869"/>
        <item x="2336"/>
        <item x="1558"/>
        <item x="2659"/>
        <item x="2121"/>
        <item x="2337"/>
        <item x="2710"/>
        <item x="2175"/>
        <item x="2347"/>
        <item x="2454"/>
        <item x="3341"/>
        <item x="1410"/>
        <item x="1411"/>
        <item x="2176"/>
        <item x="1081"/>
        <item x="2365"/>
        <item x="1244"/>
        <item x="924"/>
        <item x="629"/>
        <item x="1343"/>
        <item x="3132"/>
        <item x="1317"/>
        <item x="925"/>
        <item x="2085"/>
        <item x="868"/>
        <item x="1070"/>
        <item x="1014"/>
        <item x="2672"/>
        <item x="1288"/>
        <item x="1412"/>
        <item x="2809"/>
        <item x="2695"/>
        <item x="2987"/>
        <item x="2014"/>
        <item x="3085"/>
        <item x="2799"/>
        <item x="1289"/>
        <item x="1479"/>
        <item x="2136"/>
        <item x="1480"/>
        <item x="1738"/>
        <item x="1161"/>
        <item x="3327"/>
        <item x="1037"/>
        <item x="1071"/>
        <item x="2972"/>
        <item x="3368"/>
        <item x="619"/>
        <item x="1413"/>
        <item x="2425"/>
        <item x="1038"/>
        <item x="651"/>
        <item x="1365"/>
        <item x="3369"/>
        <item x="2551"/>
        <item x="1332"/>
        <item x="704"/>
        <item x="3011"/>
        <item x="1830"/>
        <item x="2404"/>
        <item x="688"/>
        <item x="3309"/>
        <item x="652"/>
        <item x="1359"/>
        <item x="1935"/>
        <item x="3067"/>
        <item x="1125"/>
        <item x="1921"/>
        <item x="3379"/>
        <item x="728"/>
        <item x="2810"/>
        <item x="3342"/>
        <item x="2733"/>
        <item x="2811"/>
        <item x="3029"/>
        <item x="3380"/>
        <item x="1511"/>
        <item x="926"/>
        <item x="516"/>
        <item x="1672"/>
        <item x="927"/>
        <item x="1757"/>
        <item x="2508"/>
        <item x="1688"/>
        <item x="1432"/>
        <item x="1758"/>
        <item x="1852"/>
        <item x="2102"/>
        <item x="3403"/>
        <item x="1956"/>
        <item x="1502"/>
        <item x="2720"/>
        <item x="862"/>
        <item x="1039"/>
        <item x="2788"/>
        <item x="3281"/>
        <item x="1673"/>
        <item x="2455"/>
        <item x="1957"/>
        <item x="1387"/>
        <item x="1040"/>
        <item x="1995"/>
        <item x="551"/>
        <item x="1559"/>
        <item x="1137"/>
        <item x="1766"/>
        <item x="3282"/>
        <item x="2988"/>
        <item x="1268"/>
        <item x="3404"/>
        <item x="2259"/>
        <item x="2613"/>
        <item x="1269"/>
        <item x="1142"/>
        <item x="845"/>
        <item x="1414"/>
        <item x="1270"/>
        <item x="2721"/>
        <item x="3370"/>
        <item x="3264"/>
        <item x="1143"/>
        <item x="1853"/>
        <item x="2796"/>
        <item x="1271"/>
        <item x="1015"/>
        <item x="1415"/>
        <item x="3371"/>
        <item x="2522"/>
        <item x="2614"/>
        <item x="1674"/>
        <item x="3102"/>
        <item x="3310"/>
        <item x="3317"/>
        <item x="1819"/>
        <item x="543"/>
        <item x="2604"/>
        <item x="544"/>
        <item x="3133"/>
        <item x="2615"/>
        <item x="1245"/>
        <item x="2652"/>
        <item x="545"/>
        <item x="1586"/>
        <item x="2230"/>
        <item x="3229"/>
        <item x="2155"/>
        <item x="877"/>
        <item x="2203"/>
        <item x="642"/>
        <item x="2156"/>
        <item x="665"/>
        <item x="1724"/>
        <item x="3230"/>
        <item x="2204"/>
        <item x="3103"/>
        <item x="1538"/>
        <item x="1488"/>
        <item x="1886"/>
        <item x="764"/>
        <item x="2588"/>
        <item x="1449"/>
        <item x="1489"/>
        <item x="3328"/>
        <item x="3104"/>
        <item x="1532"/>
        <item x="1072"/>
        <item x="1831"/>
        <item x="1450"/>
        <item x="1457"/>
        <item x="3459"/>
        <item x="2236"/>
        <item x="1217"/>
        <item x="1458"/>
        <item x="3397"/>
        <item x="1200"/>
        <item x="2703"/>
        <item x="1218"/>
        <item x="1759"/>
        <item x="1016"/>
        <item x="1459"/>
        <item x="1105"/>
        <item x="1876"/>
        <item x="1760"/>
        <item x="1958"/>
        <item x="1106"/>
        <item x="3030"/>
        <item x="765"/>
        <item x="1460"/>
        <item x="2626"/>
        <item x="1107"/>
        <item x="1073"/>
        <item x="3254"/>
        <item x="1461"/>
        <item x="1041"/>
        <item x="1490"/>
        <item x="2643"/>
        <item x="1820"/>
        <item x="32"/>
        <item x="832"/>
        <item x="1042"/>
        <item x="1462"/>
        <item x="1854"/>
        <item x="1712"/>
        <item x="212"/>
        <item x="2509"/>
        <item x="1581"/>
        <item x="833"/>
        <item x="1855"/>
        <item x="3265"/>
        <item x="1382"/>
        <item x="104"/>
        <item x="116"/>
        <item x="1725"/>
        <item x="3155"/>
        <item x="3134"/>
        <item x="2426"/>
        <item x="2510"/>
        <item x="2245"/>
        <item x="3398"/>
        <item x="2051"/>
        <item x="1008"/>
        <item x="2331"/>
        <item x="1726"/>
        <item x="28"/>
        <item x="163"/>
        <item x="2511"/>
        <item x="1372"/>
        <item x="1631"/>
        <item x="2856"/>
        <item x="2427"/>
        <item x="546"/>
        <item x="1832"/>
        <item x="2338"/>
        <item x="411"/>
        <item x="1713"/>
        <item x="2052"/>
        <item x="1770"/>
        <item x="1481"/>
        <item x="525"/>
        <item x="76"/>
        <item x="2260"/>
        <item x="3460"/>
        <item x="1771"/>
        <item x="412"/>
        <item x="3506"/>
        <item x="2817"/>
        <item x="430"/>
        <item x="413"/>
        <item x="2213"/>
        <item x="46"/>
        <item x="414"/>
        <item x="3135"/>
        <item x="440"/>
        <item x="1333"/>
        <item x="1258"/>
        <item x="3068"/>
        <item x="3297"/>
        <item x="562"/>
        <item x="125"/>
        <item x="2636"/>
        <item x="324"/>
        <item x="18"/>
        <item x="3266"/>
        <item x="1344"/>
        <item x="3165"/>
        <item x="2857"/>
        <item x="408"/>
        <item x="1345"/>
        <item x="681"/>
        <item x="799"/>
        <item x="1607"/>
        <item x="2512"/>
        <item x="1144"/>
        <item x="2800"/>
        <item x="2737"/>
        <item x="2523"/>
        <item x="370"/>
        <item x="240"/>
        <item x="1201"/>
        <item x="1608"/>
        <item x="1327"/>
        <item x="800"/>
        <item x="89"/>
        <item x="2381"/>
        <item x="90"/>
        <item x="1000"/>
        <item x="2838"/>
        <item x="1922"/>
        <item x="0"/>
        <item x="91"/>
        <item x="2382"/>
        <item x="3086"/>
        <item x="393"/>
        <item x="1923"/>
        <item x="3166"/>
        <item x="1082"/>
        <item x="1219"/>
        <item x="3087"/>
        <item x="526"/>
        <item x="1353"/>
        <item x="3105"/>
        <item x="756"/>
        <item x="3442"/>
        <item x="47"/>
        <item x="2589"/>
        <item x="81"/>
        <item x="1354"/>
        <item x="143"/>
        <item x="3329"/>
        <item x="3069"/>
        <item x="2237"/>
        <item x="216"/>
        <item x="466"/>
        <item x="1083"/>
        <item x="358"/>
        <item x="1355"/>
        <item x="592"/>
        <item x="217"/>
        <item x="3031"/>
        <item x="3088"/>
        <item x="131"/>
        <item x="2530"/>
        <item x="452"/>
        <item x="3381"/>
        <item x="1173"/>
        <item x="3231"/>
        <item x="262"/>
        <item x="359"/>
        <item x="2282"/>
        <item x="2704"/>
        <item x="1739"/>
        <item x="11"/>
        <item x="2839"/>
        <item x="1383"/>
        <item x="257"/>
        <item x="1802"/>
        <item x="1463"/>
        <item x="2383"/>
        <item x="2418"/>
        <item x="1084"/>
        <item x="1740"/>
        <item x="2419"/>
        <item x="258"/>
        <item x="3089"/>
        <item x="2064"/>
        <item x="3232"/>
        <item x="2021"/>
        <item x="1996"/>
        <item x="2146"/>
        <item x="907"/>
        <item x="3298"/>
        <item x="1936"/>
        <item x="1202"/>
        <item x="939"/>
        <item x="2420"/>
        <item x="1803"/>
        <item x="689"/>
        <item x="19"/>
        <item x="908"/>
        <item x="3299"/>
        <item x="682"/>
        <item x="1887"/>
        <item x="919"/>
        <item x="885"/>
        <item x="860"/>
        <item x="105"/>
        <item x="205"/>
        <item x="705"/>
        <item x="1433"/>
        <item x="2312"/>
        <item x="2616"/>
        <item x="2989"/>
        <item x="106"/>
        <item x="2294"/>
        <item x="206"/>
        <item x="1028"/>
        <item x="2421"/>
        <item x="732"/>
        <item x="1451"/>
        <item x="3496"/>
        <item x="2660"/>
        <item x="775"/>
        <item x="12"/>
        <item x="207"/>
        <item x="994"/>
        <item x="2927"/>
        <item x="1870"/>
        <item x="3215"/>
        <item x="165"/>
        <item x="2122"/>
        <item x="2531"/>
        <item x="1174"/>
        <item x="3412"/>
        <item x="380"/>
        <item x="1871"/>
        <item x="2123"/>
        <item x="2147"/>
        <item x="3126"/>
        <item x="401"/>
        <item x="52"/>
        <item x="394"/>
        <item x="3507"/>
        <item x="723"/>
        <item x="395"/>
        <item x="171"/>
        <item x="149"/>
        <item x="713"/>
        <item x="172"/>
        <item x="1665"/>
        <item x="2255"/>
        <item x="1366"/>
        <item x="1155"/>
        <item x="1464"/>
        <item x="1821"/>
        <item x="750"/>
        <item x="1888"/>
        <item x="653"/>
        <item x="2348"/>
        <item x="956"/>
        <item x="2955"/>
        <item x="487"/>
        <item x="1328"/>
        <item x="1367"/>
        <item x="654"/>
        <item x="415"/>
        <item x="1889"/>
        <item x="992"/>
        <item x="488"/>
        <item x="203"/>
        <item x="1465"/>
        <item x="940"/>
        <item x="3267"/>
        <item x="225"/>
        <item x="3070"/>
        <item x="706"/>
        <item x="267"/>
        <item x="2722"/>
        <item x="13"/>
        <item x="1997"/>
        <item x="3300"/>
        <item x="2552"/>
        <item x="226"/>
        <item x="1246"/>
        <item x="173"/>
        <item x="1998"/>
        <item x="2443"/>
        <item x="1833"/>
        <item x="892"/>
        <item x="2543"/>
        <item x="268"/>
        <item x="2973"/>
        <item x="1834"/>
        <item x="2444"/>
        <item x="1074"/>
        <item x="300"/>
        <item x="786"/>
        <item x="2566"/>
        <item x="155"/>
        <item x="3032"/>
        <item x="1937"/>
        <item x="220"/>
        <item x="893"/>
        <item x="2567"/>
        <item x="156"/>
        <item x="1924"/>
        <item x="3461"/>
        <item x="2461"/>
        <item x="2283"/>
        <item x="366"/>
        <item x="301"/>
        <item x="3020"/>
        <item x="1675"/>
        <item x="3136"/>
        <item x="1334"/>
        <item x="3283"/>
        <item x="3382"/>
        <item x="1698"/>
        <item x="630"/>
        <item x="2503"/>
        <item x="2905"/>
        <item x="3383"/>
        <item x="2677"/>
        <item x="552"/>
        <item x="3423"/>
        <item x="2840"/>
        <item x="3021"/>
        <item x="1699"/>
        <item x="826"/>
        <item x="3405"/>
        <item x="2053"/>
        <item x="1700"/>
        <item x="3424"/>
        <item x="2928"/>
        <item x="2015"/>
        <item x="2590"/>
        <item x="733"/>
        <item x="1512"/>
        <item x="2016"/>
        <item x="3121"/>
        <item x="1701"/>
        <item x="3182"/>
        <item x="2653"/>
        <item x="117"/>
        <item x="1466"/>
        <item x="1290"/>
        <item x="1702"/>
        <item x="817"/>
        <item x="3311"/>
        <item x="958"/>
        <item x="29"/>
        <item x="3462"/>
        <item x="282"/>
        <item x="2524"/>
        <item x="959"/>
        <item x="1835"/>
        <item x="801"/>
        <item x="1666"/>
        <item x="2919"/>
        <item x="194"/>
        <item x="2827"/>
        <item x="960"/>
        <item x="3284"/>
        <item x="1518"/>
        <item x="3285"/>
        <item x="2828"/>
        <item x="961"/>
        <item x="1519"/>
        <item x="247"/>
        <item x="787"/>
        <item x="527"/>
        <item x="248"/>
        <item x="788"/>
        <item x="1591"/>
        <item x="249"/>
        <item x="789"/>
        <item x="2077"/>
        <item x="2284"/>
        <item x="2214"/>
        <item x="962"/>
        <item x="1592"/>
        <item x="2332"/>
        <item x="2920"/>
        <item x="2356"/>
        <item x="2339"/>
        <item x="2215"/>
        <item x="979"/>
        <item x="2285"/>
        <item x="3156"/>
        <item x="2357"/>
        <item x="460"/>
        <item x="48"/>
        <item x="3255"/>
        <item x="1126"/>
        <item x="1836"/>
        <item x="2398"/>
        <item x="3157"/>
        <item x="734"/>
        <item x="250"/>
        <item x="182"/>
        <item x="3256"/>
        <item x="30"/>
        <item x="3286"/>
        <item x="2273"/>
        <item x="183"/>
        <item x="2358"/>
        <item x="2322"/>
        <item x="227"/>
        <item x="1609"/>
        <item x="1434"/>
        <item x="96"/>
        <item x="735"/>
        <item x="2313"/>
        <item x="1065"/>
        <item x="3048"/>
        <item x="1610"/>
        <item x="3183"/>
        <item x="3268"/>
        <item x="2216"/>
        <item x="348"/>
        <item x="1138"/>
        <item x="2492"/>
        <item x="2340"/>
        <item x="1318"/>
        <item x="3106"/>
        <item x="968"/>
        <item x="2711"/>
        <item x="2341"/>
        <item x="944"/>
        <item x="3269"/>
        <item x="1422"/>
        <item x="969"/>
        <item x="818"/>
        <item x="2617"/>
        <item x="1491"/>
        <item x="1319"/>
        <item x="2938"/>
        <item x="174"/>
        <item x="578"/>
        <item x="1085"/>
        <item x="819"/>
        <item x="2618"/>
        <item x="1492"/>
        <item x="1346"/>
        <item x="1086"/>
        <item x="1903"/>
        <item x="2678"/>
        <item x="631"/>
        <item x="3497"/>
        <item x="476"/>
        <item x="1087"/>
        <item x="1232"/>
        <item x="579"/>
        <item x="528"/>
        <item x="1904"/>
        <item x="208"/>
        <item x="507"/>
        <item x="1088"/>
        <item x="580"/>
        <item x="529"/>
        <item x="980"/>
        <item x="166"/>
        <item x="1905"/>
        <item x="345"/>
        <item x="1980"/>
        <item x="2436"/>
        <item x="3287"/>
        <item x="2405"/>
        <item x="127"/>
        <item x="1822"/>
        <item x="553"/>
        <item x="1467"/>
        <item x="314"/>
        <item x="477"/>
        <item x="2956"/>
        <item x="77"/>
        <item x="1233"/>
        <item x="3312"/>
        <item x="1468"/>
        <item x="315"/>
        <item x="2957"/>
        <item x="2679"/>
        <item x="1234"/>
        <item x="1145"/>
        <item x="3313"/>
        <item x="92"/>
        <item x="1162"/>
        <item x="1469"/>
        <item x="2958"/>
        <item x="1146"/>
        <item x="2680"/>
        <item x="941"/>
        <item x="421"/>
        <item x="1127"/>
        <item x="942"/>
        <item x="1452"/>
        <item x="360"/>
        <item x="1890"/>
        <item x="3216"/>
        <item x="82"/>
        <item x="2333"/>
        <item x="1453"/>
        <item x="331"/>
        <item x="2758"/>
        <item x="83"/>
        <item x="1891"/>
        <item x="49"/>
        <item x="3318"/>
        <item x="778"/>
        <item x="1029"/>
        <item x="2801"/>
        <item x="385"/>
        <item x="221"/>
        <item x="84"/>
        <item x="1892"/>
        <item x="947"/>
        <item x="1520"/>
        <item x="1999"/>
        <item x="222"/>
        <item x="3217"/>
        <item x="1203"/>
        <item x="3122"/>
        <item x="1741"/>
        <item x="349"/>
        <item x="1204"/>
        <item x="1493"/>
        <item x="1384"/>
        <item x="402"/>
        <item x="3049"/>
        <item x="1804"/>
        <item x="497"/>
        <item x="1089"/>
        <item x="1090"/>
        <item x="2428"/>
        <item x="467"/>
        <item x="1714"/>
        <item x="85"/>
        <item x="970"/>
        <item x="361"/>
        <item x="1423"/>
        <item x="1385"/>
        <item x="20"/>
        <item x="468"/>
        <item x="416"/>
        <item x="1386"/>
        <item x="971"/>
        <item x="861"/>
        <item x="554"/>
        <item x="607"/>
        <item x="1676"/>
        <item x="1655"/>
        <item x="972"/>
        <item x="2553"/>
        <item x="1593"/>
        <item x="666"/>
        <item x="3050"/>
        <item x="1594"/>
        <item x="3270"/>
        <item x="2996"/>
        <item x="1259"/>
        <item x="2286"/>
        <item x="995"/>
        <item x="2921"/>
        <item x="444"/>
        <item x="878"/>
        <item x="2742"/>
        <item x="3123"/>
        <item x="137"/>
        <item x="3498"/>
        <item x="3271"/>
        <item x="879"/>
        <item x="2342"/>
        <item x="957"/>
        <item x="2484"/>
        <item x="2406"/>
        <item x="2432"/>
        <item x="1320"/>
        <item x="259"/>
        <item x="2086"/>
        <item x="489"/>
        <item x="2407"/>
        <item x="2087"/>
        <item x="1017"/>
        <item x="490"/>
        <item x="1235"/>
        <item x="853"/>
        <item x="295"/>
        <item x="2189"/>
        <item x="2690"/>
        <item x="2408"/>
        <item x="2422"/>
        <item x="3257"/>
        <item x="2205"/>
        <item x="1043"/>
        <item x="3425"/>
        <item x="3258"/>
        <item x="2177"/>
        <item x="3350"/>
        <item x="1424"/>
        <item x="97"/>
        <item x="620"/>
        <item x="2178"/>
        <item x="952"/>
        <item x="3426"/>
        <item x="2870"/>
        <item x="854"/>
        <item x="60"/>
        <item x="2054"/>
        <item x="1925"/>
        <item x="2691"/>
        <item x="3482"/>
        <item x="3351"/>
        <item x="2055"/>
        <item x="2871"/>
        <item x="855"/>
        <item x="1156"/>
        <item x="3301"/>
        <item x="3483"/>
        <item x="1656"/>
        <item x="3259"/>
        <item x="1329"/>
        <item x="757"/>
        <item x="2872"/>
        <item x="1611"/>
        <item x="1872"/>
        <item x="1157"/>
        <item x="736"/>
        <item x="1657"/>
        <item x="1873"/>
        <item x="3033"/>
        <item x="1210"/>
        <item x="1959"/>
        <item x="3034"/>
        <item x="1612"/>
        <item x="1772"/>
        <item x="1053"/>
        <item x="1425"/>
        <item x="3443"/>
        <item x="3352"/>
        <item x="2789"/>
        <item x="1147"/>
        <item x="1220"/>
        <item x="3353"/>
        <item x="1148"/>
        <item x="1221"/>
        <item x="2873"/>
        <item x="1291"/>
        <item x="198"/>
        <item x="1938"/>
        <item x="1292"/>
        <item x="14"/>
        <item x="2103"/>
        <item x="1247"/>
        <item x="3406"/>
        <item x="371"/>
        <item x="2088"/>
        <item x="690"/>
        <item x="2089"/>
        <item x="935"/>
        <item x="1149"/>
        <item x="3302"/>
        <item x="2743"/>
        <item x="2779"/>
        <item x="2929"/>
        <item x="61"/>
        <item x="691"/>
        <item x="2744"/>
        <item x="3354"/>
        <item x="2056"/>
        <item x="119"/>
        <item x="1494"/>
        <item x="1044"/>
        <item x="1613"/>
        <item x="62"/>
        <item x="3107"/>
        <item x="2032"/>
        <item x="120"/>
        <item x="1091"/>
        <item x="1373"/>
        <item x="1521"/>
        <item x="332"/>
        <item x="2124"/>
        <item x="2274"/>
        <item x="1773"/>
        <item x="2906"/>
        <item x="333"/>
        <item x="2125"/>
        <item x="63"/>
        <item x="1374"/>
        <item x="1774"/>
        <item x="2874"/>
        <item x="2513"/>
        <item x="2126"/>
        <item x="1632"/>
        <item x="737"/>
        <item x="1388"/>
        <item x="1775"/>
        <item x="2723"/>
        <item x="1182"/>
        <item x="1727"/>
        <item x="3272"/>
        <item x="64"/>
        <item x="2462"/>
        <item x="738"/>
        <item x="2681"/>
        <item x="3372"/>
        <item x="1183"/>
        <item x="586"/>
        <item x="491"/>
        <item x="739"/>
        <item x="2275"/>
        <item x="1728"/>
        <item x="65"/>
        <item x="228"/>
        <item x="776"/>
        <item x="1211"/>
        <item x="3051"/>
        <item x="2196"/>
        <item x="3223"/>
        <item x="714"/>
        <item x="1793"/>
        <item x="98"/>
        <item x="2065"/>
        <item x="3499"/>
        <item x="99"/>
        <item x="2497"/>
        <item x="1"/>
        <item x="2"/>
        <item x="1222"/>
        <item x="909"/>
        <item x="3158"/>
        <item x="1877"/>
        <item x="138"/>
        <item x="2525"/>
        <item x="779"/>
        <item x="2090"/>
        <item x="2104"/>
        <item x="2790"/>
        <item x="563"/>
        <item x="53"/>
        <item x="780"/>
        <item x="2526"/>
        <item x="223"/>
        <item x="965"/>
        <item x="781"/>
        <item x="1641"/>
        <item x="782"/>
        <item x="283"/>
        <item x="1642"/>
        <item x="144"/>
        <item x="1054"/>
        <item x="783"/>
        <item x="2458"/>
        <item x="3260"/>
        <item x="1055"/>
        <item x="145"/>
        <item x="21"/>
        <item x="1193"/>
        <item x="284"/>
        <item x="2474"/>
        <item x="1045"/>
        <item x="945"/>
        <item x="285"/>
        <item x="1283"/>
        <item x="1046"/>
        <item x="274"/>
        <item x="1926"/>
        <item x="555"/>
        <item x="1389"/>
        <item x="381"/>
        <item x="2287"/>
        <item x="880"/>
        <item x="41"/>
        <item x="556"/>
        <item x="139"/>
        <item x="2812"/>
        <item x="2022"/>
        <item x="1522"/>
        <item x="286"/>
        <item x="1303"/>
        <item x="881"/>
        <item x="2288"/>
        <item x="1390"/>
        <item x="236"/>
        <item x="1212"/>
        <item x="3343"/>
        <item x="1056"/>
        <item x="2170"/>
        <item x="2323"/>
        <item x="195"/>
        <item x="100"/>
        <item x="2568"/>
        <item x="1375"/>
        <item x="2775"/>
        <item x="1703"/>
        <item x="2858"/>
        <item x="2569"/>
        <item x="3330"/>
        <item x="2776"/>
        <item x="2127"/>
        <item x="1523"/>
        <item x="1524"/>
        <item x="1560"/>
        <item x="1272"/>
        <item x="362"/>
        <item x="1561"/>
        <item x="587"/>
        <item x="2000"/>
        <item x="2057"/>
        <item x="302"/>
        <item x="3314"/>
        <item x="2141"/>
        <item x="196"/>
        <item x="1360"/>
        <item x="3012"/>
        <item x="588"/>
        <item x="2802"/>
        <item x="2142"/>
        <item x="275"/>
        <item x="589"/>
        <item x="1194"/>
        <item x="1482"/>
        <item x="2974"/>
        <item x="1195"/>
        <item x="1562"/>
        <item x="3013"/>
        <item x="241"/>
        <item x="3315"/>
        <item x="3071"/>
        <item x="1368"/>
        <item x="3072"/>
        <item x="242"/>
        <item x="2922"/>
        <item x="93"/>
        <item x="1643"/>
        <item x="94"/>
        <item x="744"/>
        <item x="1667"/>
        <item x="1805"/>
        <item x="894"/>
        <item x="3184"/>
        <item x="3463"/>
        <item x="2289"/>
        <item x="2261"/>
        <item x="3035"/>
        <item x="1806"/>
        <item x="2705"/>
        <item x="1260"/>
        <item x="2468"/>
        <item x="790"/>
        <item x="2290"/>
        <item x="1391"/>
        <item x="1704"/>
        <item x="1261"/>
        <item x="2907"/>
        <item x="2445"/>
        <item x="303"/>
        <item x="3127"/>
        <item x="2349"/>
        <item x="2475"/>
        <item x="846"/>
        <item x="2078"/>
        <item x="1426"/>
        <item x="3128"/>
        <item x="1705"/>
        <item x="1284"/>
        <item x="431"/>
        <item x="251"/>
        <item x="2079"/>
        <item x="2829"/>
        <item x="2476"/>
        <item x="1706"/>
        <item x="126"/>
        <item x="3355"/>
        <item x="2830"/>
        <item x="3108"/>
        <item x="2463"/>
        <item x="745"/>
        <item x="1416"/>
        <item x="184"/>
        <item x="3109"/>
        <item x="3233"/>
        <item x="590"/>
        <item x="3444"/>
        <item x="981"/>
        <item x="3137"/>
        <item x="2908"/>
        <item x="1582"/>
        <item x="3124"/>
        <item x="2324"/>
        <item x="982"/>
        <item x="3138"/>
        <item x="1583"/>
        <item x="1906"/>
        <item x="2325"/>
        <item x="2456"/>
        <item x="1248"/>
        <item x="3356"/>
        <item x="2803"/>
        <item x="3014"/>
        <item x="2446"/>
        <item x="3484"/>
        <item x="2696"/>
        <item x="1823"/>
        <item x="2066"/>
        <item x="2447"/>
        <item x="1427"/>
        <item x="432"/>
        <item x="1807"/>
        <item x="3052"/>
        <item x="433"/>
        <item x="967"/>
        <item x="1856"/>
        <item x="1428"/>
        <item x="886"/>
        <item x="434"/>
        <item x="3500"/>
        <item x="3110"/>
        <item x="3073"/>
        <item x="435"/>
        <item x="2859"/>
        <item x="2975"/>
        <item x="334"/>
        <item x="2939"/>
        <item x="2498"/>
        <item x="66"/>
        <item x="22"/>
        <item x="335"/>
        <item x="1047"/>
        <item x="157"/>
        <item x="336"/>
        <item x="2940"/>
        <item x="158"/>
        <item x="1184"/>
        <item x="1108"/>
        <item x="325"/>
        <item x="218"/>
        <item x="1767"/>
        <item x="2578"/>
        <item x="326"/>
        <item x="3167"/>
        <item x="2157"/>
        <item x="1109"/>
        <item x="2712"/>
        <item x="621"/>
        <item x="2818"/>
        <item x="2158"/>
        <item x="2819"/>
        <item x="2190"/>
        <item x="1907"/>
        <item x="2246"/>
        <item x="140"/>
        <item x="3344"/>
        <item x="2291"/>
        <item x="1330"/>
        <item x="2570"/>
        <item x="2292"/>
        <item x="417"/>
        <item x="2159"/>
        <item x="1293"/>
        <item x="1874"/>
        <item x="418"/>
        <item x="2485"/>
        <item x="2293"/>
        <item x="834"/>
        <item x="2256"/>
        <item x="2486"/>
        <item x="1927"/>
        <item x="835"/>
        <item x="2875"/>
        <item x="2257"/>
        <item x="2772"/>
        <item x="287"/>
        <item x="1970"/>
        <item x="197"/>
        <item x="1128"/>
        <item x="3501"/>
        <item x="973"/>
        <item x="422"/>
        <item x="1129"/>
        <item x="3485"/>
        <item x="2033"/>
        <item x="453"/>
        <item x="42"/>
        <item x="1110"/>
        <item x="1347"/>
        <item x="2841"/>
        <item x="1677"/>
        <item x="2206"/>
        <item x="43"/>
        <item x="3053"/>
        <item x="2207"/>
        <item x="2923"/>
        <item x="2941"/>
        <item x="3054"/>
        <item x="530"/>
        <item x="107"/>
        <item x="454"/>
        <item x="386"/>
        <item x="531"/>
        <item x="1614"/>
        <item x="108"/>
        <item x="1678"/>
        <item x="387"/>
        <item x="1857"/>
        <item x="150"/>
        <item x="1615"/>
        <item x="2318"/>
        <item x="2627"/>
        <item x="3185"/>
        <item x="1858"/>
        <item x="2628"/>
        <item x="3168"/>
        <item x="372"/>
        <item x="3015"/>
        <item x="1542"/>
        <item x="1878"/>
        <item x="2571"/>
        <item x="2842"/>
        <item x="308"/>
        <item x="1879"/>
        <item x="1616"/>
        <item x="1543"/>
        <item x="1679"/>
        <item x="724"/>
        <item x="1880"/>
        <item x="996"/>
        <item x="478"/>
        <item x="2295"/>
        <item x="185"/>
        <item x="479"/>
        <item x="175"/>
        <item x="1285"/>
        <item x="3224"/>
        <item x="480"/>
        <item x="176"/>
        <item x="177"/>
        <item x="2514"/>
        <item x="1587"/>
        <item x="2644"/>
        <item x="3316"/>
        <item x="2942"/>
        <item x="67"/>
        <item x="2976"/>
        <item x="396"/>
        <item x="2765"/>
        <item x="997"/>
        <item x="397"/>
        <item x="2766"/>
        <item x="2876"/>
        <item x="910"/>
        <item x="2080"/>
        <item x="3303"/>
        <item x="309"/>
        <item x="2160"/>
        <item x="2877"/>
        <item x="911"/>
        <item x="2780"/>
        <item x="2745"/>
        <item x="1163"/>
        <item x="1584"/>
        <item x="1776"/>
        <item x="2595"/>
        <item x="3"/>
        <item x="1777"/>
        <item x="1747"/>
        <item x="1273"/>
        <item x="4"/>
        <item x="1376"/>
        <item x="1130"/>
        <item x="316"/>
        <item x="199"/>
        <item x="1539"/>
        <item x="403"/>
        <item x="1778"/>
        <item x="2217"/>
        <item x="317"/>
        <item x="3129"/>
        <item x="2697"/>
        <item x="2218"/>
        <item x="2843"/>
        <item x="1779"/>
        <item x="898"/>
        <item x="3288"/>
        <item x="1780"/>
        <item x="109"/>
        <item x="2605"/>
        <item x="1824"/>
        <item x="110"/>
        <item x="54"/>
        <item x="68"/>
        <item x="388"/>
        <item x="2606"/>
        <item x="1563"/>
        <item x="389"/>
        <item x="69"/>
        <item x="1658"/>
        <item x="1018"/>
        <item x="481"/>
        <item x="1564"/>
        <item x="3399"/>
        <item x="1659"/>
        <item x="3357"/>
        <item x="1939"/>
        <item x="1392"/>
        <item x="178"/>
        <item x="327"/>
        <item x="3413"/>
        <item x="2161"/>
        <item x="2893"/>
        <item x="328"/>
        <item x="557"/>
        <item x="1435"/>
        <item x="791"/>
        <item x="3016"/>
        <item x="2943"/>
        <item x="2477"/>
        <item x="3130"/>
        <item x="132"/>
        <item x="2813"/>
        <item x="895"/>
        <item x="133"/>
        <item x="1236"/>
        <item x="808"/>
        <item x="31"/>
        <item x="3464"/>
        <item x="469"/>
        <item x="2376"/>
        <item x="1237"/>
        <item x="809"/>
        <item x="608"/>
        <item x="2554"/>
        <item x="2377"/>
        <item x="470"/>
        <item x="2844"/>
        <item x="609"/>
        <item x="2997"/>
        <item x="2944"/>
        <item x="70"/>
        <item x="1633"/>
        <item x="983"/>
        <item x="2034"/>
        <item x="2591"/>
        <item x="1971"/>
        <item x="622"/>
        <item x="2091"/>
        <item x="984"/>
        <item x="2698"/>
        <item x="1644"/>
        <item x="3486"/>
        <item x="2945"/>
        <item x="3017"/>
        <item x="2092"/>
        <item x="2699"/>
        <item x="2682"/>
        <item x="2592"/>
        <item x="237"/>
        <item x="532"/>
        <item x="3159"/>
        <item x="238"/>
        <item x="533"/>
        <item x="1417"/>
        <item x="2860"/>
        <item x="346"/>
        <item x="2683"/>
        <item x="2105"/>
        <item x="2946"/>
        <item x="1335"/>
        <item x="1418"/>
        <item x="243"/>
        <item x="3022"/>
        <item x="2437"/>
        <item x="2684"/>
        <item x="2378"/>
        <item x="2106"/>
        <item x="244"/>
        <item x="1729"/>
        <item x="2861"/>
        <item x="1274"/>
        <item x="1066"/>
        <item x="3319"/>
        <item x="2296"/>
        <item x="1275"/>
        <item x="1067"/>
        <item x="2862"/>
        <item x="3090"/>
        <item x="3465"/>
        <item x="2734"/>
        <item x="3414"/>
        <item x="820"/>
        <item x="3466"/>
        <item x="2219"/>
        <item x="2735"/>
        <item x="3415"/>
        <item x="186"/>
        <item x="353"/>
        <item x="3407"/>
        <item x="2220"/>
        <item x="2831"/>
        <item x="3036"/>
        <item x="2058"/>
        <item x="288"/>
        <item x="187"/>
        <item x="229"/>
        <item x="354"/>
        <item x="289"/>
        <item x="190"/>
        <item x="593"/>
        <item x="230"/>
        <item x="355"/>
        <item x="3467"/>
        <item x="290"/>
        <item x="1689"/>
        <item x="594"/>
        <item x="101"/>
        <item x="3468"/>
        <item x="71"/>
        <item x="1336"/>
        <item x="167"/>
        <item x="2665"/>
        <item x="1057"/>
        <item x="1981"/>
        <item x="667"/>
        <item x="168"/>
        <item x="1982"/>
        <item x="1575"/>
        <item x="409"/>
        <item x="1304"/>
        <item x="2429"/>
        <item x="2093"/>
        <item x="1645"/>
        <item x="683"/>
        <item x="1794"/>
        <item x="534"/>
        <item x="1795"/>
        <item x="684"/>
        <item x="1859"/>
        <item x="2423"/>
        <item x="685"/>
        <item x="318"/>
        <item x="2384"/>
        <item x="1940"/>
        <item x="33"/>
        <item x="2067"/>
        <item x="3384"/>
        <item x="2820"/>
        <item x="1860"/>
        <item x="319"/>
        <item x="1893"/>
        <item x="2068"/>
        <item x="2821"/>
        <item x="1540"/>
        <item x="3385"/>
        <item x="2179"/>
        <item x="1541"/>
        <item x="2221"/>
        <item x="2107"/>
        <item x="3091"/>
        <item x="482"/>
        <item x="2773"/>
        <item x="15"/>
        <item x="3092"/>
        <item x="483"/>
        <item x="2247"/>
        <item x="2774"/>
        <item x="484"/>
        <item x="936"/>
        <item x="595"/>
        <item x="2629"/>
        <item x="2804"/>
        <item x="2180"/>
        <item x="2630"/>
        <item x="1808"/>
        <item x="2001"/>
        <item x="3186"/>
        <item x="3218"/>
        <item x="3427"/>
        <item x="3508"/>
        <item x="517"/>
        <item x="2002"/>
        <item x="1393"/>
        <item x="55"/>
        <item x="3509"/>
        <item x="337"/>
        <item x="3203"/>
        <item x="2171"/>
        <item x="159"/>
        <item x="56"/>
        <item x="2172"/>
        <item x="3204"/>
        <item x="1249"/>
        <item x="1019"/>
        <item x="2998"/>
        <item x="57"/>
        <item x="2999"/>
        <item x="2258"/>
        <item x="2685"/>
        <item x="3205"/>
        <item x="3416"/>
        <item x="2035"/>
        <item x="2036"/>
        <item x="239"/>
        <item x="1894"/>
        <item x="1861"/>
        <item x="655"/>
        <item x="2845"/>
        <item x="1960"/>
        <item x="802"/>
        <item x="1058"/>
        <item x="44"/>
        <item x="3206"/>
        <item x="1961"/>
        <item x="1361"/>
        <item x="45"/>
        <item x="3304"/>
        <item x="3373"/>
        <item x="2148"/>
        <item x="2894"/>
        <item x="643"/>
        <item x="928"/>
        <item x="929"/>
        <item x="2878"/>
        <item x="498"/>
        <item x="3000"/>
        <item x="2527"/>
        <item x="1400"/>
        <item x="2895"/>
        <item x="3469"/>
        <item x="3001"/>
        <item x="2555"/>
        <item x="2846"/>
        <item x="471"/>
        <item x="3169"/>
        <item x="856"/>
        <item x="3219"/>
        <item x="792"/>
        <item x="3125"/>
        <item x="304"/>
        <item x="2262"/>
        <item x="3428"/>
        <item x="2596"/>
        <item x="2579"/>
        <item x="134"/>
        <item x="2263"/>
        <item x="793"/>
        <item x="2128"/>
        <item x="2597"/>
        <item x="2069"/>
        <item x="3037"/>
        <item x="1837"/>
        <item x="2264"/>
        <item x="2070"/>
        <item x="276"/>
        <item x="2129"/>
        <item x="2924"/>
        <item x="1337"/>
        <item x="3273"/>
        <item x="277"/>
        <item x="2925"/>
        <item x="3220"/>
        <item x="3487"/>
        <item x="3305"/>
        <item x="2385"/>
        <item x="1309"/>
        <item x="2386"/>
        <item x="1595"/>
        <item x="740"/>
        <item x="2560"/>
        <item x="632"/>
        <item x="1310"/>
        <item x="338"/>
        <item x="3234"/>
        <item x="3429"/>
        <item x="715"/>
        <item x="3417"/>
        <item x="610"/>
        <item x="260"/>
        <item x="1748"/>
        <item x="1495"/>
        <item x="3320"/>
        <item x="2607"/>
        <item x="3445"/>
        <item x="2930"/>
        <item x="1496"/>
        <item x="2608"/>
        <item x="1809"/>
        <item x="1742"/>
        <item x="2947"/>
        <item x="2931"/>
        <item x="611"/>
        <item x="3446"/>
        <item x="3170"/>
        <item x="993"/>
        <item x="492"/>
        <item x="2932"/>
        <item x="1092"/>
        <item x="644"/>
        <item x="455"/>
        <item x="2933"/>
        <item x="3171"/>
        <item x="645"/>
        <item x="2373"/>
        <item x="367"/>
        <item x="1020"/>
        <item x="3111"/>
        <item x="1286"/>
        <item x="3207"/>
        <item x="2374"/>
        <item x="1287"/>
        <item x="3093"/>
        <item x="2276"/>
        <item x="1810"/>
        <item x="3172"/>
        <item x="1009"/>
        <item x="111"/>
        <item x="3173"/>
        <item x="1010"/>
        <item x="2430"/>
        <item x="1262"/>
        <item x="3274"/>
        <item x="3470"/>
        <item x="1503"/>
        <item x="3225"/>
        <item x="339"/>
        <item x="633"/>
        <item x="1504"/>
        <item x="3226"/>
        <item x="1544"/>
        <item x="716"/>
        <item x="3488"/>
        <item x="3227"/>
        <item x="1030"/>
        <item x="3275"/>
        <item x="1436"/>
        <item x="379"/>
        <item x="2003"/>
        <item x="1338"/>
        <item x="2781"/>
        <item x="3489"/>
        <item x="2399"/>
        <item x="2767"/>
        <item x="3174"/>
        <item x="1348"/>
        <item x="2782"/>
        <item x="3490"/>
        <item x="2222"/>
        <item x="2783"/>
        <item x="692"/>
        <item x="231"/>
        <item x="461"/>
        <item x="128"/>
        <item x="462"/>
        <item x="3331"/>
        <item x="1908"/>
        <item x="373"/>
        <item x="129"/>
        <item x="2532"/>
        <item x="3038"/>
        <item x="374"/>
        <item x="130"/>
        <item x="2379"/>
        <item x="2533"/>
        <item x="1158"/>
        <item x="1617"/>
        <item x="1159"/>
        <item x="2753"/>
        <item x="2713"/>
        <item x="1618"/>
        <item x="2534"/>
        <item x="219"/>
        <item x="1596"/>
        <item x="3002"/>
        <item x="2714"/>
        <item x="2666"/>
        <item x="847"/>
        <item x="1646"/>
        <item x="2715"/>
        <item x="456"/>
        <item x="1533"/>
        <item x="2071"/>
        <item x="3003"/>
        <item x="2004"/>
        <item x="3321"/>
        <item x="1962"/>
        <item x="2072"/>
        <item x="5"/>
        <item x="3139"/>
        <item x="3018"/>
        <item x="50"/>
        <item x="3019"/>
        <item x="102"/>
        <item x="2977"/>
        <item x="2847"/>
        <item x="51"/>
        <item x="3332"/>
        <item x="2619"/>
        <item x="2978"/>
        <item x="2387"/>
        <item x="2620"/>
        <item x="2979"/>
        <item x="252"/>
        <item x="1131"/>
        <item x="794"/>
        <item x="2438"/>
        <item x="2191"/>
        <item x="634"/>
        <item x="3112"/>
        <item x="2948"/>
        <item x="441"/>
        <item x="291"/>
        <item x="3113"/>
        <item x="3418"/>
        <item x="160"/>
        <item x="3510"/>
        <item x="442"/>
        <item x="2949"/>
        <item x="3187"/>
        <item x="1250"/>
        <item x="3235"/>
        <item x="179"/>
        <item x="2667"/>
        <item x="2037"/>
        <item x="3419"/>
        <item x="2668"/>
        <item x="340"/>
        <item x="161"/>
        <item x="2822"/>
        <item x="2197"/>
        <item x="3074"/>
        <item x="1811"/>
        <item x="1534"/>
        <item x="2879"/>
        <item x="2073"/>
        <item x="457"/>
        <item x="3322"/>
        <item x="1983"/>
        <item x="3114"/>
        <item x="3306"/>
        <item x="2074"/>
        <item x="3323"/>
        <item x="1223"/>
        <item x="3004"/>
        <item x="232"/>
        <item x="1909"/>
        <item x="3386"/>
        <item x="3005"/>
        <item x="1470"/>
        <item x="1224"/>
        <item x="564"/>
        <item x="1910"/>
        <item x="1251"/>
        <item x="233"/>
        <item x="3387"/>
        <item x="2143"/>
        <item x="565"/>
        <item x="2388"/>
        <item x="2959"/>
        <item x="1972"/>
        <item x="2389"/>
        <item x="3502"/>
        <item x="2535"/>
        <item x="121"/>
        <item x="518"/>
        <item x="1973"/>
        <item x="2137"/>
        <item x="2645"/>
        <item x="3140"/>
        <item x="2138"/>
        <item x="2192"/>
        <item x="162"/>
        <item x="899"/>
        <item x="2094"/>
        <item x="2193"/>
        <item x="2431"/>
        <item x="1974"/>
        <item x="122"/>
        <item x="784"/>
        <item x="2359"/>
        <item x="112"/>
        <item x="2909"/>
        <item x="123"/>
        <item x="458"/>
        <item x="2130"/>
        <item x="2360"/>
        <item x="3094"/>
        <item x="1164"/>
        <item x="1213"/>
        <item x="3289"/>
        <item x="1165"/>
        <item x="581"/>
        <item x="1730"/>
        <item x="1093"/>
        <item x="3430"/>
        <item x="2960"/>
        <item x="2108"/>
        <item x="1094"/>
        <item x="1963"/>
        <item x="3115"/>
        <item x="547"/>
        <item x="3141"/>
        <item x="2487"/>
        <item x="2109"/>
        <item x="3431"/>
        <item x="869"/>
        <item x="2400"/>
        <item x="200"/>
        <item x="2646"/>
        <item x="2980"/>
        <item x="2265"/>
        <item x="310"/>
        <item x="2647"/>
        <item x="2326"/>
        <item x="2266"/>
        <item x="2896"/>
        <item x="2556"/>
        <item x="151"/>
        <item x="2162"/>
        <item x="95"/>
        <item x="2223"/>
        <item x="2692"/>
        <item x="2648"/>
        <item x="3236"/>
        <item x="2163"/>
        <item x="2224"/>
        <item x="2081"/>
        <item x="741"/>
        <item x="2110"/>
        <item x="1975"/>
        <item x="234"/>
        <item x="3333"/>
        <item x="278"/>
        <item x="2649"/>
        <item x="566"/>
        <item x="2706"/>
        <item x="235"/>
        <item x="3237"/>
        <item x="213"/>
        <item x="2238"/>
        <item x="3334"/>
        <item x="1185"/>
        <item x="6"/>
        <item x="3039"/>
        <item x="2791"/>
        <item x="2707"/>
        <item x="214"/>
        <item x="3447"/>
        <item x="279"/>
        <item x="2239"/>
        <item x="1471"/>
        <item x="2023"/>
        <item x="443"/>
        <item x="2934"/>
        <item x="2164"/>
        <item x="2792"/>
        <item x="3175"/>
        <item x="2950"/>
        <item x="1472"/>
        <item x="2024"/>
        <item x="2165"/>
        <item x="2910"/>
        <item x="3208"/>
        <item x="2631"/>
        <item x="2504"/>
        <item x="2314"/>
        <item x="3040"/>
        <item x="2911"/>
        <item x="3432"/>
        <item x="2478"/>
        <item x="375"/>
        <item x="2505"/>
        <item x="2315"/>
        <item x="1132"/>
        <item x="2149"/>
        <item x="3335"/>
        <item x="86"/>
        <item x="376"/>
        <item x="2912"/>
        <item x="1619"/>
        <item x="3336"/>
        <item x="2700"/>
        <item x="623"/>
        <item x="87"/>
        <item x="2150"/>
        <item x="1133"/>
        <item x="2981"/>
        <item x="3503"/>
        <item x="3388"/>
        <item x="2297"/>
        <item x="1225"/>
        <item x="3358"/>
        <item x="3188"/>
        <item x="2298"/>
        <item x="1226"/>
        <item x="3142"/>
        <item x="1535"/>
        <item x="3345"/>
        <item x="1565"/>
        <item x="2609"/>
        <item x="3448"/>
        <item x="2488"/>
        <item x="3209"/>
        <item x="1536"/>
        <item x="2990"/>
        <item x="2489"/>
        <item x="2350"/>
        <item x="1566"/>
        <item x="896"/>
        <item x="2610"/>
        <item x="1781"/>
        <item x="1294"/>
        <item x="3389"/>
        <item x="2433"/>
        <item x="863"/>
        <item x="3390"/>
        <item x="2390"/>
        <item x="2208"/>
        <item x="2334"/>
        <item x="2738"/>
        <item x="1295"/>
        <item x="2335"/>
        <item x="864"/>
        <item x="2880"/>
        <item x="2391"/>
        <item x="2319"/>
        <item x="2632"/>
        <item x="3359"/>
        <item x="2724"/>
        <item x="2739"/>
        <item x="269"/>
        <item x="2881"/>
        <item x="2633"/>
        <item x="1782"/>
        <item x="3360"/>
        <item x="985"/>
        <item x="2740"/>
        <item x="2882"/>
        <item x="201"/>
        <item x="2611"/>
        <item x="2151"/>
        <item x="1941"/>
        <item x="16"/>
        <item x="986"/>
        <item x="1895"/>
        <item x="202"/>
        <item x="1942"/>
        <item x="1647"/>
        <item x="1437"/>
        <item x="2883"/>
        <item x="363"/>
        <item x="1943"/>
        <item x="2198"/>
        <item x="1438"/>
        <item x="3238"/>
        <item x="3449"/>
        <item x="567"/>
        <item x="2316"/>
        <item x="2884"/>
        <item x="253"/>
        <item x="1731"/>
        <item x="423"/>
        <item x="3221"/>
        <item x="3450"/>
        <item x="3239"/>
        <item x="2025"/>
        <item x="141"/>
        <item x="2005"/>
        <item x="943"/>
        <item x="1001"/>
        <item x="2305"/>
        <item x="635"/>
        <item x="2832"/>
        <item x="1984"/>
        <item x="1928"/>
        <item x="725"/>
        <item x="1715"/>
        <item x="857"/>
        <item x="1985"/>
        <item x="3420"/>
        <item x="2306"/>
        <item x="2833"/>
        <item x="3116"/>
        <item x="858"/>
        <item x="103"/>
        <item x="2248"/>
        <item x="726"/>
        <item x="795"/>
        <item x="2317"/>
        <item x="2249"/>
        <item x="591"/>
        <item x="948"/>
        <item x="508"/>
        <item x="2814"/>
        <item x="1944"/>
        <item x="3117"/>
        <item x="2250"/>
        <item x="509"/>
        <item x="1945"/>
        <item x="3160"/>
        <item x="2961"/>
        <item x="803"/>
        <item x="900"/>
        <item x="3161"/>
        <item x="88"/>
        <item x="804"/>
        <item x="3451"/>
        <item x="3240"/>
        <item x="3452"/>
        <item x="805"/>
        <item x="901"/>
        <item x="135"/>
        <item x="1150"/>
        <item x="902"/>
        <item x="113"/>
        <item x="887"/>
        <item x="2469"/>
        <item x="3176"/>
        <item x="436"/>
        <item x="2006"/>
        <item x="2716"/>
        <item x="2209"/>
        <item x="903"/>
        <item x="424"/>
        <item x="2470"/>
        <item x="3177"/>
        <item x="437"/>
        <item x="2471"/>
        <item x="1690"/>
        <item x="1196"/>
        <item x="472"/>
        <item x="2637"/>
        <item x="3095"/>
        <item x="473"/>
        <item x="904"/>
        <item x="3143"/>
        <item x="292"/>
        <item x="3453"/>
        <item x="2490"/>
        <item x="3096"/>
        <item x="3144"/>
        <item x="293"/>
        <item x="1525"/>
        <item x="2848"/>
        <item x="3491"/>
        <item x="2491"/>
        <item x="311"/>
        <item x="209"/>
        <item x="296"/>
        <item x="1059"/>
        <item x="312"/>
        <item x="445"/>
        <item x="2026"/>
        <item x="297"/>
        <item x="3006"/>
        <item x="410"/>
        <item x="1060"/>
        <item x="3075"/>
        <item x="1911"/>
        <item x="1439"/>
        <item x="3007"/>
        <item x="766"/>
        <item x="3391"/>
        <item x="3055"/>
        <item x="1440"/>
        <item x="23"/>
        <item x="3097"/>
        <item x="930"/>
        <item x="341"/>
        <item x="3056"/>
        <item x="1946"/>
        <item x="3222"/>
        <item x="24"/>
        <item x="1061"/>
        <item x="347"/>
        <item x="3008"/>
        <item x="3057"/>
        <item x="1947"/>
        <item x="368"/>
        <item x="2897"/>
        <item x="2849"/>
        <item x="3276"/>
        <item x="1062"/>
        <item x="2621"/>
        <item x="3058"/>
        <item x="2392"/>
        <item x="3307"/>
        <item x="369"/>
        <item x="2850"/>
        <item x="2393"/>
        <item x="3059"/>
        <item x="2361"/>
        <item x="2951"/>
        <item x="2583"/>
        <item x="2851"/>
        <item x="1862"/>
        <item x="3400"/>
        <item x="3308"/>
        <item x="3023"/>
        <item x="2362"/>
        <item x="535"/>
        <item x="3189"/>
        <item x="1863"/>
        <item x="1378"/>
        <item x="3024"/>
        <item x="536"/>
        <item x="2852"/>
        <item x="2506"/>
        <item x="1379"/>
        <item x="568"/>
        <item x="1380"/>
        <item x="2853"/>
        <item x="569"/>
        <item x="920"/>
        <item x="1545"/>
        <item x="2991"/>
        <item x="3277"/>
        <item x="921"/>
        <item x="152"/>
        <item x="2992"/>
        <item x="1197"/>
        <item x="153"/>
        <item x="1546"/>
        <item x="2805"/>
        <item x="596"/>
        <item x="2686"/>
        <item x="446"/>
        <item x="1394"/>
        <item x="154"/>
        <item x="2687"/>
        <item x="3210"/>
        <item x="146"/>
        <item x="3492"/>
        <item x="2557"/>
        <item x="624"/>
        <item x="447"/>
        <item x="147"/>
        <item x="2688"/>
        <item x="3392"/>
        <item x="2558"/>
        <item x="3178"/>
        <item x="3493"/>
        <item x="2661"/>
        <item x="3190"/>
        <item x="1395"/>
        <item x="1048"/>
        <item x="1134"/>
        <item x="2593"/>
        <item x="882"/>
        <item x="3471"/>
        <item x="448"/>
        <item x="1497"/>
        <item x="1263"/>
        <item x="191"/>
        <item x="1396"/>
        <item x="883"/>
        <item x="261"/>
        <item x="3009"/>
        <item x="1864"/>
        <item x="1691"/>
        <item x="2448"/>
        <item x="1825"/>
        <item x="192"/>
        <item x="3393"/>
        <item x="3454"/>
        <item x="3131"/>
        <item x="767"/>
        <item x="1634"/>
        <item x="1826"/>
        <item x="3394"/>
        <item x="3241"/>
        <item x="449"/>
        <item x="485"/>
        <item x="2598"/>
        <item x="2622"/>
        <item x="3211"/>
        <item x="3041"/>
        <item x="3242"/>
        <item x="3278"/>
        <item x="2599"/>
        <item x="2623"/>
        <item x="2759"/>
        <item x="3212"/>
        <item x="3243"/>
        <item x="193"/>
        <item x="3244"/>
        <item x="2240"/>
        <item x="3213"/>
        <item x="34"/>
        <item x="1576"/>
        <item x="2401"/>
        <item x="3076"/>
        <item x="17"/>
        <item x="1761"/>
        <item x="35"/>
        <item x="2327"/>
        <item x="2962"/>
        <item x="2277"/>
        <item x="36"/>
        <item x="1660"/>
        <item x="2963"/>
        <item x="37"/>
        <item x="1661"/>
        <item x="3145"/>
        <item x="425"/>
        <item x="38"/>
        <item x="426"/>
        <item x="2736"/>
        <item x="2328"/>
        <item x="2793"/>
        <item x="1838"/>
        <item x="1175"/>
        <item x="758"/>
        <item x="2768"/>
        <item x="305"/>
        <item x="1762"/>
        <item x="2982"/>
        <item x="1176"/>
        <item x="2634"/>
        <item x="1929"/>
        <item x="306"/>
        <item x="1177"/>
        <item x="2964"/>
        <item x="320"/>
        <item x="2854"/>
        <item x="1166"/>
        <item x="493"/>
        <item x="3025"/>
        <item x="1763"/>
        <item x="796"/>
        <item x="1167"/>
        <item x="1964"/>
        <item x="797"/>
        <item x="693"/>
        <item x="3346"/>
        <item x="759"/>
        <item x="694"/>
        <item x="1111"/>
        <item x="1796"/>
        <item x="3290"/>
        <item x="2320"/>
        <item x="1827"/>
        <item x="142"/>
        <item x="2965"/>
        <item x="2321"/>
        <item x="612"/>
        <item x="78"/>
        <item x="2673"/>
        <item x="280"/>
        <item x="873"/>
        <item x="2231"/>
        <item x="3191"/>
        <item x="281"/>
        <item x="1881"/>
        <item x="3504"/>
        <item x="1276"/>
        <item x="1882"/>
        <item x="2898"/>
        <item x="2966"/>
        <item x="2278"/>
        <item x="263"/>
        <item x="2095"/>
        <item x="2561"/>
        <item x="264"/>
        <item x="2674"/>
        <item x="2096"/>
        <item x="39"/>
        <item x="3245"/>
        <item x="3077"/>
        <item x="2493"/>
        <item x="124"/>
        <item x="3246"/>
        <item x="1049"/>
        <item x="905"/>
        <item x="2464"/>
        <item x="2675"/>
        <item x="2402"/>
        <item x="613"/>
        <item x="245"/>
        <item x="2689"/>
        <item x="438"/>
        <item x="40"/>
        <item x="2993"/>
        <item x="246"/>
        <item x="2111"/>
        <item x="1707"/>
        <item x="2536"/>
        <item x="2112"/>
        <item x="3247"/>
        <item x="25"/>
        <item x="1429"/>
        <item x="1112"/>
        <item x="26"/>
        <item x="1238"/>
        <item x="2717"/>
        <item x="3146"/>
        <item x="2017"/>
        <item x="889"/>
        <item x="1680"/>
        <item x="27"/>
        <item x="2131"/>
        <item x="2537"/>
        <item x="1732"/>
        <item x="1139"/>
        <item x="1681"/>
        <item x="2855"/>
        <item x="307"/>
        <item x="597"/>
        <item x="1264"/>
        <item x="2299"/>
        <item x="3361"/>
        <item x="598"/>
        <item x="3179"/>
        <item x="3511"/>
        <item x="2650"/>
        <item x="849"/>
        <item x="836"/>
        <item x="519"/>
        <item x="2279"/>
        <item x="2232"/>
        <item x="494"/>
        <item x="599"/>
        <item x="548"/>
        <item x="3279"/>
        <item x="2863"/>
        <item x="1498"/>
        <item x="520"/>
        <item x="850"/>
        <item x="439"/>
        <item x="495"/>
        <item x="313"/>
        <item x="785"/>
        <item x="2994"/>
        <item x="3337"/>
        <item x="2725"/>
        <item x="1597"/>
        <item x="521"/>
        <item x="3362"/>
        <item x="3192"/>
        <item x="1598"/>
        <item x="2199"/>
        <item x="582"/>
        <item x="1783"/>
        <item x="254"/>
        <item x="974"/>
        <item x="2152"/>
        <item x="1839"/>
        <item x="2885"/>
        <item x="583"/>
        <item x="210"/>
        <item x="3162"/>
        <item x="1896"/>
        <item x="118"/>
        <item x="2886"/>
        <item x="668"/>
        <item x="1897"/>
        <item x="2887"/>
        <item x="321"/>
        <item x="669"/>
        <item x="1668"/>
        <item x="2459"/>
        <item x="1883"/>
        <item x="2499"/>
        <item x="1733"/>
        <item x="329"/>
        <item x="656"/>
        <item x="3042"/>
        <item x="2500"/>
        <item x="636"/>
        <item x="2806"/>
        <item x="1305"/>
        <item x="1734"/>
        <item x="3363"/>
        <item x="265"/>
        <item x="657"/>
        <item x="2888"/>
        <item x="330"/>
        <item x="1306"/>
        <item x="382"/>
        <item x="3291"/>
        <item x="2952"/>
        <item x="1307"/>
        <item x="342"/>
        <item x="383"/>
        <item x="1308"/>
        <item x="2528"/>
        <item x="821"/>
        <item x="343"/>
        <item x="384"/>
        <item x="3455"/>
        <item x="777"/>
        <item x="822"/>
        <item x="188"/>
        <item x="3456"/>
        <item x="1743"/>
        <item x="3457"/>
        <item x="2754"/>
        <item x="180"/>
        <item x="1986"/>
        <item x="181"/>
        <item x="1987"/>
        <item x="1784"/>
        <item x="427"/>
        <item x="3078"/>
        <item x="450"/>
        <item x="404"/>
        <item x="169"/>
        <item x="1682"/>
        <item x="390"/>
        <item x="294"/>
        <item x="2394"/>
        <item x="3193"/>
        <item x="1151"/>
        <item x="3364"/>
        <item x="7"/>
        <item x="600"/>
        <item x="3194"/>
        <item x="350"/>
        <item x="2194"/>
        <item x="3195"/>
        <item x="1683"/>
        <item x="405"/>
        <item x="2195"/>
        <item x="2449"/>
        <item x="2807"/>
        <item x="3365"/>
        <item x="2280"/>
        <item x="3433"/>
        <item x="2913"/>
        <item x="1648"/>
        <item x="3434"/>
        <item x="2281"/>
        <item x="2914"/>
        <item x="1505"/>
        <item x="1649"/>
        <item x="2915"/>
        <item x="164"/>
        <item x="2251"/>
        <item x="1506"/>
        <item x="2916"/>
        <item x="211"/>
        <item x="2889"/>
        <item x="3248"/>
        <item x="3374"/>
        <item x="751"/>
        <item x="1635"/>
        <item x="1419"/>
        <item x="1296"/>
        <item x="3338"/>
        <item x="752"/>
        <item x="2760"/>
        <item x="2307"/>
        <item x="806"/>
        <item x="3494"/>
        <item x="2181"/>
        <item x="1369"/>
        <item x="2038"/>
        <item x="3214"/>
        <item x="2182"/>
        <item x="2755"/>
        <item x="1567"/>
        <item x="1370"/>
        <item x="1547"/>
        <item x="2507"/>
        <item x="2039"/>
        <item x="2183"/>
        <item x="2784"/>
        <item x="2544"/>
        <item x="912"/>
        <item x="3472"/>
        <item x="1548"/>
        <item x="2756"/>
        <item x="1205"/>
        <item x="1840"/>
        <item x="890"/>
        <item x="3347"/>
        <item x="2529"/>
        <item x="2823"/>
        <item x="3098"/>
        <item x="1841"/>
        <item x="58"/>
        <item x="891"/>
        <item x="2153"/>
        <item x="114"/>
        <item x="2027"/>
        <item x="827"/>
        <item x="1265"/>
        <item x="59"/>
        <item x="828"/>
        <item x="115"/>
        <item x="2028"/>
        <item x="1568"/>
        <item x="2241"/>
        <item x="2515"/>
        <item x="2329"/>
        <item x="3079"/>
        <item x="3099"/>
        <item x="2351"/>
        <item x="2113"/>
        <item x="2785"/>
        <item x="1507"/>
        <item x="3280"/>
        <item x="1206"/>
        <item x="272"/>
        <item x="2786"/>
        <item x="570"/>
        <item x="1178"/>
        <item x="2967"/>
        <item x="2242"/>
        <item x="746"/>
        <item x="3147"/>
        <item x="2968"/>
        <item x="2864"/>
        <item x="747"/>
        <item x="1179"/>
        <item x="2114"/>
        <item x="906"/>
        <item x="2995"/>
        <item x="1075"/>
        <item x="2890"/>
        <item x="3348"/>
        <item x="2624"/>
        <item x="3118"/>
        <item x="2625"/>
        <item x="3119"/>
        <item x="625"/>
        <item x="2865"/>
        <item x="922"/>
        <item x="3261"/>
        <item x="2097"/>
        <item x="2761"/>
        <item x="2866"/>
        <item x="626"/>
        <item x="2562"/>
        <item x="923"/>
        <item x="2516"/>
        <item x="1277"/>
        <item x="549"/>
        <item x="1420"/>
        <item x="2439"/>
        <item x="2762"/>
        <item x="2563"/>
        <item x="3080"/>
        <item x="1278"/>
        <item x="428"/>
        <item x="391"/>
        <item x="2564"/>
        <item x="3081"/>
        <item x="1569"/>
        <item x="429"/>
        <item x="392"/>
        <item x="3043"/>
        <item x="1570"/>
        <item x="2953"/>
        <item x="3196"/>
        <item x="2954"/>
        <item x="1571"/>
        <item x="3044"/>
        <item x="1021"/>
        <item x="2757"/>
        <item x="614"/>
        <item x="3505"/>
        <item x="270"/>
        <item x="1022"/>
        <item x="1421"/>
        <item x="571"/>
        <item x="2300"/>
        <item x="615"/>
        <item x="72"/>
        <item x="419"/>
        <item x="572"/>
        <item x="2301"/>
        <item x="2132"/>
        <item x="406"/>
        <item x="271"/>
        <item x="2479"/>
        <item x="2797"/>
        <item x="73"/>
        <item x="398"/>
        <item x="2075"/>
        <item x="420"/>
        <item x="407"/>
        <item x="1168"/>
        <item x="2480"/>
        <item x="2200"/>
        <item x="2798"/>
        <item x="148"/>
        <item x="810"/>
        <item x="1031"/>
        <item x="2007"/>
        <item x="742"/>
        <item x="811"/>
        <item x="8"/>
        <item x="3292"/>
        <item x="768"/>
        <item x="1912"/>
        <item x="255"/>
        <item x="1113"/>
        <item x="9"/>
        <item x="1913"/>
        <item x="256"/>
        <item x="3148"/>
        <item x="3149"/>
        <item x="558"/>
        <item x="559"/>
        <item x="3150"/>
        <item x="3082"/>
        <item x="136"/>
        <item x="3339"/>
        <item x="2867"/>
        <item x="1114"/>
        <item x="2763"/>
        <item x="10"/>
        <item x="966"/>
        <item x="399"/>
        <item x="1076"/>
        <item x="837"/>
        <item x="937"/>
        <item x="3401"/>
        <item x="975"/>
        <item x="344"/>
        <item x="189"/>
        <item x="400"/>
        <item x="823"/>
        <item x="1572"/>
        <item x="377"/>
        <item x="1716"/>
        <item x="3163"/>
        <item x="298"/>
        <item x="931"/>
        <item x="378"/>
        <item x="79"/>
        <item x="170"/>
        <item x="1169"/>
        <item x="1473"/>
        <item x="2545"/>
        <item x="1266"/>
        <item x="80"/>
        <item x="2565"/>
        <item x="1474"/>
        <item x="1186"/>
        <item x="3060"/>
        <item x="2546"/>
        <item x="3473"/>
        <item x="204"/>
        <item x="1475"/>
        <item x="748"/>
        <item x="1930"/>
        <item x="2352"/>
        <item x="451"/>
        <item x="749"/>
        <item x="273"/>
        <item x="1931"/>
        <item x="351"/>
        <item x="364"/>
        <item x="322"/>
        <item x="323"/>
        <item x="365"/>
        <item x="459"/>
        <item x="1430"/>
        <item x="2708"/>
        <item x="299"/>
        <item x="1331"/>
        <item x="224"/>
        <item x="356"/>
        <item x="573"/>
        <item x="1279"/>
        <item x="1948"/>
        <item x="2133"/>
        <item x="357"/>
        <item x="707"/>
        <item x="2267"/>
        <item x="2018"/>
        <item x="838"/>
        <item x="1636"/>
        <item x="2363"/>
        <item x="2584"/>
        <item x="2600"/>
        <item x="2019"/>
        <item x="1349"/>
        <item x="839"/>
        <item x="2538"/>
        <item x="2517"/>
        <item x="2585"/>
        <item x="2518"/>
        <item x="2539"/>
        <item x="840"/>
        <item x="2472"/>
        <item x="2040"/>
        <item x="2473"/>
        <item x="841"/>
        <item x="522"/>
        <item x="2115"/>
        <item x="2718"/>
        <item x="3402"/>
        <item x="842"/>
        <item x="646"/>
        <item x="1513"/>
        <item x="1717"/>
        <item x="2824"/>
        <item x="2116"/>
        <item x="1718"/>
        <item x="2825"/>
        <item x="2899"/>
        <item x="913"/>
        <item x="499"/>
        <item x="843"/>
        <item x="500"/>
        <item x="3474"/>
        <item x="510"/>
        <item x="2655"/>
        <item x="1719"/>
        <item x="3120"/>
        <item x="215"/>
        <item x="708"/>
        <item x="1454"/>
        <item x="3435"/>
        <item x="1720"/>
        <item x="932"/>
        <item x="3436"/>
        <item x="1721"/>
        <item x="3197"/>
        <item x="352"/>
        <item x="2201"/>
        <item x="2572"/>
        <item x="2891"/>
        <item x="1735"/>
        <item x="675"/>
        <item x="266"/>
        <item x="1180"/>
        <item x="3083"/>
        <item x="2983"/>
        <item x="658"/>
        <item x="3061"/>
        <item x="2900"/>
        <item x="3100"/>
        <item x="2117"/>
        <item x="1499"/>
        <item x="2901"/>
        <item x="2252"/>
        <item x="2746"/>
        <item x="1768"/>
        <item x="3349"/>
        <item x="3262"/>
        <item x="2253"/>
        <item x="1769"/>
        <item x="1401"/>
        <item x="1637"/>
        <item x="709"/>
        <item x="1875"/>
        <item x="2917"/>
        <item x="1914"/>
        <item x="1402"/>
        <item x="1949"/>
        <item x="2794"/>
        <item x="710"/>
        <item x="1915"/>
        <item x="1749"/>
        <item x="695"/>
        <item x="1514"/>
        <item x="1483"/>
        <item x="1500"/>
        <item x="2795"/>
        <item x="550"/>
        <item x="1476"/>
        <item x="1750"/>
        <item x="1515"/>
        <item x="2210"/>
        <item x="2764"/>
        <item x="3151"/>
        <item x="1477"/>
        <item x="574"/>
        <item x="1516"/>
        <item x="2211"/>
        <item x="1650"/>
        <item x="575"/>
        <item x="760"/>
        <item x="1684"/>
        <item x="3045"/>
        <item x="1620"/>
        <item x="1685"/>
        <item x="3395"/>
        <item x="486"/>
        <item x="1621"/>
        <item x="769"/>
        <item x="511"/>
        <item x="2902"/>
        <item x="676"/>
        <item x="1095"/>
        <item x="627"/>
        <item x="2366"/>
        <item x="729"/>
        <item x="677"/>
        <item x="761"/>
        <item x="2367"/>
        <item x="2601"/>
        <item x="730"/>
        <item x="2166"/>
        <item x="2747"/>
        <item x="2547"/>
        <item x="2748"/>
        <item x="1252"/>
        <item x="1599"/>
        <item x="1441"/>
        <item x="2669"/>
        <item x="1253"/>
        <item x="1600"/>
        <item x="637"/>
        <item x="2918"/>
        <item x="647"/>
        <item x="2268"/>
        <item x="2269"/>
        <item x="638"/>
        <item x="659"/>
        <item x="1601"/>
        <item x="1692"/>
        <item x="660"/>
        <item x="2076"/>
        <item x="1602"/>
        <item x="812"/>
        <item x="537"/>
        <item x="501"/>
        <item x="538"/>
        <item x="2233"/>
        <item x="1693"/>
        <item x="2234"/>
        <item x="1588"/>
        <item x="1187"/>
        <item x="1812"/>
        <item x="1280"/>
        <item x="1135"/>
        <item x="1813"/>
        <item x="2225"/>
        <item x="1321"/>
        <item x="1884"/>
        <item x="2226"/>
        <item x="770"/>
        <item x="2041"/>
        <item x="1322"/>
        <item x="1254"/>
        <item x="771"/>
        <item x="1323"/>
        <item x="1324"/>
        <item x="2559"/>
        <item x="648"/>
        <item x="1622"/>
        <item x="1115"/>
        <item x="539"/>
        <item x="2450"/>
        <item x="649"/>
        <item x="1623"/>
        <item x="772"/>
        <item x="1828"/>
        <item x="1170"/>
        <item x="1116"/>
        <item x="670"/>
        <item x="628"/>
        <item x="1171"/>
        <item x="696"/>
        <item x="2409"/>
        <item x="1814"/>
        <item x="1117"/>
        <item x="671"/>
        <item x="2701"/>
        <item x="1118"/>
        <item x="1403"/>
        <item x="1404"/>
        <item x="1119"/>
        <item x="1096"/>
        <item x="1442"/>
        <item x="1097"/>
        <item x="672"/>
        <item x="1063"/>
        <item x="1443"/>
        <item x="2693"/>
        <item x="1098"/>
        <item x="2375"/>
        <item x="3062"/>
        <item x="1686"/>
        <item x="673"/>
        <item x="601"/>
        <item x="1120"/>
        <item x="602"/>
        <item x="1255"/>
        <item x="2465"/>
        <item x="1517"/>
        <item x="1011"/>
        <item x="3063"/>
        <item x="773"/>
        <item x="2709"/>
        <item x="603"/>
        <item x="604"/>
        <item x="888"/>
        <item x="605"/>
        <item x="743"/>
        <item x="1651"/>
        <item x="2008"/>
        <item x="1032"/>
        <item x="606"/>
        <item x="1652"/>
        <item x="851"/>
        <item x="1033"/>
        <item x="1624"/>
        <item x="678"/>
        <item x="1653"/>
        <item x="2519"/>
        <item x="1625"/>
        <item x="2243"/>
        <item x="1526"/>
        <item x="1785"/>
        <item x="2520"/>
        <item x="1455"/>
        <item x="2244"/>
        <item x="1786"/>
        <item x="1549"/>
        <item x="1527"/>
        <item x="1787"/>
        <item x="1550"/>
        <item x="1528"/>
        <item x="2749"/>
        <item x="717"/>
        <item x="1988"/>
        <item x="1965"/>
        <item x="1797"/>
        <item x="2042"/>
        <item x="1050"/>
        <item x="1989"/>
        <item x="1798"/>
        <item x="1966"/>
        <item x="2043"/>
        <item x="1577"/>
        <item x="523"/>
        <item x="718"/>
        <item x="2726"/>
        <item x="807"/>
        <item x="2769"/>
        <item x="1214"/>
        <item x="2727"/>
        <item x="753"/>
        <item x="2984"/>
        <item x="2602"/>
        <item x="1990"/>
        <item x="1023"/>
        <item x="1215"/>
        <item x="1916"/>
        <item x="1188"/>
        <item x="2466"/>
        <item x="1578"/>
        <item x="719"/>
        <item x="3010"/>
        <item x="524"/>
        <item x="1024"/>
        <item x="2573"/>
        <item x="1297"/>
        <item x="720"/>
        <item x="1431"/>
        <item x="976"/>
        <item x="2574"/>
        <item x="2098"/>
        <item x="1932"/>
        <item x="3437"/>
        <item x="813"/>
        <item x="721"/>
        <item x="1751"/>
        <item x="1311"/>
        <item x="1752"/>
        <item x="2457"/>
        <item x="865"/>
        <item x="977"/>
        <item x="814"/>
        <item x="1140"/>
        <item x="1012"/>
        <item x="560"/>
        <item x="1013"/>
        <item x="2270"/>
        <item x="1815"/>
        <item x="561"/>
        <item x="1991"/>
        <item x="1025"/>
        <item x="1816"/>
        <item x="1239"/>
        <item x="1198"/>
        <item x="1121"/>
        <item x="1444"/>
        <item x="866"/>
        <item x="884"/>
        <item x="1445"/>
        <item x="754"/>
        <item x="867"/>
        <item x="2451"/>
        <item x="755"/>
        <item x="824"/>
        <item x="1753"/>
        <item x="616"/>
        <item x="1508"/>
        <item x="825"/>
        <item x="679"/>
        <item x="617"/>
        <item x="1509"/>
        <item x="1227"/>
        <item x="852"/>
        <item x="1152"/>
        <item x="1754"/>
        <item x="1589"/>
        <item x="1312"/>
        <item x="697"/>
        <item x="1590"/>
        <item x="698"/>
        <item x="1153"/>
        <item x="2410"/>
        <item x="1099"/>
        <item x="2411"/>
        <item x="1662"/>
        <item x="699"/>
        <item x="2412"/>
        <item x="1917"/>
        <item x="1281"/>
        <item x="2481"/>
        <item x="700"/>
        <item x="1282"/>
        <item x="540"/>
        <item x="2826"/>
        <item x="701"/>
        <item x="1240"/>
        <item x="1216"/>
        <item x="1551"/>
        <item x="541"/>
        <item x="1552"/>
        <item x="829"/>
        <item x="2728"/>
        <item x="3396"/>
        <item x="2184"/>
        <item x="1799"/>
        <item x="1722"/>
        <item x="1228"/>
        <item x="2719"/>
        <item x="2452"/>
        <item x="1267"/>
        <item x="2185"/>
        <item x="2353"/>
        <item x="686"/>
        <item x="2354"/>
        <item x="1229"/>
        <item x="687"/>
        <item x="870"/>
        <item x="1950"/>
        <item x="978"/>
        <item x="1976"/>
        <item x="1951"/>
        <item x="1952"/>
        <item x="1865"/>
        <item x="2540"/>
        <item x="1953"/>
        <item x="3475"/>
        <item x="871"/>
        <item x="874"/>
        <item x="674"/>
        <item x="875"/>
        <item x="1967"/>
        <item x="1866"/>
        <item x="1626"/>
        <item x="1122"/>
        <item x="2186"/>
        <item x="1627"/>
        <item x="1123"/>
        <item x="2548"/>
        <item x="2044"/>
        <item x="2549"/>
        <item x="2045"/>
        <item x="2029"/>
        <item x="2575"/>
        <item x="1077"/>
        <item x="830"/>
        <item x="2030"/>
        <item x="2541"/>
        <item x="831"/>
        <item x="2440"/>
        <item x="2368"/>
        <item x="897"/>
        <item x="1968"/>
        <item x="2380"/>
        <item x="512"/>
        <item x="661"/>
        <item x="2099"/>
        <item x="2187"/>
        <item x="662"/>
        <item x="2654"/>
        <item x="663"/>
        <item x="1898"/>
        <item x="2670"/>
        <item x="848"/>
        <item x="1899"/>
        <item x="2594"/>
        <item x="914"/>
        <item x="946"/>
        <item x="2227"/>
        <item x="2638"/>
        <item x="1638"/>
        <item x="938"/>
        <item x="1639"/>
        <item x="1918"/>
        <item x="1100"/>
        <item x="2542"/>
        <item x="1101"/>
        <item x="1694"/>
        <item x="1695"/>
        <item x="915"/>
        <item x="1696"/>
        <item x="2639"/>
        <item x="1603"/>
        <item x="1663"/>
        <item x="1744"/>
        <item x="916"/>
        <item x="1697"/>
        <item x="2640"/>
        <item x="2059"/>
        <item x="1573"/>
        <item x="1745"/>
        <item x="1604"/>
        <item x="917"/>
        <item x="1574"/>
        <item x="1746"/>
        <item x="1605"/>
        <item x="918"/>
        <item x="2641"/>
        <item x="2413"/>
        <item x="1900"/>
        <item x="949"/>
        <item x="2060"/>
        <item x="2651"/>
        <item x="2031"/>
        <item x="2212"/>
        <item x="2441"/>
        <item x="876"/>
        <item x="1189"/>
        <item x="2434"/>
        <item x="584"/>
        <item x="2009"/>
        <item x="950"/>
        <item x="1708"/>
        <item x="963"/>
        <item x="2435"/>
        <item x="2010"/>
        <item x="2770"/>
        <item x="1190"/>
        <item x="2656"/>
        <item x="2771"/>
        <item x="1842"/>
        <item x="953"/>
        <item x="933"/>
        <item x="2657"/>
        <item x="1843"/>
        <item x="954"/>
        <item x="502"/>
        <item x="955"/>
        <item x="2815"/>
        <item x="1867"/>
        <item x="503"/>
        <item x="1628"/>
        <item x="2343"/>
        <item x="1868"/>
        <item x="504"/>
        <item x="1629"/>
        <item x="1034"/>
        <item x="1230"/>
        <item x="1035"/>
        <item x="2271"/>
        <item x="2144"/>
        <item x="1298"/>
        <item x="680"/>
        <item x="1172"/>
        <item x="1669"/>
        <item x="1670"/>
        <item x="1977"/>
        <item x="1671"/>
        <item x="576"/>
        <item x="1051"/>
        <item x="2576"/>
        <item x="474"/>
        <item x="2228"/>
        <item x="2577"/>
        <item x="2229"/>
        <item x="2586"/>
        <item x="577"/>
        <item x="1371"/>
        <item x="1064"/>
        <item x="1241"/>
        <item x="1242"/>
        <item t="default"/>
      </items>
    </pivotField>
    <pivotField axis="axisRow" showAll="0">
      <items count="3">
        <item x="0"/>
        <item x="1"/>
        <item t="default"/>
      </items>
    </pivotField>
    <pivotField showAll="0"/>
    <pivotField numFmtId="165" showAll="0"/>
    <pivotField showAll="0">
      <items count="9">
        <item x="2"/>
        <item x="3"/>
        <item x="7"/>
        <item x="4"/>
        <item x="5"/>
        <item x="6"/>
        <item x="1"/>
        <item x="0"/>
        <item t="default"/>
      </items>
    </pivotField>
    <pivotField showAll="0"/>
    <pivotField showAll="0"/>
    <pivotField showAll="0"/>
    <pivotField showAll="0"/>
    <pivotField dataField="1"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3">
    <i>
      <x/>
    </i>
    <i>
      <x v="1"/>
    </i>
    <i t="grand">
      <x/>
    </i>
  </rowItems>
  <colItems count="1">
    <i/>
  </colItems>
  <dataFields count="1">
    <dataField name="Count of Transaction_Id" fld="1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8C65B3-5454-492A-B284-F39E772B890D}" autoFormatId="16" applyNumberFormats="0" applyBorderFormats="0" applyFontFormats="0" applyPatternFormats="0" applyAlignmentFormats="0" applyWidthHeightFormats="0">
  <queryTableRefresh nextId="7">
    <queryTableFields count="6">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6196E62-FACF-4C18-A4C3-98AF530A99EB}" autoFormatId="16" applyNumberFormats="0" applyBorderFormats="0" applyFontFormats="0" applyPatternFormats="0" applyAlignmentFormats="0" applyWidthHeightFormats="0">
  <queryTableRefresh nextId="19" unboundColumnsRight="5">
    <queryTableFields count="11">
      <queryTableField id="1" name="Date" tableColumnId="1"/>
      <queryTableField id="2" name="Time" tableColumnId="2"/>
      <queryTableField id="3" name="Payment Method" tableColumnId="3"/>
      <queryTableField id="4" name="Card Id" tableColumnId="4"/>
      <queryTableField id="5" name="Price" tableColumnId="5"/>
      <queryTableField id="6" name="Coffee Name" tableColumnId="6"/>
      <queryTableField id="13" dataBound="0" tableColumnId="7"/>
      <queryTableField id="14" dataBound="0" tableColumnId="8"/>
      <queryTableField id="15" dataBound="0" tableColumnId="9"/>
      <queryTableField id="16" dataBound="0" tableColumnId="10"/>
      <queryTableField id="18"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8DEA94EC-F747-4DA8-9A49-37BE2E2DEE6F}" sourceName="Payment Method">
  <pivotTables>
    <pivotTable tabId="16" name="PivotTable11"/>
    <pivotTable tabId="8" name="PivotTable1"/>
    <pivotTable tabId="14" name="PivotTable8"/>
    <pivotTable tabId="13" name="PivotTable7"/>
    <pivotTable tabId="15" name="PivotTable10"/>
    <pivotTable tabId="15" name="PivotTable9"/>
    <pivotTable tabId="14" name="PivotTable12"/>
  </pivotTables>
  <data>
    <tabular pivotCacheId="20938346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E69605D3-A30C-42C9-8594-7D804F8070D7}" sourceName="Months (Date)">
  <pivotTables>
    <pivotTable tabId="16" name="PivotTable11"/>
    <pivotTable tabId="8" name="PivotTable1"/>
    <pivotTable tabId="14" name="PivotTable8"/>
    <pivotTable tabId="13" name="PivotTable7"/>
    <pivotTable tabId="15" name="PivotTable10"/>
    <pivotTable tabId="15" name="PivotTable9"/>
    <pivotTable tabId="14" name="PivotTable12"/>
  </pivotTables>
  <data>
    <tabular pivotCacheId="209383468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FF5C73B-33BB-4D73-AA65-5E30B108AE24}" sourceName="Coffee Name">
  <pivotTables>
    <pivotTable tabId="16" name="PivotTable11"/>
    <pivotTable tabId="8" name="PivotTable1"/>
    <pivotTable tabId="14" name="PivotTable8"/>
    <pivotTable tabId="13" name="PivotTable7"/>
    <pivotTable tabId="15" name="PivotTable10"/>
    <pivotTable tabId="15" name="PivotTable9"/>
    <pivotTable tabId="14" name="PivotTable12"/>
  </pivotTables>
  <data>
    <tabular pivotCacheId="2093834683">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5" xr10:uid="{8D0BA523-1BC3-4650-9D86-3D2F94F91923}" cache="Slicer_Payment_Method1" caption="Payment Method" rowHeight="241300"/>
  <slicer name="Months (Date) 5" xr10:uid="{A375F70D-14E8-4DC5-8F31-7F8579BEF422}" cache="Slicer_Months__Date1" caption="Months (Date)" columnCount="3" rowHeight="241300"/>
  <slicer name="Coffee Name 3" xr10:uid="{2DD7C11F-5C88-4995-907D-436F0DC244CF}" cache="Slicer_Coffee_Name" caption="Coffee Na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2" xr10:uid="{547C7467-7860-4C8F-AC30-B58F69CEE50E}" cache="Slicer_Payment_Method1" caption="Payment Method" style="SlicerStyleOther1" rowHeight="241300"/>
  <slicer name="Months (Date) 2" xr10:uid="{BD322B07-F328-48A4-853A-042876DEAA63}" cache="Slicer_Months__Date1" caption="Months (Date)" columnCount="3" style="SlicerStyleOther1" rowHeight="241300"/>
  <slicer name="Coffee Name" xr10:uid="{FF2B226E-17EE-4CFD-A881-F50C2F8FD874}" cache="Slicer_Coffee_Name" caption="Coffee Name"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33D11-4FBE-4EF3-AC5C-CB75983CA60F}" name="index_1" displayName="index_1" ref="A1:F3637" tableType="queryTable" totalsRowShown="0">
  <autoFilter ref="A1:F3637" xr:uid="{98F33D11-4FBE-4EF3-AC5C-CB75983CA60F}"/>
  <tableColumns count="6">
    <tableColumn id="1" xr3:uid="{DA6FE50E-01BE-42A1-8ED7-1B2AFE59B4D9}" uniqueName="1" name="date" queryTableFieldId="1" dataDxfId="13"/>
    <tableColumn id="2" xr3:uid="{E2C4443B-A699-486C-9B6E-5941831EE034}" uniqueName="2" name="datetime" queryTableFieldId="2" dataDxfId="12"/>
    <tableColumn id="3" xr3:uid="{E8E239DB-0117-4D68-AF48-0DB36DB1B05A}" uniqueName="3" name="cash_type" queryTableFieldId="3" dataDxfId="16"/>
    <tableColumn id="4" xr3:uid="{CCAA909B-40DC-4E93-AF86-0EB2E940C1FA}" uniqueName="4" name="card" queryTableFieldId="4" dataDxfId="15"/>
    <tableColumn id="5" xr3:uid="{882165CD-3D31-49D4-95F0-7DF5BC6CAB11}" uniqueName="5" name="money" queryTableFieldId="5"/>
    <tableColumn id="6" xr3:uid="{327C3F82-AE81-4DC6-9FBF-DCFBFD8FF3B9}" uniqueName="6" name="coffee_name" queryTableFieldId="6"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AFDDE9-9394-4045-B66F-8F53341A1D1A}" name="Transform_Data" displayName="Transform_Data" ref="A1:K3637" tableType="queryTable" totalsRowShown="0">
  <autoFilter ref="A1:K3637" xr:uid="{9BAFDDE9-9394-4045-B66F-8F53341A1D1A}"/>
  <tableColumns count="11">
    <tableColumn id="1" xr3:uid="{48E3E2D1-E81C-4DFA-8191-020B1D9AB079}" uniqueName="1" name="Date" queryTableFieldId="1" dataDxfId="11"/>
    <tableColumn id="2" xr3:uid="{1CA193F8-4671-4F4B-B754-A7EC5FE6F13E}" uniqueName="2" name="Time" queryTableFieldId="2" dataDxfId="10"/>
    <tableColumn id="3" xr3:uid="{627E413A-40C1-44C1-A89C-887B2D506467}" uniqueName="3" name="Payment Method" queryTableFieldId="3" dataDxfId="19"/>
    <tableColumn id="4" xr3:uid="{ADE3AC06-F73E-4321-9B18-08D4A2C4A1FC}" uniqueName="4" name="Card Id" queryTableFieldId="4" dataDxfId="18"/>
    <tableColumn id="5" xr3:uid="{2B8F86AF-13B7-4A1E-B8C4-95AE5ABB8844}" uniqueName="5" name="Price" queryTableFieldId="5" dataDxfId="9"/>
    <tableColumn id="6" xr3:uid="{4C1A80F6-042E-4933-B745-D8A4649838AE}" uniqueName="6" name="Coffee Name" queryTableFieldId="6" dataDxfId="17"/>
    <tableColumn id="7" xr3:uid="{2444E40C-66C3-472D-B660-AFC4BFD547E2}" uniqueName="7" name="Month" queryTableFieldId="13" dataDxfId="8">
      <calculatedColumnFormula>TEXT(Transform_Data[[#This Row],[Date]],"mmm yyyy")</calculatedColumnFormula>
    </tableColumn>
    <tableColumn id="8" xr3:uid="{3A233D2C-1A72-41F2-B9AE-1DE8006CBD2D}" uniqueName="8" name="Hour" queryTableFieldId="14" dataDxfId="7">
      <calculatedColumnFormula>HOUR(Transform_Data[[#This Row],[Time]])</calculatedColumnFormula>
    </tableColumn>
    <tableColumn id="9" xr3:uid="{2E89917E-3170-4B9B-B557-876E13B01618}" uniqueName="9" name="Is_Repeat" queryTableFieldId="15" dataDxfId="6">
      <calculatedColumnFormula>IF(COUNTIF('Transform Data'!$D:$D,'Transform Data'!D2)&gt;1,"Repeat","Single")</calculatedColumnFormula>
    </tableColumn>
    <tableColumn id="10" xr3:uid="{64AF312E-85C9-4CEC-9DF1-903287909536}" uniqueName="10" name="Exclude_Cash" queryTableFieldId="16" dataDxfId="5">
      <calculatedColumnFormula>IF('Transform Data'!D2="Cash","Cash",IF(COUNTIF('Transform Data'!$D:$D,'Transform Data'!D2)&gt;1,"Repeat","Single"))</calculatedColumnFormula>
    </tableColumn>
    <tableColumn id="12" xr3:uid="{05F26FCF-E849-4C68-9343-5623FADE08FD}" uniqueName="12" name="Transaction_Id" queryTableFieldId="18" dataDxfId="4">
      <calculatedColumnFormula>"TRANS-"&amp;TEXT(ROW(A1),"0000")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991FB-F747-4DFF-8262-BDCE820FB0D7}">
  <sheetPr>
    <tabColor rgb="FFFFFF66"/>
  </sheetPr>
  <dimension ref="A1:F3637"/>
  <sheetViews>
    <sheetView workbookViewId="0">
      <selection activeCell="K12" sqref="K12"/>
    </sheetView>
  </sheetViews>
  <sheetFormatPr defaultRowHeight="14.5" x14ac:dyDescent="0.35"/>
  <cols>
    <col min="1" max="1" width="10.453125" bestFit="1" customWidth="1"/>
    <col min="2" max="2" width="15.54296875" bestFit="1" customWidth="1"/>
    <col min="3" max="3" width="11.54296875" bestFit="1" customWidth="1"/>
    <col min="4" max="4" width="20" bestFit="1" customWidth="1"/>
    <col min="5" max="5" width="8.81640625" bestFit="1" customWidth="1"/>
    <col min="6" max="6" width="18.08984375" bestFit="1" customWidth="1"/>
  </cols>
  <sheetData>
    <row r="1" spans="1:6" x14ac:dyDescent="0.35">
      <c r="A1" t="s">
        <v>1367</v>
      </c>
      <c r="B1" t="s">
        <v>1368</v>
      </c>
      <c r="C1" t="s">
        <v>1369</v>
      </c>
      <c r="D1" t="s">
        <v>8</v>
      </c>
      <c r="E1" t="s">
        <v>1370</v>
      </c>
      <c r="F1" t="s">
        <v>1371</v>
      </c>
    </row>
    <row r="2" spans="1:6" x14ac:dyDescent="0.35">
      <c r="A2" s="1">
        <v>45352</v>
      </c>
      <c r="B2" s="2">
        <v>45352.427668055556</v>
      </c>
      <c r="C2" t="s">
        <v>8</v>
      </c>
      <c r="D2" t="s">
        <v>60</v>
      </c>
      <c r="E2">
        <v>387</v>
      </c>
      <c r="F2" t="s">
        <v>32</v>
      </c>
    </row>
    <row r="3" spans="1:6" x14ac:dyDescent="0.35">
      <c r="A3" s="1">
        <v>45352</v>
      </c>
      <c r="B3" s="2">
        <v>45352.513455312503</v>
      </c>
      <c r="C3" t="s">
        <v>8</v>
      </c>
      <c r="D3" t="s">
        <v>61</v>
      </c>
      <c r="E3">
        <v>387</v>
      </c>
      <c r="F3" t="s">
        <v>15</v>
      </c>
    </row>
    <row r="4" spans="1:6" x14ac:dyDescent="0.35">
      <c r="A4" s="1">
        <v>45352</v>
      </c>
      <c r="B4" s="2">
        <v>45352.514098252315</v>
      </c>
      <c r="C4" t="s">
        <v>8</v>
      </c>
      <c r="D4" t="s">
        <v>61</v>
      </c>
      <c r="E4">
        <v>387</v>
      </c>
      <c r="F4" t="s">
        <v>15</v>
      </c>
    </row>
    <row r="5" spans="1:6" x14ac:dyDescent="0.35">
      <c r="A5" s="1">
        <v>45352</v>
      </c>
      <c r="B5" s="2">
        <v>45352.573993124999</v>
      </c>
      <c r="C5" t="s">
        <v>8</v>
      </c>
      <c r="D5" t="s">
        <v>62</v>
      </c>
      <c r="E5">
        <v>289</v>
      </c>
      <c r="F5" t="s">
        <v>28</v>
      </c>
    </row>
    <row r="6" spans="1:6" x14ac:dyDescent="0.35">
      <c r="A6" s="1">
        <v>45352</v>
      </c>
      <c r="B6" s="2">
        <v>45352.575169282405</v>
      </c>
      <c r="C6" t="s">
        <v>8</v>
      </c>
      <c r="D6" t="s">
        <v>63</v>
      </c>
      <c r="E6">
        <v>387</v>
      </c>
      <c r="F6" t="s">
        <v>32</v>
      </c>
    </row>
    <row r="7" spans="1:6" x14ac:dyDescent="0.35">
      <c r="A7" s="1">
        <v>45352</v>
      </c>
      <c r="B7" s="2">
        <v>45352.65263571759</v>
      </c>
      <c r="C7" t="s">
        <v>8</v>
      </c>
      <c r="D7" t="s">
        <v>64</v>
      </c>
      <c r="E7">
        <v>338</v>
      </c>
      <c r="F7" t="s">
        <v>36</v>
      </c>
    </row>
    <row r="8" spans="1:6" x14ac:dyDescent="0.35">
      <c r="A8" s="1">
        <v>45352</v>
      </c>
      <c r="B8" s="2">
        <v>45352.679893009263</v>
      </c>
      <c r="C8" t="s">
        <v>8</v>
      </c>
      <c r="D8" t="s">
        <v>65</v>
      </c>
      <c r="E8">
        <v>387</v>
      </c>
      <c r="F8" t="s">
        <v>15</v>
      </c>
    </row>
    <row r="9" spans="1:6" x14ac:dyDescent="0.35">
      <c r="A9" s="1">
        <v>45352</v>
      </c>
      <c r="B9" s="2">
        <v>45352.777124768516</v>
      </c>
      <c r="C9" t="s">
        <v>8</v>
      </c>
      <c r="D9" t="s">
        <v>66</v>
      </c>
      <c r="E9">
        <v>338</v>
      </c>
      <c r="F9" t="s">
        <v>36</v>
      </c>
    </row>
    <row r="10" spans="1:6" x14ac:dyDescent="0.35">
      <c r="A10" s="1">
        <v>45352</v>
      </c>
      <c r="B10" s="2">
        <v>45352.806964837961</v>
      </c>
      <c r="C10" t="s">
        <v>8</v>
      </c>
      <c r="D10" t="s">
        <v>67</v>
      </c>
      <c r="E10">
        <v>387</v>
      </c>
      <c r="F10" t="s">
        <v>10</v>
      </c>
    </row>
    <row r="11" spans="1:6" x14ac:dyDescent="0.35">
      <c r="A11" s="1">
        <v>45352</v>
      </c>
      <c r="B11" s="2">
        <v>45352.807822766204</v>
      </c>
      <c r="C11" t="s">
        <v>8</v>
      </c>
      <c r="D11" t="s">
        <v>67</v>
      </c>
      <c r="E11">
        <v>338</v>
      </c>
      <c r="F11" t="s">
        <v>36</v>
      </c>
    </row>
    <row r="12" spans="1:6" x14ac:dyDescent="0.35">
      <c r="A12" s="1">
        <v>45352</v>
      </c>
      <c r="B12" s="2">
        <v>45352.812006840279</v>
      </c>
      <c r="C12" t="s">
        <v>8</v>
      </c>
      <c r="D12" t="s">
        <v>25</v>
      </c>
      <c r="E12">
        <v>338</v>
      </c>
      <c r="F12" t="s">
        <v>36</v>
      </c>
    </row>
    <row r="13" spans="1:6" x14ac:dyDescent="0.35">
      <c r="A13" s="1">
        <v>45353</v>
      </c>
      <c r="B13" s="2">
        <v>45353.432024965281</v>
      </c>
      <c r="C13" t="s">
        <v>8</v>
      </c>
      <c r="D13" t="s">
        <v>68</v>
      </c>
      <c r="E13">
        <v>289</v>
      </c>
      <c r="F13" t="s">
        <v>28</v>
      </c>
    </row>
    <row r="14" spans="1:6" x14ac:dyDescent="0.35">
      <c r="A14" s="1">
        <v>45353</v>
      </c>
      <c r="B14" s="2">
        <v>45353.437912824076</v>
      </c>
      <c r="C14" t="s">
        <v>13</v>
      </c>
      <c r="D14" t="s">
        <v>1372</v>
      </c>
      <c r="E14">
        <v>400</v>
      </c>
      <c r="F14" t="s">
        <v>32</v>
      </c>
    </row>
    <row r="15" spans="1:6" x14ac:dyDescent="0.35">
      <c r="A15" s="1">
        <v>45353</v>
      </c>
      <c r="B15" s="2">
        <v>45353.445616307872</v>
      </c>
      <c r="C15" t="s">
        <v>8</v>
      </c>
      <c r="D15" t="s">
        <v>69</v>
      </c>
      <c r="E15">
        <v>338</v>
      </c>
      <c r="F15" t="s">
        <v>36</v>
      </c>
    </row>
    <row r="16" spans="1:6" x14ac:dyDescent="0.35">
      <c r="A16" s="1">
        <v>45353</v>
      </c>
      <c r="B16" s="2">
        <v>45353.499831990739</v>
      </c>
      <c r="C16" t="s">
        <v>8</v>
      </c>
      <c r="D16" t="s">
        <v>43</v>
      </c>
      <c r="E16">
        <v>338</v>
      </c>
      <c r="F16" t="s">
        <v>36</v>
      </c>
    </row>
    <row r="17" spans="1:6" x14ac:dyDescent="0.35">
      <c r="A17" s="1">
        <v>45353</v>
      </c>
      <c r="B17" s="2">
        <v>45353.610133506947</v>
      </c>
      <c r="C17" t="s">
        <v>8</v>
      </c>
      <c r="D17" t="s">
        <v>70</v>
      </c>
      <c r="E17">
        <v>289</v>
      </c>
      <c r="F17" t="s">
        <v>28</v>
      </c>
    </row>
    <row r="18" spans="1:6" x14ac:dyDescent="0.35">
      <c r="A18" s="1">
        <v>45353</v>
      </c>
      <c r="B18" s="2">
        <v>45353.692644386574</v>
      </c>
      <c r="C18" t="s">
        <v>8</v>
      </c>
      <c r="D18" t="s">
        <v>71</v>
      </c>
      <c r="E18">
        <v>338</v>
      </c>
      <c r="F18" t="s">
        <v>36</v>
      </c>
    </row>
    <row r="19" spans="1:6" x14ac:dyDescent="0.35">
      <c r="A19" s="1">
        <v>45353</v>
      </c>
      <c r="B19" s="2">
        <v>45353.732580659722</v>
      </c>
      <c r="C19" t="s">
        <v>8</v>
      </c>
      <c r="D19" t="s">
        <v>63</v>
      </c>
      <c r="E19">
        <v>289</v>
      </c>
      <c r="F19" t="s">
        <v>28</v>
      </c>
    </row>
    <row r="20" spans="1:6" x14ac:dyDescent="0.35">
      <c r="A20" s="1">
        <v>45354</v>
      </c>
      <c r="B20" s="2">
        <v>45354.424120150463</v>
      </c>
      <c r="C20" t="s">
        <v>13</v>
      </c>
      <c r="D20" t="s">
        <v>1372</v>
      </c>
      <c r="E20">
        <v>400</v>
      </c>
      <c r="F20" t="s">
        <v>32</v>
      </c>
    </row>
    <row r="21" spans="1:6" x14ac:dyDescent="0.35">
      <c r="A21" s="1">
        <v>45354</v>
      </c>
      <c r="B21" s="2">
        <v>45354.435631493056</v>
      </c>
      <c r="C21" t="s">
        <v>8</v>
      </c>
      <c r="D21" t="s">
        <v>72</v>
      </c>
      <c r="E21">
        <v>387</v>
      </c>
      <c r="F21" t="s">
        <v>32</v>
      </c>
    </row>
    <row r="22" spans="1:6" x14ac:dyDescent="0.35">
      <c r="A22" s="1">
        <v>45354</v>
      </c>
      <c r="B22" s="2">
        <v>45354.481899513892</v>
      </c>
      <c r="C22" t="s">
        <v>8</v>
      </c>
      <c r="D22" t="s">
        <v>73</v>
      </c>
      <c r="E22">
        <v>289</v>
      </c>
      <c r="F22" t="s">
        <v>20</v>
      </c>
    </row>
    <row r="23" spans="1:6" x14ac:dyDescent="0.35">
      <c r="A23" s="1">
        <v>45354</v>
      </c>
      <c r="B23" s="2">
        <v>45354.518704837959</v>
      </c>
      <c r="C23" t="s">
        <v>8</v>
      </c>
      <c r="D23" t="s">
        <v>43</v>
      </c>
      <c r="E23">
        <v>289</v>
      </c>
      <c r="F23" t="s">
        <v>28</v>
      </c>
    </row>
    <row r="24" spans="1:6" x14ac:dyDescent="0.35">
      <c r="A24" s="1">
        <v>45354</v>
      </c>
      <c r="B24" s="2">
        <v>45354.548337048611</v>
      </c>
      <c r="C24" t="s">
        <v>8</v>
      </c>
      <c r="D24" t="s">
        <v>74</v>
      </c>
      <c r="E24">
        <v>387</v>
      </c>
      <c r="F24" t="s">
        <v>15</v>
      </c>
    </row>
    <row r="25" spans="1:6" x14ac:dyDescent="0.35">
      <c r="A25" s="1">
        <v>45354</v>
      </c>
      <c r="B25" s="2">
        <v>45354.712966099534</v>
      </c>
      <c r="C25" t="s">
        <v>8</v>
      </c>
      <c r="D25" t="s">
        <v>75</v>
      </c>
      <c r="E25">
        <v>387</v>
      </c>
      <c r="F25" t="s">
        <v>10</v>
      </c>
    </row>
    <row r="26" spans="1:6" x14ac:dyDescent="0.35">
      <c r="A26" s="1">
        <v>45354</v>
      </c>
      <c r="B26" s="2">
        <v>45354.714420081022</v>
      </c>
      <c r="C26" t="s">
        <v>8</v>
      </c>
      <c r="D26" t="s">
        <v>76</v>
      </c>
      <c r="E26">
        <v>289</v>
      </c>
      <c r="F26" t="s">
        <v>20</v>
      </c>
    </row>
    <row r="27" spans="1:6" x14ac:dyDescent="0.35">
      <c r="A27" s="1">
        <v>45354</v>
      </c>
      <c r="B27" s="2">
        <v>45354.752353807868</v>
      </c>
      <c r="C27" t="s">
        <v>8</v>
      </c>
      <c r="D27" t="s">
        <v>77</v>
      </c>
      <c r="E27">
        <v>338</v>
      </c>
      <c r="F27" t="s">
        <v>36</v>
      </c>
    </row>
    <row r="28" spans="1:6" x14ac:dyDescent="0.35">
      <c r="A28" s="1">
        <v>45354</v>
      </c>
      <c r="B28" s="2">
        <v>45354.753101226852</v>
      </c>
      <c r="C28" t="s">
        <v>8</v>
      </c>
      <c r="D28" t="s">
        <v>77</v>
      </c>
      <c r="E28">
        <v>338</v>
      </c>
      <c r="F28" t="s">
        <v>36</v>
      </c>
    </row>
    <row r="29" spans="1:6" x14ac:dyDescent="0.35">
      <c r="A29" s="1">
        <v>45354</v>
      </c>
      <c r="B29" s="2">
        <v>45354.755612951391</v>
      </c>
      <c r="C29" t="s">
        <v>8</v>
      </c>
      <c r="D29" t="s">
        <v>77</v>
      </c>
      <c r="E29">
        <v>387</v>
      </c>
      <c r="F29" t="s">
        <v>15</v>
      </c>
    </row>
    <row r="30" spans="1:6" x14ac:dyDescent="0.35">
      <c r="A30" s="1">
        <v>45355</v>
      </c>
      <c r="B30" s="2">
        <v>45355.41935178241</v>
      </c>
      <c r="C30" t="s">
        <v>8</v>
      </c>
      <c r="D30" t="s">
        <v>60</v>
      </c>
      <c r="E30">
        <v>387</v>
      </c>
      <c r="F30" t="s">
        <v>32</v>
      </c>
    </row>
    <row r="31" spans="1:6" x14ac:dyDescent="0.35">
      <c r="A31" s="1">
        <v>45355</v>
      </c>
      <c r="B31" s="2">
        <v>45355.454756458334</v>
      </c>
      <c r="C31" t="s">
        <v>8</v>
      </c>
      <c r="D31" t="s">
        <v>78</v>
      </c>
      <c r="E31">
        <v>387</v>
      </c>
      <c r="F31" t="s">
        <v>32</v>
      </c>
    </row>
    <row r="32" spans="1:6" x14ac:dyDescent="0.35">
      <c r="A32" s="1">
        <v>45355</v>
      </c>
      <c r="B32" s="2">
        <v>45355.461992870369</v>
      </c>
      <c r="C32" t="s">
        <v>8</v>
      </c>
      <c r="D32" t="s">
        <v>43</v>
      </c>
      <c r="E32">
        <v>338</v>
      </c>
      <c r="F32" t="s">
        <v>36</v>
      </c>
    </row>
    <row r="33" spans="1:6" x14ac:dyDescent="0.35">
      <c r="A33" s="1">
        <v>45355</v>
      </c>
      <c r="B33" s="2">
        <v>45355.586547847219</v>
      </c>
      <c r="C33" t="s">
        <v>8</v>
      </c>
      <c r="D33" t="s">
        <v>79</v>
      </c>
      <c r="E33">
        <v>240</v>
      </c>
      <c r="F33" t="s">
        <v>5</v>
      </c>
    </row>
    <row r="34" spans="1:6" x14ac:dyDescent="0.35">
      <c r="A34" s="1">
        <v>45356</v>
      </c>
      <c r="B34" s="2">
        <v>45356.416581608799</v>
      </c>
      <c r="C34" t="s">
        <v>8</v>
      </c>
      <c r="D34" t="s">
        <v>60</v>
      </c>
      <c r="E34">
        <v>387</v>
      </c>
      <c r="F34" t="s">
        <v>32</v>
      </c>
    </row>
    <row r="35" spans="1:6" x14ac:dyDescent="0.35">
      <c r="A35" s="1">
        <v>45356</v>
      </c>
      <c r="B35" s="2">
        <v>45356.60759216435</v>
      </c>
      <c r="C35" t="s">
        <v>8</v>
      </c>
      <c r="D35" t="s">
        <v>80</v>
      </c>
      <c r="E35">
        <v>387</v>
      </c>
      <c r="F35" t="s">
        <v>32</v>
      </c>
    </row>
    <row r="36" spans="1:6" x14ac:dyDescent="0.35">
      <c r="A36" s="1">
        <v>45356</v>
      </c>
      <c r="B36" s="2">
        <v>45356.732014386573</v>
      </c>
      <c r="C36" t="s">
        <v>8</v>
      </c>
      <c r="D36" t="s">
        <v>81</v>
      </c>
      <c r="E36">
        <v>387</v>
      </c>
      <c r="F36" t="s">
        <v>32</v>
      </c>
    </row>
    <row r="37" spans="1:6" x14ac:dyDescent="0.35">
      <c r="A37" s="1">
        <v>45356</v>
      </c>
      <c r="B37" s="2">
        <v>45356.732928483798</v>
      </c>
      <c r="C37" t="s">
        <v>8</v>
      </c>
      <c r="D37" t="s">
        <v>82</v>
      </c>
      <c r="E37">
        <v>387</v>
      </c>
      <c r="F37" t="s">
        <v>15</v>
      </c>
    </row>
    <row r="38" spans="1:6" x14ac:dyDescent="0.35">
      <c r="A38" s="1">
        <v>45356</v>
      </c>
      <c r="B38" s="2">
        <v>45356.733664016203</v>
      </c>
      <c r="C38" t="s">
        <v>8</v>
      </c>
      <c r="D38" t="s">
        <v>83</v>
      </c>
      <c r="E38">
        <v>387</v>
      </c>
      <c r="F38" t="s">
        <v>10</v>
      </c>
    </row>
    <row r="39" spans="1:6" x14ac:dyDescent="0.35">
      <c r="A39" s="1">
        <v>45356</v>
      </c>
      <c r="B39" s="2">
        <v>45356.734185868052</v>
      </c>
      <c r="C39" t="s">
        <v>8</v>
      </c>
      <c r="D39" t="s">
        <v>84</v>
      </c>
      <c r="E39">
        <v>387</v>
      </c>
      <c r="F39" t="s">
        <v>15</v>
      </c>
    </row>
    <row r="40" spans="1:6" x14ac:dyDescent="0.35">
      <c r="A40" s="1">
        <v>45356</v>
      </c>
      <c r="B40" s="2">
        <v>45356.734830486108</v>
      </c>
      <c r="C40" t="s">
        <v>8</v>
      </c>
      <c r="D40" t="s">
        <v>25</v>
      </c>
      <c r="E40">
        <v>387</v>
      </c>
      <c r="F40" t="s">
        <v>15</v>
      </c>
    </row>
    <row r="41" spans="1:6" x14ac:dyDescent="0.35">
      <c r="A41" s="1">
        <v>45356</v>
      </c>
      <c r="B41" s="2">
        <v>45356.747404814814</v>
      </c>
      <c r="C41" t="s">
        <v>8</v>
      </c>
      <c r="D41" t="s">
        <v>85</v>
      </c>
      <c r="E41">
        <v>289</v>
      </c>
      <c r="F41" t="s">
        <v>20</v>
      </c>
    </row>
    <row r="42" spans="1:6" x14ac:dyDescent="0.35">
      <c r="A42" s="1">
        <v>45356</v>
      </c>
      <c r="B42" s="2">
        <v>45356.751056041663</v>
      </c>
      <c r="C42" t="s">
        <v>8</v>
      </c>
      <c r="D42" t="s">
        <v>85</v>
      </c>
      <c r="E42">
        <v>387</v>
      </c>
      <c r="F42" t="s">
        <v>15</v>
      </c>
    </row>
    <row r="43" spans="1:6" x14ac:dyDescent="0.35">
      <c r="A43" s="1">
        <v>45357</v>
      </c>
      <c r="B43" s="2">
        <v>45357.521146863422</v>
      </c>
      <c r="C43" t="s">
        <v>13</v>
      </c>
      <c r="D43" t="s">
        <v>1372</v>
      </c>
      <c r="E43">
        <v>350</v>
      </c>
      <c r="F43" t="s">
        <v>36</v>
      </c>
    </row>
    <row r="44" spans="1:6" x14ac:dyDescent="0.35">
      <c r="A44" s="1">
        <v>45357</v>
      </c>
      <c r="B44" s="2">
        <v>45357.558422071757</v>
      </c>
      <c r="C44" t="s">
        <v>8</v>
      </c>
      <c r="D44" t="s">
        <v>43</v>
      </c>
      <c r="E44">
        <v>289</v>
      </c>
      <c r="F44" t="s">
        <v>28</v>
      </c>
    </row>
    <row r="45" spans="1:6" x14ac:dyDescent="0.35">
      <c r="A45" s="1">
        <v>45357</v>
      </c>
      <c r="B45" s="2">
        <v>45357.559193877314</v>
      </c>
      <c r="C45" t="s">
        <v>8</v>
      </c>
      <c r="D45" t="s">
        <v>43</v>
      </c>
      <c r="E45">
        <v>289</v>
      </c>
      <c r="F45" t="s">
        <v>20</v>
      </c>
    </row>
    <row r="46" spans="1:6" x14ac:dyDescent="0.35">
      <c r="A46" s="1">
        <v>45357</v>
      </c>
      <c r="B46" s="2">
        <v>45357.619464826392</v>
      </c>
      <c r="C46" t="s">
        <v>8</v>
      </c>
      <c r="D46" t="s">
        <v>86</v>
      </c>
      <c r="E46">
        <v>387</v>
      </c>
      <c r="F46" t="s">
        <v>24</v>
      </c>
    </row>
    <row r="47" spans="1:6" x14ac:dyDescent="0.35">
      <c r="A47" s="1">
        <v>45357</v>
      </c>
      <c r="B47" s="2">
        <v>45357.620351203703</v>
      </c>
      <c r="C47" t="s">
        <v>8</v>
      </c>
      <c r="D47" t="s">
        <v>86</v>
      </c>
      <c r="E47">
        <v>387</v>
      </c>
      <c r="F47" t="s">
        <v>24</v>
      </c>
    </row>
    <row r="48" spans="1:6" x14ac:dyDescent="0.35">
      <c r="A48" s="1">
        <v>45358</v>
      </c>
      <c r="B48" s="2">
        <v>45358.42290445602</v>
      </c>
      <c r="C48" t="s">
        <v>13</v>
      </c>
      <c r="D48" t="s">
        <v>1372</v>
      </c>
      <c r="E48">
        <v>400</v>
      </c>
      <c r="F48" t="s">
        <v>32</v>
      </c>
    </row>
    <row r="49" spans="1:6" x14ac:dyDescent="0.35">
      <c r="A49" s="1">
        <v>45358</v>
      </c>
      <c r="B49" s="2">
        <v>45358.429635914355</v>
      </c>
      <c r="C49" t="s">
        <v>8</v>
      </c>
      <c r="D49" t="s">
        <v>87</v>
      </c>
      <c r="E49">
        <v>387</v>
      </c>
      <c r="F49" t="s">
        <v>15</v>
      </c>
    </row>
    <row r="50" spans="1:6" x14ac:dyDescent="0.35">
      <c r="A50" s="1">
        <v>45358</v>
      </c>
      <c r="B50" s="2">
        <v>45358.461099259257</v>
      </c>
      <c r="C50" t="s">
        <v>8</v>
      </c>
      <c r="D50" t="s">
        <v>88</v>
      </c>
      <c r="E50">
        <v>387</v>
      </c>
      <c r="F50" t="s">
        <v>32</v>
      </c>
    </row>
    <row r="51" spans="1:6" x14ac:dyDescent="0.35">
      <c r="A51" s="1">
        <v>45358</v>
      </c>
      <c r="B51" s="2">
        <v>45358.476203437502</v>
      </c>
      <c r="C51" t="s">
        <v>13</v>
      </c>
      <c r="D51" t="s">
        <v>1372</v>
      </c>
      <c r="E51">
        <v>400</v>
      </c>
      <c r="F51" t="s">
        <v>32</v>
      </c>
    </row>
    <row r="52" spans="1:6" x14ac:dyDescent="0.35">
      <c r="A52" s="1">
        <v>45358</v>
      </c>
      <c r="B52" s="2">
        <v>45358.653039421297</v>
      </c>
      <c r="C52" t="s">
        <v>8</v>
      </c>
      <c r="D52" t="s">
        <v>89</v>
      </c>
      <c r="E52">
        <v>289</v>
      </c>
      <c r="F52" t="s">
        <v>28</v>
      </c>
    </row>
    <row r="53" spans="1:6" x14ac:dyDescent="0.35">
      <c r="A53" s="1">
        <v>45358</v>
      </c>
      <c r="B53" s="2">
        <v>45358.65380537037</v>
      </c>
      <c r="C53" t="s">
        <v>8</v>
      </c>
      <c r="D53" t="s">
        <v>90</v>
      </c>
      <c r="E53">
        <v>338</v>
      </c>
      <c r="F53" t="s">
        <v>36</v>
      </c>
    </row>
    <row r="54" spans="1:6" x14ac:dyDescent="0.35">
      <c r="A54" s="1">
        <v>45359</v>
      </c>
      <c r="B54" s="2">
        <v>45359.44075559028</v>
      </c>
      <c r="C54" t="s">
        <v>8</v>
      </c>
      <c r="D54" t="s">
        <v>43</v>
      </c>
      <c r="E54">
        <v>289</v>
      </c>
      <c r="F54" t="s">
        <v>20</v>
      </c>
    </row>
    <row r="55" spans="1:6" x14ac:dyDescent="0.35">
      <c r="A55" s="1">
        <v>45359</v>
      </c>
      <c r="B55" s="2">
        <v>45359.515609409726</v>
      </c>
      <c r="C55" t="s">
        <v>8</v>
      </c>
      <c r="D55" t="s">
        <v>91</v>
      </c>
      <c r="E55">
        <v>387</v>
      </c>
      <c r="F55" t="s">
        <v>24</v>
      </c>
    </row>
    <row r="56" spans="1:6" x14ac:dyDescent="0.35">
      <c r="A56" s="1">
        <v>45359</v>
      </c>
      <c r="B56" s="2">
        <v>45359.578495856484</v>
      </c>
      <c r="C56" t="s">
        <v>8</v>
      </c>
      <c r="D56" t="s">
        <v>92</v>
      </c>
      <c r="E56">
        <v>289</v>
      </c>
      <c r="F56" t="s">
        <v>28</v>
      </c>
    </row>
    <row r="57" spans="1:6" x14ac:dyDescent="0.35">
      <c r="A57" s="1">
        <v>45359</v>
      </c>
      <c r="B57" s="2">
        <v>45359.61403571759</v>
      </c>
      <c r="C57" t="s">
        <v>8</v>
      </c>
      <c r="D57" t="s">
        <v>43</v>
      </c>
      <c r="E57">
        <v>289</v>
      </c>
      <c r="F57" t="s">
        <v>28</v>
      </c>
    </row>
    <row r="58" spans="1:6" x14ac:dyDescent="0.35">
      <c r="A58" s="1">
        <v>45359</v>
      </c>
      <c r="B58" s="2">
        <v>45359.614711203707</v>
      </c>
      <c r="C58" t="s">
        <v>8</v>
      </c>
      <c r="D58" t="s">
        <v>90</v>
      </c>
      <c r="E58">
        <v>289</v>
      </c>
      <c r="F58" t="s">
        <v>28</v>
      </c>
    </row>
    <row r="59" spans="1:6" x14ac:dyDescent="0.35">
      <c r="A59" s="1">
        <v>45359</v>
      </c>
      <c r="B59" s="2">
        <v>45359.615406886573</v>
      </c>
      <c r="C59" t="s">
        <v>8</v>
      </c>
      <c r="D59" t="s">
        <v>43</v>
      </c>
      <c r="E59">
        <v>338</v>
      </c>
      <c r="F59" t="s">
        <v>36</v>
      </c>
    </row>
    <row r="60" spans="1:6" x14ac:dyDescent="0.35">
      <c r="A60" s="1">
        <v>45359</v>
      </c>
      <c r="B60" s="2">
        <v>45359.790178831019</v>
      </c>
      <c r="C60" t="s">
        <v>8</v>
      </c>
      <c r="D60" t="s">
        <v>93</v>
      </c>
      <c r="E60">
        <v>387</v>
      </c>
      <c r="F60" t="s">
        <v>32</v>
      </c>
    </row>
    <row r="61" spans="1:6" x14ac:dyDescent="0.35">
      <c r="A61" s="1">
        <v>45359</v>
      </c>
      <c r="B61" s="2">
        <v>45359.791260891201</v>
      </c>
      <c r="C61" t="s">
        <v>8</v>
      </c>
      <c r="D61" t="s">
        <v>94</v>
      </c>
      <c r="E61">
        <v>387</v>
      </c>
      <c r="F61" t="s">
        <v>32</v>
      </c>
    </row>
    <row r="62" spans="1:6" x14ac:dyDescent="0.35">
      <c r="A62" s="1">
        <v>45360</v>
      </c>
      <c r="B62" s="2">
        <v>45360.492792731478</v>
      </c>
      <c r="C62" t="s">
        <v>13</v>
      </c>
      <c r="D62" t="s">
        <v>1372</v>
      </c>
      <c r="E62">
        <v>400</v>
      </c>
      <c r="F62" t="s">
        <v>15</v>
      </c>
    </row>
    <row r="63" spans="1:6" x14ac:dyDescent="0.35">
      <c r="A63" s="1">
        <v>45360</v>
      </c>
      <c r="B63" s="2">
        <v>45360.50365230324</v>
      </c>
      <c r="C63" t="s">
        <v>8</v>
      </c>
      <c r="D63" t="s">
        <v>95</v>
      </c>
      <c r="E63">
        <v>240</v>
      </c>
      <c r="F63" t="s">
        <v>5</v>
      </c>
    </row>
    <row r="64" spans="1:6" x14ac:dyDescent="0.35">
      <c r="A64" s="1">
        <v>45360</v>
      </c>
      <c r="B64" s="2">
        <v>45360.505304108796</v>
      </c>
      <c r="C64" t="s">
        <v>8</v>
      </c>
      <c r="D64" t="s">
        <v>96</v>
      </c>
      <c r="E64">
        <v>289</v>
      </c>
      <c r="F64" t="s">
        <v>28</v>
      </c>
    </row>
    <row r="65" spans="1:6" x14ac:dyDescent="0.35">
      <c r="A65" s="1">
        <v>45360</v>
      </c>
      <c r="B65" s="2">
        <v>45360.506802245371</v>
      </c>
      <c r="C65" t="s">
        <v>8</v>
      </c>
      <c r="D65" t="s">
        <v>43</v>
      </c>
      <c r="E65">
        <v>387</v>
      </c>
      <c r="F65" t="s">
        <v>24</v>
      </c>
    </row>
    <row r="66" spans="1:6" x14ac:dyDescent="0.35">
      <c r="A66" s="1">
        <v>45360</v>
      </c>
      <c r="B66" s="2">
        <v>45360.509068530089</v>
      </c>
      <c r="C66" t="s">
        <v>8</v>
      </c>
      <c r="D66" t="s">
        <v>16</v>
      </c>
      <c r="E66">
        <v>289</v>
      </c>
      <c r="F66" t="s">
        <v>28</v>
      </c>
    </row>
    <row r="67" spans="1:6" x14ac:dyDescent="0.35">
      <c r="A67" s="1">
        <v>45360</v>
      </c>
      <c r="B67" s="2">
        <v>45360.510028449076</v>
      </c>
      <c r="C67" t="s">
        <v>8</v>
      </c>
      <c r="D67" t="s">
        <v>16</v>
      </c>
      <c r="E67">
        <v>289</v>
      </c>
      <c r="F67" t="s">
        <v>28</v>
      </c>
    </row>
    <row r="68" spans="1:6" x14ac:dyDescent="0.35">
      <c r="A68" s="1">
        <v>45360</v>
      </c>
      <c r="B68" s="2">
        <v>45360.548173946758</v>
      </c>
      <c r="C68" t="s">
        <v>8</v>
      </c>
      <c r="D68" t="s">
        <v>97</v>
      </c>
      <c r="E68">
        <v>387</v>
      </c>
      <c r="F68" t="s">
        <v>32</v>
      </c>
    </row>
    <row r="69" spans="1:6" x14ac:dyDescent="0.35">
      <c r="A69" s="1">
        <v>45360</v>
      </c>
      <c r="B69" s="2">
        <v>45360.570210266204</v>
      </c>
      <c r="C69" t="s">
        <v>8</v>
      </c>
      <c r="D69" t="s">
        <v>98</v>
      </c>
      <c r="E69">
        <v>338</v>
      </c>
      <c r="F69" t="s">
        <v>36</v>
      </c>
    </row>
    <row r="70" spans="1:6" x14ac:dyDescent="0.35">
      <c r="A70" s="1">
        <v>45360</v>
      </c>
      <c r="B70" s="2">
        <v>45360.578592685182</v>
      </c>
      <c r="C70" t="s">
        <v>8</v>
      </c>
      <c r="D70" t="s">
        <v>99</v>
      </c>
      <c r="E70">
        <v>289</v>
      </c>
      <c r="F70" t="s">
        <v>20</v>
      </c>
    </row>
    <row r="71" spans="1:6" x14ac:dyDescent="0.35">
      <c r="A71" s="1">
        <v>45360</v>
      </c>
      <c r="B71" s="2">
        <v>45360.579592916663</v>
      </c>
      <c r="C71" t="s">
        <v>8</v>
      </c>
      <c r="D71" t="s">
        <v>99</v>
      </c>
      <c r="E71">
        <v>387</v>
      </c>
      <c r="F71" t="s">
        <v>24</v>
      </c>
    </row>
    <row r="72" spans="1:6" x14ac:dyDescent="0.35">
      <c r="A72" s="1">
        <v>45360</v>
      </c>
      <c r="B72" s="2">
        <v>45360.588910057872</v>
      </c>
      <c r="C72" t="s">
        <v>8</v>
      </c>
      <c r="D72" t="s">
        <v>25</v>
      </c>
      <c r="E72">
        <v>338</v>
      </c>
      <c r="F72" t="s">
        <v>36</v>
      </c>
    </row>
    <row r="73" spans="1:6" x14ac:dyDescent="0.35">
      <c r="A73" s="1">
        <v>45360</v>
      </c>
      <c r="B73" s="2">
        <v>45360.602000844905</v>
      </c>
      <c r="C73" t="s">
        <v>8</v>
      </c>
      <c r="D73" t="s">
        <v>100</v>
      </c>
      <c r="E73">
        <v>387</v>
      </c>
      <c r="F73" t="s">
        <v>15</v>
      </c>
    </row>
    <row r="74" spans="1:6" x14ac:dyDescent="0.35">
      <c r="A74" s="1">
        <v>45360</v>
      </c>
      <c r="B74" s="2">
        <v>45360.804138564818</v>
      </c>
      <c r="C74" t="s">
        <v>8</v>
      </c>
      <c r="D74" t="s">
        <v>25</v>
      </c>
      <c r="E74">
        <v>387</v>
      </c>
      <c r="F74" t="s">
        <v>24</v>
      </c>
    </row>
    <row r="75" spans="1:6" x14ac:dyDescent="0.35">
      <c r="A75" s="1">
        <v>45360</v>
      </c>
      <c r="B75" s="2">
        <v>45360.804977824075</v>
      </c>
      <c r="C75" t="s">
        <v>8</v>
      </c>
      <c r="D75" t="s">
        <v>25</v>
      </c>
      <c r="E75">
        <v>387</v>
      </c>
      <c r="F75" t="s">
        <v>15</v>
      </c>
    </row>
    <row r="76" spans="1:6" x14ac:dyDescent="0.35">
      <c r="A76" s="1">
        <v>45361</v>
      </c>
      <c r="B76" s="2">
        <v>45361.322436782408</v>
      </c>
      <c r="C76" t="s">
        <v>13</v>
      </c>
      <c r="D76" t="s">
        <v>1372</v>
      </c>
      <c r="E76">
        <v>300</v>
      </c>
      <c r="F76" t="s">
        <v>28</v>
      </c>
    </row>
    <row r="77" spans="1:6" x14ac:dyDescent="0.35">
      <c r="A77" s="1">
        <v>45361</v>
      </c>
      <c r="B77" s="2">
        <v>45361.323257418982</v>
      </c>
      <c r="C77" t="s">
        <v>13</v>
      </c>
      <c r="D77" t="s">
        <v>1372</v>
      </c>
      <c r="E77">
        <v>350</v>
      </c>
      <c r="F77" t="s">
        <v>36</v>
      </c>
    </row>
    <row r="78" spans="1:6" x14ac:dyDescent="0.35">
      <c r="A78" s="1">
        <v>45361</v>
      </c>
      <c r="B78" s="2">
        <v>45361.420867592591</v>
      </c>
      <c r="C78" t="s">
        <v>13</v>
      </c>
      <c r="D78" t="s">
        <v>1372</v>
      </c>
      <c r="E78">
        <v>400</v>
      </c>
      <c r="F78" t="s">
        <v>32</v>
      </c>
    </row>
    <row r="79" spans="1:6" x14ac:dyDescent="0.35">
      <c r="A79" s="1">
        <v>45361</v>
      </c>
      <c r="B79" s="2">
        <v>45361.471768101852</v>
      </c>
      <c r="C79" t="s">
        <v>8</v>
      </c>
      <c r="D79" t="s">
        <v>101</v>
      </c>
      <c r="E79">
        <v>240</v>
      </c>
      <c r="F79" t="s">
        <v>5</v>
      </c>
    </row>
    <row r="80" spans="1:6" x14ac:dyDescent="0.35">
      <c r="A80" s="1">
        <v>45361</v>
      </c>
      <c r="B80" s="2">
        <v>45361.74378527778</v>
      </c>
      <c r="C80" t="s">
        <v>13</v>
      </c>
      <c r="D80" t="s">
        <v>1372</v>
      </c>
      <c r="E80">
        <v>350</v>
      </c>
      <c r="F80" t="s">
        <v>36</v>
      </c>
    </row>
    <row r="81" spans="1:6" x14ac:dyDescent="0.35">
      <c r="A81" s="1">
        <v>45361</v>
      </c>
      <c r="B81" s="2">
        <v>45361.815283310185</v>
      </c>
      <c r="C81" t="s">
        <v>8</v>
      </c>
      <c r="D81" t="s">
        <v>102</v>
      </c>
      <c r="E81">
        <v>387</v>
      </c>
      <c r="F81" t="s">
        <v>32</v>
      </c>
    </row>
    <row r="82" spans="1:6" x14ac:dyDescent="0.35">
      <c r="A82" s="1">
        <v>45361</v>
      </c>
      <c r="B82" s="2">
        <v>45361.816605462962</v>
      </c>
      <c r="C82" t="s">
        <v>8</v>
      </c>
      <c r="D82" t="s">
        <v>102</v>
      </c>
      <c r="E82">
        <v>289</v>
      </c>
      <c r="F82" t="s">
        <v>20</v>
      </c>
    </row>
    <row r="83" spans="1:6" x14ac:dyDescent="0.35">
      <c r="A83" s="1">
        <v>45362</v>
      </c>
      <c r="B83" s="2">
        <v>45362.429707453703</v>
      </c>
      <c r="C83" t="s">
        <v>13</v>
      </c>
      <c r="D83" t="s">
        <v>1372</v>
      </c>
      <c r="E83">
        <v>400</v>
      </c>
      <c r="F83" t="s">
        <v>32</v>
      </c>
    </row>
    <row r="84" spans="1:6" x14ac:dyDescent="0.35">
      <c r="A84" s="1">
        <v>45362</v>
      </c>
      <c r="B84" s="2">
        <v>45362.475173865743</v>
      </c>
      <c r="C84" t="s">
        <v>13</v>
      </c>
      <c r="D84" t="s">
        <v>1372</v>
      </c>
      <c r="E84">
        <v>400</v>
      </c>
      <c r="F84" t="s">
        <v>24</v>
      </c>
    </row>
    <row r="85" spans="1:6" x14ac:dyDescent="0.35">
      <c r="A85" s="1">
        <v>45362</v>
      </c>
      <c r="B85" s="2">
        <v>45362.47559681713</v>
      </c>
      <c r="C85" t="s">
        <v>13</v>
      </c>
      <c r="D85" t="s">
        <v>1372</v>
      </c>
      <c r="E85">
        <v>300</v>
      </c>
      <c r="F85" t="s">
        <v>20</v>
      </c>
    </row>
    <row r="86" spans="1:6" x14ac:dyDescent="0.35">
      <c r="A86" s="1">
        <v>45362</v>
      </c>
      <c r="B86" s="2">
        <v>45362.476900706017</v>
      </c>
      <c r="C86" t="s">
        <v>13</v>
      </c>
      <c r="D86" t="s">
        <v>1372</v>
      </c>
      <c r="E86">
        <v>300</v>
      </c>
      <c r="F86" t="s">
        <v>28</v>
      </c>
    </row>
    <row r="87" spans="1:6" x14ac:dyDescent="0.35">
      <c r="A87" s="1">
        <v>45362</v>
      </c>
      <c r="B87" s="2">
        <v>45362.481235891202</v>
      </c>
      <c r="C87" t="s">
        <v>8</v>
      </c>
      <c r="D87" t="s">
        <v>92</v>
      </c>
      <c r="E87">
        <v>387</v>
      </c>
      <c r="F87" t="s">
        <v>24</v>
      </c>
    </row>
    <row r="88" spans="1:6" x14ac:dyDescent="0.35">
      <c r="A88" s="1">
        <v>45362</v>
      </c>
      <c r="B88" s="2">
        <v>45362.68363890046</v>
      </c>
      <c r="C88" t="s">
        <v>8</v>
      </c>
      <c r="D88" t="s">
        <v>103</v>
      </c>
      <c r="E88">
        <v>289</v>
      </c>
      <c r="F88" t="s">
        <v>28</v>
      </c>
    </row>
    <row r="89" spans="1:6" x14ac:dyDescent="0.35">
      <c r="A89" s="1">
        <v>45362</v>
      </c>
      <c r="B89" s="2">
        <v>45362.684556296299</v>
      </c>
      <c r="C89" t="s">
        <v>8</v>
      </c>
      <c r="D89" t="s">
        <v>103</v>
      </c>
      <c r="E89">
        <v>387</v>
      </c>
      <c r="F89" t="s">
        <v>32</v>
      </c>
    </row>
    <row r="90" spans="1:6" x14ac:dyDescent="0.35">
      <c r="A90" s="1">
        <v>45362</v>
      </c>
      <c r="B90" s="2">
        <v>45362.701963055559</v>
      </c>
      <c r="C90" t="s">
        <v>8</v>
      </c>
      <c r="D90" t="s">
        <v>104</v>
      </c>
      <c r="E90">
        <v>289</v>
      </c>
      <c r="F90" t="s">
        <v>20</v>
      </c>
    </row>
    <row r="91" spans="1:6" x14ac:dyDescent="0.35">
      <c r="A91" s="1">
        <v>45363</v>
      </c>
      <c r="B91" s="2">
        <v>45363.427086770833</v>
      </c>
      <c r="C91" t="s">
        <v>13</v>
      </c>
      <c r="D91" t="s">
        <v>1372</v>
      </c>
      <c r="E91">
        <v>400</v>
      </c>
      <c r="F91" t="s">
        <v>32</v>
      </c>
    </row>
    <row r="92" spans="1:6" x14ac:dyDescent="0.35">
      <c r="A92" s="1">
        <v>45363</v>
      </c>
      <c r="B92" s="2">
        <v>45363.427483136576</v>
      </c>
      <c r="C92" t="s">
        <v>8</v>
      </c>
      <c r="D92" t="s">
        <v>90</v>
      </c>
      <c r="E92">
        <v>289</v>
      </c>
      <c r="F92" t="s">
        <v>28</v>
      </c>
    </row>
    <row r="93" spans="1:6" x14ac:dyDescent="0.35">
      <c r="A93" s="1">
        <v>45363</v>
      </c>
      <c r="B93" s="2">
        <v>45363.428065810185</v>
      </c>
      <c r="C93" t="s">
        <v>8</v>
      </c>
      <c r="D93" t="s">
        <v>90</v>
      </c>
      <c r="E93">
        <v>289</v>
      </c>
      <c r="F93" t="s">
        <v>20</v>
      </c>
    </row>
    <row r="94" spans="1:6" x14ac:dyDescent="0.35">
      <c r="A94" s="1">
        <v>45363</v>
      </c>
      <c r="B94" s="2">
        <v>45363.472750370369</v>
      </c>
      <c r="C94" t="s">
        <v>8</v>
      </c>
      <c r="D94" t="s">
        <v>105</v>
      </c>
      <c r="E94">
        <v>387</v>
      </c>
      <c r="F94" t="s">
        <v>15</v>
      </c>
    </row>
    <row r="95" spans="1:6" x14ac:dyDescent="0.35">
      <c r="A95" s="1">
        <v>45363</v>
      </c>
      <c r="B95" s="2">
        <v>45363.532213831022</v>
      </c>
      <c r="C95" t="s">
        <v>8</v>
      </c>
      <c r="D95" t="s">
        <v>63</v>
      </c>
      <c r="E95">
        <v>338</v>
      </c>
      <c r="F95" t="s">
        <v>36</v>
      </c>
    </row>
    <row r="96" spans="1:6" x14ac:dyDescent="0.35">
      <c r="A96" s="1">
        <v>45363</v>
      </c>
      <c r="B96" s="2">
        <v>45363.532940127312</v>
      </c>
      <c r="C96" t="s">
        <v>8</v>
      </c>
      <c r="D96" t="s">
        <v>63</v>
      </c>
      <c r="E96">
        <v>289</v>
      </c>
      <c r="F96" t="s">
        <v>28</v>
      </c>
    </row>
    <row r="97" spans="1:6" x14ac:dyDescent="0.35">
      <c r="A97" s="1">
        <v>45363</v>
      </c>
      <c r="B97" s="2">
        <v>45363.677584780089</v>
      </c>
      <c r="C97" t="s">
        <v>8</v>
      </c>
      <c r="D97" t="s">
        <v>106</v>
      </c>
      <c r="E97">
        <v>289</v>
      </c>
      <c r="F97" t="s">
        <v>28</v>
      </c>
    </row>
    <row r="98" spans="1:6" x14ac:dyDescent="0.35">
      <c r="A98" s="1">
        <v>45364</v>
      </c>
      <c r="B98" s="2">
        <v>45364.462998124996</v>
      </c>
      <c r="C98" t="s">
        <v>8</v>
      </c>
      <c r="D98" t="s">
        <v>104</v>
      </c>
      <c r="E98">
        <v>387</v>
      </c>
      <c r="F98" t="s">
        <v>15</v>
      </c>
    </row>
    <row r="99" spans="1:6" x14ac:dyDescent="0.35">
      <c r="A99" s="1">
        <v>45364</v>
      </c>
      <c r="B99" s="2">
        <v>45364.491860567126</v>
      </c>
      <c r="C99" t="s">
        <v>8</v>
      </c>
      <c r="D99" t="s">
        <v>63</v>
      </c>
      <c r="E99">
        <v>289</v>
      </c>
      <c r="F99" t="s">
        <v>28</v>
      </c>
    </row>
    <row r="100" spans="1:6" x14ac:dyDescent="0.35">
      <c r="A100" s="1">
        <v>45364</v>
      </c>
      <c r="B100" s="2">
        <v>45364.512573333333</v>
      </c>
      <c r="C100" t="s">
        <v>8</v>
      </c>
      <c r="D100" t="s">
        <v>107</v>
      </c>
      <c r="E100">
        <v>289</v>
      </c>
      <c r="F100" t="s">
        <v>28</v>
      </c>
    </row>
    <row r="101" spans="1:6" x14ac:dyDescent="0.35">
      <c r="A101" s="1">
        <v>45364</v>
      </c>
      <c r="B101" s="2">
        <v>45364.513253796293</v>
      </c>
      <c r="C101" t="s">
        <v>8</v>
      </c>
      <c r="D101" t="s">
        <v>107</v>
      </c>
      <c r="E101">
        <v>289</v>
      </c>
      <c r="F101" t="s">
        <v>28</v>
      </c>
    </row>
    <row r="102" spans="1:6" x14ac:dyDescent="0.35">
      <c r="A102" s="1">
        <v>45364</v>
      </c>
      <c r="B102" s="2">
        <v>45364.523961979168</v>
      </c>
      <c r="C102" t="s">
        <v>13</v>
      </c>
      <c r="D102" t="s">
        <v>1372</v>
      </c>
      <c r="E102">
        <v>250</v>
      </c>
      <c r="F102" t="s">
        <v>5</v>
      </c>
    </row>
    <row r="103" spans="1:6" x14ac:dyDescent="0.35">
      <c r="A103" s="1">
        <v>45364</v>
      </c>
      <c r="B103" s="2">
        <v>45364.601861979165</v>
      </c>
      <c r="C103" t="s">
        <v>8</v>
      </c>
      <c r="D103" t="s">
        <v>108</v>
      </c>
      <c r="E103">
        <v>338</v>
      </c>
      <c r="F103" t="s">
        <v>36</v>
      </c>
    </row>
    <row r="104" spans="1:6" x14ac:dyDescent="0.35">
      <c r="A104" s="1">
        <v>45364</v>
      </c>
      <c r="B104" s="2">
        <v>45364.653035428244</v>
      </c>
      <c r="C104" t="s">
        <v>8</v>
      </c>
      <c r="D104" t="s">
        <v>109</v>
      </c>
      <c r="E104">
        <v>240</v>
      </c>
      <c r="F104" t="s">
        <v>5</v>
      </c>
    </row>
    <row r="105" spans="1:6" x14ac:dyDescent="0.35">
      <c r="A105" s="1">
        <v>45364</v>
      </c>
      <c r="B105" s="2">
        <v>45364.653708611113</v>
      </c>
      <c r="C105" t="s">
        <v>8</v>
      </c>
      <c r="D105" t="s">
        <v>109</v>
      </c>
      <c r="E105">
        <v>240</v>
      </c>
      <c r="F105" t="s">
        <v>5</v>
      </c>
    </row>
    <row r="106" spans="1:6" x14ac:dyDescent="0.35">
      <c r="A106" s="1">
        <v>45364</v>
      </c>
      <c r="B106" s="2">
        <v>45364.699414039351</v>
      </c>
      <c r="C106" t="s">
        <v>8</v>
      </c>
      <c r="D106" t="s">
        <v>110</v>
      </c>
      <c r="E106">
        <v>240</v>
      </c>
      <c r="F106" t="s">
        <v>5</v>
      </c>
    </row>
    <row r="107" spans="1:6" x14ac:dyDescent="0.35">
      <c r="A107" s="1">
        <v>45365</v>
      </c>
      <c r="B107" s="2">
        <v>45365.418197233797</v>
      </c>
      <c r="C107" t="s">
        <v>13</v>
      </c>
      <c r="D107" t="s">
        <v>1372</v>
      </c>
      <c r="E107">
        <v>400</v>
      </c>
      <c r="F107" t="s">
        <v>32</v>
      </c>
    </row>
    <row r="108" spans="1:6" x14ac:dyDescent="0.35">
      <c r="A108" s="1">
        <v>45365</v>
      </c>
      <c r="B108" s="2">
        <v>45365.436493252317</v>
      </c>
      <c r="C108" t="s">
        <v>8</v>
      </c>
      <c r="D108" t="s">
        <v>111</v>
      </c>
      <c r="E108">
        <v>387</v>
      </c>
      <c r="F108" t="s">
        <v>32</v>
      </c>
    </row>
    <row r="109" spans="1:6" x14ac:dyDescent="0.35">
      <c r="A109" s="1">
        <v>45365</v>
      </c>
      <c r="B109" s="2">
        <v>45365.437202349538</v>
      </c>
      <c r="C109" t="s">
        <v>8</v>
      </c>
      <c r="D109" t="s">
        <v>111</v>
      </c>
      <c r="E109">
        <v>387</v>
      </c>
      <c r="F109" t="s">
        <v>15</v>
      </c>
    </row>
    <row r="110" spans="1:6" x14ac:dyDescent="0.35">
      <c r="A110" s="1">
        <v>45365</v>
      </c>
      <c r="B110" s="2">
        <v>45365.560758518521</v>
      </c>
      <c r="C110" t="s">
        <v>8</v>
      </c>
      <c r="D110" t="s">
        <v>43</v>
      </c>
      <c r="E110">
        <v>289</v>
      </c>
      <c r="F110" t="s">
        <v>20</v>
      </c>
    </row>
    <row r="111" spans="1:6" x14ac:dyDescent="0.35">
      <c r="A111" s="1">
        <v>45365</v>
      </c>
      <c r="B111" s="2">
        <v>45365.561394988428</v>
      </c>
      <c r="C111" t="s">
        <v>8</v>
      </c>
      <c r="D111" t="s">
        <v>43</v>
      </c>
      <c r="E111">
        <v>289</v>
      </c>
      <c r="F111" t="s">
        <v>28</v>
      </c>
    </row>
    <row r="112" spans="1:6" x14ac:dyDescent="0.35">
      <c r="A112" s="1">
        <v>45365</v>
      </c>
      <c r="B112" s="2">
        <v>45365.577776678241</v>
      </c>
      <c r="C112" t="s">
        <v>8</v>
      </c>
      <c r="D112" t="s">
        <v>112</v>
      </c>
      <c r="E112">
        <v>338</v>
      </c>
      <c r="F112" t="s">
        <v>36</v>
      </c>
    </row>
    <row r="113" spans="1:6" x14ac:dyDescent="0.35">
      <c r="A113" s="1">
        <v>45365</v>
      </c>
      <c r="B113" s="2">
        <v>45365.578428796296</v>
      </c>
      <c r="C113" t="s">
        <v>8</v>
      </c>
      <c r="D113" t="s">
        <v>113</v>
      </c>
      <c r="E113">
        <v>240</v>
      </c>
      <c r="F113" t="s">
        <v>5</v>
      </c>
    </row>
    <row r="114" spans="1:6" x14ac:dyDescent="0.35">
      <c r="A114" s="1">
        <v>45365</v>
      </c>
      <c r="B114" s="2">
        <v>45365.639332951388</v>
      </c>
      <c r="C114" t="s">
        <v>8</v>
      </c>
      <c r="D114" t="s">
        <v>114</v>
      </c>
      <c r="E114">
        <v>387</v>
      </c>
      <c r="F114" t="s">
        <v>32</v>
      </c>
    </row>
    <row r="115" spans="1:6" x14ac:dyDescent="0.35">
      <c r="A115" s="1">
        <v>45365</v>
      </c>
      <c r="B115" s="2">
        <v>45365.669554467589</v>
      </c>
      <c r="C115" t="s">
        <v>8</v>
      </c>
      <c r="D115" t="s">
        <v>115</v>
      </c>
      <c r="E115">
        <v>338</v>
      </c>
      <c r="F115" t="s">
        <v>36</v>
      </c>
    </row>
    <row r="116" spans="1:6" x14ac:dyDescent="0.35">
      <c r="A116" s="1">
        <v>45365</v>
      </c>
      <c r="B116" s="2">
        <v>45365.704608819447</v>
      </c>
      <c r="C116" t="s">
        <v>8</v>
      </c>
      <c r="D116" t="s">
        <v>106</v>
      </c>
      <c r="E116">
        <v>240</v>
      </c>
      <c r="F116" t="s">
        <v>5</v>
      </c>
    </row>
    <row r="117" spans="1:6" x14ac:dyDescent="0.35">
      <c r="A117" s="1">
        <v>45365</v>
      </c>
      <c r="B117" s="2">
        <v>45365.790924236113</v>
      </c>
      <c r="C117" t="s">
        <v>8</v>
      </c>
      <c r="D117" t="s">
        <v>76</v>
      </c>
      <c r="E117">
        <v>387</v>
      </c>
      <c r="F117" t="s">
        <v>15</v>
      </c>
    </row>
    <row r="118" spans="1:6" x14ac:dyDescent="0.35">
      <c r="A118" s="1">
        <v>45365</v>
      </c>
      <c r="B118" s="2">
        <v>45365.791766932867</v>
      </c>
      <c r="C118" t="s">
        <v>8</v>
      </c>
      <c r="D118" t="s">
        <v>43</v>
      </c>
      <c r="E118">
        <v>289</v>
      </c>
      <c r="F118" t="s">
        <v>20</v>
      </c>
    </row>
    <row r="119" spans="1:6" x14ac:dyDescent="0.35">
      <c r="A119" s="1">
        <v>45366</v>
      </c>
      <c r="B119" s="2">
        <v>45366.418246909721</v>
      </c>
      <c r="C119" t="s">
        <v>13</v>
      </c>
      <c r="D119" t="s">
        <v>1372</v>
      </c>
      <c r="E119">
        <v>400</v>
      </c>
      <c r="F119" t="s">
        <v>32</v>
      </c>
    </row>
    <row r="120" spans="1:6" x14ac:dyDescent="0.35">
      <c r="A120" s="1">
        <v>45366</v>
      </c>
      <c r="B120" s="2">
        <v>45366.453497453702</v>
      </c>
      <c r="C120" t="s">
        <v>8</v>
      </c>
      <c r="D120" t="s">
        <v>116</v>
      </c>
      <c r="E120">
        <v>387</v>
      </c>
      <c r="F120" t="s">
        <v>15</v>
      </c>
    </row>
    <row r="121" spans="1:6" x14ac:dyDescent="0.35">
      <c r="A121" s="1">
        <v>45366</v>
      </c>
      <c r="B121" s="2">
        <v>45366.763517615742</v>
      </c>
      <c r="C121" t="s">
        <v>8</v>
      </c>
      <c r="D121" t="s">
        <v>43</v>
      </c>
      <c r="E121">
        <v>289</v>
      </c>
      <c r="F121" t="s">
        <v>28</v>
      </c>
    </row>
    <row r="122" spans="1:6" x14ac:dyDescent="0.35">
      <c r="A122" s="1">
        <v>45367</v>
      </c>
      <c r="B122" s="2">
        <v>45367.504805659722</v>
      </c>
      <c r="C122" t="s">
        <v>8</v>
      </c>
      <c r="D122" t="s">
        <v>117</v>
      </c>
      <c r="E122">
        <v>338</v>
      </c>
      <c r="F122" t="s">
        <v>36</v>
      </c>
    </row>
    <row r="123" spans="1:6" x14ac:dyDescent="0.35">
      <c r="A123" s="1">
        <v>45367</v>
      </c>
      <c r="B123" s="2">
        <v>45367.505485127316</v>
      </c>
      <c r="C123" t="s">
        <v>8</v>
      </c>
      <c r="D123" t="s">
        <v>117</v>
      </c>
      <c r="E123">
        <v>289</v>
      </c>
      <c r="F123" t="s">
        <v>28</v>
      </c>
    </row>
    <row r="124" spans="1:6" x14ac:dyDescent="0.35">
      <c r="A124" s="1">
        <v>45367</v>
      </c>
      <c r="B124" s="2">
        <v>45367.665491412037</v>
      </c>
      <c r="C124" t="s">
        <v>8</v>
      </c>
      <c r="D124" t="s">
        <v>25</v>
      </c>
      <c r="E124">
        <v>289</v>
      </c>
      <c r="F124" t="s">
        <v>20</v>
      </c>
    </row>
    <row r="125" spans="1:6" x14ac:dyDescent="0.35">
      <c r="A125" s="1">
        <v>45367</v>
      </c>
      <c r="B125" s="2">
        <v>45367.66900159722</v>
      </c>
      <c r="C125" t="s">
        <v>8</v>
      </c>
      <c r="D125" t="s">
        <v>25</v>
      </c>
      <c r="E125">
        <v>289</v>
      </c>
      <c r="F125" t="s">
        <v>20</v>
      </c>
    </row>
    <row r="126" spans="1:6" x14ac:dyDescent="0.35">
      <c r="A126" s="1">
        <v>45367</v>
      </c>
      <c r="B126" s="2">
        <v>45367.669576898152</v>
      </c>
      <c r="C126" t="s">
        <v>8</v>
      </c>
      <c r="D126" t="s">
        <v>43</v>
      </c>
      <c r="E126">
        <v>289</v>
      </c>
      <c r="F126" t="s">
        <v>20</v>
      </c>
    </row>
    <row r="127" spans="1:6" x14ac:dyDescent="0.35">
      <c r="A127" s="1">
        <v>45367</v>
      </c>
      <c r="B127" s="2">
        <v>45367.748694918984</v>
      </c>
      <c r="C127" t="s">
        <v>8</v>
      </c>
      <c r="D127" t="s">
        <v>118</v>
      </c>
      <c r="E127">
        <v>338</v>
      </c>
      <c r="F127" t="s">
        <v>36</v>
      </c>
    </row>
    <row r="128" spans="1:6" x14ac:dyDescent="0.35">
      <c r="A128" s="1">
        <v>45368</v>
      </c>
      <c r="B128" s="2">
        <v>45368.423858784721</v>
      </c>
      <c r="C128" t="s">
        <v>13</v>
      </c>
      <c r="D128" t="s">
        <v>1372</v>
      </c>
      <c r="E128">
        <v>400</v>
      </c>
      <c r="F128" t="s">
        <v>32</v>
      </c>
    </row>
    <row r="129" spans="1:6" x14ac:dyDescent="0.35">
      <c r="A129" s="1">
        <v>45368</v>
      </c>
      <c r="B129" s="2">
        <v>45368.538496122688</v>
      </c>
      <c r="C129" t="s">
        <v>8</v>
      </c>
      <c r="D129" t="s">
        <v>119</v>
      </c>
      <c r="E129">
        <v>289</v>
      </c>
      <c r="F129" t="s">
        <v>20</v>
      </c>
    </row>
    <row r="130" spans="1:6" x14ac:dyDescent="0.35">
      <c r="A130" s="1">
        <v>45369</v>
      </c>
      <c r="B130" s="2">
        <v>45369.47082952546</v>
      </c>
      <c r="C130" t="s">
        <v>8</v>
      </c>
      <c r="D130" t="s">
        <v>120</v>
      </c>
      <c r="E130">
        <v>289</v>
      </c>
      <c r="F130" t="s">
        <v>20</v>
      </c>
    </row>
    <row r="131" spans="1:6" x14ac:dyDescent="0.35">
      <c r="A131" s="1">
        <v>45369</v>
      </c>
      <c r="B131" s="2">
        <v>45369.64698755787</v>
      </c>
      <c r="C131" t="s">
        <v>8</v>
      </c>
      <c r="D131" t="s">
        <v>62</v>
      </c>
      <c r="E131">
        <v>289</v>
      </c>
      <c r="F131" t="s">
        <v>28</v>
      </c>
    </row>
    <row r="132" spans="1:6" x14ac:dyDescent="0.35">
      <c r="A132" s="1">
        <v>45369</v>
      </c>
      <c r="B132" s="2">
        <v>45369.64766480324</v>
      </c>
      <c r="C132" t="s">
        <v>8</v>
      </c>
      <c r="D132" t="s">
        <v>62</v>
      </c>
      <c r="E132">
        <v>289</v>
      </c>
      <c r="F132" t="s">
        <v>28</v>
      </c>
    </row>
    <row r="133" spans="1:6" x14ac:dyDescent="0.35">
      <c r="A133" s="1">
        <v>45369</v>
      </c>
      <c r="B133" s="2">
        <v>45369.648341527776</v>
      </c>
      <c r="C133" t="s">
        <v>8</v>
      </c>
      <c r="D133" t="s">
        <v>62</v>
      </c>
      <c r="E133">
        <v>289</v>
      </c>
      <c r="F133" t="s">
        <v>28</v>
      </c>
    </row>
    <row r="134" spans="1:6" x14ac:dyDescent="0.35">
      <c r="A134" s="1">
        <v>45370</v>
      </c>
      <c r="B134" s="2">
        <v>45370.430856435189</v>
      </c>
      <c r="C134" t="s">
        <v>13</v>
      </c>
      <c r="D134" t="s">
        <v>1372</v>
      </c>
      <c r="E134">
        <v>300</v>
      </c>
      <c r="F134" t="s">
        <v>20</v>
      </c>
    </row>
    <row r="135" spans="1:6" x14ac:dyDescent="0.35">
      <c r="A135" s="1">
        <v>45370</v>
      </c>
      <c r="B135" s="2">
        <v>45370.584971481483</v>
      </c>
      <c r="C135" t="s">
        <v>8</v>
      </c>
      <c r="D135" t="s">
        <v>121</v>
      </c>
      <c r="E135">
        <v>387</v>
      </c>
      <c r="F135" t="s">
        <v>32</v>
      </c>
    </row>
    <row r="136" spans="1:6" x14ac:dyDescent="0.35">
      <c r="A136" s="1">
        <v>45370</v>
      </c>
      <c r="B136" s="2">
        <v>45370.58564542824</v>
      </c>
      <c r="C136" t="s">
        <v>8</v>
      </c>
      <c r="D136" t="s">
        <v>121</v>
      </c>
      <c r="E136">
        <v>387</v>
      </c>
      <c r="F136" t="s">
        <v>32</v>
      </c>
    </row>
    <row r="137" spans="1:6" x14ac:dyDescent="0.35">
      <c r="A137" s="1">
        <v>45370</v>
      </c>
      <c r="B137" s="2">
        <v>45370.628198020837</v>
      </c>
      <c r="C137" t="s">
        <v>8</v>
      </c>
      <c r="D137" t="s">
        <v>105</v>
      </c>
      <c r="E137">
        <v>387</v>
      </c>
      <c r="F137" t="s">
        <v>15</v>
      </c>
    </row>
    <row r="138" spans="1:6" x14ac:dyDescent="0.35">
      <c r="A138" s="1">
        <v>45370</v>
      </c>
      <c r="B138" s="2">
        <v>45370.704035949071</v>
      </c>
      <c r="C138" t="s">
        <v>8</v>
      </c>
      <c r="D138" t="s">
        <v>122</v>
      </c>
      <c r="E138">
        <v>338</v>
      </c>
      <c r="F138" t="s">
        <v>36</v>
      </c>
    </row>
    <row r="139" spans="1:6" x14ac:dyDescent="0.35">
      <c r="A139" s="1">
        <v>45370</v>
      </c>
      <c r="B139" s="2">
        <v>45370.810100428243</v>
      </c>
      <c r="C139" t="s">
        <v>13</v>
      </c>
      <c r="D139" t="s">
        <v>1372</v>
      </c>
      <c r="E139">
        <v>400</v>
      </c>
      <c r="F139" t="s">
        <v>15</v>
      </c>
    </row>
    <row r="140" spans="1:6" x14ac:dyDescent="0.35">
      <c r="A140" s="1">
        <v>45371</v>
      </c>
      <c r="B140" s="2">
        <v>45371.486995405096</v>
      </c>
      <c r="C140" t="s">
        <v>8</v>
      </c>
      <c r="D140" t="s">
        <v>43</v>
      </c>
      <c r="E140">
        <v>289</v>
      </c>
      <c r="F140" t="s">
        <v>20</v>
      </c>
    </row>
    <row r="141" spans="1:6" x14ac:dyDescent="0.35">
      <c r="A141" s="1">
        <v>45371</v>
      </c>
      <c r="B141" s="2">
        <v>45371.514672777776</v>
      </c>
      <c r="C141" t="s">
        <v>13</v>
      </c>
      <c r="D141" t="s">
        <v>1372</v>
      </c>
      <c r="E141">
        <v>400</v>
      </c>
      <c r="F141" t="s">
        <v>32</v>
      </c>
    </row>
    <row r="142" spans="1:6" x14ac:dyDescent="0.35">
      <c r="A142" s="1">
        <v>45371</v>
      </c>
      <c r="B142" s="2">
        <v>45371.521400092592</v>
      </c>
      <c r="C142" t="s">
        <v>8</v>
      </c>
      <c r="D142" t="s">
        <v>105</v>
      </c>
      <c r="E142">
        <v>289</v>
      </c>
      <c r="F142" t="s">
        <v>20</v>
      </c>
    </row>
    <row r="143" spans="1:6" x14ac:dyDescent="0.35">
      <c r="A143" s="1">
        <v>45371</v>
      </c>
      <c r="B143" s="2">
        <v>45371.553326319445</v>
      </c>
      <c r="C143" t="s">
        <v>8</v>
      </c>
      <c r="D143" t="s">
        <v>123</v>
      </c>
      <c r="E143">
        <v>387</v>
      </c>
      <c r="F143" t="s">
        <v>24</v>
      </c>
    </row>
    <row r="144" spans="1:6" x14ac:dyDescent="0.35">
      <c r="A144" s="1">
        <v>45371</v>
      </c>
      <c r="B144" s="2">
        <v>45371.696274502312</v>
      </c>
      <c r="C144" t="s">
        <v>8</v>
      </c>
      <c r="D144" t="s">
        <v>106</v>
      </c>
      <c r="E144">
        <v>387</v>
      </c>
      <c r="F144" t="s">
        <v>10</v>
      </c>
    </row>
    <row r="145" spans="1:6" x14ac:dyDescent="0.35">
      <c r="A145" s="1">
        <v>45371</v>
      </c>
      <c r="B145" s="2">
        <v>45371.743388668983</v>
      </c>
      <c r="C145" t="s">
        <v>8</v>
      </c>
      <c r="D145" t="s">
        <v>124</v>
      </c>
      <c r="E145">
        <v>387</v>
      </c>
      <c r="F145" t="s">
        <v>32</v>
      </c>
    </row>
    <row r="146" spans="1:6" x14ac:dyDescent="0.35">
      <c r="A146" s="1">
        <v>45372</v>
      </c>
      <c r="B146" s="2">
        <v>45372.429826122687</v>
      </c>
      <c r="C146" t="s">
        <v>13</v>
      </c>
      <c r="D146" t="s">
        <v>1372</v>
      </c>
      <c r="E146">
        <v>400</v>
      </c>
      <c r="F146" t="s">
        <v>24</v>
      </c>
    </row>
    <row r="147" spans="1:6" x14ac:dyDescent="0.35">
      <c r="A147" s="1">
        <v>45372</v>
      </c>
      <c r="B147" s="2">
        <v>45372.517467523146</v>
      </c>
      <c r="C147" t="s">
        <v>8</v>
      </c>
      <c r="D147" t="s">
        <v>43</v>
      </c>
      <c r="E147">
        <v>289</v>
      </c>
      <c r="F147" t="s">
        <v>20</v>
      </c>
    </row>
    <row r="148" spans="1:6" x14ac:dyDescent="0.35">
      <c r="A148" s="1">
        <v>45372</v>
      </c>
      <c r="B148" s="2">
        <v>45372.518257268515</v>
      </c>
      <c r="C148" t="s">
        <v>8</v>
      </c>
      <c r="D148" t="s">
        <v>43</v>
      </c>
      <c r="E148">
        <v>387</v>
      </c>
      <c r="F148" t="s">
        <v>24</v>
      </c>
    </row>
    <row r="149" spans="1:6" x14ac:dyDescent="0.35">
      <c r="A149" s="1">
        <v>45372</v>
      </c>
      <c r="B149" s="2">
        <v>45372.722933483798</v>
      </c>
      <c r="C149" t="s">
        <v>13</v>
      </c>
      <c r="D149" t="s">
        <v>1372</v>
      </c>
      <c r="E149">
        <v>300</v>
      </c>
      <c r="F149" t="s">
        <v>28</v>
      </c>
    </row>
    <row r="150" spans="1:6" x14ac:dyDescent="0.35">
      <c r="A150" s="1">
        <v>45372</v>
      </c>
      <c r="B150" s="2">
        <v>45372.723626770836</v>
      </c>
      <c r="C150" t="s">
        <v>8</v>
      </c>
      <c r="D150" t="s">
        <v>43</v>
      </c>
      <c r="E150">
        <v>289</v>
      </c>
      <c r="F150" t="s">
        <v>20</v>
      </c>
    </row>
    <row r="151" spans="1:6" x14ac:dyDescent="0.35">
      <c r="A151" s="1">
        <v>45372</v>
      </c>
      <c r="B151" s="2">
        <v>45372.805978101853</v>
      </c>
      <c r="C151" t="s">
        <v>8</v>
      </c>
      <c r="D151" t="s">
        <v>125</v>
      </c>
      <c r="E151">
        <v>387</v>
      </c>
      <c r="F151" t="s">
        <v>32</v>
      </c>
    </row>
    <row r="152" spans="1:6" x14ac:dyDescent="0.35">
      <c r="A152" s="1">
        <v>45373</v>
      </c>
      <c r="B152" s="2">
        <v>45373.441592812502</v>
      </c>
      <c r="C152" t="s">
        <v>8</v>
      </c>
      <c r="D152" t="s">
        <v>126</v>
      </c>
      <c r="E152">
        <v>338</v>
      </c>
      <c r="F152" t="s">
        <v>36</v>
      </c>
    </row>
    <row r="153" spans="1:6" x14ac:dyDescent="0.35">
      <c r="A153" s="1">
        <v>45373</v>
      </c>
      <c r="B153" s="2">
        <v>45373.562041006946</v>
      </c>
      <c r="C153" t="s">
        <v>8</v>
      </c>
      <c r="D153" t="s">
        <v>127</v>
      </c>
      <c r="E153">
        <v>338</v>
      </c>
      <c r="F153" t="s">
        <v>36</v>
      </c>
    </row>
    <row r="154" spans="1:6" x14ac:dyDescent="0.35">
      <c r="A154" s="1">
        <v>45373</v>
      </c>
      <c r="B154" s="2">
        <v>45373.677250555556</v>
      </c>
      <c r="C154" t="s">
        <v>13</v>
      </c>
      <c r="D154" t="s">
        <v>1372</v>
      </c>
      <c r="E154">
        <v>400</v>
      </c>
      <c r="F154" t="s">
        <v>24</v>
      </c>
    </row>
    <row r="155" spans="1:6" x14ac:dyDescent="0.35">
      <c r="A155" s="1">
        <v>45373</v>
      </c>
      <c r="B155" s="2">
        <v>45373.720181990742</v>
      </c>
      <c r="C155" t="s">
        <v>8</v>
      </c>
      <c r="D155" t="s">
        <v>43</v>
      </c>
      <c r="E155">
        <v>289</v>
      </c>
      <c r="F155" t="s">
        <v>28</v>
      </c>
    </row>
    <row r="156" spans="1:6" x14ac:dyDescent="0.35">
      <c r="A156" s="1">
        <v>45373</v>
      </c>
      <c r="B156" s="2">
        <v>45373.720821655093</v>
      </c>
      <c r="C156" t="s">
        <v>8</v>
      </c>
      <c r="D156" t="s">
        <v>43</v>
      </c>
      <c r="E156">
        <v>240</v>
      </c>
      <c r="F156" t="s">
        <v>5</v>
      </c>
    </row>
    <row r="157" spans="1:6" x14ac:dyDescent="0.35">
      <c r="A157" s="1">
        <v>45373</v>
      </c>
      <c r="B157" s="2">
        <v>45373.722795023146</v>
      </c>
      <c r="C157" t="s">
        <v>8</v>
      </c>
      <c r="D157" t="s">
        <v>106</v>
      </c>
      <c r="E157">
        <v>289</v>
      </c>
      <c r="F157" t="s">
        <v>28</v>
      </c>
    </row>
    <row r="158" spans="1:6" x14ac:dyDescent="0.35">
      <c r="A158" s="1">
        <v>45374</v>
      </c>
      <c r="B158" s="2">
        <v>45374.447217118053</v>
      </c>
      <c r="C158" t="s">
        <v>8</v>
      </c>
      <c r="D158" t="s">
        <v>128</v>
      </c>
      <c r="E158">
        <v>387</v>
      </c>
      <c r="F158" t="s">
        <v>32</v>
      </c>
    </row>
    <row r="159" spans="1:6" x14ac:dyDescent="0.35">
      <c r="A159" s="1">
        <v>45374</v>
      </c>
      <c r="B159" s="2">
        <v>45374.447999502314</v>
      </c>
      <c r="C159" t="s">
        <v>8</v>
      </c>
      <c r="D159" t="s">
        <v>129</v>
      </c>
      <c r="E159">
        <v>338</v>
      </c>
      <c r="F159" t="s">
        <v>36</v>
      </c>
    </row>
    <row r="160" spans="1:6" x14ac:dyDescent="0.35">
      <c r="A160" s="1">
        <v>45374</v>
      </c>
      <c r="B160" s="2">
        <v>45374.548699780091</v>
      </c>
      <c r="C160" t="s">
        <v>8</v>
      </c>
      <c r="D160" t="s">
        <v>130</v>
      </c>
      <c r="E160">
        <v>387</v>
      </c>
      <c r="F160" t="s">
        <v>24</v>
      </c>
    </row>
    <row r="161" spans="1:6" x14ac:dyDescent="0.35">
      <c r="A161" s="1">
        <v>45374</v>
      </c>
      <c r="B161" s="2">
        <v>45374.549447106481</v>
      </c>
      <c r="C161" t="s">
        <v>8</v>
      </c>
      <c r="D161" t="s">
        <v>130</v>
      </c>
      <c r="E161">
        <v>387</v>
      </c>
      <c r="F161" t="s">
        <v>10</v>
      </c>
    </row>
    <row r="162" spans="1:6" x14ac:dyDescent="0.35">
      <c r="A162" s="1">
        <v>45374</v>
      </c>
      <c r="B162" s="2">
        <v>45374.614366620372</v>
      </c>
      <c r="C162" t="s">
        <v>8</v>
      </c>
      <c r="D162" t="s">
        <v>131</v>
      </c>
      <c r="E162">
        <v>338</v>
      </c>
      <c r="F162" t="s">
        <v>36</v>
      </c>
    </row>
    <row r="163" spans="1:6" x14ac:dyDescent="0.35">
      <c r="A163" s="1">
        <v>45374</v>
      </c>
      <c r="B163" s="2">
        <v>45374.657859513885</v>
      </c>
      <c r="C163" t="s">
        <v>8</v>
      </c>
      <c r="D163" t="s">
        <v>132</v>
      </c>
      <c r="E163">
        <v>387</v>
      </c>
      <c r="F163" t="s">
        <v>32</v>
      </c>
    </row>
    <row r="164" spans="1:6" x14ac:dyDescent="0.35">
      <c r="A164" s="1">
        <v>45374</v>
      </c>
      <c r="B164" s="2">
        <v>45374.659419131945</v>
      </c>
      <c r="C164" t="s">
        <v>8</v>
      </c>
      <c r="D164" t="s">
        <v>132</v>
      </c>
      <c r="E164">
        <v>338</v>
      </c>
      <c r="F164" t="s">
        <v>36</v>
      </c>
    </row>
    <row r="165" spans="1:6" x14ac:dyDescent="0.35">
      <c r="A165" s="1">
        <v>45374</v>
      </c>
      <c r="B165" s="2">
        <v>45374.667342430555</v>
      </c>
      <c r="C165" t="s">
        <v>8</v>
      </c>
      <c r="D165" t="s">
        <v>25</v>
      </c>
      <c r="E165">
        <v>289</v>
      </c>
      <c r="F165" t="s">
        <v>20</v>
      </c>
    </row>
    <row r="166" spans="1:6" x14ac:dyDescent="0.35">
      <c r="A166" s="1">
        <v>45375</v>
      </c>
      <c r="B166" s="2">
        <v>45375.419398206017</v>
      </c>
      <c r="C166" t="s">
        <v>13</v>
      </c>
      <c r="D166" t="s">
        <v>1372</v>
      </c>
      <c r="E166">
        <v>400</v>
      </c>
      <c r="F166" t="s">
        <v>32</v>
      </c>
    </row>
    <row r="167" spans="1:6" x14ac:dyDescent="0.35">
      <c r="A167" s="1">
        <v>45375</v>
      </c>
      <c r="B167" s="2">
        <v>45375.781347187498</v>
      </c>
      <c r="C167" t="s">
        <v>8</v>
      </c>
      <c r="D167" t="s">
        <v>133</v>
      </c>
      <c r="E167">
        <v>387</v>
      </c>
      <c r="F167" t="s">
        <v>32</v>
      </c>
    </row>
    <row r="168" spans="1:6" x14ac:dyDescent="0.35">
      <c r="A168" s="1">
        <v>45376</v>
      </c>
      <c r="B168" s="2">
        <v>45376.438741319442</v>
      </c>
      <c r="C168" t="s">
        <v>8</v>
      </c>
      <c r="D168" t="s">
        <v>25</v>
      </c>
      <c r="E168">
        <v>387</v>
      </c>
      <c r="F168" t="s">
        <v>32</v>
      </c>
    </row>
    <row r="169" spans="1:6" x14ac:dyDescent="0.35">
      <c r="A169" s="1">
        <v>45376</v>
      </c>
      <c r="B169" s="2">
        <v>45376.469741562498</v>
      </c>
      <c r="C169" t="s">
        <v>13</v>
      </c>
      <c r="D169" t="s">
        <v>1372</v>
      </c>
      <c r="E169">
        <v>350</v>
      </c>
      <c r="F169" t="s">
        <v>36</v>
      </c>
    </row>
    <row r="170" spans="1:6" x14ac:dyDescent="0.35">
      <c r="A170" s="1">
        <v>45376</v>
      </c>
      <c r="B170" s="2">
        <v>45376.602189386576</v>
      </c>
      <c r="C170" t="s">
        <v>8</v>
      </c>
      <c r="D170" t="s">
        <v>134</v>
      </c>
      <c r="E170">
        <v>387</v>
      </c>
      <c r="F170" t="s">
        <v>32</v>
      </c>
    </row>
    <row r="171" spans="1:6" x14ac:dyDescent="0.35">
      <c r="A171" s="1">
        <v>45376</v>
      </c>
      <c r="B171" s="2">
        <v>45376.60376554398</v>
      </c>
      <c r="C171" t="s">
        <v>8</v>
      </c>
      <c r="D171" t="s">
        <v>74</v>
      </c>
      <c r="E171">
        <v>387</v>
      </c>
      <c r="F171" t="s">
        <v>32</v>
      </c>
    </row>
    <row r="172" spans="1:6" x14ac:dyDescent="0.35">
      <c r="A172" s="1">
        <v>45376</v>
      </c>
      <c r="B172" s="2">
        <v>45376.776049189815</v>
      </c>
      <c r="C172" t="s">
        <v>8</v>
      </c>
      <c r="D172" t="s">
        <v>81</v>
      </c>
      <c r="E172">
        <v>338</v>
      </c>
      <c r="F172" t="s">
        <v>36</v>
      </c>
    </row>
    <row r="173" spans="1:6" x14ac:dyDescent="0.35">
      <c r="A173" s="1">
        <v>45376</v>
      </c>
      <c r="B173" s="2">
        <v>45376.815561828706</v>
      </c>
      <c r="C173" t="s">
        <v>8</v>
      </c>
      <c r="D173" t="s">
        <v>135</v>
      </c>
      <c r="E173">
        <v>387</v>
      </c>
      <c r="F173" t="s">
        <v>24</v>
      </c>
    </row>
    <row r="174" spans="1:6" x14ac:dyDescent="0.35">
      <c r="A174" s="1">
        <v>45377</v>
      </c>
      <c r="B174" s="2">
        <v>45377.441547210648</v>
      </c>
      <c r="C174" t="s">
        <v>8</v>
      </c>
      <c r="D174" t="s">
        <v>111</v>
      </c>
      <c r="E174">
        <v>387</v>
      </c>
      <c r="F174" t="s">
        <v>10</v>
      </c>
    </row>
    <row r="175" spans="1:6" x14ac:dyDescent="0.35">
      <c r="A175" s="1">
        <v>45377</v>
      </c>
      <c r="B175" s="2">
        <v>45377.44208508102</v>
      </c>
      <c r="C175" t="s">
        <v>8</v>
      </c>
      <c r="D175" t="s">
        <v>111</v>
      </c>
      <c r="E175">
        <v>387</v>
      </c>
      <c r="F175" t="s">
        <v>32</v>
      </c>
    </row>
    <row r="176" spans="1:6" x14ac:dyDescent="0.35">
      <c r="A176" s="1">
        <v>45377</v>
      </c>
      <c r="B176" s="2">
        <v>45377.446182523148</v>
      </c>
      <c r="C176" t="s">
        <v>8</v>
      </c>
      <c r="D176" t="s">
        <v>136</v>
      </c>
      <c r="E176">
        <v>387</v>
      </c>
      <c r="F176" t="s">
        <v>32</v>
      </c>
    </row>
    <row r="177" spans="1:6" x14ac:dyDescent="0.35">
      <c r="A177" s="1">
        <v>45377</v>
      </c>
      <c r="B177" s="2">
        <v>45377.46652008102</v>
      </c>
      <c r="C177" t="s">
        <v>8</v>
      </c>
      <c r="D177" t="s">
        <v>25</v>
      </c>
      <c r="E177">
        <v>289</v>
      </c>
      <c r="F177" t="s">
        <v>20</v>
      </c>
    </row>
    <row r="178" spans="1:6" x14ac:dyDescent="0.35">
      <c r="A178" s="1">
        <v>45377</v>
      </c>
      <c r="B178" s="2">
        <v>45377.566583020831</v>
      </c>
      <c r="C178" t="s">
        <v>8</v>
      </c>
      <c r="D178" t="s">
        <v>62</v>
      </c>
      <c r="E178">
        <v>289</v>
      </c>
      <c r="F178" t="s">
        <v>28</v>
      </c>
    </row>
    <row r="179" spans="1:6" x14ac:dyDescent="0.35">
      <c r="A179" s="1">
        <v>45377</v>
      </c>
      <c r="B179" s="2">
        <v>45377.567241249999</v>
      </c>
      <c r="C179" t="s">
        <v>8</v>
      </c>
      <c r="D179" t="s">
        <v>89</v>
      </c>
      <c r="E179">
        <v>289</v>
      </c>
      <c r="F179" t="s">
        <v>20</v>
      </c>
    </row>
    <row r="180" spans="1:6" x14ac:dyDescent="0.35">
      <c r="A180" s="1">
        <v>45377</v>
      </c>
      <c r="B180" s="2">
        <v>45377.568052349539</v>
      </c>
      <c r="C180" t="s">
        <v>8</v>
      </c>
      <c r="D180" t="s">
        <v>115</v>
      </c>
      <c r="E180">
        <v>289</v>
      </c>
      <c r="F180" t="s">
        <v>20</v>
      </c>
    </row>
    <row r="181" spans="1:6" x14ac:dyDescent="0.35">
      <c r="A181" s="1">
        <v>45377</v>
      </c>
      <c r="B181" s="2">
        <v>45377.581871261573</v>
      </c>
      <c r="C181" t="s">
        <v>8</v>
      </c>
      <c r="D181" t="s">
        <v>106</v>
      </c>
      <c r="E181">
        <v>289</v>
      </c>
      <c r="F181" t="s">
        <v>28</v>
      </c>
    </row>
    <row r="182" spans="1:6" x14ac:dyDescent="0.35">
      <c r="A182" s="1">
        <v>45377</v>
      </c>
      <c r="B182" s="2">
        <v>45377.658359606481</v>
      </c>
      <c r="C182" t="s">
        <v>8</v>
      </c>
      <c r="D182" t="s">
        <v>137</v>
      </c>
      <c r="E182">
        <v>387</v>
      </c>
      <c r="F182" t="s">
        <v>32</v>
      </c>
    </row>
    <row r="183" spans="1:6" x14ac:dyDescent="0.35">
      <c r="A183" s="1">
        <v>45377</v>
      </c>
      <c r="B183" s="2">
        <v>45377.773363055552</v>
      </c>
      <c r="C183" t="s">
        <v>8</v>
      </c>
      <c r="D183" t="s">
        <v>81</v>
      </c>
      <c r="E183">
        <v>387</v>
      </c>
      <c r="F183" t="s">
        <v>32</v>
      </c>
    </row>
    <row r="184" spans="1:6" x14ac:dyDescent="0.35">
      <c r="A184" s="1">
        <v>45377</v>
      </c>
      <c r="B184" s="2">
        <v>45377.774243611108</v>
      </c>
      <c r="C184" t="s">
        <v>8</v>
      </c>
      <c r="D184" t="s">
        <v>25</v>
      </c>
      <c r="E184">
        <v>387</v>
      </c>
      <c r="F184" t="s">
        <v>15</v>
      </c>
    </row>
    <row r="185" spans="1:6" x14ac:dyDescent="0.35">
      <c r="A185" s="1">
        <v>45378</v>
      </c>
      <c r="B185" s="2">
        <v>45378.461703402776</v>
      </c>
      <c r="C185" t="s">
        <v>8</v>
      </c>
      <c r="D185" t="s">
        <v>62</v>
      </c>
      <c r="E185">
        <v>289</v>
      </c>
      <c r="F185" t="s">
        <v>20</v>
      </c>
    </row>
    <row r="186" spans="1:6" x14ac:dyDescent="0.35">
      <c r="A186" s="1">
        <v>45378</v>
      </c>
      <c r="B186" s="2">
        <v>45378.462479583337</v>
      </c>
      <c r="C186" t="s">
        <v>8</v>
      </c>
      <c r="D186" t="s">
        <v>62</v>
      </c>
      <c r="E186">
        <v>338</v>
      </c>
      <c r="F186" t="s">
        <v>36</v>
      </c>
    </row>
    <row r="187" spans="1:6" x14ac:dyDescent="0.35">
      <c r="A187" s="1">
        <v>45378</v>
      </c>
      <c r="B187" s="2">
        <v>45378.539588680556</v>
      </c>
      <c r="C187" t="s">
        <v>8</v>
      </c>
      <c r="D187" t="s">
        <v>138</v>
      </c>
      <c r="E187">
        <v>338</v>
      </c>
      <c r="F187" t="s">
        <v>36</v>
      </c>
    </row>
    <row r="188" spans="1:6" x14ac:dyDescent="0.35">
      <c r="A188" s="1">
        <v>45378</v>
      </c>
      <c r="B188" s="2">
        <v>45378.56620415509</v>
      </c>
      <c r="C188" t="s">
        <v>8</v>
      </c>
      <c r="D188" t="s">
        <v>139</v>
      </c>
      <c r="E188">
        <v>387</v>
      </c>
      <c r="F188" t="s">
        <v>15</v>
      </c>
    </row>
    <row r="189" spans="1:6" x14ac:dyDescent="0.35">
      <c r="A189" s="1">
        <v>45378</v>
      </c>
      <c r="B189" s="2">
        <v>45378.598977569447</v>
      </c>
      <c r="C189" t="s">
        <v>8</v>
      </c>
      <c r="D189" t="s">
        <v>43</v>
      </c>
      <c r="E189">
        <v>387</v>
      </c>
      <c r="F189" t="s">
        <v>24</v>
      </c>
    </row>
    <row r="190" spans="1:6" x14ac:dyDescent="0.35">
      <c r="A190" s="1">
        <v>45378</v>
      </c>
      <c r="B190" s="2">
        <v>45378.599715046294</v>
      </c>
      <c r="C190" t="s">
        <v>8</v>
      </c>
      <c r="D190" t="s">
        <v>43</v>
      </c>
      <c r="E190">
        <v>289</v>
      </c>
      <c r="F190" t="s">
        <v>28</v>
      </c>
    </row>
    <row r="191" spans="1:6" x14ac:dyDescent="0.35">
      <c r="A191" s="1">
        <v>45378</v>
      </c>
      <c r="B191" s="2">
        <v>45378.770970289355</v>
      </c>
      <c r="C191" t="s">
        <v>8</v>
      </c>
      <c r="D191" t="s">
        <v>140</v>
      </c>
      <c r="E191">
        <v>289</v>
      </c>
      <c r="F191" t="s">
        <v>20</v>
      </c>
    </row>
    <row r="192" spans="1:6" x14ac:dyDescent="0.35">
      <c r="A192" s="1">
        <v>45378</v>
      </c>
      <c r="B192" s="2">
        <v>45378.813338449072</v>
      </c>
      <c r="C192" t="s">
        <v>13</v>
      </c>
      <c r="D192" t="s">
        <v>1372</v>
      </c>
      <c r="E192">
        <v>400</v>
      </c>
      <c r="F192" t="s">
        <v>32</v>
      </c>
    </row>
    <row r="193" spans="1:6" x14ac:dyDescent="0.35">
      <c r="A193" s="1">
        <v>45379</v>
      </c>
      <c r="B193" s="2">
        <v>45379.600545046298</v>
      </c>
      <c r="C193" t="s">
        <v>8</v>
      </c>
      <c r="D193" t="s">
        <v>141</v>
      </c>
      <c r="E193">
        <v>289</v>
      </c>
      <c r="F193" t="s">
        <v>20</v>
      </c>
    </row>
    <row r="194" spans="1:6" x14ac:dyDescent="0.35">
      <c r="A194" s="1">
        <v>45379</v>
      </c>
      <c r="B194" s="2">
        <v>45379.725535231482</v>
      </c>
      <c r="C194" t="s">
        <v>8</v>
      </c>
      <c r="D194" t="s">
        <v>43</v>
      </c>
      <c r="E194">
        <v>289</v>
      </c>
      <c r="F194" t="s">
        <v>20</v>
      </c>
    </row>
    <row r="195" spans="1:6" x14ac:dyDescent="0.35">
      <c r="A195" s="1">
        <v>45379</v>
      </c>
      <c r="B195" s="2">
        <v>45379.727144722223</v>
      </c>
      <c r="C195" t="s">
        <v>8</v>
      </c>
      <c r="D195" t="s">
        <v>43</v>
      </c>
      <c r="E195">
        <v>289</v>
      </c>
      <c r="F195" t="s">
        <v>28</v>
      </c>
    </row>
    <row r="196" spans="1:6" x14ac:dyDescent="0.35">
      <c r="A196" s="1">
        <v>45379</v>
      </c>
      <c r="B196" s="2">
        <v>45379.731072361108</v>
      </c>
      <c r="C196" t="s">
        <v>8</v>
      </c>
      <c r="D196" t="s">
        <v>142</v>
      </c>
      <c r="E196">
        <v>387</v>
      </c>
      <c r="F196" t="s">
        <v>32</v>
      </c>
    </row>
    <row r="197" spans="1:6" x14ac:dyDescent="0.35">
      <c r="A197" s="1">
        <v>45380</v>
      </c>
      <c r="B197" s="2">
        <v>45380.455781192133</v>
      </c>
      <c r="C197" t="s">
        <v>8</v>
      </c>
      <c r="D197" t="s">
        <v>143</v>
      </c>
      <c r="E197">
        <v>387</v>
      </c>
      <c r="F197" t="s">
        <v>32</v>
      </c>
    </row>
    <row r="198" spans="1:6" x14ac:dyDescent="0.35">
      <c r="A198" s="1">
        <v>45380</v>
      </c>
      <c r="B198" s="2">
        <v>45380.52381230324</v>
      </c>
      <c r="C198" t="s">
        <v>8</v>
      </c>
      <c r="D198" t="s">
        <v>144</v>
      </c>
      <c r="E198">
        <v>387</v>
      </c>
      <c r="F198" t="s">
        <v>24</v>
      </c>
    </row>
    <row r="199" spans="1:6" x14ac:dyDescent="0.35">
      <c r="A199" s="1">
        <v>45380</v>
      </c>
      <c r="B199" s="2">
        <v>45380.528844039349</v>
      </c>
      <c r="C199" t="s">
        <v>8</v>
      </c>
      <c r="D199" t="s">
        <v>144</v>
      </c>
      <c r="E199">
        <v>387</v>
      </c>
      <c r="F199" t="s">
        <v>24</v>
      </c>
    </row>
    <row r="200" spans="1:6" x14ac:dyDescent="0.35">
      <c r="A200" s="1">
        <v>45380</v>
      </c>
      <c r="B200" s="2">
        <v>45380.557460856478</v>
      </c>
      <c r="C200" t="s">
        <v>13</v>
      </c>
      <c r="D200" t="s">
        <v>1372</v>
      </c>
      <c r="E200">
        <v>400</v>
      </c>
      <c r="F200" t="s">
        <v>24</v>
      </c>
    </row>
    <row r="201" spans="1:6" x14ac:dyDescent="0.35">
      <c r="A201" s="1">
        <v>45381</v>
      </c>
      <c r="B201" s="2">
        <v>45381.499535347219</v>
      </c>
      <c r="C201" t="s">
        <v>8</v>
      </c>
      <c r="D201" t="s">
        <v>125</v>
      </c>
      <c r="E201">
        <v>387</v>
      </c>
      <c r="F201" t="s">
        <v>32</v>
      </c>
    </row>
    <row r="202" spans="1:6" x14ac:dyDescent="0.35">
      <c r="A202" s="1">
        <v>45381</v>
      </c>
      <c r="B202" s="2">
        <v>45381.575993229169</v>
      </c>
      <c r="C202" t="s">
        <v>13</v>
      </c>
      <c r="D202" t="s">
        <v>1372</v>
      </c>
      <c r="E202">
        <v>400</v>
      </c>
      <c r="F202" t="s">
        <v>24</v>
      </c>
    </row>
    <row r="203" spans="1:6" x14ac:dyDescent="0.35">
      <c r="A203" s="1">
        <v>45381</v>
      </c>
      <c r="B203" s="2">
        <v>45381.67536789352</v>
      </c>
      <c r="C203" t="s">
        <v>8</v>
      </c>
      <c r="D203" t="s">
        <v>74</v>
      </c>
      <c r="E203">
        <v>387</v>
      </c>
      <c r="F203" t="s">
        <v>32</v>
      </c>
    </row>
    <row r="204" spans="1:6" x14ac:dyDescent="0.35">
      <c r="A204" s="1">
        <v>45381</v>
      </c>
      <c r="B204" s="2">
        <v>45381.692135567129</v>
      </c>
      <c r="C204" t="s">
        <v>8</v>
      </c>
      <c r="D204" t="s">
        <v>25</v>
      </c>
      <c r="E204">
        <v>387</v>
      </c>
      <c r="F204" t="s">
        <v>32</v>
      </c>
    </row>
    <row r="205" spans="1:6" x14ac:dyDescent="0.35">
      <c r="A205" s="1">
        <v>45381</v>
      </c>
      <c r="B205" s="2">
        <v>45381.6930272338</v>
      </c>
      <c r="C205" t="s">
        <v>8</v>
      </c>
      <c r="D205" t="s">
        <v>25</v>
      </c>
      <c r="E205">
        <v>338</v>
      </c>
      <c r="F205" t="s">
        <v>36</v>
      </c>
    </row>
    <row r="206" spans="1:6" x14ac:dyDescent="0.35">
      <c r="A206" s="1">
        <v>45382</v>
      </c>
      <c r="B206" s="2">
        <v>45382.444496793978</v>
      </c>
      <c r="C206" t="s">
        <v>8</v>
      </c>
      <c r="D206" t="s">
        <v>145</v>
      </c>
      <c r="E206">
        <v>387</v>
      </c>
      <c r="F206" t="s">
        <v>24</v>
      </c>
    </row>
    <row r="207" spans="1:6" x14ac:dyDescent="0.35">
      <c r="A207" s="1">
        <v>45382</v>
      </c>
      <c r="B207" s="2">
        <v>45382.817187499997</v>
      </c>
      <c r="C207" t="s">
        <v>13</v>
      </c>
      <c r="D207" t="s">
        <v>1372</v>
      </c>
      <c r="E207">
        <v>300</v>
      </c>
      <c r="F207" t="s">
        <v>28</v>
      </c>
    </row>
    <row r="208" spans="1:6" x14ac:dyDescent="0.35">
      <c r="A208" s="1">
        <v>45383</v>
      </c>
      <c r="B208" s="2">
        <v>45383.436662048611</v>
      </c>
      <c r="C208" t="s">
        <v>8</v>
      </c>
      <c r="D208" t="s">
        <v>63</v>
      </c>
      <c r="E208">
        <v>289</v>
      </c>
      <c r="F208" t="s">
        <v>28</v>
      </c>
    </row>
    <row r="209" spans="1:6" x14ac:dyDescent="0.35">
      <c r="A209" s="1">
        <v>45383</v>
      </c>
      <c r="B209" s="2">
        <v>45383.437295347219</v>
      </c>
      <c r="C209" t="s">
        <v>8</v>
      </c>
      <c r="D209" t="s">
        <v>63</v>
      </c>
      <c r="E209">
        <v>338</v>
      </c>
      <c r="F209" t="s">
        <v>36</v>
      </c>
    </row>
    <row r="210" spans="1:6" x14ac:dyDescent="0.35">
      <c r="A210" s="1">
        <v>45383</v>
      </c>
      <c r="B210" s="2">
        <v>45383.438006192133</v>
      </c>
      <c r="C210" t="s">
        <v>8</v>
      </c>
      <c r="D210" t="s">
        <v>63</v>
      </c>
      <c r="E210">
        <v>338</v>
      </c>
      <c r="F210" t="s">
        <v>36</v>
      </c>
    </row>
    <row r="211" spans="1:6" x14ac:dyDescent="0.35">
      <c r="A211" s="1">
        <v>45383</v>
      </c>
      <c r="B211" s="2">
        <v>45383.46925736111</v>
      </c>
      <c r="C211" t="s">
        <v>8</v>
      </c>
      <c r="D211" t="s">
        <v>25</v>
      </c>
      <c r="E211">
        <v>338</v>
      </c>
      <c r="F211" t="s">
        <v>36</v>
      </c>
    </row>
    <row r="212" spans="1:6" x14ac:dyDescent="0.35">
      <c r="A212" s="1">
        <v>45383</v>
      </c>
      <c r="B212" s="2">
        <v>45383.709524583333</v>
      </c>
      <c r="C212" t="s">
        <v>13</v>
      </c>
      <c r="D212" t="s">
        <v>1372</v>
      </c>
      <c r="E212">
        <v>400</v>
      </c>
      <c r="F212" t="s">
        <v>24</v>
      </c>
    </row>
    <row r="213" spans="1:6" x14ac:dyDescent="0.35">
      <c r="A213" s="1">
        <v>45383</v>
      </c>
      <c r="B213" s="2">
        <v>45383.762990416668</v>
      </c>
      <c r="C213" t="s">
        <v>8</v>
      </c>
      <c r="D213" t="s">
        <v>81</v>
      </c>
      <c r="E213">
        <v>338</v>
      </c>
      <c r="F213" t="s">
        <v>36</v>
      </c>
    </row>
    <row r="214" spans="1:6" x14ac:dyDescent="0.35">
      <c r="A214" s="1">
        <v>45383</v>
      </c>
      <c r="B214" s="2">
        <v>45383.781567546299</v>
      </c>
      <c r="C214" t="s">
        <v>8</v>
      </c>
      <c r="D214" t="s">
        <v>146</v>
      </c>
      <c r="E214">
        <v>387</v>
      </c>
      <c r="F214" t="s">
        <v>15</v>
      </c>
    </row>
    <row r="215" spans="1:6" x14ac:dyDescent="0.35">
      <c r="A215" s="1">
        <v>45384</v>
      </c>
      <c r="B215" s="2">
        <v>45384.417523402779</v>
      </c>
      <c r="C215" t="s">
        <v>8</v>
      </c>
      <c r="D215" t="s">
        <v>60</v>
      </c>
      <c r="E215">
        <v>387</v>
      </c>
      <c r="F215" t="s">
        <v>32</v>
      </c>
    </row>
    <row r="216" spans="1:6" x14ac:dyDescent="0.35">
      <c r="A216" s="1">
        <v>45384</v>
      </c>
      <c r="B216" s="2">
        <v>45384.679562141202</v>
      </c>
      <c r="C216" t="s">
        <v>8</v>
      </c>
      <c r="D216" t="s">
        <v>62</v>
      </c>
      <c r="E216">
        <v>289</v>
      </c>
      <c r="F216" t="s">
        <v>28</v>
      </c>
    </row>
    <row r="217" spans="1:6" x14ac:dyDescent="0.35">
      <c r="A217" s="1">
        <v>45384</v>
      </c>
      <c r="B217" s="2">
        <v>45384.680190509258</v>
      </c>
      <c r="C217" t="s">
        <v>8</v>
      </c>
      <c r="D217" t="s">
        <v>62</v>
      </c>
      <c r="E217">
        <v>289</v>
      </c>
      <c r="F217" t="s">
        <v>20</v>
      </c>
    </row>
    <row r="218" spans="1:6" x14ac:dyDescent="0.35">
      <c r="A218" s="1">
        <v>45384</v>
      </c>
      <c r="B218" s="2">
        <v>45384.833008587964</v>
      </c>
      <c r="C218" t="s">
        <v>13</v>
      </c>
      <c r="D218" t="s">
        <v>1372</v>
      </c>
      <c r="E218">
        <v>400</v>
      </c>
      <c r="F218" t="s">
        <v>24</v>
      </c>
    </row>
    <row r="219" spans="1:6" x14ac:dyDescent="0.35">
      <c r="A219" s="1">
        <v>45385</v>
      </c>
      <c r="B219" s="2">
        <v>45385.430019027779</v>
      </c>
      <c r="C219" t="s">
        <v>8</v>
      </c>
      <c r="D219" t="s">
        <v>62</v>
      </c>
      <c r="E219">
        <v>289</v>
      </c>
      <c r="F219" t="s">
        <v>20</v>
      </c>
    </row>
    <row r="220" spans="1:6" x14ac:dyDescent="0.35">
      <c r="A220" s="1">
        <v>45385</v>
      </c>
      <c r="B220" s="2">
        <v>45385.430644155094</v>
      </c>
      <c r="C220" t="s">
        <v>8</v>
      </c>
      <c r="D220" t="s">
        <v>62</v>
      </c>
      <c r="E220">
        <v>289</v>
      </c>
      <c r="F220" t="s">
        <v>28</v>
      </c>
    </row>
    <row r="221" spans="1:6" x14ac:dyDescent="0.35">
      <c r="A221" s="1">
        <v>45385</v>
      </c>
      <c r="B221" s="2">
        <v>45385.550062118054</v>
      </c>
      <c r="C221" t="s">
        <v>8</v>
      </c>
      <c r="D221" t="s">
        <v>43</v>
      </c>
      <c r="E221">
        <v>387</v>
      </c>
      <c r="F221" t="s">
        <v>24</v>
      </c>
    </row>
    <row r="222" spans="1:6" x14ac:dyDescent="0.35">
      <c r="A222" s="1">
        <v>45385</v>
      </c>
      <c r="B222" s="2">
        <v>45385.650135821757</v>
      </c>
      <c r="C222" t="s">
        <v>13</v>
      </c>
      <c r="D222" t="s">
        <v>1372</v>
      </c>
      <c r="E222">
        <v>300</v>
      </c>
      <c r="F222" t="s">
        <v>20</v>
      </c>
    </row>
    <row r="223" spans="1:6" x14ac:dyDescent="0.35">
      <c r="A223" s="1">
        <v>45386</v>
      </c>
      <c r="B223" s="2">
        <v>45386.447870231481</v>
      </c>
      <c r="C223" t="s">
        <v>8</v>
      </c>
      <c r="D223" t="s">
        <v>147</v>
      </c>
      <c r="E223">
        <v>387</v>
      </c>
      <c r="F223" t="s">
        <v>32</v>
      </c>
    </row>
    <row r="224" spans="1:6" x14ac:dyDescent="0.35">
      <c r="A224" s="1">
        <v>45386</v>
      </c>
      <c r="B224" s="2">
        <v>45386.476829687497</v>
      </c>
      <c r="C224" t="s">
        <v>8</v>
      </c>
      <c r="D224" t="s">
        <v>148</v>
      </c>
      <c r="E224">
        <v>387</v>
      </c>
      <c r="F224" t="s">
        <v>32</v>
      </c>
    </row>
    <row r="225" spans="1:6" x14ac:dyDescent="0.35">
      <c r="A225" s="1">
        <v>45386</v>
      </c>
      <c r="B225" s="2">
        <v>45386.477643645834</v>
      </c>
      <c r="C225" t="s">
        <v>8</v>
      </c>
      <c r="D225" t="s">
        <v>149</v>
      </c>
      <c r="E225">
        <v>387</v>
      </c>
      <c r="F225" t="s">
        <v>24</v>
      </c>
    </row>
    <row r="226" spans="1:6" x14ac:dyDescent="0.35">
      <c r="A226" s="1">
        <v>45386</v>
      </c>
      <c r="B226" s="2">
        <v>45386.515997870367</v>
      </c>
      <c r="C226" t="s">
        <v>8</v>
      </c>
      <c r="D226" t="s">
        <v>150</v>
      </c>
      <c r="E226">
        <v>289</v>
      </c>
      <c r="F226" t="s">
        <v>20</v>
      </c>
    </row>
    <row r="227" spans="1:6" x14ac:dyDescent="0.35">
      <c r="A227" s="1">
        <v>45386</v>
      </c>
      <c r="B227" s="2">
        <v>45386.820922916668</v>
      </c>
      <c r="C227" t="s">
        <v>13</v>
      </c>
      <c r="D227" t="s">
        <v>1372</v>
      </c>
      <c r="E227">
        <v>400</v>
      </c>
      <c r="F227" t="s">
        <v>32</v>
      </c>
    </row>
    <row r="228" spans="1:6" x14ac:dyDescent="0.35">
      <c r="A228" s="1">
        <v>45387</v>
      </c>
      <c r="B228" s="2">
        <v>45387.444938981484</v>
      </c>
      <c r="C228" t="s">
        <v>8</v>
      </c>
      <c r="D228" t="s">
        <v>151</v>
      </c>
      <c r="E228">
        <v>289</v>
      </c>
      <c r="F228" t="s">
        <v>28</v>
      </c>
    </row>
    <row r="229" spans="1:6" x14ac:dyDescent="0.35">
      <c r="A229" s="1">
        <v>45387</v>
      </c>
      <c r="B229" s="2">
        <v>45387.445905138891</v>
      </c>
      <c r="C229" t="s">
        <v>8</v>
      </c>
      <c r="D229" t="s">
        <v>43</v>
      </c>
      <c r="E229">
        <v>289</v>
      </c>
      <c r="F229" t="s">
        <v>28</v>
      </c>
    </row>
    <row r="230" spans="1:6" x14ac:dyDescent="0.35">
      <c r="A230" s="1">
        <v>45387</v>
      </c>
      <c r="B230" s="2">
        <v>45387.462669479166</v>
      </c>
      <c r="C230" t="s">
        <v>8</v>
      </c>
      <c r="D230" t="s">
        <v>152</v>
      </c>
      <c r="E230">
        <v>289</v>
      </c>
      <c r="F230" t="s">
        <v>20</v>
      </c>
    </row>
    <row r="231" spans="1:6" x14ac:dyDescent="0.35">
      <c r="A231" s="1">
        <v>45387</v>
      </c>
      <c r="B231" s="2">
        <v>45387.510046006944</v>
      </c>
      <c r="C231" t="s">
        <v>8</v>
      </c>
      <c r="D231" t="s">
        <v>11</v>
      </c>
      <c r="E231">
        <v>338</v>
      </c>
      <c r="F231" t="s">
        <v>36</v>
      </c>
    </row>
    <row r="232" spans="1:6" x14ac:dyDescent="0.35">
      <c r="A232" s="1">
        <v>45387</v>
      </c>
      <c r="B232" s="2">
        <v>45387.599772997688</v>
      </c>
      <c r="C232" t="s">
        <v>8</v>
      </c>
      <c r="D232" t="s">
        <v>153</v>
      </c>
      <c r="E232">
        <v>387</v>
      </c>
      <c r="F232" t="s">
        <v>32</v>
      </c>
    </row>
    <row r="233" spans="1:6" x14ac:dyDescent="0.35">
      <c r="A233" s="1">
        <v>45387</v>
      </c>
      <c r="B233" s="2">
        <v>45387.600583530089</v>
      </c>
      <c r="C233" t="s">
        <v>8</v>
      </c>
      <c r="D233" t="s">
        <v>153</v>
      </c>
      <c r="E233">
        <v>289</v>
      </c>
      <c r="F233" t="s">
        <v>20</v>
      </c>
    </row>
    <row r="234" spans="1:6" x14ac:dyDescent="0.35">
      <c r="A234" s="1">
        <v>45387</v>
      </c>
      <c r="B234" s="2">
        <v>45387.646416469906</v>
      </c>
      <c r="C234" t="s">
        <v>13</v>
      </c>
      <c r="D234" t="s">
        <v>1372</v>
      </c>
      <c r="E234">
        <v>400</v>
      </c>
      <c r="F234" t="s">
        <v>32</v>
      </c>
    </row>
    <row r="235" spans="1:6" x14ac:dyDescent="0.35">
      <c r="A235" s="1">
        <v>45387</v>
      </c>
      <c r="B235" s="2">
        <v>45387.662682499998</v>
      </c>
      <c r="C235" t="s">
        <v>13</v>
      </c>
      <c r="D235" t="s">
        <v>1372</v>
      </c>
      <c r="E235">
        <v>400</v>
      </c>
      <c r="F235" t="s">
        <v>24</v>
      </c>
    </row>
    <row r="236" spans="1:6" x14ac:dyDescent="0.35">
      <c r="A236" s="1">
        <v>45387</v>
      </c>
      <c r="B236" s="2">
        <v>45387.663552627317</v>
      </c>
      <c r="C236" t="s">
        <v>13</v>
      </c>
      <c r="D236" t="s">
        <v>1372</v>
      </c>
      <c r="E236">
        <v>300</v>
      </c>
      <c r="F236" t="s">
        <v>28</v>
      </c>
    </row>
    <row r="237" spans="1:6" x14ac:dyDescent="0.35">
      <c r="A237" s="1">
        <v>45387</v>
      </c>
      <c r="B237" s="2">
        <v>45387.678981192126</v>
      </c>
      <c r="C237" t="s">
        <v>13</v>
      </c>
      <c r="D237" t="s">
        <v>1372</v>
      </c>
      <c r="E237">
        <v>400</v>
      </c>
      <c r="F237" t="s">
        <v>10</v>
      </c>
    </row>
    <row r="238" spans="1:6" x14ac:dyDescent="0.35">
      <c r="A238" s="1">
        <v>45387</v>
      </c>
      <c r="B238" s="2">
        <v>45387.679439328705</v>
      </c>
      <c r="C238" t="s">
        <v>8</v>
      </c>
      <c r="D238" t="s">
        <v>62</v>
      </c>
      <c r="E238">
        <v>240</v>
      </c>
      <c r="F238" t="s">
        <v>5</v>
      </c>
    </row>
    <row r="239" spans="1:6" x14ac:dyDescent="0.35">
      <c r="A239" s="1">
        <v>45388</v>
      </c>
      <c r="B239" s="2">
        <v>45388.522585625004</v>
      </c>
      <c r="C239" t="s">
        <v>8</v>
      </c>
      <c r="D239" t="s">
        <v>154</v>
      </c>
      <c r="E239">
        <v>338</v>
      </c>
      <c r="F239" t="s">
        <v>36</v>
      </c>
    </row>
    <row r="240" spans="1:6" x14ac:dyDescent="0.35">
      <c r="A240" s="1">
        <v>45388</v>
      </c>
      <c r="B240" s="2">
        <v>45388.592577928241</v>
      </c>
      <c r="C240" t="s">
        <v>8</v>
      </c>
      <c r="D240" t="s">
        <v>16</v>
      </c>
      <c r="E240">
        <v>387</v>
      </c>
      <c r="F240" t="s">
        <v>24</v>
      </c>
    </row>
    <row r="241" spans="1:6" x14ac:dyDescent="0.35">
      <c r="A241" s="1">
        <v>45388</v>
      </c>
      <c r="B241" s="2">
        <v>45388.593368391201</v>
      </c>
      <c r="C241" t="s">
        <v>8</v>
      </c>
      <c r="D241" t="s">
        <v>16</v>
      </c>
      <c r="E241">
        <v>289</v>
      </c>
      <c r="F241" t="s">
        <v>28</v>
      </c>
    </row>
    <row r="242" spans="1:6" x14ac:dyDescent="0.35">
      <c r="A242" s="1">
        <v>45388</v>
      </c>
      <c r="B242" s="2">
        <v>45388.617941932869</v>
      </c>
      <c r="C242" t="s">
        <v>8</v>
      </c>
      <c r="D242" t="s">
        <v>25</v>
      </c>
      <c r="E242">
        <v>387</v>
      </c>
      <c r="F242" t="s">
        <v>32</v>
      </c>
    </row>
    <row r="243" spans="1:6" x14ac:dyDescent="0.35">
      <c r="A243" s="1">
        <v>45389</v>
      </c>
      <c r="B243" s="2">
        <v>45389.42561578704</v>
      </c>
      <c r="C243" t="s">
        <v>8</v>
      </c>
      <c r="D243" t="s">
        <v>147</v>
      </c>
      <c r="E243">
        <v>387</v>
      </c>
      <c r="F243" t="s">
        <v>32</v>
      </c>
    </row>
    <row r="244" spans="1:6" x14ac:dyDescent="0.35">
      <c r="A244" s="1">
        <v>45389</v>
      </c>
      <c r="B244" s="2">
        <v>45389.530925185187</v>
      </c>
      <c r="C244" t="s">
        <v>8</v>
      </c>
      <c r="D244" t="s">
        <v>16</v>
      </c>
      <c r="E244">
        <v>387</v>
      </c>
      <c r="F244" t="s">
        <v>24</v>
      </c>
    </row>
    <row r="245" spans="1:6" x14ac:dyDescent="0.35">
      <c r="A245" s="1">
        <v>45389</v>
      </c>
      <c r="B245" s="2">
        <v>45389.532003680557</v>
      </c>
      <c r="C245" t="s">
        <v>8</v>
      </c>
      <c r="D245" t="s">
        <v>16</v>
      </c>
      <c r="E245">
        <v>387</v>
      </c>
      <c r="F245" t="s">
        <v>24</v>
      </c>
    </row>
    <row r="246" spans="1:6" x14ac:dyDescent="0.35">
      <c r="A246" s="1">
        <v>45389</v>
      </c>
      <c r="B246" s="2">
        <v>45389.594733206017</v>
      </c>
      <c r="C246" t="s">
        <v>8</v>
      </c>
      <c r="D246" t="s">
        <v>155</v>
      </c>
      <c r="E246">
        <v>289</v>
      </c>
      <c r="F246" t="s">
        <v>20</v>
      </c>
    </row>
    <row r="247" spans="1:6" x14ac:dyDescent="0.35">
      <c r="A247" s="1">
        <v>45389</v>
      </c>
      <c r="B247" s="2">
        <v>45389.595493379631</v>
      </c>
      <c r="C247" t="s">
        <v>8</v>
      </c>
      <c r="D247" t="s">
        <v>155</v>
      </c>
      <c r="E247">
        <v>240</v>
      </c>
      <c r="F247" t="s">
        <v>5</v>
      </c>
    </row>
    <row r="248" spans="1:6" x14ac:dyDescent="0.35">
      <c r="A248" s="1">
        <v>45389</v>
      </c>
      <c r="B248" s="2">
        <v>45389.750886666669</v>
      </c>
      <c r="C248" t="s">
        <v>8</v>
      </c>
      <c r="D248" t="s">
        <v>156</v>
      </c>
      <c r="E248">
        <v>387</v>
      </c>
      <c r="F248" t="s">
        <v>15</v>
      </c>
    </row>
    <row r="249" spans="1:6" x14ac:dyDescent="0.35">
      <c r="A249" s="1">
        <v>45389</v>
      </c>
      <c r="B249" s="2">
        <v>45389.751433773148</v>
      </c>
      <c r="C249" t="s">
        <v>8</v>
      </c>
      <c r="D249" t="s">
        <v>156</v>
      </c>
      <c r="E249">
        <v>338</v>
      </c>
      <c r="F249" t="s">
        <v>36</v>
      </c>
    </row>
    <row r="250" spans="1:6" x14ac:dyDescent="0.35">
      <c r="A250" s="1">
        <v>45390</v>
      </c>
      <c r="B250" s="2">
        <v>45390.457188726854</v>
      </c>
      <c r="C250" t="s">
        <v>8</v>
      </c>
      <c r="D250" t="s">
        <v>157</v>
      </c>
      <c r="E250">
        <v>338</v>
      </c>
      <c r="F250" t="s">
        <v>36</v>
      </c>
    </row>
    <row r="251" spans="1:6" x14ac:dyDescent="0.35">
      <c r="A251" s="1">
        <v>45390</v>
      </c>
      <c r="B251" s="2">
        <v>45390.457957847226</v>
      </c>
      <c r="C251" t="s">
        <v>8</v>
      </c>
      <c r="D251" t="s">
        <v>158</v>
      </c>
      <c r="E251">
        <v>387</v>
      </c>
      <c r="F251" t="s">
        <v>24</v>
      </c>
    </row>
    <row r="252" spans="1:6" x14ac:dyDescent="0.35">
      <c r="A252" s="1">
        <v>45390</v>
      </c>
      <c r="B252" s="2">
        <v>45390.45926462963</v>
      </c>
      <c r="C252" t="s">
        <v>8</v>
      </c>
      <c r="D252" t="s">
        <v>43</v>
      </c>
      <c r="E252">
        <v>289</v>
      </c>
      <c r="F252" t="s">
        <v>28</v>
      </c>
    </row>
    <row r="253" spans="1:6" x14ac:dyDescent="0.35">
      <c r="A253" s="1">
        <v>45390</v>
      </c>
      <c r="B253" s="2">
        <v>45390.461655439816</v>
      </c>
      <c r="C253" t="s">
        <v>8</v>
      </c>
      <c r="D253" t="s">
        <v>159</v>
      </c>
      <c r="E253">
        <v>387</v>
      </c>
      <c r="F253" t="s">
        <v>24</v>
      </c>
    </row>
    <row r="254" spans="1:6" x14ac:dyDescent="0.35">
      <c r="A254" s="1">
        <v>45390</v>
      </c>
      <c r="B254" s="2">
        <v>45390.537799733793</v>
      </c>
      <c r="C254" t="s">
        <v>13</v>
      </c>
      <c r="D254" t="s">
        <v>1372</v>
      </c>
      <c r="E254">
        <v>250</v>
      </c>
      <c r="F254" t="s">
        <v>5</v>
      </c>
    </row>
    <row r="255" spans="1:6" x14ac:dyDescent="0.35">
      <c r="A255" s="1">
        <v>45390</v>
      </c>
      <c r="B255" s="2">
        <v>45390.655287974536</v>
      </c>
      <c r="C255" t="s">
        <v>13</v>
      </c>
      <c r="D255" t="s">
        <v>1372</v>
      </c>
      <c r="E255">
        <v>350</v>
      </c>
      <c r="F255" t="s">
        <v>36</v>
      </c>
    </row>
    <row r="256" spans="1:6" x14ac:dyDescent="0.35">
      <c r="A256" s="1">
        <v>45390</v>
      </c>
      <c r="B256" s="2">
        <v>45390.695576458333</v>
      </c>
      <c r="C256" t="s">
        <v>8</v>
      </c>
      <c r="D256" t="s">
        <v>74</v>
      </c>
      <c r="E256">
        <v>387</v>
      </c>
      <c r="F256" t="s">
        <v>32</v>
      </c>
    </row>
    <row r="257" spans="1:6" x14ac:dyDescent="0.35">
      <c r="A257" s="1">
        <v>45390</v>
      </c>
      <c r="B257" s="2">
        <v>45390.762612418985</v>
      </c>
      <c r="C257" t="s">
        <v>8</v>
      </c>
      <c r="D257" t="s">
        <v>160</v>
      </c>
      <c r="E257">
        <v>289</v>
      </c>
      <c r="F257" t="s">
        <v>28</v>
      </c>
    </row>
    <row r="258" spans="1:6" x14ac:dyDescent="0.35">
      <c r="A258" s="1">
        <v>45390</v>
      </c>
      <c r="B258" s="2">
        <v>45390.807262465278</v>
      </c>
      <c r="C258" t="s">
        <v>8</v>
      </c>
      <c r="D258" t="s">
        <v>81</v>
      </c>
      <c r="E258">
        <v>338</v>
      </c>
      <c r="F258" t="s">
        <v>36</v>
      </c>
    </row>
    <row r="259" spans="1:6" x14ac:dyDescent="0.35">
      <c r="A259" s="1">
        <v>45390</v>
      </c>
      <c r="B259" s="2">
        <v>45390.808324861115</v>
      </c>
      <c r="C259" t="s">
        <v>8</v>
      </c>
      <c r="D259" t="s">
        <v>161</v>
      </c>
      <c r="E259">
        <v>387</v>
      </c>
      <c r="F259" t="s">
        <v>24</v>
      </c>
    </row>
    <row r="260" spans="1:6" x14ac:dyDescent="0.35">
      <c r="A260" s="1">
        <v>45391</v>
      </c>
      <c r="B260" s="2">
        <v>45391.432261099537</v>
      </c>
      <c r="C260" t="s">
        <v>13</v>
      </c>
      <c r="D260" t="s">
        <v>1372</v>
      </c>
      <c r="E260">
        <v>400</v>
      </c>
      <c r="F260" t="s">
        <v>24</v>
      </c>
    </row>
    <row r="261" spans="1:6" x14ac:dyDescent="0.35">
      <c r="A261" s="1">
        <v>45391</v>
      </c>
      <c r="B261" s="2">
        <v>45391.433450266202</v>
      </c>
      <c r="C261" t="s">
        <v>13</v>
      </c>
      <c r="D261" t="s">
        <v>1372</v>
      </c>
      <c r="E261">
        <v>300</v>
      </c>
      <c r="F261" t="s">
        <v>28</v>
      </c>
    </row>
    <row r="262" spans="1:6" x14ac:dyDescent="0.35">
      <c r="A262" s="1">
        <v>45391</v>
      </c>
      <c r="B262" s="2">
        <v>45391.487829490739</v>
      </c>
      <c r="C262" t="s">
        <v>8</v>
      </c>
      <c r="D262" t="s">
        <v>147</v>
      </c>
      <c r="E262">
        <v>387</v>
      </c>
      <c r="F262" t="s">
        <v>32</v>
      </c>
    </row>
    <row r="263" spans="1:6" x14ac:dyDescent="0.35">
      <c r="A263" s="1">
        <v>45391</v>
      </c>
      <c r="B263" s="2">
        <v>45391.633202777775</v>
      </c>
      <c r="C263" t="s">
        <v>8</v>
      </c>
      <c r="D263" t="s">
        <v>162</v>
      </c>
      <c r="E263">
        <v>387</v>
      </c>
      <c r="F263" t="s">
        <v>15</v>
      </c>
    </row>
    <row r="264" spans="1:6" x14ac:dyDescent="0.35">
      <c r="A264" s="1">
        <v>45391</v>
      </c>
      <c r="B264" s="2">
        <v>45391.725971481479</v>
      </c>
      <c r="C264" t="s">
        <v>8</v>
      </c>
      <c r="D264" t="s">
        <v>105</v>
      </c>
      <c r="E264">
        <v>387</v>
      </c>
      <c r="F264" t="s">
        <v>15</v>
      </c>
    </row>
    <row r="265" spans="1:6" x14ac:dyDescent="0.35">
      <c r="A265" s="1">
        <v>45392</v>
      </c>
      <c r="B265" s="2">
        <v>45392.431552951391</v>
      </c>
      <c r="C265" t="s">
        <v>13</v>
      </c>
      <c r="D265" t="s">
        <v>1372</v>
      </c>
      <c r="E265">
        <v>250</v>
      </c>
      <c r="F265" t="s">
        <v>5</v>
      </c>
    </row>
    <row r="266" spans="1:6" x14ac:dyDescent="0.35">
      <c r="A266" s="1">
        <v>45392</v>
      </c>
      <c r="B266" s="2">
        <v>45392.746609004629</v>
      </c>
      <c r="C266" t="s">
        <v>13</v>
      </c>
      <c r="D266" t="s">
        <v>1372</v>
      </c>
      <c r="E266">
        <v>400</v>
      </c>
      <c r="F266" t="s">
        <v>15</v>
      </c>
    </row>
    <row r="267" spans="1:6" x14ac:dyDescent="0.35">
      <c r="A267" s="1">
        <v>45392</v>
      </c>
      <c r="B267" s="2">
        <v>45392.74688939815</v>
      </c>
      <c r="C267" t="s">
        <v>8</v>
      </c>
      <c r="D267" t="s">
        <v>163</v>
      </c>
      <c r="E267">
        <v>240</v>
      </c>
      <c r="F267" t="s">
        <v>5</v>
      </c>
    </row>
    <row r="268" spans="1:6" x14ac:dyDescent="0.35">
      <c r="A268" s="1">
        <v>45392</v>
      </c>
      <c r="B268" s="2">
        <v>45392.767352893519</v>
      </c>
      <c r="C268" t="s">
        <v>8</v>
      </c>
      <c r="D268" t="s">
        <v>25</v>
      </c>
      <c r="E268">
        <v>387</v>
      </c>
      <c r="F268" t="s">
        <v>24</v>
      </c>
    </row>
    <row r="269" spans="1:6" x14ac:dyDescent="0.35">
      <c r="A269" s="1">
        <v>45392</v>
      </c>
      <c r="B269" s="2">
        <v>45392.836173449075</v>
      </c>
      <c r="C269" t="s">
        <v>8</v>
      </c>
      <c r="D269" t="s">
        <v>164</v>
      </c>
      <c r="E269">
        <v>387</v>
      </c>
      <c r="F269" t="s">
        <v>32</v>
      </c>
    </row>
    <row r="270" spans="1:6" x14ac:dyDescent="0.35">
      <c r="A270" s="1">
        <v>45393</v>
      </c>
      <c r="B270" s="2">
        <v>45393.445406886574</v>
      </c>
      <c r="C270" t="s">
        <v>8</v>
      </c>
      <c r="D270" t="s">
        <v>165</v>
      </c>
      <c r="E270">
        <v>289</v>
      </c>
      <c r="F270" t="s">
        <v>28</v>
      </c>
    </row>
    <row r="271" spans="1:6" x14ac:dyDescent="0.35">
      <c r="A271" s="1">
        <v>45393</v>
      </c>
      <c r="B271" s="2">
        <v>45393.446520428239</v>
      </c>
      <c r="C271" t="s">
        <v>8</v>
      </c>
      <c r="D271" t="s">
        <v>165</v>
      </c>
      <c r="E271">
        <v>289</v>
      </c>
      <c r="F271" t="s">
        <v>28</v>
      </c>
    </row>
    <row r="272" spans="1:6" x14ac:dyDescent="0.35">
      <c r="A272" s="1">
        <v>45393</v>
      </c>
      <c r="B272" s="2">
        <v>45393.691239224536</v>
      </c>
      <c r="C272" t="s">
        <v>8</v>
      </c>
      <c r="D272" t="s">
        <v>74</v>
      </c>
      <c r="E272">
        <v>387</v>
      </c>
      <c r="F272" t="s">
        <v>32</v>
      </c>
    </row>
    <row r="273" spans="1:6" x14ac:dyDescent="0.35">
      <c r="A273" s="1">
        <v>45393</v>
      </c>
      <c r="B273" s="2">
        <v>45393.803432731482</v>
      </c>
      <c r="C273" t="s">
        <v>8</v>
      </c>
      <c r="D273" t="s">
        <v>161</v>
      </c>
      <c r="E273">
        <v>387</v>
      </c>
      <c r="F273" t="s">
        <v>24</v>
      </c>
    </row>
    <row r="274" spans="1:6" x14ac:dyDescent="0.35">
      <c r="A274" s="1">
        <v>45393</v>
      </c>
      <c r="B274" s="2">
        <v>45393.804590497683</v>
      </c>
      <c r="C274" t="s">
        <v>8</v>
      </c>
      <c r="D274" t="s">
        <v>81</v>
      </c>
      <c r="E274">
        <v>338</v>
      </c>
      <c r="F274" t="s">
        <v>36</v>
      </c>
    </row>
    <row r="275" spans="1:6" x14ac:dyDescent="0.35">
      <c r="A275" s="1">
        <v>45394</v>
      </c>
      <c r="B275" s="2">
        <v>45394.794252349537</v>
      </c>
      <c r="C275" t="s">
        <v>8</v>
      </c>
      <c r="D275" t="s">
        <v>76</v>
      </c>
      <c r="E275">
        <v>387</v>
      </c>
      <c r="F275" t="s">
        <v>15</v>
      </c>
    </row>
    <row r="276" spans="1:6" x14ac:dyDescent="0.35">
      <c r="A276" s="1">
        <v>45394</v>
      </c>
      <c r="B276" s="2">
        <v>45394.818323946762</v>
      </c>
      <c r="C276" t="s">
        <v>8</v>
      </c>
      <c r="D276" t="s">
        <v>25</v>
      </c>
      <c r="E276">
        <v>289</v>
      </c>
      <c r="F276" t="s">
        <v>20</v>
      </c>
    </row>
    <row r="277" spans="1:6" x14ac:dyDescent="0.35">
      <c r="A277" s="1">
        <v>45395</v>
      </c>
      <c r="B277" s="2">
        <v>45395.520368321762</v>
      </c>
      <c r="C277" t="s">
        <v>8</v>
      </c>
      <c r="D277" t="s">
        <v>25</v>
      </c>
      <c r="E277">
        <v>387</v>
      </c>
      <c r="F277" t="s">
        <v>32</v>
      </c>
    </row>
    <row r="278" spans="1:6" x14ac:dyDescent="0.35">
      <c r="A278" s="1">
        <v>45395</v>
      </c>
      <c r="B278" s="2">
        <v>45395.529888761572</v>
      </c>
      <c r="C278" t="s">
        <v>8</v>
      </c>
      <c r="D278" t="s">
        <v>43</v>
      </c>
      <c r="E278">
        <v>289</v>
      </c>
      <c r="F278" t="s">
        <v>28</v>
      </c>
    </row>
    <row r="279" spans="1:6" x14ac:dyDescent="0.35">
      <c r="A279" s="1">
        <v>45395</v>
      </c>
      <c r="B279" s="2">
        <v>45395.629771898151</v>
      </c>
      <c r="C279" t="s">
        <v>13</v>
      </c>
      <c r="D279" t="s">
        <v>1372</v>
      </c>
      <c r="E279">
        <v>400</v>
      </c>
      <c r="F279" t="s">
        <v>15</v>
      </c>
    </row>
    <row r="280" spans="1:6" x14ac:dyDescent="0.35">
      <c r="A280" s="1">
        <v>45395</v>
      </c>
      <c r="B280" s="2">
        <v>45395.630508865739</v>
      </c>
      <c r="C280" t="s">
        <v>13</v>
      </c>
      <c r="D280" t="s">
        <v>1372</v>
      </c>
      <c r="E280">
        <v>400</v>
      </c>
      <c r="F280" t="s">
        <v>15</v>
      </c>
    </row>
    <row r="281" spans="1:6" x14ac:dyDescent="0.35">
      <c r="A281" s="1">
        <v>45395</v>
      </c>
      <c r="B281" s="2">
        <v>45395.67921224537</v>
      </c>
      <c r="C281" t="s">
        <v>8</v>
      </c>
      <c r="D281" t="s">
        <v>166</v>
      </c>
      <c r="E281">
        <v>387</v>
      </c>
      <c r="F281" t="s">
        <v>24</v>
      </c>
    </row>
    <row r="282" spans="1:6" x14ac:dyDescent="0.35">
      <c r="A282" s="1">
        <v>45395</v>
      </c>
      <c r="B282" s="2">
        <v>45395.680321747685</v>
      </c>
      <c r="C282" t="s">
        <v>8</v>
      </c>
      <c r="D282" t="s">
        <v>166</v>
      </c>
      <c r="E282">
        <v>387</v>
      </c>
      <c r="F282" t="s">
        <v>32</v>
      </c>
    </row>
    <row r="283" spans="1:6" x14ac:dyDescent="0.35">
      <c r="A283" s="1">
        <v>45395</v>
      </c>
      <c r="B283" s="2">
        <v>45395.744051226851</v>
      </c>
      <c r="C283" t="s">
        <v>8</v>
      </c>
      <c r="D283" t="s">
        <v>167</v>
      </c>
      <c r="E283">
        <v>387</v>
      </c>
      <c r="F283" t="s">
        <v>24</v>
      </c>
    </row>
    <row r="284" spans="1:6" x14ac:dyDescent="0.35">
      <c r="A284" s="1">
        <v>45395</v>
      </c>
      <c r="B284" s="2">
        <v>45395.745361539353</v>
      </c>
      <c r="C284" t="s">
        <v>8</v>
      </c>
      <c r="D284" t="s">
        <v>43</v>
      </c>
      <c r="E284">
        <v>387</v>
      </c>
      <c r="F284" t="s">
        <v>24</v>
      </c>
    </row>
    <row r="285" spans="1:6" x14ac:dyDescent="0.35">
      <c r="A285" s="1">
        <v>45396</v>
      </c>
      <c r="B285" s="2">
        <v>45396.455178310185</v>
      </c>
      <c r="C285" t="s">
        <v>13</v>
      </c>
      <c r="D285" t="s">
        <v>1372</v>
      </c>
      <c r="E285">
        <v>400</v>
      </c>
      <c r="F285" t="s">
        <v>32</v>
      </c>
    </row>
    <row r="286" spans="1:6" x14ac:dyDescent="0.35">
      <c r="A286" s="1">
        <v>45396</v>
      </c>
      <c r="B286" s="2">
        <v>45396.517118379626</v>
      </c>
      <c r="C286" t="s">
        <v>8</v>
      </c>
      <c r="D286" t="s">
        <v>168</v>
      </c>
      <c r="E286">
        <v>387</v>
      </c>
      <c r="F286" t="s">
        <v>24</v>
      </c>
    </row>
    <row r="287" spans="1:6" x14ac:dyDescent="0.35">
      <c r="A287" s="1">
        <v>45396</v>
      </c>
      <c r="B287" s="2">
        <v>45396.51885359954</v>
      </c>
      <c r="C287" t="s">
        <v>13</v>
      </c>
      <c r="D287" t="s">
        <v>1372</v>
      </c>
      <c r="E287">
        <v>300</v>
      </c>
      <c r="F287" t="s">
        <v>20</v>
      </c>
    </row>
    <row r="288" spans="1:6" x14ac:dyDescent="0.35">
      <c r="A288" s="1">
        <v>45396</v>
      </c>
      <c r="B288" s="2">
        <v>45396.520218483798</v>
      </c>
      <c r="C288" t="s">
        <v>13</v>
      </c>
      <c r="D288" t="s">
        <v>1372</v>
      </c>
      <c r="E288">
        <v>300</v>
      </c>
      <c r="F288" t="s">
        <v>20</v>
      </c>
    </row>
    <row r="289" spans="1:6" x14ac:dyDescent="0.35">
      <c r="A289" s="1">
        <v>45396</v>
      </c>
      <c r="B289" s="2">
        <v>45396.52194486111</v>
      </c>
      <c r="C289" t="s">
        <v>13</v>
      </c>
      <c r="D289" t="s">
        <v>1372</v>
      </c>
      <c r="E289">
        <v>350</v>
      </c>
      <c r="F289" t="s">
        <v>36</v>
      </c>
    </row>
    <row r="290" spans="1:6" x14ac:dyDescent="0.35">
      <c r="A290" s="1">
        <v>45396</v>
      </c>
      <c r="B290" s="2">
        <v>45396.556826481479</v>
      </c>
      <c r="C290" t="s">
        <v>8</v>
      </c>
      <c r="D290" t="s">
        <v>169</v>
      </c>
      <c r="E290">
        <v>289</v>
      </c>
      <c r="F290" t="s">
        <v>20</v>
      </c>
    </row>
    <row r="291" spans="1:6" x14ac:dyDescent="0.35">
      <c r="A291" s="1">
        <v>45396</v>
      </c>
      <c r="B291" s="2">
        <v>45396.599671655094</v>
      </c>
      <c r="C291" t="s">
        <v>8</v>
      </c>
      <c r="D291" t="s">
        <v>43</v>
      </c>
      <c r="E291">
        <v>289</v>
      </c>
      <c r="F291" t="s">
        <v>28</v>
      </c>
    </row>
    <row r="292" spans="1:6" x14ac:dyDescent="0.35">
      <c r="A292" s="1">
        <v>45396</v>
      </c>
      <c r="B292" s="2">
        <v>45396.600311689814</v>
      </c>
      <c r="C292" t="s">
        <v>8</v>
      </c>
      <c r="D292" t="s">
        <v>43</v>
      </c>
      <c r="E292">
        <v>289</v>
      </c>
      <c r="F292" t="s">
        <v>28</v>
      </c>
    </row>
    <row r="293" spans="1:6" x14ac:dyDescent="0.35">
      <c r="A293" s="1">
        <v>45396</v>
      </c>
      <c r="B293" s="2">
        <v>45396.600904189814</v>
      </c>
      <c r="C293" t="s">
        <v>8</v>
      </c>
      <c r="D293" t="s">
        <v>43</v>
      </c>
      <c r="E293">
        <v>289</v>
      </c>
      <c r="F293" t="s">
        <v>28</v>
      </c>
    </row>
    <row r="294" spans="1:6" x14ac:dyDescent="0.35">
      <c r="A294" s="1">
        <v>45396</v>
      </c>
      <c r="B294" s="2">
        <v>45396.657265428243</v>
      </c>
      <c r="C294" t="s">
        <v>8</v>
      </c>
      <c r="D294" t="s">
        <v>74</v>
      </c>
      <c r="E294">
        <v>387</v>
      </c>
      <c r="F294" t="s">
        <v>24</v>
      </c>
    </row>
    <row r="295" spans="1:6" x14ac:dyDescent="0.35">
      <c r="A295" s="1">
        <v>45396</v>
      </c>
      <c r="B295" s="2">
        <v>45396.708273414355</v>
      </c>
      <c r="C295" t="s">
        <v>8</v>
      </c>
      <c r="D295" t="s">
        <v>43</v>
      </c>
      <c r="E295">
        <v>289</v>
      </c>
      <c r="F295" t="s">
        <v>20</v>
      </c>
    </row>
    <row r="296" spans="1:6" x14ac:dyDescent="0.35">
      <c r="A296" s="1">
        <v>45396</v>
      </c>
      <c r="B296" s="2">
        <v>45396.708858645834</v>
      </c>
      <c r="C296" t="s">
        <v>8</v>
      </c>
      <c r="D296" t="s">
        <v>76</v>
      </c>
      <c r="E296">
        <v>387</v>
      </c>
      <c r="F296" t="s">
        <v>32</v>
      </c>
    </row>
    <row r="297" spans="1:6" x14ac:dyDescent="0.35">
      <c r="A297" s="1">
        <v>45396</v>
      </c>
      <c r="B297" s="2">
        <v>45396.77661630787</v>
      </c>
      <c r="C297" t="s">
        <v>8</v>
      </c>
      <c r="D297" t="s">
        <v>170</v>
      </c>
      <c r="E297">
        <v>387</v>
      </c>
      <c r="F297" t="s">
        <v>24</v>
      </c>
    </row>
    <row r="298" spans="1:6" x14ac:dyDescent="0.35">
      <c r="A298" s="1">
        <v>45397</v>
      </c>
      <c r="B298" s="2">
        <v>45397.489868275465</v>
      </c>
      <c r="C298" t="s">
        <v>8</v>
      </c>
      <c r="D298" t="s">
        <v>120</v>
      </c>
      <c r="E298">
        <v>289</v>
      </c>
      <c r="F298" t="s">
        <v>28</v>
      </c>
    </row>
    <row r="299" spans="1:6" x14ac:dyDescent="0.35">
      <c r="A299" s="1">
        <v>45397</v>
      </c>
      <c r="B299" s="2">
        <v>45397.709564340279</v>
      </c>
      <c r="C299" t="s">
        <v>8</v>
      </c>
      <c r="D299" t="s">
        <v>62</v>
      </c>
      <c r="E299">
        <v>289</v>
      </c>
      <c r="F299" t="s">
        <v>28</v>
      </c>
    </row>
    <row r="300" spans="1:6" x14ac:dyDescent="0.35">
      <c r="A300" s="1">
        <v>45397</v>
      </c>
      <c r="B300" s="2">
        <v>45397.71029800926</v>
      </c>
      <c r="C300" t="s">
        <v>8</v>
      </c>
      <c r="D300" t="s">
        <v>63</v>
      </c>
      <c r="E300">
        <v>338</v>
      </c>
      <c r="F300" t="s">
        <v>36</v>
      </c>
    </row>
    <row r="301" spans="1:6" x14ac:dyDescent="0.35">
      <c r="A301" s="1">
        <v>45397</v>
      </c>
      <c r="B301" s="2">
        <v>45397.814618472221</v>
      </c>
      <c r="C301" t="s">
        <v>8</v>
      </c>
      <c r="D301" t="s">
        <v>25</v>
      </c>
      <c r="E301">
        <v>338</v>
      </c>
      <c r="F301" t="s">
        <v>36</v>
      </c>
    </row>
    <row r="302" spans="1:6" x14ac:dyDescent="0.35">
      <c r="A302" s="1">
        <v>45397</v>
      </c>
      <c r="B302" s="2">
        <v>45397.820811481484</v>
      </c>
      <c r="C302" t="s">
        <v>13</v>
      </c>
      <c r="D302" t="s">
        <v>1372</v>
      </c>
      <c r="E302">
        <v>250</v>
      </c>
      <c r="F302" t="s">
        <v>5</v>
      </c>
    </row>
    <row r="303" spans="1:6" x14ac:dyDescent="0.35">
      <c r="A303" s="1">
        <v>45398</v>
      </c>
      <c r="B303" s="2">
        <v>45398.447105405095</v>
      </c>
      <c r="C303" t="s">
        <v>13</v>
      </c>
      <c r="D303" t="s">
        <v>1372</v>
      </c>
      <c r="E303">
        <v>350</v>
      </c>
      <c r="F303" t="s">
        <v>36</v>
      </c>
    </row>
    <row r="304" spans="1:6" x14ac:dyDescent="0.35">
      <c r="A304" s="1">
        <v>45398</v>
      </c>
      <c r="B304" s="2">
        <v>45398.448908634258</v>
      </c>
      <c r="C304" t="s">
        <v>8</v>
      </c>
      <c r="D304" t="s">
        <v>171</v>
      </c>
      <c r="E304">
        <v>338</v>
      </c>
      <c r="F304" t="s">
        <v>36</v>
      </c>
    </row>
    <row r="305" spans="1:6" x14ac:dyDescent="0.35">
      <c r="A305" s="1">
        <v>45398</v>
      </c>
      <c r="B305" s="2">
        <v>45398.52832957176</v>
      </c>
      <c r="C305" t="s">
        <v>8</v>
      </c>
      <c r="D305" t="s">
        <v>172</v>
      </c>
      <c r="E305">
        <v>387</v>
      </c>
      <c r="F305" t="s">
        <v>10</v>
      </c>
    </row>
    <row r="306" spans="1:6" x14ac:dyDescent="0.35">
      <c r="A306" s="1">
        <v>45398</v>
      </c>
      <c r="B306" s="2">
        <v>45398.536200810187</v>
      </c>
      <c r="C306" t="s">
        <v>8</v>
      </c>
      <c r="D306" t="s">
        <v>120</v>
      </c>
      <c r="E306">
        <v>289</v>
      </c>
      <c r="F306" t="s">
        <v>20</v>
      </c>
    </row>
    <row r="307" spans="1:6" x14ac:dyDescent="0.35">
      <c r="A307" s="1">
        <v>45398</v>
      </c>
      <c r="B307" s="2">
        <v>45398.627278807871</v>
      </c>
      <c r="C307" t="s">
        <v>8</v>
      </c>
      <c r="D307" t="s">
        <v>173</v>
      </c>
      <c r="E307">
        <v>289</v>
      </c>
      <c r="F307" t="s">
        <v>28</v>
      </c>
    </row>
    <row r="308" spans="1:6" x14ac:dyDescent="0.35">
      <c r="A308" s="1">
        <v>45398</v>
      </c>
      <c r="B308" s="2">
        <v>45398.737548703706</v>
      </c>
      <c r="C308" t="s">
        <v>8</v>
      </c>
      <c r="D308" t="s">
        <v>81</v>
      </c>
      <c r="E308">
        <v>338</v>
      </c>
      <c r="F308" t="s">
        <v>36</v>
      </c>
    </row>
    <row r="309" spans="1:6" x14ac:dyDescent="0.35">
      <c r="A309" s="1">
        <v>45398</v>
      </c>
      <c r="B309" s="2">
        <v>45398.738460185188</v>
      </c>
      <c r="C309" t="s">
        <v>8</v>
      </c>
      <c r="D309" t="s">
        <v>25</v>
      </c>
      <c r="E309">
        <v>387</v>
      </c>
      <c r="F309" t="s">
        <v>24</v>
      </c>
    </row>
    <row r="310" spans="1:6" x14ac:dyDescent="0.35">
      <c r="A310" s="1">
        <v>45398</v>
      </c>
      <c r="B310" s="2">
        <v>45398.756311030091</v>
      </c>
      <c r="C310" t="s">
        <v>8</v>
      </c>
      <c r="D310" t="s">
        <v>106</v>
      </c>
      <c r="E310">
        <v>387</v>
      </c>
      <c r="F310" t="s">
        <v>10</v>
      </c>
    </row>
    <row r="311" spans="1:6" x14ac:dyDescent="0.35">
      <c r="A311" s="1">
        <v>45399</v>
      </c>
      <c r="B311" s="2">
        <v>45399.564580925929</v>
      </c>
      <c r="C311" t="s">
        <v>8</v>
      </c>
      <c r="D311" t="s">
        <v>43</v>
      </c>
      <c r="E311">
        <v>289</v>
      </c>
      <c r="F311" t="s">
        <v>28</v>
      </c>
    </row>
    <row r="312" spans="1:6" x14ac:dyDescent="0.35">
      <c r="A312" s="1">
        <v>45399</v>
      </c>
      <c r="B312" s="2">
        <v>45399.572224317133</v>
      </c>
      <c r="C312" t="s">
        <v>8</v>
      </c>
      <c r="D312" t="s">
        <v>174</v>
      </c>
      <c r="E312">
        <v>240</v>
      </c>
      <c r="F312" t="s">
        <v>5</v>
      </c>
    </row>
    <row r="313" spans="1:6" x14ac:dyDescent="0.35">
      <c r="A313" s="1">
        <v>45399</v>
      </c>
      <c r="B313" s="2">
        <v>45399.675975810183</v>
      </c>
      <c r="C313" t="s">
        <v>13</v>
      </c>
      <c r="D313" t="s">
        <v>1372</v>
      </c>
      <c r="E313">
        <v>400</v>
      </c>
      <c r="F313" t="s">
        <v>24</v>
      </c>
    </row>
    <row r="314" spans="1:6" x14ac:dyDescent="0.35">
      <c r="A314" s="1">
        <v>45399</v>
      </c>
      <c r="B314" s="2">
        <v>45399.709434594908</v>
      </c>
      <c r="C314" t="s">
        <v>8</v>
      </c>
      <c r="D314" t="s">
        <v>175</v>
      </c>
      <c r="E314">
        <v>387</v>
      </c>
      <c r="F314" t="s">
        <v>24</v>
      </c>
    </row>
    <row r="315" spans="1:6" x14ac:dyDescent="0.35">
      <c r="A315" s="1">
        <v>45399</v>
      </c>
      <c r="B315" s="2">
        <v>45399.710193136576</v>
      </c>
      <c r="C315" t="s">
        <v>8</v>
      </c>
      <c r="D315" t="s">
        <v>175</v>
      </c>
      <c r="E315">
        <v>387</v>
      </c>
      <c r="F315" t="s">
        <v>24</v>
      </c>
    </row>
    <row r="316" spans="1:6" x14ac:dyDescent="0.35">
      <c r="A316" s="1">
        <v>45399</v>
      </c>
      <c r="B316" s="2">
        <v>45399.759759594905</v>
      </c>
      <c r="C316" t="s">
        <v>8</v>
      </c>
      <c r="D316" t="s">
        <v>176</v>
      </c>
      <c r="E316">
        <v>289</v>
      </c>
      <c r="F316" t="s">
        <v>20</v>
      </c>
    </row>
    <row r="317" spans="1:6" x14ac:dyDescent="0.35">
      <c r="A317" s="1">
        <v>45400</v>
      </c>
      <c r="B317" s="2">
        <v>45400.471547372683</v>
      </c>
      <c r="C317" t="s">
        <v>8</v>
      </c>
      <c r="D317" t="s">
        <v>62</v>
      </c>
      <c r="E317">
        <v>289</v>
      </c>
      <c r="F317" t="s">
        <v>28</v>
      </c>
    </row>
    <row r="318" spans="1:6" x14ac:dyDescent="0.35">
      <c r="A318" s="1">
        <v>45400</v>
      </c>
      <c r="B318" s="2">
        <v>45400.47228814815</v>
      </c>
      <c r="C318" t="s">
        <v>8</v>
      </c>
      <c r="D318" t="s">
        <v>62</v>
      </c>
      <c r="E318">
        <v>289</v>
      </c>
      <c r="F318" t="s">
        <v>28</v>
      </c>
    </row>
    <row r="319" spans="1:6" x14ac:dyDescent="0.35">
      <c r="A319" s="1">
        <v>45400</v>
      </c>
      <c r="B319" s="2">
        <v>45400.575841666665</v>
      </c>
      <c r="C319" t="s">
        <v>8</v>
      </c>
      <c r="D319" t="s">
        <v>177</v>
      </c>
      <c r="E319">
        <v>338</v>
      </c>
      <c r="F319" t="s">
        <v>36</v>
      </c>
    </row>
    <row r="320" spans="1:6" x14ac:dyDescent="0.35">
      <c r="A320" s="1">
        <v>45400</v>
      </c>
      <c r="B320" s="2">
        <v>45400.576588946758</v>
      </c>
      <c r="C320" t="s">
        <v>8</v>
      </c>
      <c r="D320" t="s">
        <v>177</v>
      </c>
      <c r="E320">
        <v>289</v>
      </c>
      <c r="F320" t="s">
        <v>20</v>
      </c>
    </row>
    <row r="321" spans="1:6" x14ac:dyDescent="0.35">
      <c r="A321" s="1">
        <v>45400</v>
      </c>
      <c r="B321" s="2">
        <v>45400.607173819444</v>
      </c>
      <c r="C321" t="s">
        <v>8</v>
      </c>
      <c r="D321" t="s">
        <v>178</v>
      </c>
      <c r="E321">
        <v>387</v>
      </c>
      <c r="F321" t="s">
        <v>24</v>
      </c>
    </row>
    <row r="322" spans="1:6" x14ac:dyDescent="0.35">
      <c r="A322" s="1">
        <v>45400</v>
      </c>
      <c r="B322" s="2">
        <v>45400.608210115737</v>
      </c>
      <c r="C322" t="s">
        <v>8</v>
      </c>
      <c r="D322" t="s">
        <v>178</v>
      </c>
      <c r="E322">
        <v>387</v>
      </c>
      <c r="F322" t="s">
        <v>32</v>
      </c>
    </row>
    <row r="323" spans="1:6" x14ac:dyDescent="0.35">
      <c r="A323" s="1">
        <v>45400</v>
      </c>
      <c r="B323" s="2">
        <v>45400.739071655094</v>
      </c>
      <c r="C323" t="s">
        <v>8</v>
      </c>
      <c r="D323" t="s">
        <v>125</v>
      </c>
      <c r="E323">
        <v>387</v>
      </c>
      <c r="F323" t="s">
        <v>32</v>
      </c>
    </row>
    <row r="324" spans="1:6" x14ac:dyDescent="0.35">
      <c r="A324" s="1">
        <v>45400</v>
      </c>
      <c r="B324" s="2">
        <v>45400.764652141203</v>
      </c>
      <c r="C324" t="s">
        <v>8</v>
      </c>
      <c r="D324" t="s">
        <v>141</v>
      </c>
      <c r="E324">
        <v>387</v>
      </c>
      <c r="F324" t="s">
        <v>24</v>
      </c>
    </row>
    <row r="325" spans="1:6" x14ac:dyDescent="0.35">
      <c r="A325" s="1">
        <v>45400</v>
      </c>
      <c r="B325" s="2">
        <v>45400.819342511575</v>
      </c>
      <c r="C325" t="s">
        <v>8</v>
      </c>
      <c r="D325" t="s">
        <v>81</v>
      </c>
      <c r="E325">
        <v>387</v>
      </c>
      <c r="F325" t="s">
        <v>15</v>
      </c>
    </row>
    <row r="326" spans="1:6" x14ac:dyDescent="0.35">
      <c r="A326" s="1">
        <v>45400</v>
      </c>
      <c r="B326" s="2">
        <v>45400.820011041666</v>
      </c>
      <c r="C326" t="s">
        <v>8</v>
      </c>
      <c r="D326" t="s">
        <v>25</v>
      </c>
      <c r="E326">
        <v>387</v>
      </c>
      <c r="F326" t="s">
        <v>15</v>
      </c>
    </row>
    <row r="327" spans="1:6" x14ac:dyDescent="0.35">
      <c r="A327" s="1">
        <v>45401</v>
      </c>
      <c r="B327" s="2">
        <v>45401.424030717593</v>
      </c>
      <c r="C327" t="s">
        <v>8</v>
      </c>
      <c r="D327" t="s">
        <v>60</v>
      </c>
      <c r="E327">
        <v>387</v>
      </c>
      <c r="F327" t="s">
        <v>32</v>
      </c>
    </row>
    <row r="328" spans="1:6" x14ac:dyDescent="0.35">
      <c r="A328" s="1">
        <v>45401</v>
      </c>
      <c r="B328" s="2">
        <v>45401.54985935185</v>
      </c>
      <c r="C328" t="s">
        <v>8</v>
      </c>
      <c r="D328" t="s">
        <v>16</v>
      </c>
      <c r="E328">
        <v>338</v>
      </c>
      <c r="F328" t="s">
        <v>36</v>
      </c>
    </row>
    <row r="329" spans="1:6" x14ac:dyDescent="0.35">
      <c r="A329" s="1">
        <v>45401</v>
      </c>
      <c r="B329" s="2">
        <v>45401.550936064814</v>
      </c>
      <c r="C329" t="s">
        <v>8</v>
      </c>
      <c r="D329" t="s">
        <v>16</v>
      </c>
      <c r="E329">
        <v>387</v>
      </c>
      <c r="F329" t="s">
        <v>24</v>
      </c>
    </row>
    <row r="330" spans="1:6" x14ac:dyDescent="0.35">
      <c r="A330" s="1">
        <v>45401</v>
      </c>
      <c r="B330" s="2">
        <v>45401.582570185186</v>
      </c>
      <c r="C330" t="s">
        <v>8</v>
      </c>
      <c r="D330" t="s">
        <v>179</v>
      </c>
      <c r="E330">
        <v>387</v>
      </c>
      <c r="F330" t="s">
        <v>15</v>
      </c>
    </row>
    <row r="331" spans="1:6" x14ac:dyDescent="0.35">
      <c r="A331" s="1">
        <v>45401</v>
      </c>
      <c r="B331" s="2">
        <v>45401.583214004633</v>
      </c>
      <c r="C331" t="s">
        <v>8</v>
      </c>
      <c r="D331" t="s">
        <v>179</v>
      </c>
      <c r="E331">
        <v>387</v>
      </c>
      <c r="F331" t="s">
        <v>24</v>
      </c>
    </row>
    <row r="332" spans="1:6" x14ac:dyDescent="0.35">
      <c r="A332" s="1">
        <v>45401</v>
      </c>
      <c r="B332" s="2">
        <v>45401.766195729164</v>
      </c>
      <c r="C332" t="s">
        <v>8</v>
      </c>
      <c r="D332" t="s">
        <v>81</v>
      </c>
      <c r="E332">
        <v>387</v>
      </c>
      <c r="F332" t="s">
        <v>10</v>
      </c>
    </row>
    <row r="333" spans="1:6" x14ac:dyDescent="0.35">
      <c r="A333" s="1">
        <v>45401</v>
      </c>
      <c r="B333" s="2">
        <v>45401.767748148151</v>
      </c>
      <c r="C333" t="s">
        <v>8</v>
      </c>
      <c r="D333" t="s">
        <v>25</v>
      </c>
      <c r="E333">
        <v>338</v>
      </c>
      <c r="F333" t="s">
        <v>36</v>
      </c>
    </row>
    <row r="334" spans="1:6" x14ac:dyDescent="0.35">
      <c r="A334" s="1">
        <v>45402</v>
      </c>
      <c r="B334" s="2">
        <v>45402.475493993057</v>
      </c>
      <c r="C334" t="s">
        <v>13</v>
      </c>
      <c r="D334" t="s">
        <v>1372</v>
      </c>
      <c r="E334">
        <v>350</v>
      </c>
      <c r="F334" t="s">
        <v>36</v>
      </c>
    </row>
    <row r="335" spans="1:6" x14ac:dyDescent="0.35">
      <c r="A335" s="1">
        <v>45402</v>
      </c>
      <c r="B335" s="2">
        <v>45402.505968761572</v>
      </c>
      <c r="C335" t="s">
        <v>8</v>
      </c>
      <c r="D335" t="s">
        <v>180</v>
      </c>
      <c r="E335">
        <v>338</v>
      </c>
      <c r="F335" t="s">
        <v>36</v>
      </c>
    </row>
    <row r="336" spans="1:6" x14ac:dyDescent="0.35">
      <c r="A336" s="1">
        <v>45402</v>
      </c>
      <c r="B336" s="2">
        <v>45402.506743796293</v>
      </c>
      <c r="C336" t="s">
        <v>8</v>
      </c>
      <c r="D336" t="s">
        <v>180</v>
      </c>
      <c r="E336">
        <v>338</v>
      </c>
      <c r="F336" t="s">
        <v>36</v>
      </c>
    </row>
    <row r="337" spans="1:6" x14ac:dyDescent="0.35">
      <c r="A337" s="1">
        <v>45402</v>
      </c>
      <c r="B337" s="2">
        <v>45402.547654837967</v>
      </c>
      <c r="C337" t="s">
        <v>8</v>
      </c>
      <c r="D337" t="s">
        <v>173</v>
      </c>
      <c r="E337">
        <v>289</v>
      </c>
      <c r="F337" t="s">
        <v>28</v>
      </c>
    </row>
    <row r="338" spans="1:6" x14ac:dyDescent="0.35">
      <c r="A338" s="1">
        <v>45402</v>
      </c>
      <c r="B338" s="2">
        <v>45402.548471122682</v>
      </c>
      <c r="C338" t="s">
        <v>8</v>
      </c>
      <c r="D338" t="s">
        <v>173</v>
      </c>
      <c r="E338">
        <v>338</v>
      </c>
      <c r="F338" t="s">
        <v>36</v>
      </c>
    </row>
    <row r="339" spans="1:6" x14ac:dyDescent="0.35">
      <c r="A339" s="1">
        <v>45402</v>
      </c>
      <c r="B339" s="2">
        <v>45402.549249432872</v>
      </c>
      <c r="C339" t="s">
        <v>8</v>
      </c>
      <c r="D339" t="s">
        <v>173</v>
      </c>
      <c r="E339">
        <v>387</v>
      </c>
      <c r="F339" t="s">
        <v>15</v>
      </c>
    </row>
    <row r="340" spans="1:6" x14ac:dyDescent="0.35">
      <c r="A340" s="1">
        <v>45402</v>
      </c>
      <c r="B340" s="2">
        <v>45402.614098587961</v>
      </c>
      <c r="C340" t="s">
        <v>8</v>
      </c>
      <c r="D340" t="s">
        <v>16</v>
      </c>
      <c r="E340">
        <v>387</v>
      </c>
      <c r="F340" t="s">
        <v>24</v>
      </c>
    </row>
    <row r="341" spans="1:6" x14ac:dyDescent="0.35">
      <c r="A341" s="1">
        <v>45402</v>
      </c>
      <c r="B341" s="2">
        <v>45402.632642708333</v>
      </c>
      <c r="C341" t="s">
        <v>8</v>
      </c>
      <c r="D341" t="s">
        <v>25</v>
      </c>
      <c r="E341">
        <v>338</v>
      </c>
      <c r="F341" t="s">
        <v>36</v>
      </c>
    </row>
    <row r="342" spans="1:6" x14ac:dyDescent="0.35">
      <c r="A342" s="1">
        <v>45402</v>
      </c>
      <c r="B342" s="2">
        <v>45402.640749039354</v>
      </c>
      <c r="C342" t="s">
        <v>8</v>
      </c>
      <c r="D342" t="s">
        <v>43</v>
      </c>
      <c r="E342">
        <v>3282</v>
      </c>
      <c r="F342" t="s">
        <v>36</v>
      </c>
    </row>
    <row r="343" spans="1:6" x14ac:dyDescent="0.35">
      <c r="A343" s="1">
        <v>45402</v>
      </c>
      <c r="B343" s="2">
        <v>45402.65931884259</v>
      </c>
      <c r="C343" t="s">
        <v>8</v>
      </c>
      <c r="D343" t="s">
        <v>181</v>
      </c>
      <c r="E343">
        <v>3282</v>
      </c>
      <c r="F343" t="s">
        <v>36</v>
      </c>
    </row>
    <row r="344" spans="1:6" x14ac:dyDescent="0.35">
      <c r="A344" s="1">
        <v>45402</v>
      </c>
      <c r="B344" s="2">
        <v>45402.713865381942</v>
      </c>
      <c r="C344" t="s">
        <v>13</v>
      </c>
      <c r="D344" t="s">
        <v>1372</v>
      </c>
      <c r="E344">
        <v>390</v>
      </c>
      <c r="F344" t="s">
        <v>10</v>
      </c>
    </row>
    <row r="345" spans="1:6" x14ac:dyDescent="0.35">
      <c r="A345" s="1">
        <v>45402</v>
      </c>
      <c r="B345" s="2">
        <v>45402.76923027778</v>
      </c>
      <c r="C345" t="s">
        <v>8</v>
      </c>
      <c r="D345" t="s">
        <v>182</v>
      </c>
      <c r="E345">
        <v>3772</v>
      </c>
      <c r="F345" t="s">
        <v>24</v>
      </c>
    </row>
    <row r="346" spans="1:6" x14ac:dyDescent="0.35">
      <c r="A346" s="1">
        <v>45402</v>
      </c>
      <c r="B346" s="2">
        <v>45402.769987268519</v>
      </c>
      <c r="C346" t="s">
        <v>8</v>
      </c>
      <c r="D346" t="s">
        <v>182</v>
      </c>
      <c r="E346">
        <v>3772</v>
      </c>
      <c r="F346" t="s">
        <v>24</v>
      </c>
    </row>
    <row r="347" spans="1:6" x14ac:dyDescent="0.35">
      <c r="A347" s="1">
        <v>45402</v>
      </c>
      <c r="B347" s="2">
        <v>45402.813140243059</v>
      </c>
      <c r="C347" t="s">
        <v>8</v>
      </c>
      <c r="D347" t="s">
        <v>183</v>
      </c>
      <c r="E347">
        <v>3772</v>
      </c>
      <c r="F347" t="s">
        <v>32</v>
      </c>
    </row>
    <row r="348" spans="1:6" x14ac:dyDescent="0.35">
      <c r="A348" s="1">
        <v>45403</v>
      </c>
      <c r="B348" s="2">
        <v>45403.469973460647</v>
      </c>
      <c r="C348" t="s">
        <v>8</v>
      </c>
      <c r="D348" t="s">
        <v>60</v>
      </c>
      <c r="E348">
        <v>3772</v>
      </c>
      <c r="F348" t="s">
        <v>32</v>
      </c>
    </row>
    <row r="349" spans="1:6" x14ac:dyDescent="0.35">
      <c r="A349" s="1">
        <v>45403</v>
      </c>
      <c r="B349" s="2">
        <v>45403.594184502312</v>
      </c>
      <c r="C349" t="s">
        <v>8</v>
      </c>
      <c r="D349" t="s">
        <v>154</v>
      </c>
      <c r="E349">
        <v>2792</v>
      </c>
      <c r="F349" t="s">
        <v>28</v>
      </c>
    </row>
    <row r="350" spans="1:6" x14ac:dyDescent="0.35">
      <c r="A350" s="1">
        <v>45403</v>
      </c>
      <c r="B350" s="2">
        <v>45403.714620358798</v>
      </c>
      <c r="C350" t="s">
        <v>13</v>
      </c>
      <c r="D350" t="s">
        <v>1372</v>
      </c>
      <c r="E350">
        <v>390</v>
      </c>
      <c r="F350" t="s">
        <v>24</v>
      </c>
    </row>
    <row r="351" spans="1:6" x14ac:dyDescent="0.35">
      <c r="A351" s="1">
        <v>45404</v>
      </c>
      <c r="B351" s="2">
        <v>45404.464773287036</v>
      </c>
      <c r="C351" t="s">
        <v>8</v>
      </c>
      <c r="D351" t="s">
        <v>43</v>
      </c>
      <c r="E351">
        <v>2792</v>
      </c>
      <c r="F351" t="s">
        <v>28</v>
      </c>
    </row>
    <row r="352" spans="1:6" x14ac:dyDescent="0.35">
      <c r="A352" s="1">
        <v>45404</v>
      </c>
      <c r="B352" s="2">
        <v>45404.478785868057</v>
      </c>
      <c r="C352" t="s">
        <v>8</v>
      </c>
      <c r="D352" t="s">
        <v>184</v>
      </c>
      <c r="E352">
        <v>3282</v>
      </c>
      <c r="F352" t="s">
        <v>36</v>
      </c>
    </row>
    <row r="353" spans="1:6" x14ac:dyDescent="0.35">
      <c r="A353" s="1">
        <v>45404</v>
      </c>
      <c r="B353" s="2">
        <v>45404.778160000002</v>
      </c>
      <c r="C353" t="s">
        <v>13</v>
      </c>
      <c r="D353" t="s">
        <v>1372</v>
      </c>
      <c r="E353">
        <v>390</v>
      </c>
      <c r="F353" t="s">
        <v>32</v>
      </c>
    </row>
    <row r="354" spans="1:6" x14ac:dyDescent="0.35">
      <c r="A354" s="1">
        <v>45404</v>
      </c>
      <c r="B354" s="2">
        <v>45404.81880508102</v>
      </c>
      <c r="C354" t="s">
        <v>8</v>
      </c>
      <c r="D354" t="s">
        <v>25</v>
      </c>
      <c r="E354">
        <v>3772</v>
      </c>
      <c r="F354" t="s">
        <v>32</v>
      </c>
    </row>
    <row r="355" spans="1:6" x14ac:dyDescent="0.35">
      <c r="A355" s="1">
        <v>45404</v>
      </c>
      <c r="B355" s="2">
        <v>45404.835059780089</v>
      </c>
      <c r="C355" t="s">
        <v>13</v>
      </c>
      <c r="D355" t="s">
        <v>1372</v>
      </c>
      <c r="E355">
        <v>390</v>
      </c>
      <c r="F355" t="s">
        <v>24</v>
      </c>
    </row>
    <row r="356" spans="1:6" x14ac:dyDescent="0.35">
      <c r="A356" s="1">
        <v>45405</v>
      </c>
      <c r="B356" s="2">
        <v>45405.599027719909</v>
      </c>
      <c r="C356" t="s">
        <v>8</v>
      </c>
      <c r="D356" t="s">
        <v>82</v>
      </c>
      <c r="E356">
        <v>3772</v>
      </c>
      <c r="F356" t="s">
        <v>24</v>
      </c>
    </row>
    <row r="357" spans="1:6" x14ac:dyDescent="0.35">
      <c r="A357" s="1">
        <v>45405</v>
      </c>
      <c r="B357" s="2">
        <v>45405.59992064815</v>
      </c>
      <c r="C357" t="s">
        <v>8</v>
      </c>
      <c r="D357" t="s">
        <v>81</v>
      </c>
      <c r="E357">
        <v>3282</v>
      </c>
      <c r="F357" t="s">
        <v>36</v>
      </c>
    </row>
    <row r="358" spans="1:6" x14ac:dyDescent="0.35">
      <c r="A358" s="1">
        <v>45405</v>
      </c>
      <c r="B358" s="2">
        <v>45405.600665682869</v>
      </c>
      <c r="C358" t="s">
        <v>8</v>
      </c>
      <c r="D358" t="s">
        <v>25</v>
      </c>
      <c r="E358">
        <v>3772</v>
      </c>
      <c r="F358" t="s">
        <v>24</v>
      </c>
    </row>
    <row r="359" spans="1:6" x14ac:dyDescent="0.35">
      <c r="A359" s="1">
        <v>45405</v>
      </c>
      <c r="B359" s="2">
        <v>45405.821154687503</v>
      </c>
      <c r="C359" t="s">
        <v>8</v>
      </c>
      <c r="D359" t="s">
        <v>185</v>
      </c>
      <c r="E359">
        <v>3282</v>
      </c>
      <c r="F359" t="s">
        <v>36</v>
      </c>
    </row>
    <row r="360" spans="1:6" x14ac:dyDescent="0.35">
      <c r="A360" s="1">
        <v>45405</v>
      </c>
      <c r="B360" s="2">
        <v>45405.821831412039</v>
      </c>
      <c r="C360" t="s">
        <v>8</v>
      </c>
      <c r="D360" t="s">
        <v>185</v>
      </c>
      <c r="E360">
        <v>3282</v>
      </c>
      <c r="F360" t="s">
        <v>36</v>
      </c>
    </row>
    <row r="361" spans="1:6" x14ac:dyDescent="0.35">
      <c r="A361" s="1">
        <v>45406</v>
      </c>
      <c r="B361" s="2">
        <v>45406.430304930553</v>
      </c>
      <c r="C361" t="s">
        <v>8</v>
      </c>
      <c r="D361" t="s">
        <v>60</v>
      </c>
      <c r="E361">
        <v>3772</v>
      </c>
      <c r="F361" t="s">
        <v>32</v>
      </c>
    </row>
    <row r="362" spans="1:6" x14ac:dyDescent="0.35">
      <c r="A362" s="1">
        <v>45406</v>
      </c>
      <c r="B362" s="2">
        <v>45406.43156582176</v>
      </c>
      <c r="C362" t="s">
        <v>8</v>
      </c>
      <c r="D362" t="s">
        <v>186</v>
      </c>
      <c r="E362">
        <v>3282</v>
      </c>
      <c r="F362" t="s">
        <v>36</v>
      </c>
    </row>
    <row r="363" spans="1:6" x14ac:dyDescent="0.35">
      <c r="A363" s="1">
        <v>45406</v>
      </c>
      <c r="B363" s="2">
        <v>45406.474839143521</v>
      </c>
      <c r="C363" t="s">
        <v>8</v>
      </c>
      <c r="D363" t="s">
        <v>187</v>
      </c>
      <c r="E363">
        <v>3282</v>
      </c>
      <c r="F363" t="s">
        <v>36</v>
      </c>
    </row>
    <row r="364" spans="1:6" x14ac:dyDescent="0.35">
      <c r="A364" s="1">
        <v>45406</v>
      </c>
      <c r="B364" s="2">
        <v>45406.481554942133</v>
      </c>
      <c r="C364" t="s">
        <v>8</v>
      </c>
      <c r="D364" t="s">
        <v>188</v>
      </c>
      <c r="E364">
        <v>3282</v>
      </c>
      <c r="F364" t="s">
        <v>36</v>
      </c>
    </row>
    <row r="365" spans="1:6" x14ac:dyDescent="0.35">
      <c r="A365" s="1">
        <v>45406</v>
      </c>
      <c r="B365" s="2">
        <v>45406.527190949077</v>
      </c>
      <c r="C365" t="s">
        <v>8</v>
      </c>
      <c r="D365" t="s">
        <v>115</v>
      </c>
      <c r="E365">
        <v>3282</v>
      </c>
      <c r="F365" t="s">
        <v>36</v>
      </c>
    </row>
    <row r="366" spans="1:6" x14ac:dyDescent="0.35">
      <c r="A366" s="1">
        <v>45406</v>
      </c>
      <c r="B366" s="2">
        <v>45406.693835914353</v>
      </c>
      <c r="C366" t="s">
        <v>8</v>
      </c>
      <c r="D366" t="s">
        <v>25</v>
      </c>
      <c r="E366">
        <v>3282</v>
      </c>
      <c r="F366" t="s">
        <v>36</v>
      </c>
    </row>
    <row r="367" spans="1:6" x14ac:dyDescent="0.35">
      <c r="A367" s="1">
        <v>45406</v>
      </c>
      <c r="B367" s="2">
        <v>45406.819328506943</v>
      </c>
      <c r="C367" t="s">
        <v>8</v>
      </c>
      <c r="D367" t="s">
        <v>189</v>
      </c>
      <c r="E367">
        <v>3282</v>
      </c>
      <c r="F367" t="s">
        <v>36</v>
      </c>
    </row>
    <row r="368" spans="1:6" x14ac:dyDescent="0.35">
      <c r="A368" s="1">
        <v>45406</v>
      </c>
      <c r="B368" s="2">
        <v>45406.820069803238</v>
      </c>
      <c r="C368" t="s">
        <v>8</v>
      </c>
      <c r="D368" t="s">
        <v>189</v>
      </c>
      <c r="E368">
        <v>3772</v>
      </c>
      <c r="F368" t="s">
        <v>24</v>
      </c>
    </row>
    <row r="369" spans="1:6" x14ac:dyDescent="0.35">
      <c r="A369" s="1">
        <v>45407</v>
      </c>
      <c r="B369" s="2">
        <v>45407.448704363429</v>
      </c>
      <c r="C369" t="s">
        <v>8</v>
      </c>
      <c r="D369" t="s">
        <v>190</v>
      </c>
      <c r="E369">
        <v>2792</v>
      </c>
      <c r="F369" t="s">
        <v>28</v>
      </c>
    </row>
    <row r="370" spans="1:6" x14ac:dyDescent="0.35">
      <c r="A370" s="1">
        <v>45407</v>
      </c>
      <c r="B370" s="2">
        <v>45407.63781216435</v>
      </c>
      <c r="C370" t="s">
        <v>8</v>
      </c>
      <c r="D370" t="s">
        <v>25</v>
      </c>
      <c r="E370">
        <v>3772</v>
      </c>
      <c r="F370" t="s">
        <v>32</v>
      </c>
    </row>
    <row r="371" spans="1:6" x14ac:dyDescent="0.35">
      <c r="A371" s="1">
        <v>45407</v>
      </c>
      <c r="B371" s="2">
        <v>45407.715087199074</v>
      </c>
      <c r="C371" t="s">
        <v>8</v>
      </c>
      <c r="D371" t="s">
        <v>43</v>
      </c>
      <c r="E371">
        <v>2792</v>
      </c>
      <c r="F371" t="s">
        <v>28</v>
      </c>
    </row>
    <row r="372" spans="1:6" x14ac:dyDescent="0.35">
      <c r="A372" s="1">
        <v>45407</v>
      </c>
      <c r="B372" s="2">
        <v>45407.715846678242</v>
      </c>
      <c r="C372" t="s">
        <v>8</v>
      </c>
      <c r="D372" t="s">
        <v>43</v>
      </c>
      <c r="E372">
        <v>2792</v>
      </c>
      <c r="F372" t="s">
        <v>28</v>
      </c>
    </row>
    <row r="373" spans="1:6" x14ac:dyDescent="0.35">
      <c r="A373" s="1">
        <v>45408</v>
      </c>
      <c r="B373" s="2">
        <v>45408.425585856479</v>
      </c>
      <c r="C373" t="s">
        <v>8</v>
      </c>
      <c r="D373" t="s">
        <v>60</v>
      </c>
      <c r="E373">
        <v>3772</v>
      </c>
      <c r="F373" t="s">
        <v>32</v>
      </c>
    </row>
    <row r="374" spans="1:6" x14ac:dyDescent="0.35">
      <c r="A374" s="1">
        <v>45408</v>
      </c>
      <c r="B374" s="2">
        <v>45408.501048379629</v>
      </c>
      <c r="C374" t="s">
        <v>8</v>
      </c>
      <c r="D374" t="s">
        <v>191</v>
      </c>
      <c r="E374">
        <v>3772</v>
      </c>
      <c r="F374" t="s">
        <v>32</v>
      </c>
    </row>
    <row r="375" spans="1:6" x14ac:dyDescent="0.35">
      <c r="A375" s="1">
        <v>45408</v>
      </c>
      <c r="B375" s="2">
        <v>45408.563521956021</v>
      </c>
      <c r="C375" t="s">
        <v>8</v>
      </c>
      <c r="D375" t="s">
        <v>192</v>
      </c>
      <c r="E375">
        <v>3772</v>
      </c>
      <c r="F375" t="s">
        <v>24</v>
      </c>
    </row>
    <row r="376" spans="1:6" x14ac:dyDescent="0.35">
      <c r="A376" s="1">
        <v>45408</v>
      </c>
      <c r="B376" s="2">
        <v>45408.647631828702</v>
      </c>
      <c r="C376" t="s">
        <v>8</v>
      </c>
      <c r="D376" t="s">
        <v>43</v>
      </c>
      <c r="E376">
        <v>2792</v>
      </c>
      <c r="F376" t="s">
        <v>28</v>
      </c>
    </row>
    <row r="377" spans="1:6" x14ac:dyDescent="0.35">
      <c r="A377" s="1">
        <v>45408</v>
      </c>
      <c r="B377" s="2">
        <v>45408.648300138891</v>
      </c>
      <c r="C377" t="s">
        <v>8</v>
      </c>
      <c r="D377" t="s">
        <v>43</v>
      </c>
      <c r="E377">
        <v>2792</v>
      </c>
      <c r="F377" t="s">
        <v>28</v>
      </c>
    </row>
    <row r="378" spans="1:6" x14ac:dyDescent="0.35">
      <c r="A378" s="1">
        <v>45408</v>
      </c>
      <c r="B378" s="2">
        <v>45408.682945763889</v>
      </c>
      <c r="C378" t="s">
        <v>8</v>
      </c>
      <c r="D378" t="s">
        <v>193</v>
      </c>
      <c r="E378">
        <v>2792</v>
      </c>
      <c r="F378" t="s">
        <v>20</v>
      </c>
    </row>
    <row r="379" spans="1:6" x14ac:dyDescent="0.35">
      <c r="A379" s="1">
        <v>45408</v>
      </c>
      <c r="B379" s="2">
        <v>45408.683724537033</v>
      </c>
      <c r="C379" t="s">
        <v>8</v>
      </c>
      <c r="D379" t="s">
        <v>194</v>
      </c>
      <c r="E379">
        <v>2792</v>
      </c>
      <c r="F379" t="s">
        <v>28</v>
      </c>
    </row>
    <row r="380" spans="1:6" x14ac:dyDescent="0.35">
      <c r="A380" s="1">
        <v>45408</v>
      </c>
      <c r="B380" s="2">
        <v>45408.813971203701</v>
      </c>
      <c r="C380" t="s">
        <v>8</v>
      </c>
      <c r="D380" t="s">
        <v>25</v>
      </c>
      <c r="E380">
        <v>3772</v>
      </c>
      <c r="F380" t="s">
        <v>15</v>
      </c>
    </row>
    <row r="381" spans="1:6" x14ac:dyDescent="0.35">
      <c r="A381" s="1">
        <v>45408</v>
      </c>
      <c r="B381" s="2">
        <v>45408.81493310185</v>
      </c>
      <c r="C381" t="s">
        <v>8</v>
      </c>
      <c r="D381" t="s">
        <v>25</v>
      </c>
      <c r="E381">
        <v>3772</v>
      </c>
      <c r="F381" t="s">
        <v>10</v>
      </c>
    </row>
    <row r="382" spans="1:6" x14ac:dyDescent="0.35">
      <c r="A382" s="1">
        <v>45409</v>
      </c>
      <c r="B382" s="2">
        <v>45409.64375787037</v>
      </c>
      <c r="C382" t="s">
        <v>8</v>
      </c>
      <c r="D382" t="s">
        <v>25</v>
      </c>
      <c r="E382">
        <v>3772</v>
      </c>
      <c r="F382" t="s">
        <v>24</v>
      </c>
    </row>
    <row r="383" spans="1:6" x14ac:dyDescent="0.35">
      <c r="A383" s="1">
        <v>45410</v>
      </c>
      <c r="B383" s="2">
        <v>45410.439496284722</v>
      </c>
      <c r="C383" t="s">
        <v>8</v>
      </c>
      <c r="D383" t="s">
        <v>60</v>
      </c>
      <c r="E383">
        <v>3772</v>
      </c>
      <c r="F383" t="s">
        <v>32</v>
      </c>
    </row>
    <row r="384" spans="1:6" x14ac:dyDescent="0.35">
      <c r="A384" s="1">
        <v>45410</v>
      </c>
      <c r="B384" s="2">
        <v>45410.520946168981</v>
      </c>
      <c r="C384" t="s">
        <v>8</v>
      </c>
      <c r="D384" t="s">
        <v>195</v>
      </c>
      <c r="E384">
        <v>3772</v>
      </c>
      <c r="F384" t="s">
        <v>24</v>
      </c>
    </row>
    <row r="385" spans="1:6" x14ac:dyDescent="0.35">
      <c r="A385" s="1">
        <v>45410</v>
      </c>
      <c r="B385" s="2">
        <v>45410.768845254628</v>
      </c>
      <c r="C385" t="s">
        <v>8</v>
      </c>
      <c r="D385" t="s">
        <v>43</v>
      </c>
      <c r="E385">
        <v>2792</v>
      </c>
      <c r="F385" t="s">
        <v>28</v>
      </c>
    </row>
    <row r="386" spans="1:6" x14ac:dyDescent="0.35">
      <c r="A386" s="1">
        <v>45410</v>
      </c>
      <c r="B386" s="2">
        <v>45410.769576516206</v>
      </c>
      <c r="C386" t="s">
        <v>8</v>
      </c>
      <c r="D386" t="s">
        <v>43</v>
      </c>
      <c r="E386">
        <v>2792</v>
      </c>
      <c r="F386" t="s">
        <v>28</v>
      </c>
    </row>
    <row r="387" spans="1:6" x14ac:dyDescent="0.35">
      <c r="A387" s="1">
        <v>45410</v>
      </c>
      <c r="B387" s="2">
        <v>45410.770166365743</v>
      </c>
      <c r="C387" t="s">
        <v>8</v>
      </c>
      <c r="D387" t="s">
        <v>76</v>
      </c>
      <c r="E387">
        <v>3772</v>
      </c>
      <c r="F387" t="s">
        <v>32</v>
      </c>
    </row>
    <row r="388" spans="1:6" x14ac:dyDescent="0.35">
      <c r="A388" s="1">
        <v>45411</v>
      </c>
      <c r="B388" s="2">
        <v>45411.476757766206</v>
      </c>
      <c r="C388" t="s">
        <v>8</v>
      </c>
      <c r="D388" t="s">
        <v>40</v>
      </c>
      <c r="E388">
        <v>2792</v>
      </c>
      <c r="F388" t="s">
        <v>20</v>
      </c>
    </row>
    <row r="389" spans="1:6" x14ac:dyDescent="0.35">
      <c r="A389" s="1">
        <v>45411</v>
      </c>
      <c r="B389" s="2">
        <v>45411.561075798614</v>
      </c>
      <c r="C389" t="s">
        <v>8</v>
      </c>
      <c r="D389" t="s">
        <v>62</v>
      </c>
      <c r="E389">
        <v>2792</v>
      </c>
      <c r="F389" t="s">
        <v>28</v>
      </c>
    </row>
    <row r="390" spans="1:6" x14ac:dyDescent="0.35">
      <c r="A390" s="1">
        <v>45411</v>
      </c>
      <c r="B390" s="2">
        <v>45411.56173494213</v>
      </c>
      <c r="C390" t="s">
        <v>8</v>
      </c>
      <c r="D390" t="s">
        <v>62</v>
      </c>
      <c r="E390">
        <v>2792</v>
      </c>
      <c r="F390" t="s">
        <v>20</v>
      </c>
    </row>
    <row r="391" spans="1:6" x14ac:dyDescent="0.35">
      <c r="A391" s="1">
        <v>45411</v>
      </c>
      <c r="B391" s="2">
        <v>45411.578885763891</v>
      </c>
      <c r="C391" t="s">
        <v>8</v>
      </c>
      <c r="D391" t="s">
        <v>40</v>
      </c>
      <c r="E391">
        <v>2792</v>
      </c>
      <c r="F391" t="s">
        <v>20</v>
      </c>
    </row>
    <row r="392" spans="1:6" x14ac:dyDescent="0.35">
      <c r="A392" s="1">
        <v>45411</v>
      </c>
      <c r="B392" s="2">
        <v>45411.579448576391</v>
      </c>
      <c r="C392" t="s">
        <v>8</v>
      </c>
      <c r="D392" t="s">
        <v>40</v>
      </c>
      <c r="E392">
        <v>3282</v>
      </c>
      <c r="F392" t="s">
        <v>36</v>
      </c>
    </row>
    <row r="393" spans="1:6" x14ac:dyDescent="0.35">
      <c r="A393" s="1">
        <v>45411</v>
      </c>
      <c r="B393" s="2">
        <v>45411.776254699071</v>
      </c>
      <c r="C393" t="s">
        <v>8</v>
      </c>
      <c r="D393" t="s">
        <v>195</v>
      </c>
      <c r="E393">
        <v>3772</v>
      </c>
      <c r="F393" t="s">
        <v>24</v>
      </c>
    </row>
    <row r="394" spans="1:6" x14ac:dyDescent="0.35">
      <c r="A394" s="1">
        <v>45411</v>
      </c>
      <c r="B394" s="2">
        <v>45411.800384189817</v>
      </c>
      <c r="C394" t="s">
        <v>8</v>
      </c>
      <c r="D394" t="s">
        <v>189</v>
      </c>
      <c r="E394">
        <v>3772</v>
      </c>
      <c r="F394" t="s">
        <v>24</v>
      </c>
    </row>
    <row r="395" spans="1:6" x14ac:dyDescent="0.35">
      <c r="A395" s="1">
        <v>45411</v>
      </c>
      <c r="B395" s="2">
        <v>45411.80113284722</v>
      </c>
      <c r="C395" t="s">
        <v>8</v>
      </c>
      <c r="D395" t="s">
        <v>189</v>
      </c>
      <c r="E395">
        <v>3772</v>
      </c>
      <c r="F395" t="s">
        <v>24</v>
      </c>
    </row>
    <row r="396" spans="1:6" x14ac:dyDescent="0.35">
      <c r="A396" s="1">
        <v>45412</v>
      </c>
      <c r="B396" s="2">
        <v>45412.428258020831</v>
      </c>
      <c r="C396" t="s">
        <v>8</v>
      </c>
      <c r="D396" t="s">
        <v>196</v>
      </c>
      <c r="E396">
        <v>3772</v>
      </c>
      <c r="F396" t="s">
        <v>32</v>
      </c>
    </row>
    <row r="397" spans="1:6" x14ac:dyDescent="0.35">
      <c r="A397" s="1">
        <v>45412</v>
      </c>
      <c r="B397" s="2">
        <v>45412.440882523151</v>
      </c>
      <c r="C397" t="s">
        <v>8</v>
      </c>
      <c r="D397" t="s">
        <v>196</v>
      </c>
      <c r="E397">
        <v>3282</v>
      </c>
      <c r="F397" t="s">
        <v>36</v>
      </c>
    </row>
    <row r="398" spans="1:6" x14ac:dyDescent="0.35">
      <c r="A398" s="1">
        <v>45412</v>
      </c>
      <c r="B398" s="2">
        <v>45412.441523344911</v>
      </c>
      <c r="C398" t="s">
        <v>8</v>
      </c>
      <c r="D398" t="s">
        <v>196</v>
      </c>
      <c r="E398">
        <v>3282</v>
      </c>
      <c r="F398" t="s">
        <v>36</v>
      </c>
    </row>
    <row r="399" spans="1:6" x14ac:dyDescent="0.35">
      <c r="A399" s="1">
        <v>45412</v>
      </c>
      <c r="B399" s="2">
        <v>45412.570744502314</v>
      </c>
      <c r="C399" t="s">
        <v>8</v>
      </c>
      <c r="D399" t="s">
        <v>196</v>
      </c>
      <c r="E399">
        <v>2792</v>
      </c>
      <c r="F399" t="s">
        <v>28</v>
      </c>
    </row>
    <row r="400" spans="1:6" x14ac:dyDescent="0.35">
      <c r="A400" s="1">
        <v>45412</v>
      </c>
      <c r="B400" s="2">
        <v>45412.571527511573</v>
      </c>
      <c r="C400" t="s">
        <v>8</v>
      </c>
      <c r="D400" t="s">
        <v>196</v>
      </c>
      <c r="E400">
        <v>3282</v>
      </c>
      <c r="F400" t="s">
        <v>36</v>
      </c>
    </row>
    <row r="401" spans="1:6" x14ac:dyDescent="0.35">
      <c r="A401" s="1">
        <v>45412</v>
      </c>
      <c r="B401" s="2">
        <v>45412.805071053241</v>
      </c>
      <c r="C401" t="s">
        <v>8</v>
      </c>
      <c r="D401" t="s">
        <v>196</v>
      </c>
      <c r="E401">
        <v>3772</v>
      </c>
      <c r="F401" t="s">
        <v>24</v>
      </c>
    </row>
    <row r="402" spans="1:6" x14ac:dyDescent="0.35">
      <c r="A402" s="1">
        <v>45412</v>
      </c>
      <c r="B402" s="2">
        <v>45412.812546331021</v>
      </c>
      <c r="C402" t="s">
        <v>8</v>
      </c>
      <c r="D402" t="s">
        <v>196</v>
      </c>
      <c r="E402">
        <v>3282</v>
      </c>
      <c r="F402" t="s">
        <v>36</v>
      </c>
    </row>
    <row r="403" spans="1:6" x14ac:dyDescent="0.35">
      <c r="A403" s="1">
        <v>45412</v>
      </c>
      <c r="B403" s="2">
        <v>45412.813436944445</v>
      </c>
      <c r="C403" t="s">
        <v>8</v>
      </c>
      <c r="D403" t="s">
        <v>196</v>
      </c>
      <c r="E403">
        <v>3772</v>
      </c>
      <c r="F403" t="s">
        <v>32</v>
      </c>
    </row>
    <row r="404" spans="1:6" x14ac:dyDescent="0.35">
      <c r="A404" s="1">
        <v>45414</v>
      </c>
      <c r="B404" s="2">
        <v>45414.440228541665</v>
      </c>
      <c r="C404" t="s">
        <v>8</v>
      </c>
      <c r="D404" t="s">
        <v>197</v>
      </c>
      <c r="E404">
        <v>2792</v>
      </c>
      <c r="F404" t="s">
        <v>28</v>
      </c>
    </row>
    <row r="405" spans="1:6" x14ac:dyDescent="0.35">
      <c r="A405" s="1">
        <v>45414</v>
      </c>
      <c r="B405" s="2">
        <v>45414.479132870372</v>
      </c>
      <c r="C405" t="s">
        <v>13</v>
      </c>
      <c r="D405" t="s">
        <v>1372</v>
      </c>
      <c r="E405">
        <v>390</v>
      </c>
      <c r="F405" t="s">
        <v>32</v>
      </c>
    </row>
    <row r="406" spans="1:6" x14ac:dyDescent="0.35">
      <c r="A406" s="1">
        <v>45414</v>
      </c>
      <c r="B406" s="2">
        <v>45414.576156226853</v>
      </c>
      <c r="C406" t="s">
        <v>8</v>
      </c>
      <c r="D406" t="s">
        <v>188</v>
      </c>
      <c r="E406">
        <v>3282</v>
      </c>
      <c r="F406" t="s">
        <v>36</v>
      </c>
    </row>
    <row r="407" spans="1:6" x14ac:dyDescent="0.35">
      <c r="A407" s="1">
        <v>45414</v>
      </c>
      <c r="B407" s="2">
        <v>45414.775256226851</v>
      </c>
      <c r="C407" t="s">
        <v>8</v>
      </c>
      <c r="D407" t="s">
        <v>198</v>
      </c>
      <c r="E407">
        <v>3772</v>
      </c>
      <c r="F407" t="s">
        <v>24</v>
      </c>
    </row>
    <row r="408" spans="1:6" x14ac:dyDescent="0.35">
      <c r="A408" s="1">
        <v>45414</v>
      </c>
      <c r="B408" s="2">
        <v>45414.77860208333</v>
      </c>
      <c r="C408" t="s">
        <v>8</v>
      </c>
      <c r="D408" t="s">
        <v>81</v>
      </c>
      <c r="E408">
        <v>3282</v>
      </c>
      <c r="F408" t="s">
        <v>36</v>
      </c>
    </row>
    <row r="409" spans="1:6" x14ac:dyDescent="0.35">
      <c r="A409" s="1">
        <v>45414</v>
      </c>
      <c r="B409" s="2">
        <v>45414.804549583336</v>
      </c>
      <c r="C409" t="s">
        <v>8</v>
      </c>
      <c r="D409" t="s">
        <v>199</v>
      </c>
      <c r="E409">
        <v>3772</v>
      </c>
      <c r="F409" t="s">
        <v>32</v>
      </c>
    </row>
    <row r="410" spans="1:6" x14ac:dyDescent="0.35">
      <c r="A410" s="1">
        <v>45414</v>
      </c>
      <c r="B410" s="2">
        <v>45414.805513414351</v>
      </c>
      <c r="C410" t="s">
        <v>8</v>
      </c>
      <c r="D410" t="s">
        <v>199</v>
      </c>
      <c r="E410">
        <v>3772</v>
      </c>
      <c r="F410" t="s">
        <v>24</v>
      </c>
    </row>
    <row r="411" spans="1:6" x14ac:dyDescent="0.35">
      <c r="A411" s="1">
        <v>45415</v>
      </c>
      <c r="B411" s="2">
        <v>45415.424923599538</v>
      </c>
      <c r="C411" t="s">
        <v>13</v>
      </c>
      <c r="D411" t="s">
        <v>1372</v>
      </c>
      <c r="E411">
        <v>390</v>
      </c>
      <c r="F411" t="s">
        <v>32</v>
      </c>
    </row>
    <row r="412" spans="1:6" x14ac:dyDescent="0.35">
      <c r="A412" s="1">
        <v>45415</v>
      </c>
      <c r="B412" s="2">
        <v>45415.604177349538</v>
      </c>
      <c r="C412" t="s">
        <v>8</v>
      </c>
      <c r="D412" t="s">
        <v>200</v>
      </c>
      <c r="E412">
        <v>3772</v>
      </c>
      <c r="F412" t="s">
        <v>32</v>
      </c>
    </row>
    <row r="413" spans="1:6" x14ac:dyDescent="0.35">
      <c r="A413" s="1">
        <v>45415</v>
      </c>
      <c r="B413" s="2">
        <v>45415.71070491898</v>
      </c>
      <c r="C413" t="s">
        <v>8</v>
      </c>
      <c r="D413" t="s">
        <v>201</v>
      </c>
      <c r="E413">
        <v>3772</v>
      </c>
      <c r="F413" t="s">
        <v>32</v>
      </c>
    </row>
    <row r="414" spans="1:6" x14ac:dyDescent="0.35">
      <c r="A414" s="1">
        <v>45418</v>
      </c>
      <c r="B414" s="2">
        <v>45418.420346296298</v>
      </c>
      <c r="C414" t="s">
        <v>8</v>
      </c>
      <c r="D414" t="s">
        <v>202</v>
      </c>
      <c r="E414">
        <v>2792</v>
      </c>
      <c r="F414" t="s">
        <v>28</v>
      </c>
    </row>
    <row r="415" spans="1:6" x14ac:dyDescent="0.35">
      <c r="A415" s="1">
        <v>45418</v>
      </c>
      <c r="B415" s="2">
        <v>45418.421430844908</v>
      </c>
      <c r="C415" t="s">
        <v>8</v>
      </c>
      <c r="D415" t="s">
        <v>203</v>
      </c>
      <c r="E415">
        <v>3772</v>
      </c>
      <c r="F415" t="s">
        <v>24</v>
      </c>
    </row>
    <row r="416" spans="1:6" x14ac:dyDescent="0.35">
      <c r="A416" s="1">
        <v>45418</v>
      </c>
      <c r="B416" s="2">
        <v>45418.42229008102</v>
      </c>
      <c r="C416" t="s">
        <v>8</v>
      </c>
      <c r="D416" t="s">
        <v>203</v>
      </c>
      <c r="E416">
        <v>3282</v>
      </c>
      <c r="F416" t="s">
        <v>36</v>
      </c>
    </row>
    <row r="417" spans="1:6" x14ac:dyDescent="0.35">
      <c r="A417" s="1">
        <v>45418</v>
      </c>
      <c r="B417" s="2">
        <v>45418.423008993057</v>
      </c>
      <c r="C417" t="s">
        <v>8</v>
      </c>
      <c r="D417" t="s">
        <v>204</v>
      </c>
      <c r="E417">
        <v>2792</v>
      </c>
      <c r="F417" t="s">
        <v>28</v>
      </c>
    </row>
    <row r="418" spans="1:6" x14ac:dyDescent="0.35">
      <c r="A418" s="1">
        <v>45418</v>
      </c>
      <c r="B418" s="2">
        <v>45418.443896307872</v>
      </c>
      <c r="C418" t="s">
        <v>8</v>
      </c>
      <c r="D418" t="s">
        <v>40</v>
      </c>
      <c r="E418">
        <v>2792</v>
      </c>
      <c r="F418" t="s">
        <v>20</v>
      </c>
    </row>
    <row r="419" spans="1:6" x14ac:dyDescent="0.35">
      <c r="A419" s="1">
        <v>45418</v>
      </c>
      <c r="B419" s="2">
        <v>45418.482183333334</v>
      </c>
      <c r="C419" t="s">
        <v>13</v>
      </c>
      <c r="D419" t="s">
        <v>1372</v>
      </c>
      <c r="E419">
        <v>290</v>
      </c>
      <c r="F419" t="s">
        <v>28</v>
      </c>
    </row>
    <row r="420" spans="1:6" x14ac:dyDescent="0.35">
      <c r="A420" s="1">
        <v>45418</v>
      </c>
      <c r="B420" s="2">
        <v>45418.554293865738</v>
      </c>
      <c r="C420" t="s">
        <v>8</v>
      </c>
      <c r="D420" t="s">
        <v>202</v>
      </c>
      <c r="E420">
        <v>2792</v>
      </c>
      <c r="F420" t="s">
        <v>20</v>
      </c>
    </row>
    <row r="421" spans="1:6" x14ac:dyDescent="0.35">
      <c r="A421" s="1">
        <v>45418</v>
      </c>
      <c r="B421" s="2">
        <v>45418.554870497683</v>
      </c>
      <c r="C421" t="s">
        <v>8</v>
      </c>
      <c r="D421" t="s">
        <v>202</v>
      </c>
      <c r="E421">
        <v>2792</v>
      </c>
      <c r="F421" t="s">
        <v>28</v>
      </c>
    </row>
    <row r="422" spans="1:6" x14ac:dyDescent="0.35">
      <c r="A422" s="1">
        <v>45418</v>
      </c>
      <c r="B422" s="2">
        <v>45418.804317002316</v>
      </c>
      <c r="C422" t="s">
        <v>8</v>
      </c>
      <c r="D422" t="s">
        <v>205</v>
      </c>
      <c r="E422">
        <v>3772</v>
      </c>
      <c r="F422" t="s">
        <v>24</v>
      </c>
    </row>
    <row r="423" spans="1:6" x14ac:dyDescent="0.35">
      <c r="A423" s="1">
        <v>45418</v>
      </c>
      <c r="B423" s="2">
        <v>45418.80543458333</v>
      </c>
      <c r="C423" t="s">
        <v>8</v>
      </c>
      <c r="D423" t="s">
        <v>205</v>
      </c>
      <c r="E423">
        <v>3772</v>
      </c>
      <c r="F423" t="s">
        <v>24</v>
      </c>
    </row>
    <row r="424" spans="1:6" x14ac:dyDescent="0.35">
      <c r="A424" s="1">
        <v>45419</v>
      </c>
      <c r="B424" s="2">
        <v>45419.447865532406</v>
      </c>
      <c r="C424" t="s">
        <v>8</v>
      </c>
      <c r="D424" t="s">
        <v>202</v>
      </c>
      <c r="E424">
        <v>3772</v>
      </c>
      <c r="F424" t="s">
        <v>10</v>
      </c>
    </row>
    <row r="425" spans="1:6" x14ac:dyDescent="0.35">
      <c r="A425" s="1">
        <v>45419</v>
      </c>
      <c r="B425" s="2">
        <v>45419.473593668983</v>
      </c>
      <c r="C425" t="s">
        <v>8</v>
      </c>
      <c r="D425" t="s">
        <v>40</v>
      </c>
      <c r="E425">
        <v>2792</v>
      </c>
      <c r="F425" t="s">
        <v>20</v>
      </c>
    </row>
    <row r="426" spans="1:6" x14ac:dyDescent="0.35">
      <c r="A426" s="1">
        <v>45419</v>
      </c>
      <c r="B426" s="2">
        <v>45419.558043321762</v>
      </c>
      <c r="C426" t="s">
        <v>8</v>
      </c>
      <c r="D426" t="s">
        <v>133</v>
      </c>
      <c r="E426">
        <v>2792</v>
      </c>
      <c r="F426" t="s">
        <v>20</v>
      </c>
    </row>
    <row r="427" spans="1:6" x14ac:dyDescent="0.35">
      <c r="A427" s="1">
        <v>45419</v>
      </c>
      <c r="B427" s="2">
        <v>45419.695924768515</v>
      </c>
      <c r="C427" t="s">
        <v>8</v>
      </c>
      <c r="D427" t="s">
        <v>202</v>
      </c>
      <c r="E427">
        <v>3772</v>
      </c>
      <c r="F427" t="s">
        <v>10</v>
      </c>
    </row>
    <row r="428" spans="1:6" x14ac:dyDescent="0.35">
      <c r="A428" s="1">
        <v>45419</v>
      </c>
      <c r="B428" s="2">
        <v>45419.705310243058</v>
      </c>
      <c r="C428" t="s">
        <v>8</v>
      </c>
      <c r="D428" t="s">
        <v>206</v>
      </c>
      <c r="E428">
        <v>2792</v>
      </c>
      <c r="F428" t="s">
        <v>28</v>
      </c>
    </row>
    <row r="429" spans="1:6" x14ac:dyDescent="0.35">
      <c r="A429" s="1">
        <v>45419</v>
      </c>
      <c r="B429" s="2">
        <v>45419.734564953702</v>
      </c>
      <c r="C429" t="s">
        <v>8</v>
      </c>
      <c r="D429" t="s">
        <v>207</v>
      </c>
      <c r="E429">
        <v>3772</v>
      </c>
      <c r="F429" t="s">
        <v>24</v>
      </c>
    </row>
    <row r="430" spans="1:6" x14ac:dyDescent="0.35">
      <c r="A430" s="1">
        <v>45419</v>
      </c>
      <c r="B430" s="2">
        <v>45419.735280034722</v>
      </c>
      <c r="C430" t="s">
        <v>8</v>
      </c>
      <c r="D430" t="s">
        <v>207</v>
      </c>
      <c r="E430">
        <v>3772</v>
      </c>
      <c r="F430" t="s">
        <v>32</v>
      </c>
    </row>
    <row r="431" spans="1:6" x14ac:dyDescent="0.35">
      <c r="A431" s="1">
        <v>45419</v>
      </c>
      <c r="B431" s="2">
        <v>45419.774736516207</v>
      </c>
      <c r="C431" t="s">
        <v>13</v>
      </c>
      <c r="D431" t="s">
        <v>1372</v>
      </c>
      <c r="E431">
        <v>340</v>
      </c>
      <c r="F431" t="s">
        <v>36</v>
      </c>
    </row>
    <row r="432" spans="1:6" x14ac:dyDescent="0.35">
      <c r="A432" s="1">
        <v>45419</v>
      </c>
      <c r="B432" s="2">
        <v>45419.800144953704</v>
      </c>
      <c r="C432" t="s">
        <v>8</v>
      </c>
      <c r="D432" t="s">
        <v>208</v>
      </c>
      <c r="E432">
        <v>3772</v>
      </c>
      <c r="F432" t="s">
        <v>24</v>
      </c>
    </row>
    <row r="433" spans="1:6" x14ac:dyDescent="0.35">
      <c r="A433" s="1">
        <v>45419</v>
      </c>
      <c r="B433" s="2">
        <v>45419.800835590278</v>
      </c>
      <c r="C433" t="s">
        <v>8</v>
      </c>
      <c r="D433" t="s">
        <v>208</v>
      </c>
      <c r="E433">
        <v>3772</v>
      </c>
      <c r="F433" t="s">
        <v>24</v>
      </c>
    </row>
    <row r="434" spans="1:6" x14ac:dyDescent="0.35">
      <c r="A434" s="1">
        <v>45420</v>
      </c>
      <c r="B434" s="2">
        <v>45420.421861840281</v>
      </c>
      <c r="C434" t="s">
        <v>8</v>
      </c>
      <c r="D434" t="s">
        <v>60</v>
      </c>
      <c r="E434">
        <v>3772</v>
      </c>
      <c r="F434" t="s">
        <v>32</v>
      </c>
    </row>
    <row r="435" spans="1:6" x14ac:dyDescent="0.35">
      <c r="A435" s="1">
        <v>45421</v>
      </c>
      <c r="B435" s="2">
        <v>45421.537752453703</v>
      </c>
      <c r="C435" t="s">
        <v>8</v>
      </c>
      <c r="D435" t="s">
        <v>209</v>
      </c>
      <c r="E435">
        <v>3772</v>
      </c>
      <c r="F435" t="s">
        <v>24</v>
      </c>
    </row>
    <row r="436" spans="1:6" x14ac:dyDescent="0.35">
      <c r="A436" s="1">
        <v>45421</v>
      </c>
      <c r="B436" s="2">
        <v>45421.544427731482</v>
      </c>
      <c r="C436" t="s">
        <v>8</v>
      </c>
      <c r="D436" t="s">
        <v>210</v>
      </c>
      <c r="E436">
        <v>2792</v>
      </c>
      <c r="F436" t="s">
        <v>28</v>
      </c>
    </row>
    <row r="437" spans="1:6" x14ac:dyDescent="0.35">
      <c r="A437" s="1">
        <v>45421</v>
      </c>
      <c r="B437" s="2">
        <v>45421.54511165509</v>
      </c>
      <c r="C437" t="s">
        <v>8</v>
      </c>
      <c r="D437" t="s">
        <v>210</v>
      </c>
      <c r="E437">
        <v>3772</v>
      </c>
      <c r="F437" t="s">
        <v>32</v>
      </c>
    </row>
    <row r="438" spans="1:6" x14ac:dyDescent="0.35">
      <c r="A438" s="1">
        <v>45421</v>
      </c>
      <c r="B438" s="2">
        <v>45421.545963668985</v>
      </c>
      <c r="C438" t="s">
        <v>8</v>
      </c>
      <c r="D438" t="s">
        <v>210</v>
      </c>
      <c r="E438">
        <v>3772</v>
      </c>
      <c r="F438" t="s">
        <v>32</v>
      </c>
    </row>
    <row r="439" spans="1:6" x14ac:dyDescent="0.35">
      <c r="A439" s="1">
        <v>45421</v>
      </c>
      <c r="B439" s="2">
        <v>45421.546717696758</v>
      </c>
      <c r="C439" t="s">
        <v>8</v>
      </c>
      <c r="D439" t="s">
        <v>210</v>
      </c>
      <c r="E439">
        <v>3772</v>
      </c>
      <c r="F439" t="s">
        <v>32</v>
      </c>
    </row>
    <row r="440" spans="1:6" x14ac:dyDescent="0.35">
      <c r="A440" s="1">
        <v>45421</v>
      </c>
      <c r="B440" s="2">
        <v>45421.705030104167</v>
      </c>
      <c r="C440" t="s">
        <v>8</v>
      </c>
      <c r="D440" t="s">
        <v>173</v>
      </c>
      <c r="E440">
        <v>2792</v>
      </c>
      <c r="F440" t="s">
        <v>28</v>
      </c>
    </row>
    <row r="441" spans="1:6" x14ac:dyDescent="0.35">
      <c r="A441" s="1">
        <v>45421</v>
      </c>
      <c r="B441" s="2">
        <v>45421.70572903935</v>
      </c>
      <c r="C441" t="s">
        <v>8</v>
      </c>
      <c r="D441" t="s">
        <v>173</v>
      </c>
      <c r="E441">
        <v>2792</v>
      </c>
      <c r="F441" t="s">
        <v>28</v>
      </c>
    </row>
    <row r="442" spans="1:6" x14ac:dyDescent="0.35">
      <c r="A442" s="1">
        <v>45421</v>
      </c>
      <c r="B442" s="2">
        <v>45421.751040451389</v>
      </c>
      <c r="C442" t="s">
        <v>8</v>
      </c>
      <c r="D442" t="s">
        <v>211</v>
      </c>
      <c r="E442">
        <v>2792</v>
      </c>
      <c r="F442" t="s">
        <v>28</v>
      </c>
    </row>
    <row r="443" spans="1:6" x14ac:dyDescent="0.35">
      <c r="A443" s="1">
        <v>45421</v>
      </c>
      <c r="B443" s="2">
        <v>45421.759678541668</v>
      </c>
      <c r="C443" t="s">
        <v>8</v>
      </c>
      <c r="D443" t="s">
        <v>197</v>
      </c>
      <c r="E443">
        <v>3282</v>
      </c>
      <c r="F443" t="s">
        <v>36</v>
      </c>
    </row>
    <row r="444" spans="1:6" x14ac:dyDescent="0.35">
      <c r="A444" s="1">
        <v>45422</v>
      </c>
      <c r="B444" s="2">
        <v>45422.423170972223</v>
      </c>
      <c r="C444" t="s">
        <v>13</v>
      </c>
      <c r="D444" t="s">
        <v>1372</v>
      </c>
      <c r="E444">
        <v>390</v>
      </c>
      <c r="F444" t="s">
        <v>32</v>
      </c>
    </row>
    <row r="445" spans="1:6" x14ac:dyDescent="0.35">
      <c r="A445" s="1">
        <v>45422</v>
      </c>
      <c r="B445" s="2">
        <v>45422.65719341435</v>
      </c>
      <c r="C445" t="s">
        <v>8</v>
      </c>
      <c r="D445" t="s">
        <v>212</v>
      </c>
      <c r="E445">
        <v>3772</v>
      </c>
      <c r="F445" t="s">
        <v>32</v>
      </c>
    </row>
    <row r="446" spans="1:6" x14ac:dyDescent="0.35">
      <c r="A446" s="1">
        <v>45422</v>
      </c>
      <c r="B446" s="2">
        <v>45422.658015138892</v>
      </c>
      <c r="C446" t="s">
        <v>8</v>
      </c>
      <c r="D446" t="s">
        <v>212</v>
      </c>
      <c r="E446">
        <v>3772</v>
      </c>
      <c r="F446" t="s">
        <v>32</v>
      </c>
    </row>
    <row r="447" spans="1:6" x14ac:dyDescent="0.35">
      <c r="A447" s="1">
        <v>45422</v>
      </c>
      <c r="B447" s="2">
        <v>45422.680730138891</v>
      </c>
      <c r="C447" t="s">
        <v>13</v>
      </c>
      <c r="D447" t="s">
        <v>1372</v>
      </c>
      <c r="E447">
        <v>340</v>
      </c>
      <c r="F447" t="s">
        <v>36</v>
      </c>
    </row>
    <row r="448" spans="1:6" x14ac:dyDescent="0.35">
      <c r="A448" s="1">
        <v>45423</v>
      </c>
      <c r="B448" s="2">
        <v>45423.486028680556</v>
      </c>
      <c r="C448" t="s">
        <v>8</v>
      </c>
      <c r="D448" t="s">
        <v>125</v>
      </c>
      <c r="E448">
        <v>3772</v>
      </c>
      <c r="F448" t="s">
        <v>32</v>
      </c>
    </row>
    <row r="449" spans="1:6" x14ac:dyDescent="0.35">
      <c r="A449" s="1">
        <v>45423</v>
      </c>
      <c r="B449" s="2">
        <v>45423.710227407406</v>
      </c>
      <c r="C449" t="s">
        <v>13</v>
      </c>
      <c r="D449" t="s">
        <v>1372</v>
      </c>
      <c r="E449">
        <v>390</v>
      </c>
      <c r="F449" t="s">
        <v>32</v>
      </c>
    </row>
    <row r="450" spans="1:6" x14ac:dyDescent="0.35">
      <c r="A450" s="1">
        <v>45423</v>
      </c>
      <c r="B450" s="2">
        <v>45423.722574050924</v>
      </c>
      <c r="C450" t="s">
        <v>8</v>
      </c>
      <c r="D450" t="s">
        <v>25</v>
      </c>
      <c r="E450">
        <v>3282</v>
      </c>
      <c r="F450" t="s">
        <v>36</v>
      </c>
    </row>
    <row r="451" spans="1:6" x14ac:dyDescent="0.35">
      <c r="A451" s="1">
        <v>45423</v>
      </c>
      <c r="B451" s="2">
        <v>45423.723566168985</v>
      </c>
      <c r="C451" t="s">
        <v>8</v>
      </c>
      <c r="D451" t="s">
        <v>83</v>
      </c>
      <c r="E451">
        <v>3772</v>
      </c>
      <c r="F451" t="s">
        <v>10</v>
      </c>
    </row>
    <row r="452" spans="1:6" x14ac:dyDescent="0.35">
      <c r="A452" s="1">
        <v>45423</v>
      </c>
      <c r="B452" s="2">
        <v>45423.724968761577</v>
      </c>
      <c r="C452" t="s">
        <v>8</v>
      </c>
      <c r="D452" t="s">
        <v>16</v>
      </c>
      <c r="E452">
        <v>3772</v>
      </c>
      <c r="F452" t="s">
        <v>24</v>
      </c>
    </row>
    <row r="453" spans="1:6" x14ac:dyDescent="0.35">
      <c r="A453" s="1">
        <v>45423</v>
      </c>
      <c r="B453" s="2">
        <v>45423.728404305555</v>
      </c>
      <c r="C453" t="s">
        <v>8</v>
      </c>
      <c r="D453" t="s">
        <v>43</v>
      </c>
      <c r="E453">
        <v>3282</v>
      </c>
      <c r="F453" t="s">
        <v>36</v>
      </c>
    </row>
    <row r="454" spans="1:6" x14ac:dyDescent="0.35">
      <c r="A454" s="1">
        <v>45423</v>
      </c>
      <c r="B454" s="2">
        <v>45423.774771493052</v>
      </c>
      <c r="C454" t="s">
        <v>8</v>
      </c>
      <c r="D454" t="s">
        <v>170</v>
      </c>
      <c r="E454">
        <v>3772</v>
      </c>
      <c r="F454" t="s">
        <v>24</v>
      </c>
    </row>
    <row r="455" spans="1:6" x14ac:dyDescent="0.35">
      <c r="A455" s="1">
        <v>45423</v>
      </c>
      <c r="B455" s="2">
        <v>45423.818241851855</v>
      </c>
      <c r="C455" t="s">
        <v>8</v>
      </c>
      <c r="D455" t="s">
        <v>213</v>
      </c>
      <c r="E455">
        <v>3772</v>
      </c>
      <c r="F455" t="s">
        <v>32</v>
      </c>
    </row>
    <row r="456" spans="1:6" x14ac:dyDescent="0.35">
      <c r="A456" s="1">
        <v>45424</v>
      </c>
      <c r="B456" s="2">
        <v>45424.431047592596</v>
      </c>
      <c r="C456" t="s">
        <v>8</v>
      </c>
      <c r="D456" t="s">
        <v>60</v>
      </c>
      <c r="E456">
        <v>3772</v>
      </c>
      <c r="F456" t="s">
        <v>32</v>
      </c>
    </row>
    <row r="457" spans="1:6" x14ac:dyDescent="0.35">
      <c r="A457" s="1">
        <v>45424</v>
      </c>
      <c r="B457" s="2">
        <v>45424.558373437503</v>
      </c>
      <c r="C457" t="s">
        <v>8</v>
      </c>
      <c r="D457" t="s">
        <v>214</v>
      </c>
      <c r="E457">
        <v>3772</v>
      </c>
      <c r="F457" t="s">
        <v>32</v>
      </c>
    </row>
    <row r="458" spans="1:6" x14ac:dyDescent="0.35">
      <c r="A458" s="1">
        <v>45424</v>
      </c>
      <c r="B458" s="2">
        <v>45424.560868553242</v>
      </c>
      <c r="C458" t="s">
        <v>8</v>
      </c>
      <c r="D458" t="s">
        <v>215</v>
      </c>
      <c r="E458">
        <v>2792</v>
      </c>
      <c r="F458" t="s">
        <v>28</v>
      </c>
    </row>
    <row r="459" spans="1:6" x14ac:dyDescent="0.35">
      <c r="A459" s="1">
        <v>45424</v>
      </c>
      <c r="B459" s="2">
        <v>45424.63634045139</v>
      </c>
      <c r="C459" t="s">
        <v>8</v>
      </c>
      <c r="D459" t="s">
        <v>133</v>
      </c>
      <c r="E459">
        <v>3772</v>
      </c>
      <c r="F459" t="s">
        <v>32</v>
      </c>
    </row>
    <row r="460" spans="1:6" x14ac:dyDescent="0.35">
      <c r="A460" s="1">
        <v>45424</v>
      </c>
      <c r="B460" s="2">
        <v>45424.651416921297</v>
      </c>
      <c r="C460" t="s">
        <v>8</v>
      </c>
      <c r="D460" t="s">
        <v>216</v>
      </c>
      <c r="E460">
        <v>3282</v>
      </c>
      <c r="F460" t="s">
        <v>36</v>
      </c>
    </row>
    <row r="461" spans="1:6" x14ac:dyDescent="0.35">
      <c r="A461" s="1">
        <v>45424</v>
      </c>
      <c r="B461" s="2">
        <v>45424.661283229165</v>
      </c>
      <c r="C461" t="s">
        <v>8</v>
      </c>
      <c r="D461" t="s">
        <v>217</v>
      </c>
      <c r="E461">
        <v>3282</v>
      </c>
      <c r="F461" t="s">
        <v>36</v>
      </c>
    </row>
    <row r="462" spans="1:6" x14ac:dyDescent="0.35">
      <c r="A462" s="1">
        <v>45424</v>
      </c>
      <c r="B462" s="2">
        <v>45424.66968903935</v>
      </c>
      <c r="C462" t="s">
        <v>8</v>
      </c>
      <c r="D462" t="s">
        <v>43</v>
      </c>
      <c r="E462">
        <v>3282</v>
      </c>
      <c r="F462" t="s">
        <v>36</v>
      </c>
    </row>
    <row r="463" spans="1:6" x14ac:dyDescent="0.35">
      <c r="A463" s="1">
        <v>45424</v>
      </c>
      <c r="B463" s="2">
        <v>45424.820492696759</v>
      </c>
      <c r="C463" t="s">
        <v>8</v>
      </c>
      <c r="D463" t="s">
        <v>25</v>
      </c>
      <c r="E463">
        <v>3282</v>
      </c>
      <c r="F463" t="s">
        <v>36</v>
      </c>
    </row>
    <row r="464" spans="1:6" x14ac:dyDescent="0.35">
      <c r="A464" s="1">
        <v>45425</v>
      </c>
      <c r="B464" s="2">
        <v>45425.461034120373</v>
      </c>
      <c r="C464" t="s">
        <v>8</v>
      </c>
      <c r="D464" t="s">
        <v>218</v>
      </c>
      <c r="E464">
        <v>3282</v>
      </c>
      <c r="F464" t="s">
        <v>36</v>
      </c>
    </row>
    <row r="465" spans="1:6" x14ac:dyDescent="0.35">
      <c r="A465" s="1">
        <v>45425</v>
      </c>
      <c r="B465" s="2">
        <v>45425.64665234954</v>
      </c>
      <c r="C465" t="s">
        <v>13</v>
      </c>
      <c r="D465" t="s">
        <v>1372</v>
      </c>
      <c r="E465">
        <v>290</v>
      </c>
      <c r="F465" t="s">
        <v>28</v>
      </c>
    </row>
    <row r="466" spans="1:6" x14ac:dyDescent="0.35">
      <c r="A466" s="1">
        <v>45425</v>
      </c>
      <c r="B466" s="2">
        <v>45425.647116979169</v>
      </c>
      <c r="C466" t="s">
        <v>13</v>
      </c>
      <c r="D466" t="s">
        <v>1372</v>
      </c>
      <c r="E466">
        <v>290</v>
      </c>
      <c r="F466" t="s">
        <v>28</v>
      </c>
    </row>
    <row r="467" spans="1:6" x14ac:dyDescent="0.35">
      <c r="A467" s="1">
        <v>45426</v>
      </c>
      <c r="B467" s="2">
        <v>45426.359890983797</v>
      </c>
      <c r="C467" t="s">
        <v>8</v>
      </c>
      <c r="D467" t="s">
        <v>43</v>
      </c>
      <c r="E467">
        <v>2792</v>
      </c>
      <c r="F467" t="s">
        <v>28</v>
      </c>
    </row>
    <row r="468" spans="1:6" x14ac:dyDescent="0.35">
      <c r="A468" s="1">
        <v>45426</v>
      </c>
      <c r="B468" s="2">
        <v>45426.360711284724</v>
      </c>
      <c r="C468" t="s">
        <v>8</v>
      </c>
      <c r="D468" t="s">
        <v>43</v>
      </c>
      <c r="E468">
        <v>2792</v>
      </c>
      <c r="F468" t="s">
        <v>28</v>
      </c>
    </row>
    <row r="469" spans="1:6" x14ac:dyDescent="0.35">
      <c r="A469" s="1">
        <v>45426</v>
      </c>
      <c r="B469" s="2">
        <v>45426.361313472225</v>
      </c>
      <c r="C469" t="s">
        <v>8</v>
      </c>
      <c r="D469" t="s">
        <v>43</v>
      </c>
      <c r="E469">
        <v>2792</v>
      </c>
      <c r="F469" t="s">
        <v>28</v>
      </c>
    </row>
    <row r="470" spans="1:6" x14ac:dyDescent="0.35">
      <c r="A470" s="1">
        <v>45426</v>
      </c>
      <c r="B470" s="2">
        <v>45426.430129328706</v>
      </c>
      <c r="C470" t="s">
        <v>8</v>
      </c>
      <c r="D470" t="s">
        <v>43</v>
      </c>
      <c r="E470">
        <v>3772</v>
      </c>
      <c r="F470" t="s">
        <v>24</v>
      </c>
    </row>
    <row r="471" spans="1:6" x14ac:dyDescent="0.35">
      <c r="A471" s="1">
        <v>45426</v>
      </c>
      <c r="B471" s="2">
        <v>45426.480895509259</v>
      </c>
      <c r="C471" t="s">
        <v>8</v>
      </c>
      <c r="D471" t="s">
        <v>219</v>
      </c>
      <c r="E471">
        <v>3772</v>
      </c>
      <c r="F471" t="s">
        <v>32</v>
      </c>
    </row>
    <row r="472" spans="1:6" x14ac:dyDescent="0.35">
      <c r="A472" s="1">
        <v>45426</v>
      </c>
      <c r="B472" s="2">
        <v>45426.482093182873</v>
      </c>
      <c r="C472" t="s">
        <v>8</v>
      </c>
      <c r="D472" t="s">
        <v>219</v>
      </c>
      <c r="E472">
        <v>3772</v>
      </c>
      <c r="F472" t="s">
        <v>24</v>
      </c>
    </row>
    <row r="473" spans="1:6" x14ac:dyDescent="0.35">
      <c r="A473" s="1">
        <v>45426</v>
      </c>
      <c r="B473" s="2">
        <v>45426.586742824074</v>
      </c>
      <c r="C473" t="s">
        <v>8</v>
      </c>
      <c r="D473" t="s">
        <v>82</v>
      </c>
      <c r="E473">
        <v>3772</v>
      </c>
      <c r="F473" t="s">
        <v>24</v>
      </c>
    </row>
    <row r="474" spans="1:6" x14ac:dyDescent="0.35">
      <c r="A474" s="1">
        <v>45426</v>
      </c>
      <c r="B474" s="2">
        <v>45426.587504374998</v>
      </c>
      <c r="C474" t="s">
        <v>8</v>
      </c>
      <c r="D474" t="s">
        <v>25</v>
      </c>
      <c r="E474">
        <v>3282</v>
      </c>
      <c r="F474" t="s">
        <v>36</v>
      </c>
    </row>
    <row r="475" spans="1:6" x14ac:dyDescent="0.35">
      <c r="A475" s="1">
        <v>45426</v>
      </c>
      <c r="B475" s="2">
        <v>45426.626328530096</v>
      </c>
      <c r="C475" t="s">
        <v>8</v>
      </c>
      <c r="D475" t="s">
        <v>16</v>
      </c>
      <c r="E475">
        <v>2792</v>
      </c>
      <c r="F475" t="s">
        <v>28</v>
      </c>
    </row>
    <row r="476" spans="1:6" x14ac:dyDescent="0.35">
      <c r="A476" s="1">
        <v>45426</v>
      </c>
      <c r="B476" s="2">
        <v>45426.706912314818</v>
      </c>
      <c r="C476" t="s">
        <v>8</v>
      </c>
      <c r="D476" t="s">
        <v>220</v>
      </c>
      <c r="E476">
        <v>3282</v>
      </c>
      <c r="F476" t="s">
        <v>36</v>
      </c>
    </row>
    <row r="477" spans="1:6" x14ac:dyDescent="0.35">
      <c r="A477" s="1">
        <v>45426</v>
      </c>
      <c r="B477" s="2">
        <v>45426.707756875003</v>
      </c>
      <c r="C477" t="s">
        <v>8</v>
      </c>
      <c r="D477" t="s">
        <v>220</v>
      </c>
      <c r="E477">
        <v>3772</v>
      </c>
      <c r="F477" t="s">
        <v>24</v>
      </c>
    </row>
    <row r="478" spans="1:6" x14ac:dyDescent="0.35">
      <c r="A478" s="1">
        <v>45426</v>
      </c>
      <c r="B478" s="2">
        <v>45426.952375312503</v>
      </c>
      <c r="C478" t="s">
        <v>8</v>
      </c>
      <c r="D478" t="s">
        <v>221</v>
      </c>
      <c r="E478">
        <v>3772</v>
      </c>
      <c r="F478" t="s">
        <v>15</v>
      </c>
    </row>
    <row r="479" spans="1:6" x14ac:dyDescent="0.35">
      <c r="A479" s="1">
        <v>45427</v>
      </c>
      <c r="B479" s="2">
        <v>45427.361176631945</v>
      </c>
      <c r="C479" t="s">
        <v>8</v>
      </c>
      <c r="D479" t="s">
        <v>222</v>
      </c>
      <c r="E479">
        <v>3772</v>
      </c>
      <c r="F479" t="s">
        <v>32</v>
      </c>
    </row>
    <row r="480" spans="1:6" x14ac:dyDescent="0.35">
      <c r="A480" s="1">
        <v>45427</v>
      </c>
      <c r="B480" s="2">
        <v>45427.468279548608</v>
      </c>
      <c r="C480" t="s">
        <v>8</v>
      </c>
      <c r="D480" t="s">
        <v>43</v>
      </c>
      <c r="E480">
        <v>2302</v>
      </c>
      <c r="F480" t="s">
        <v>5</v>
      </c>
    </row>
    <row r="481" spans="1:6" x14ac:dyDescent="0.35">
      <c r="A481" s="1">
        <v>45427</v>
      </c>
      <c r="B481" s="2">
        <v>45427.47164408565</v>
      </c>
      <c r="C481" t="s">
        <v>8</v>
      </c>
      <c r="D481" t="s">
        <v>43</v>
      </c>
      <c r="E481">
        <v>2792</v>
      </c>
      <c r="F481" t="s">
        <v>28</v>
      </c>
    </row>
    <row r="482" spans="1:6" x14ac:dyDescent="0.35">
      <c r="A482" s="1">
        <v>45427</v>
      </c>
      <c r="B482" s="2">
        <v>45427.565684050925</v>
      </c>
      <c r="C482" t="s">
        <v>8</v>
      </c>
      <c r="D482" t="s">
        <v>62</v>
      </c>
      <c r="E482">
        <v>2792</v>
      </c>
      <c r="F482" t="s">
        <v>28</v>
      </c>
    </row>
    <row r="483" spans="1:6" x14ac:dyDescent="0.35">
      <c r="A483" s="1">
        <v>45427</v>
      </c>
      <c r="B483" s="2">
        <v>45427.566309849535</v>
      </c>
      <c r="C483" t="s">
        <v>8</v>
      </c>
      <c r="D483" t="s">
        <v>62</v>
      </c>
      <c r="E483">
        <v>2792</v>
      </c>
      <c r="F483" t="s">
        <v>28</v>
      </c>
    </row>
    <row r="484" spans="1:6" x14ac:dyDescent="0.35">
      <c r="A484" s="1">
        <v>45427</v>
      </c>
      <c r="B484" s="2">
        <v>45427.566983090277</v>
      </c>
      <c r="C484" t="s">
        <v>8</v>
      </c>
      <c r="D484" t="s">
        <v>62</v>
      </c>
      <c r="E484">
        <v>2792</v>
      </c>
      <c r="F484" t="s">
        <v>28</v>
      </c>
    </row>
    <row r="485" spans="1:6" x14ac:dyDescent="0.35">
      <c r="A485" s="1">
        <v>45427</v>
      </c>
      <c r="B485" s="2">
        <v>45427.580196747687</v>
      </c>
      <c r="C485" t="s">
        <v>8</v>
      </c>
      <c r="D485" t="s">
        <v>218</v>
      </c>
      <c r="E485">
        <v>3282</v>
      </c>
      <c r="F485" t="s">
        <v>36</v>
      </c>
    </row>
    <row r="486" spans="1:6" x14ac:dyDescent="0.35">
      <c r="A486" s="1">
        <v>45427</v>
      </c>
      <c r="B486" s="2">
        <v>45427.609847766202</v>
      </c>
      <c r="C486" t="s">
        <v>13</v>
      </c>
      <c r="D486" t="s">
        <v>1372</v>
      </c>
      <c r="E486">
        <v>290</v>
      </c>
      <c r="F486" t="s">
        <v>28</v>
      </c>
    </row>
    <row r="487" spans="1:6" x14ac:dyDescent="0.35">
      <c r="A487" s="1">
        <v>45427</v>
      </c>
      <c r="B487" s="2">
        <v>45427.610328090275</v>
      </c>
      <c r="C487" t="s">
        <v>8</v>
      </c>
      <c r="D487" t="s">
        <v>223</v>
      </c>
      <c r="E487">
        <v>2792</v>
      </c>
      <c r="F487" t="s">
        <v>20</v>
      </c>
    </row>
    <row r="488" spans="1:6" x14ac:dyDescent="0.35">
      <c r="A488" s="1">
        <v>45427</v>
      </c>
      <c r="B488" s="2">
        <v>45427.610930173614</v>
      </c>
      <c r="C488" t="s">
        <v>8</v>
      </c>
      <c r="D488" t="s">
        <v>43</v>
      </c>
      <c r="E488">
        <v>2792</v>
      </c>
      <c r="F488" t="s">
        <v>20</v>
      </c>
    </row>
    <row r="489" spans="1:6" x14ac:dyDescent="0.35">
      <c r="A489" s="1">
        <v>45427</v>
      </c>
      <c r="B489" s="2">
        <v>45427.728456249999</v>
      </c>
      <c r="C489" t="s">
        <v>8</v>
      </c>
      <c r="D489" t="s">
        <v>224</v>
      </c>
      <c r="E489">
        <v>2302</v>
      </c>
      <c r="F489" t="s">
        <v>5</v>
      </c>
    </row>
    <row r="490" spans="1:6" x14ac:dyDescent="0.35">
      <c r="A490" s="1">
        <v>45427</v>
      </c>
      <c r="B490" s="2">
        <v>45427.847624641203</v>
      </c>
      <c r="C490" t="s">
        <v>8</v>
      </c>
      <c r="D490" t="s">
        <v>225</v>
      </c>
      <c r="E490">
        <v>3772</v>
      </c>
      <c r="F490" t="s">
        <v>24</v>
      </c>
    </row>
    <row r="491" spans="1:6" x14ac:dyDescent="0.35">
      <c r="A491" s="1">
        <v>45428</v>
      </c>
      <c r="B491" s="2">
        <v>45428.443546967595</v>
      </c>
      <c r="C491" t="s">
        <v>8</v>
      </c>
      <c r="D491" t="s">
        <v>11</v>
      </c>
      <c r="E491">
        <v>3282</v>
      </c>
      <c r="F491" t="s">
        <v>36</v>
      </c>
    </row>
    <row r="492" spans="1:6" x14ac:dyDescent="0.35">
      <c r="A492" s="1">
        <v>45428</v>
      </c>
      <c r="B492" s="2">
        <v>45428.444322118055</v>
      </c>
      <c r="C492" t="s">
        <v>8</v>
      </c>
      <c r="D492" t="s">
        <v>226</v>
      </c>
      <c r="E492">
        <v>3282</v>
      </c>
      <c r="F492" t="s">
        <v>36</v>
      </c>
    </row>
    <row r="493" spans="1:6" x14ac:dyDescent="0.35">
      <c r="A493" s="1">
        <v>45428</v>
      </c>
      <c r="B493" s="2">
        <v>45428.488082002317</v>
      </c>
      <c r="C493" t="s">
        <v>13</v>
      </c>
      <c r="D493" t="s">
        <v>1372</v>
      </c>
      <c r="E493">
        <v>390</v>
      </c>
      <c r="F493" t="s">
        <v>32</v>
      </c>
    </row>
    <row r="494" spans="1:6" x14ac:dyDescent="0.35">
      <c r="A494" s="1">
        <v>45428</v>
      </c>
      <c r="B494" s="2">
        <v>45428.489129756941</v>
      </c>
      <c r="C494" t="s">
        <v>13</v>
      </c>
      <c r="D494" t="s">
        <v>1372</v>
      </c>
      <c r="E494">
        <v>390</v>
      </c>
      <c r="F494" t="s">
        <v>24</v>
      </c>
    </row>
    <row r="495" spans="1:6" x14ac:dyDescent="0.35">
      <c r="A495" s="1">
        <v>45428</v>
      </c>
      <c r="B495" s="2">
        <v>45428.509723344905</v>
      </c>
      <c r="C495" t="s">
        <v>8</v>
      </c>
      <c r="D495" t="s">
        <v>227</v>
      </c>
      <c r="E495">
        <v>3282</v>
      </c>
      <c r="F495" t="s">
        <v>36</v>
      </c>
    </row>
    <row r="496" spans="1:6" x14ac:dyDescent="0.35">
      <c r="A496" s="1">
        <v>45428</v>
      </c>
      <c r="B496" s="2">
        <v>45428.635605497686</v>
      </c>
      <c r="C496" t="s">
        <v>8</v>
      </c>
      <c r="D496" t="s">
        <v>228</v>
      </c>
      <c r="E496">
        <v>3772</v>
      </c>
      <c r="F496" t="s">
        <v>15</v>
      </c>
    </row>
    <row r="497" spans="1:6" x14ac:dyDescent="0.35">
      <c r="A497" s="1">
        <v>45428</v>
      </c>
      <c r="B497" s="2">
        <v>45428.73925402778</v>
      </c>
      <c r="C497" t="s">
        <v>8</v>
      </c>
      <c r="D497" t="s">
        <v>125</v>
      </c>
      <c r="E497">
        <v>3772</v>
      </c>
      <c r="F497" t="s">
        <v>32</v>
      </c>
    </row>
    <row r="498" spans="1:6" x14ac:dyDescent="0.35">
      <c r="A498" s="1">
        <v>45428</v>
      </c>
      <c r="B498" s="2">
        <v>45428.758992291667</v>
      </c>
      <c r="C498" t="s">
        <v>8</v>
      </c>
      <c r="D498" t="s">
        <v>229</v>
      </c>
      <c r="E498">
        <v>3772</v>
      </c>
      <c r="F498" t="s">
        <v>15</v>
      </c>
    </row>
    <row r="499" spans="1:6" x14ac:dyDescent="0.35">
      <c r="A499" s="1">
        <v>45428</v>
      </c>
      <c r="B499" s="2">
        <v>45428.759701284725</v>
      </c>
      <c r="C499" t="s">
        <v>8</v>
      </c>
      <c r="D499" t="s">
        <v>229</v>
      </c>
      <c r="E499">
        <v>3772</v>
      </c>
      <c r="F499" t="s">
        <v>32</v>
      </c>
    </row>
    <row r="500" spans="1:6" x14ac:dyDescent="0.35">
      <c r="A500" s="1">
        <v>45429</v>
      </c>
      <c r="B500" s="2">
        <v>45429.37556083333</v>
      </c>
      <c r="C500" t="s">
        <v>8</v>
      </c>
      <c r="D500" t="s">
        <v>90</v>
      </c>
      <c r="E500">
        <v>2792</v>
      </c>
      <c r="F500" t="s">
        <v>28</v>
      </c>
    </row>
    <row r="501" spans="1:6" x14ac:dyDescent="0.35">
      <c r="A501" s="1">
        <v>45429</v>
      </c>
      <c r="B501" s="2">
        <v>45429.479485567128</v>
      </c>
      <c r="C501" t="s">
        <v>8</v>
      </c>
      <c r="D501" t="s">
        <v>218</v>
      </c>
      <c r="E501">
        <v>3282</v>
      </c>
      <c r="F501" t="s">
        <v>36</v>
      </c>
    </row>
    <row r="502" spans="1:6" x14ac:dyDescent="0.35">
      <c r="A502" s="1">
        <v>45429</v>
      </c>
      <c r="B502" s="2">
        <v>45429.623646527776</v>
      </c>
      <c r="C502" t="s">
        <v>13</v>
      </c>
      <c r="D502" t="s">
        <v>1372</v>
      </c>
      <c r="E502">
        <v>340</v>
      </c>
      <c r="F502" t="s">
        <v>36</v>
      </c>
    </row>
    <row r="503" spans="1:6" x14ac:dyDescent="0.35">
      <c r="A503" s="1">
        <v>45429</v>
      </c>
      <c r="B503" s="2">
        <v>45429.830075625003</v>
      </c>
      <c r="C503" t="s">
        <v>8</v>
      </c>
      <c r="D503" t="s">
        <v>43</v>
      </c>
      <c r="E503">
        <v>3282</v>
      </c>
      <c r="F503" t="s">
        <v>36</v>
      </c>
    </row>
    <row r="504" spans="1:6" x14ac:dyDescent="0.35">
      <c r="A504" s="1">
        <v>45429</v>
      </c>
      <c r="B504" s="2">
        <v>45429.831096655093</v>
      </c>
      <c r="C504" t="s">
        <v>8</v>
      </c>
      <c r="D504" t="s">
        <v>25</v>
      </c>
      <c r="E504">
        <v>3772</v>
      </c>
      <c r="F504" t="s">
        <v>24</v>
      </c>
    </row>
    <row r="505" spans="1:6" x14ac:dyDescent="0.35">
      <c r="A505" s="1">
        <v>45429</v>
      </c>
      <c r="B505" s="2">
        <v>45429.859640393515</v>
      </c>
      <c r="C505" t="s">
        <v>8</v>
      </c>
      <c r="D505" t="s">
        <v>230</v>
      </c>
      <c r="E505">
        <v>3772</v>
      </c>
      <c r="F505" t="s">
        <v>24</v>
      </c>
    </row>
    <row r="506" spans="1:6" x14ac:dyDescent="0.35">
      <c r="A506" s="1">
        <v>45429</v>
      </c>
      <c r="B506" s="2">
        <v>45429.940865706019</v>
      </c>
      <c r="C506" t="s">
        <v>8</v>
      </c>
      <c r="D506" t="s">
        <v>231</v>
      </c>
      <c r="E506">
        <v>2792</v>
      </c>
      <c r="F506" t="s">
        <v>28</v>
      </c>
    </row>
    <row r="507" spans="1:6" x14ac:dyDescent="0.35">
      <c r="A507" s="1">
        <v>45429</v>
      </c>
      <c r="B507" s="2">
        <v>45429.942052743056</v>
      </c>
      <c r="C507" t="s">
        <v>8</v>
      </c>
      <c r="D507" t="s">
        <v>232</v>
      </c>
      <c r="E507">
        <v>3772</v>
      </c>
      <c r="F507" t="s">
        <v>32</v>
      </c>
    </row>
    <row r="508" spans="1:6" x14ac:dyDescent="0.35">
      <c r="A508" s="1">
        <v>45429</v>
      </c>
      <c r="B508" s="2">
        <v>45429.942856724534</v>
      </c>
      <c r="C508" t="s">
        <v>8</v>
      </c>
      <c r="D508" t="s">
        <v>233</v>
      </c>
      <c r="E508">
        <v>3772</v>
      </c>
      <c r="F508" t="s">
        <v>32</v>
      </c>
    </row>
    <row r="509" spans="1:6" x14ac:dyDescent="0.35">
      <c r="A509" s="1">
        <v>45430</v>
      </c>
      <c r="B509" s="2">
        <v>45430.334466412038</v>
      </c>
      <c r="C509" t="s">
        <v>8</v>
      </c>
      <c r="D509" t="s">
        <v>234</v>
      </c>
      <c r="E509">
        <v>3772</v>
      </c>
      <c r="F509" t="s">
        <v>24</v>
      </c>
    </row>
    <row r="510" spans="1:6" x14ac:dyDescent="0.35">
      <c r="A510" s="1">
        <v>45430</v>
      </c>
      <c r="B510" s="2">
        <v>45430.335184710646</v>
      </c>
      <c r="C510" t="s">
        <v>8</v>
      </c>
      <c r="D510" t="s">
        <v>234</v>
      </c>
      <c r="E510">
        <v>3772</v>
      </c>
      <c r="F510" t="s">
        <v>24</v>
      </c>
    </row>
    <row r="511" spans="1:6" x14ac:dyDescent="0.35">
      <c r="A511" s="1">
        <v>45430</v>
      </c>
      <c r="B511" s="2">
        <v>45430.469399178241</v>
      </c>
      <c r="C511" t="s">
        <v>8</v>
      </c>
      <c r="D511" t="s">
        <v>235</v>
      </c>
      <c r="E511">
        <v>3282</v>
      </c>
      <c r="F511" t="s">
        <v>36</v>
      </c>
    </row>
    <row r="512" spans="1:6" x14ac:dyDescent="0.35">
      <c r="A512" s="1">
        <v>45430</v>
      </c>
      <c r="B512" s="2">
        <v>45430.700339976851</v>
      </c>
      <c r="C512" t="s">
        <v>8</v>
      </c>
      <c r="D512" t="s">
        <v>226</v>
      </c>
      <c r="E512">
        <v>3282</v>
      </c>
      <c r="F512" t="s">
        <v>36</v>
      </c>
    </row>
    <row r="513" spans="1:6" x14ac:dyDescent="0.35">
      <c r="A513" s="1">
        <v>45430</v>
      </c>
      <c r="B513" s="2">
        <v>45430.701008460645</v>
      </c>
      <c r="C513" t="s">
        <v>8</v>
      </c>
      <c r="D513" t="s">
        <v>11</v>
      </c>
      <c r="E513">
        <v>3282</v>
      </c>
      <c r="F513" t="s">
        <v>36</v>
      </c>
    </row>
    <row r="514" spans="1:6" x14ac:dyDescent="0.35">
      <c r="A514" s="1">
        <v>45430</v>
      </c>
      <c r="B514" s="2">
        <v>45430.83245613426</v>
      </c>
      <c r="C514" t="s">
        <v>8</v>
      </c>
      <c r="D514" t="s">
        <v>16</v>
      </c>
      <c r="E514">
        <v>3282</v>
      </c>
      <c r="F514" t="s">
        <v>36</v>
      </c>
    </row>
    <row r="515" spans="1:6" x14ac:dyDescent="0.35">
      <c r="A515" s="1">
        <v>45430</v>
      </c>
      <c r="B515" s="2">
        <v>45430.849225821759</v>
      </c>
      <c r="C515" t="s">
        <v>8</v>
      </c>
      <c r="D515" t="s">
        <v>25</v>
      </c>
      <c r="E515">
        <v>3772</v>
      </c>
      <c r="F515" t="s">
        <v>32</v>
      </c>
    </row>
    <row r="516" spans="1:6" x14ac:dyDescent="0.35">
      <c r="A516" s="1">
        <v>45430</v>
      </c>
      <c r="B516" s="2">
        <v>45430.920456863423</v>
      </c>
      <c r="C516" t="s">
        <v>13</v>
      </c>
      <c r="D516" t="s">
        <v>1372</v>
      </c>
      <c r="E516">
        <v>390</v>
      </c>
      <c r="F516" t="s">
        <v>24</v>
      </c>
    </row>
    <row r="517" spans="1:6" x14ac:dyDescent="0.35">
      <c r="A517" s="1">
        <v>45431</v>
      </c>
      <c r="B517" s="2">
        <v>45431.332387870367</v>
      </c>
      <c r="C517" t="s">
        <v>8</v>
      </c>
      <c r="D517" t="s">
        <v>236</v>
      </c>
      <c r="E517">
        <v>2792</v>
      </c>
      <c r="F517" t="s">
        <v>28</v>
      </c>
    </row>
    <row r="518" spans="1:6" x14ac:dyDescent="0.35">
      <c r="A518" s="1">
        <v>45431</v>
      </c>
      <c r="B518" s="2">
        <v>45431.333027187502</v>
      </c>
      <c r="C518" t="s">
        <v>8</v>
      </c>
      <c r="D518" t="s">
        <v>236</v>
      </c>
      <c r="E518">
        <v>2792</v>
      </c>
      <c r="F518" t="s">
        <v>28</v>
      </c>
    </row>
    <row r="519" spans="1:6" x14ac:dyDescent="0.35">
      <c r="A519" s="1">
        <v>45431</v>
      </c>
      <c r="B519" s="2">
        <v>45431.333739131944</v>
      </c>
      <c r="C519" t="s">
        <v>8</v>
      </c>
      <c r="D519" t="s">
        <v>237</v>
      </c>
      <c r="E519">
        <v>3772</v>
      </c>
      <c r="F519" t="s">
        <v>24</v>
      </c>
    </row>
    <row r="520" spans="1:6" x14ac:dyDescent="0.35">
      <c r="A520" s="1">
        <v>45431</v>
      </c>
      <c r="B520" s="2">
        <v>45431.395019942131</v>
      </c>
      <c r="C520" t="s">
        <v>13</v>
      </c>
      <c r="D520" t="s">
        <v>1372</v>
      </c>
      <c r="E520">
        <v>240</v>
      </c>
      <c r="F520" t="s">
        <v>5</v>
      </c>
    </row>
    <row r="521" spans="1:6" x14ac:dyDescent="0.35">
      <c r="A521" s="1">
        <v>45431</v>
      </c>
      <c r="B521" s="2">
        <v>45431.510030972226</v>
      </c>
      <c r="C521" t="s">
        <v>8</v>
      </c>
      <c r="D521" t="s">
        <v>238</v>
      </c>
      <c r="E521">
        <v>3282</v>
      </c>
      <c r="F521" t="s">
        <v>36</v>
      </c>
    </row>
    <row r="522" spans="1:6" x14ac:dyDescent="0.35">
      <c r="A522" s="1">
        <v>45431</v>
      </c>
      <c r="B522" s="2">
        <v>45431.613657974536</v>
      </c>
      <c r="C522" t="s">
        <v>8</v>
      </c>
      <c r="D522" t="s">
        <v>43</v>
      </c>
      <c r="E522">
        <v>2792</v>
      </c>
      <c r="F522" t="s">
        <v>28</v>
      </c>
    </row>
    <row r="523" spans="1:6" x14ac:dyDescent="0.35">
      <c r="A523" s="1">
        <v>45431</v>
      </c>
      <c r="B523" s="2">
        <v>45431.665951296294</v>
      </c>
      <c r="C523" t="s">
        <v>8</v>
      </c>
      <c r="D523" t="s">
        <v>239</v>
      </c>
      <c r="E523">
        <v>3282</v>
      </c>
      <c r="F523" t="s">
        <v>36</v>
      </c>
    </row>
    <row r="524" spans="1:6" x14ac:dyDescent="0.35">
      <c r="A524" s="1">
        <v>45431</v>
      </c>
      <c r="B524" s="2">
        <v>45431.758753518516</v>
      </c>
      <c r="C524" t="s">
        <v>8</v>
      </c>
      <c r="D524" t="s">
        <v>240</v>
      </c>
      <c r="E524">
        <v>3282</v>
      </c>
      <c r="F524" t="s">
        <v>36</v>
      </c>
    </row>
    <row r="525" spans="1:6" x14ac:dyDescent="0.35">
      <c r="A525" s="1">
        <v>45431</v>
      </c>
      <c r="B525" s="2">
        <v>45431.759580578706</v>
      </c>
      <c r="C525" t="s">
        <v>8</v>
      </c>
      <c r="D525" t="s">
        <v>240</v>
      </c>
      <c r="E525">
        <v>2302</v>
      </c>
      <c r="F525" t="s">
        <v>5</v>
      </c>
    </row>
    <row r="526" spans="1:6" x14ac:dyDescent="0.35">
      <c r="A526" s="1">
        <v>45431</v>
      </c>
      <c r="B526" s="2">
        <v>45431.761458587964</v>
      </c>
      <c r="C526" t="s">
        <v>8</v>
      </c>
      <c r="D526" t="s">
        <v>240</v>
      </c>
      <c r="E526">
        <v>3772</v>
      </c>
      <c r="F526" t="s">
        <v>15</v>
      </c>
    </row>
    <row r="527" spans="1:6" x14ac:dyDescent="0.35">
      <c r="A527" s="1">
        <v>45431</v>
      </c>
      <c r="B527" s="2">
        <v>45431.827164108799</v>
      </c>
      <c r="C527" t="s">
        <v>8</v>
      </c>
      <c r="D527" t="s">
        <v>241</v>
      </c>
      <c r="E527">
        <v>3772</v>
      </c>
      <c r="F527" t="s">
        <v>24</v>
      </c>
    </row>
    <row r="528" spans="1:6" x14ac:dyDescent="0.35">
      <c r="A528" s="1">
        <v>45431</v>
      </c>
      <c r="B528" s="2">
        <v>45431.885900011577</v>
      </c>
      <c r="C528" t="s">
        <v>8</v>
      </c>
      <c r="D528" t="s">
        <v>242</v>
      </c>
      <c r="E528">
        <v>3772</v>
      </c>
      <c r="F528" t="s">
        <v>24</v>
      </c>
    </row>
    <row r="529" spans="1:6" x14ac:dyDescent="0.35">
      <c r="A529" s="1">
        <v>45431</v>
      </c>
      <c r="B529" s="2">
        <v>45431.887917835651</v>
      </c>
      <c r="C529" t="s">
        <v>8</v>
      </c>
      <c r="D529" t="s">
        <v>243</v>
      </c>
      <c r="E529">
        <v>3772</v>
      </c>
      <c r="F529" t="s">
        <v>24</v>
      </c>
    </row>
    <row r="530" spans="1:6" x14ac:dyDescent="0.35">
      <c r="A530" s="1">
        <v>45432</v>
      </c>
      <c r="B530" s="2">
        <v>45432.420823645836</v>
      </c>
      <c r="C530" t="s">
        <v>8</v>
      </c>
      <c r="D530" t="s">
        <v>244</v>
      </c>
      <c r="E530">
        <v>3282</v>
      </c>
      <c r="F530" t="s">
        <v>36</v>
      </c>
    </row>
    <row r="531" spans="1:6" x14ac:dyDescent="0.35">
      <c r="A531" s="1">
        <v>45432</v>
      </c>
      <c r="B531" s="2">
        <v>45432.429072534724</v>
      </c>
      <c r="C531" t="s">
        <v>8</v>
      </c>
      <c r="D531" t="s">
        <v>245</v>
      </c>
      <c r="E531">
        <v>3772</v>
      </c>
      <c r="F531" t="s">
        <v>32</v>
      </c>
    </row>
    <row r="532" spans="1:6" x14ac:dyDescent="0.35">
      <c r="A532" s="1">
        <v>45432</v>
      </c>
      <c r="B532" s="2">
        <v>45432.457504386577</v>
      </c>
      <c r="C532" t="s">
        <v>8</v>
      </c>
      <c r="D532" t="s">
        <v>60</v>
      </c>
      <c r="E532">
        <v>3772</v>
      </c>
      <c r="F532" t="s">
        <v>32</v>
      </c>
    </row>
    <row r="533" spans="1:6" x14ac:dyDescent="0.35">
      <c r="A533" s="1">
        <v>45432</v>
      </c>
      <c r="B533" s="2">
        <v>45432.468939386577</v>
      </c>
      <c r="C533" t="s">
        <v>8</v>
      </c>
      <c r="D533" t="s">
        <v>197</v>
      </c>
      <c r="E533">
        <v>2792</v>
      </c>
      <c r="F533" t="s">
        <v>28</v>
      </c>
    </row>
    <row r="534" spans="1:6" x14ac:dyDescent="0.35">
      <c r="A534" s="1">
        <v>45432</v>
      </c>
      <c r="B534" s="2">
        <v>45432.469671724539</v>
      </c>
      <c r="C534" t="s">
        <v>8</v>
      </c>
      <c r="D534" t="s">
        <v>197</v>
      </c>
      <c r="E534">
        <v>2792</v>
      </c>
      <c r="F534" t="s">
        <v>28</v>
      </c>
    </row>
    <row r="535" spans="1:6" x14ac:dyDescent="0.35">
      <c r="A535" s="1">
        <v>45432</v>
      </c>
      <c r="B535" s="2">
        <v>45432.56057199074</v>
      </c>
      <c r="C535" t="s">
        <v>8</v>
      </c>
      <c r="D535" t="s">
        <v>62</v>
      </c>
      <c r="E535">
        <v>2792</v>
      </c>
      <c r="F535" t="s">
        <v>28</v>
      </c>
    </row>
    <row r="536" spans="1:6" x14ac:dyDescent="0.35">
      <c r="A536" s="1">
        <v>45432</v>
      </c>
      <c r="B536" s="2">
        <v>45432.561231944448</v>
      </c>
      <c r="C536" t="s">
        <v>8</v>
      </c>
      <c r="D536" t="s">
        <v>62</v>
      </c>
      <c r="E536">
        <v>2792</v>
      </c>
      <c r="F536" t="s">
        <v>28</v>
      </c>
    </row>
    <row r="537" spans="1:6" x14ac:dyDescent="0.35">
      <c r="A537" s="1">
        <v>45432</v>
      </c>
      <c r="B537" s="2">
        <v>45432.592581215278</v>
      </c>
      <c r="C537" t="s">
        <v>8</v>
      </c>
      <c r="D537" t="s">
        <v>246</v>
      </c>
      <c r="E537">
        <v>3282</v>
      </c>
      <c r="F537" t="s">
        <v>36</v>
      </c>
    </row>
    <row r="538" spans="1:6" x14ac:dyDescent="0.35">
      <c r="A538" s="1">
        <v>45432</v>
      </c>
      <c r="B538" s="2">
        <v>45432.593418449076</v>
      </c>
      <c r="C538" t="s">
        <v>8</v>
      </c>
      <c r="D538" t="s">
        <v>246</v>
      </c>
      <c r="E538">
        <v>3772</v>
      </c>
      <c r="F538" t="s">
        <v>24</v>
      </c>
    </row>
    <row r="539" spans="1:6" x14ac:dyDescent="0.35">
      <c r="A539" s="1">
        <v>45432</v>
      </c>
      <c r="B539" s="2">
        <v>45432.605801527781</v>
      </c>
      <c r="C539" t="s">
        <v>13</v>
      </c>
      <c r="D539" t="s">
        <v>1372</v>
      </c>
      <c r="E539">
        <v>290</v>
      </c>
      <c r="F539" t="s">
        <v>28</v>
      </c>
    </row>
    <row r="540" spans="1:6" x14ac:dyDescent="0.35">
      <c r="A540" s="1">
        <v>45432</v>
      </c>
      <c r="B540" s="2">
        <v>45432.717258344906</v>
      </c>
      <c r="C540" t="s">
        <v>8</v>
      </c>
      <c r="D540" t="s">
        <v>175</v>
      </c>
      <c r="E540">
        <v>3772</v>
      </c>
      <c r="F540" t="s">
        <v>32</v>
      </c>
    </row>
    <row r="541" spans="1:6" x14ac:dyDescent="0.35">
      <c r="A541" s="1">
        <v>45432</v>
      </c>
      <c r="B541" s="2">
        <v>45432.718019641201</v>
      </c>
      <c r="C541" t="s">
        <v>8</v>
      </c>
      <c r="D541" t="s">
        <v>247</v>
      </c>
      <c r="E541">
        <v>3772</v>
      </c>
      <c r="F541" t="s">
        <v>32</v>
      </c>
    </row>
    <row r="542" spans="1:6" x14ac:dyDescent="0.35">
      <c r="A542" s="1">
        <v>45432</v>
      </c>
      <c r="B542" s="2">
        <v>45432.858892592594</v>
      </c>
      <c r="C542" t="s">
        <v>8</v>
      </c>
      <c r="D542" t="s">
        <v>248</v>
      </c>
      <c r="E542">
        <v>3282</v>
      </c>
      <c r="F542" t="s">
        <v>36</v>
      </c>
    </row>
    <row r="543" spans="1:6" x14ac:dyDescent="0.35">
      <c r="A543" s="1">
        <v>45432</v>
      </c>
      <c r="B543" s="2">
        <v>45432.859691157406</v>
      </c>
      <c r="C543" t="s">
        <v>8</v>
      </c>
      <c r="D543" t="s">
        <v>248</v>
      </c>
      <c r="E543">
        <v>3772</v>
      </c>
      <c r="F543" t="s">
        <v>10</v>
      </c>
    </row>
    <row r="544" spans="1:6" x14ac:dyDescent="0.35">
      <c r="A544" s="1">
        <v>45432</v>
      </c>
      <c r="B544" s="2">
        <v>45432.865880613426</v>
      </c>
      <c r="C544" t="s">
        <v>8</v>
      </c>
      <c r="D544" t="s">
        <v>249</v>
      </c>
      <c r="E544">
        <v>2792</v>
      </c>
      <c r="F544" t="s">
        <v>20</v>
      </c>
    </row>
    <row r="545" spans="1:6" x14ac:dyDescent="0.35">
      <c r="A545" s="1">
        <v>45432</v>
      </c>
      <c r="B545" s="2">
        <v>45432.900624837966</v>
      </c>
      <c r="C545" t="s">
        <v>8</v>
      </c>
      <c r="D545" t="s">
        <v>43</v>
      </c>
      <c r="E545">
        <v>3282</v>
      </c>
      <c r="F545" t="s">
        <v>36</v>
      </c>
    </row>
    <row r="546" spans="1:6" x14ac:dyDescent="0.35">
      <c r="A546" s="1">
        <v>45432</v>
      </c>
      <c r="B546" s="2">
        <v>45432.901363159719</v>
      </c>
      <c r="C546" t="s">
        <v>8</v>
      </c>
      <c r="D546" t="s">
        <v>43</v>
      </c>
      <c r="E546">
        <v>3282</v>
      </c>
      <c r="F546" t="s">
        <v>36</v>
      </c>
    </row>
    <row r="547" spans="1:6" x14ac:dyDescent="0.35">
      <c r="A547" s="1">
        <v>45433</v>
      </c>
      <c r="B547" s="2">
        <v>45433.352525810187</v>
      </c>
      <c r="C547" t="s">
        <v>8</v>
      </c>
      <c r="D547" t="s">
        <v>250</v>
      </c>
      <c r="E547">
        <v>3772</v>
      </c>
      <c r="F547" t="s">
        <v>32</v>
      </c>
    </row>
    <row r="548" spans="1:6" x14ac:dyDescent="0.35">
      <c r="A548" s="1">
        <v>45433</v>
      </c>
      <c r="B548" s="2">
        <v>45433.405447800928</v>
      </c>
      <c r="C548" t="s">
        <v>13</v>
      </c>
      <c r="D548" t="s">
        <v>1372</v>
      </c>
      <c r="E548">
        <v>290</v>
      </c>
      <c r="F548" t="s">
        <v>28</v>
      </c>
    </row>
    <row r="549" spans="1:6" x14ac:dyDescent="0.35">
      <c r="A549" s="1">
        <v>45433</v>
      </c>
      <c r="B549" s="2">
        <v>45433.40602209491</v>
      </c>
      <c r="C549" t="s">
        <v>13</v>
      </c>
      <c r="D549" t="s">
        <v>1372</v>
      </c>
      <c r="E549">
        <v>340</v>
      </c>
      <c r="F549" t="s">
        <v>36</v>
      </c>
    </row>
    <row r="550" spans="1:6" x14ac:dyDescent="0.35">
      <c r="A550" s="1">
        <v>45433</v>
      </c>
      <c r="B550" s="2">
        <v>45433.407053587965</v>
      </c>
      <c r="C550" t="s">
        <v>13</v>
      </c>
      <c r="D550" t="s">
        <v>1372</v>
      </c>
      <c r="E550">
        <v>390</v>
      </c>
      <c r="F550" t="s">
        <v>10</v>
      </c>
    </row>
    <row r="551" spans="1:6" x14ac:dyDescent="0.35">
      <c r="A551" s="1">
        <v>45433</v>
      </c>
      <c r="B551" s="2">
        <v>45433.420231863427</v>
      </c>
      <c r="C551" t="s">
        <v>13</v>
      </c>
      <c r="D551" t="s">
        <v>1372</v>
      </c>
      <c r="E551">
        <v>390</v>
      </c>
      <c r="F551" t="s">
        <v>32</v>
      </c>
    </row>
    <row r="552" spans="1:6" x14ac:dyDescent="0.35">
      <c r="A552" s="1">
        <v>45433</v>
      </c>
      <c r="B552" s="2">
        <v>45433.673842083335</v>
      </c>
      <c r="C552" t="s">
        <v>8</v>
      </c>
      <c r="D552" t="s">
        <v>251</v>
      </c>
      <c r="E552">
        <v>3772</v>
      </c>
      <c r="F552" t="s">
        <v>32</v>
      </c>
    </row>
    <row r="553" spans="1:6" x14ac:dyDescent="0.35">
      <c r="A553" s="1">
        <v>45433</v>
      </c>
      <c r="B553" s="2">
        <v>45433.759305532411</v>
      </c>
      <c r="C553" t="s">
        <v>8</v>
      </c>
      <c r="D553" t="s">
        <v>43</v>
      </c>
      <c r="E553">
        <v>2302</v>
      </c>
      <c r="F553" t="s">
        <v>5</v>
      </c>
    </row>
    <row r="554" spans="1:6" x14ac:dyDescent="0.35">
      <c r="A554" s="1">
        <v>45433</v>
      </c>
      <c r="B554" s="2">
        <v>45433.799412175926</v>
      </c>
      <c r="C554" t="s">
        <v>8</v>
      </c>
      <c r="D554" t="s">
        <v>252</v>
      </c>
      <c r="E554">
        <v>3772</v>
      </c>
      <c r="F554" t="s">
        <v>24</v>
      </c>
    </row>
    <row r="555" spans="1:6" x14ac:dyDescent="0.35">
      <c r="A555" s="1">
        <v>45433</v>
      </c>
      <c r="B555" s="2">
        <v>45433.842920810188</v>
      </c>
      <c r="C555" t="s">
        <v>8</v>
      </c>
      <c r="D555" t="s">
        <v>253</v>
      </c>
      <c r="E555">
        <v>3772</v>
      </c>
      <c r="F555" t="s">
        <v>24</v>
      </c>
    </row>
    <row r="556" spans="1:6" x14ac:dyDescent="0.35">
      <c r="A556" s="1">
        <v>45434</v>
      </c>
      <c r="B556" s="2">
        <v>45434.399095115739</v>
      </c>
      <c r="C556" t="s">
        <v>8</v>
      </c>
      <c r="D556" t="s">
        <v>254</v>
      </c>
      <c r="E556">
        <v>3772</v>
      </c>
      <c r="F556" t="s">
        <v>24</v>
      </c>
    </row>
    <row r="557" spans="1:6" x14ac:dyDescent="0.35">
      <c r="A557" s="1">
        <v>45434</v>
      </c>
      <c r="B557" s="2">
        <v>45434.451238935188</v>
      </c>
      <c r="C557" t="s">
        <v>8</v>
      </c>
      <c r="D557" t="s">
        <v>245</v>
      </c>
      <c r="E557">
        <v>3282</v>
      </c>
      <c r="F557" t="s">
        <v>36</v>
      </c>
    </row>
    <row r="558" spans="1:6" x14ac:dyDescent="0.35">
      <c r="A558" s="1">
        <v>45434</v>
      </c>
      <c r="B558" s="2">
        <v>45434.4709984375</v>
      </c>
      <c r="C558" t="s">
        <v>8</v>
      </c>
      <c r="D558" t="s">
        <v>40</v>
      </c>
      <c r="E558">
        <v>2792</v>
      </c>
      <c r="F558" t="s">
        <v>20</v>
      </c>
    </row>
    <row r="559" spans="1:6" x14ac:dyDescent="0.35">
      <c r="A559" s="1">
        <v>45434</v>
      </c>
      <c r="B559" s="2">
        <v>45434.482580648146</v>
      </c>
      <c r="C559" t="s">
        <v>8</v>
      </c>
      <c r="D559" t="s">
        <v>11</v>
      </c>
      <c r="E559">
        <v>3282</v>
      </c>
      <c r="F559" t="s">
        <v>36</v>
      </c>
    </row>
    <row r="560" spans="1:6" x14ac:dyDescent="0.35">
      <c r="A560" s="1">
        <v>45434</v>
      </c>
      <c r="B560" s="2">
        <v>45434.520727326388</v>
      </c>
      <c r="C560" t="s">
        <v>8</v>
      </c>
      <c r="D560" t="s">
        <v>43</v>
      </c>
      <c r="E560">
        <v>2792</v>
      </c>
      <c r="F560" t="s">
        <v>28</v>
      </c>
    </row>
    <row r="561" spans="1:6" x14ac:dyDescent="0.35">
      <c r="A561" s="1">
        <v>45434</v>
      </c>
      <c r="B561" s="2">
        <v>45434.521335034726</v>
      </c>
      <c r="C561" t="s">
        <v>8</v>
      </c>
      <c r="D561" t="s">
        <v>43</v>
      </c>
      <c r="E561">
        <v>2792</v>
      </c>
      <c r="F561" t="s">
        <v>28</v>
      </c>
    </row>
    <row r="562" spans="1:6" x14ac:dyDescent="0.35">
      <c r="A562" s="1">
        <v>45434</v>
      </c>
      <c r="B562" s="2">
        <v>45434.583570590279</v>
      </c>
      <c r="C562" t="s">
        <v>8</v>
      </c>
      <c r="D562" t="s">
        <v>25</v>
      </c>
      <c r="E562">
        <v>3282</v>
      </c>
      <c r="F562" t="s">
        <v>36</v>
      </c>
    </row>
    <row r="563" spans="1:6" x14ac:dyDescent="0.35">
      <c r="A563" s="1">
        <v>45434</v>
      </c>
      <c r="B563" s="2">
        <v>45434.809005763891</v>
      </c>
      <c r="C563" t="s">
        <v>8</v>
      </c>
      <c r="D563" t="s">
        <v>189</v>
      </c>
      <c r="E563">
        <v>3772</v>
      </c>
      <c r="F563" t="s">
        <v>24</v>
      </c>
    </row>
    <row r="564" spans="1:6" x14ac:dyDescent="0.35">
      <c r="A564" s="1">
        <v>45434</v>
      </c>
      <c r="B564" s="2">
        <v>45434.809705717591</v>
      </c>
      <c r="C564" t="s">
        <v>8</v>
      </c>
      <c r="D564" t="s">
        <v>189</v>
      </c>
      <c r="E564">
        <v>3772</v>
      </c>
      <c r="F564" t="s">
        <v>24</v>
      </c>
    </row>
    <row r="565" spans="1:6" x14ac:dyDescent="0.35">
      <c r="A565" s="1">
        <v>45434</v>
      </c>
      <c r="B565" s="2">
        <v>45434.891585648147</v>
      </c>
      <c r="C565" t="s">
        <v>8</v>
      </c>
      <c r="D565" t="s">
        <v>234</v>
      </c>
      <c r="E565">
        <v>3772</v>
      </c>
      <c r="F565" t="s">
        <v>15</v>
      </c>
    </row>
    <row r="566" spans="1:6" x14ac:dyDescent="0.35">
      <c r="A566" s="1">
        <v>45434</v>
      </c>
      <c r="B566" s="2">
        <v>45434.892240555557</v>
      </c>
      <c r="C566" t="s">
        <v>8</v>
      </c>
      <c r="D566" t="s">
        <v>234</v>
      </c>
      <c r="E566">
        <v>3772</v>
      </c>
      <c r="F566" t="s">
        <v>24</v>
      </c>
    </row>
    <row r="567" spans="1:6" x14ac:dyDescent="0.35">
      <c r="A567" s="1">
        <v>45435</v>
      </c>
      <c r="B567" s="2">
        <v>45435.423838425922</v>
      </c>
      <c r="C567" t="s">
        <v>8</v>
      </c>
      <c r="D567" t="s">
        <v>255</v>
      </c>
      <c r="E567">
        <v>3772</v>
      </c>
      <c r="F567" t="s">
        <v>24</v>
      </c>
    </row>
    <row r="568" spans="1:6" x14ac:dyDescent="0.35">
      <c r="A568" s="1">
        <v>45435</v>
      </c>
      <c r="B568" s="2">
        <v>45435.515354224539</v>
      </c>
      <c r="C568" t="s">
        <v>8</v>
      </c>
      <c r="D568" t="s">
        <v>256</v>
      </c>
      <c r="E568">
        <v>2302</v>
      </c>
      <c r="F568" t="s">
        <v>5</v>
      </c>
    </row>
    <row r="569" spans="1:6" x14ac:dyDescent="0.35">
      <c r="A569" s="1">
        <v>45435</v>
      </c>
      <c r="B569" s="2">
        <v>45435.663386898152</v>
      </c>
      <c r="C569" t="s">
        <v>8</v>
      </c>
      <c r="D569" t="s">
        <v>234</v>
      </c>
      <c r="E569">
        <v>3772</v>
      </c>
      <c r="F569" t="s">
        <v>24</v>
      </c>
    </row>
    <row r="570" spans="1:6" x14ac:dyDescent="0.35">
      <c r="A570" s="1">
        <v>45435</v>
      </c>
      <c r="B570" s="2">
        <v>45435.664204131943</v>
      </c>
      <c r="C570" t="s">
        <v>8</v>
      </c>
      <c r="D570" t="s">
        <v>257</v>
      </c>
      <c r="E570">
        <v>3772</v>
      </c>
      <c r="F570" t="s">
        <v>24</v>
      </c>
    </row>
    <row r="571" spans="1:6" x14ac:dyDescent="0.35">
      <c r="A571" s="1">
        <v>45435</v>
      </c>
      <c r="B571" s="2">
        <v>45435.679329317129</v>
      </c>
      <c r="C571" t="s">
        <v>8</v>
      </c>
      <c r="D571" t="s">
        <v>234</v>
      </c>
      <c r="E571">
        <v>3772</v>
      </c>
      <c r="F571" t="s">
        <v>24</v>
      </c>
    </row>
    <row r="572" spans="1:6" x14ac:dyDescent="0.35">
      <c r="A572" s="1">
        <v>45435</v>
      </c>
      <c r="B572" s="2">
        <v>45435.695139386575</v>
      </c>
      <c r="C572" t="s">
        <v>8</v>
      </c>
      <c r="D572" t="s">
        <v>133</v>
      </c>
      <c r="E572">
        <v>3772</v>
      </c>
      <c r="F572" t="s">
        <v>32</v>
      </c>
    </row>
    <row r="573" spans="1:6" x14ac:dyDescent="0.35">
      <c r="A573" s="1">
        <v>45435</v>
      </c>
      <c r="B573" s="2">
        <v>45435.718440243058</v>
      </c>
      <c r="C573" t="s">
        <v>8</v>
      </c>
      <c r="D573" t="s">
        <v>207</v>
      </c>
      <c r="E573">
        <v>3772</v>
      </c>
      <c r="F573" t="s">
        <v>24</v>
      </c>
    </row>
    <row r="574" spans="1:6" x14ac:dyDescent="0.35">
      <c r="A574" s="1">
        <v>45435</v>
      </c>
      <c r="B574" s="2">
        <v>45435.719269224537</v>
      </c>
      <c r="C574" t="s">
        <v>8</v>
      </c>
      <c r="D574" t="s">
        <v>207</v>
      </c>
      <c r="E574">
        <v>3772</v>
      </c>
      <c r="F574" t="s">
        <v>32</v>
      </c>
    </row>
    <row r="575" spans="1:6" x14ac:dyDescent="0.35">
      <c r="A575" s="1">
        <v>45435</v>
      </c>
      <c r="B575" s="2">
        <v>45435.79437333333</v>
      </c>
      <c r="C575" t="s">
        <v>8</v>
      </c>
      <c r="D575" t="s">
        <v>258</v>
      </c>
      <c r="E575">
        <v>2792</v>
      </c>
      <c r="F575" t="s">
        <v>20</v>
      </c>
    </row>
    <row r="576" spans="1:6" x14ac:dyDescent="0.35">
      <c r="A576" s="1">
        <v>45435</v>
      </c>
      <c r="B576" s="2">
        <v>45435.803801284725</v>
      </c>
      <c r="C576" t="s">
        <v>8</v>
      </c>
      <c r="D576" t="s">
        <v>189</v>
      </c>
      <c r="E576">
        <v>3772</v>
      </c>
      <c r="F576" t="s">
        <v>24</v>
      </c>
    </row>
    <row r="577" spans="1:6" x14ac:dyDescent="0.35">
      <c r="A577" s="1">
        <v>45435</v>
      </c>
      <c r="B577" s="2">
        <v>45435.804472430558</v>
      </c>
      <c r="C577" t="s">
        <v>8</v>
      </c>
      <c r="D577" t="s">
        <v>259</v>
      </c>
      <c r="E577">
        <v>3772</v>
      </c>
      <c r="F577" t="s">
        <v>24</v>
      </c>
    </row>
    <row r="578" spans="1:6" x14ac:dyDescent="0.35">
      <c r="A578" s="1">
        <v>45435</v>
      </c>
      <c r="B578" s="2">
        <v>45435.821198449077</v>
      </c>
      <c r="C578" t="s">
        <v>8</v>
      </c>
      <c r="D578" t="s">
        <v>260</v>
      </c>
      <c r="E578">
        <v>3772</v>
      </c>
      <c r="F578" t="s">
        <v>24</v>
      </c>
    </row>
    <row r="579" spans="1:6" x14ac:dyDescent="0.35">
      <c r="A579" s="1">
        <v>45435</v>
      </c>
      <c r="B579" s="2">
        <v>45435.84376653935</v>
      </c>
      <c r="C579" t="s">
        <v>8</v>
      </c>
      <c r="D579" t="s">
        <v>261</v>
      </c>
      <c r="E579">
        <v>3772</v>
      </c>
      <c r="F579" t="s">
        <v>24</v>
      </c>
    </row>
    <row r="580" spans="1:6" x14ac:dyDescent="0.35">
      <c r="A580" s="1">
        <v>45435</v>
      </c>
      <c r="B580" s="2">
        <v>45435.844724594906</v>
      </c>
      <c r="C580" t="s">
        <v>8</v>
      </c>
      <c r="D580" t="s">
        <v>261</v>
      </c>
      <c r="E580">
        <v>3772</v>
      </c>
      <c r="F580" t="s">
        <v>32</v>
      </c>
    </row>
    <row r="581" spans="1:6" x14ac:dyDescent="0.35">
      <c r="A581" s="1">
        <v>45435</v>
      </c>
      <c r="B581" s="2">
        <v>45435.950125150463</v>
      </c>
      <c r="C581" t="s">
        <v>8</v>
      </c>
      <c r="D581" t="s">
        <v>262</v>
      </c>
      <c r="E581">
        <v>3282</v>
      </c>
      <c r="F581" t="s">
        <v>36</v>
      </c>
    </row>
    <row r="582" spans="1:6" x14ac:dyDescent="0.35">
      <c r="A582" s="1">
        <v>45435</v>
      </c>
      <c r="B582" s="2">
        <v>45435.955288495374</v>
      </c>
      <c r="C582" t="s">
        <v>13</v>
      </c>
      <c r="D582" t="s">
        <v>1372</v>
      </c>
      <c r="E582">
        <v>390</v>
      </c>
      <c r="F582" t="s">
        <v>15</v>
      </c>
    </row>
    <row r="583" spans="1:6" x14ac:dyDescent="0.35">
      <c r="A583" s="1">
        <v>45436</v>
      </c>
      <c r="B583" s="2">
        <v>45436.466657199075</v>
      </c>
      <c r="C583" t="s">
        <v>8</v>
      </c>
      <c r="D583" t="s">
        <v>40</v>
      </c>
      <c r="E583">
        <v>2792</v>
      </c>
      <c r="F583" t="s">
        <v>20</v>
      </c>
    </row>
    <row r="584" spans="1:6" x14ac:dyDescent="0.35">
      <c r="A584" s="1">
        <v>45436</v>
      </c>
      <c r="B584" s="2">
        <v>45436.468846539348</v>
      </c>
      <c r="C584" t="s">
        <v>8</v>
      </c>
      <c r="D584" t="s">
        <v>43</v>
      </c>
      <c r="E584">
        <v>2792</v>
      </c>
      <c r="F584" t="s">
        <v>28</v>
      </c>
    </row>
    <row r="585" spans="1:6" x14ac:dyDescent="0.35">
      <c r="A585" s="1">
        <v>45436</v>
      </c>
      <c r="B585" s="2">
        <v>45436.469595092596</v>
      </c>
      <c r="C585" t="s">
        <v>8</v>
      </c>
      <c r="D585" t="s">
        <v>43</v>
      </c>
      <c r="E585">
        <v>2792</v>
      </c>
      <c r="F585" t="s">
        <v>28</v>
      </c>
    </row>
    <row r="586" spans="1:6" x14ac:dyDescent="0.35">
      <c r="A586" s="1">
        <v>45436</v>
      </c>
      <c r="B586" s="2">
        <v>45436.671757129632</v>
      </c>
      <c r="C586" t="s">
        <v>8</v>
      </c>
      <c r="D586" t="s">
        <v>137</v>
      </c>
      <c r="E586">
        <v>3772</v>
      </c>
      <c r="F586" t="s">
        <v>15</v>
      </c>
    </row>
    <row r="587" spans="1:6" x14ac:dyDescent="0.35">
      <c r="A587" s="1">
        <v>45436</v>
      </c>
      <c r="B587" s="2">
        <v>45436.762272337961</v>
      </c>
      <c r="C587" t="s">
        <v>8</v>
      </c>
      <c r="D587" t="s">
        <v>263</v>
      </c>
      <c r="E587">
        <v>2792</v>
      </c>
      <c r="F587" t="s">
        <v>20</v>
      </c>
    </row>
    <row r="588" spans="1:6" x14ac:dyDescent="0.35">
      <c r="A588" s="1">
        <v>45436</v>
      </c>
      <c r="B588" s="2">
        <v>45436.762924745373</v>
      </c>
      <c r="C588" t="s">
        <v>8</v>
      </c>
      <c r="D588" t="s">
        <v>263</v>
      </c>
      <c r="E588">
        <v>2792</v>
      </c>
      <c r="F588" t="s">
        <v>20</v>
      </c>
    </row>
    <row r="589" spans="1:6" x14ac:dyDescent="0.35">
      <c r="A589" s="1">
        <v>45436</v>
      </c>
      <c r="B589" s="2">
        <v>45436.937965254627</v>
      </c>
      <c r="C589" t="s">
        <v>8</v>
      </c>
      <c r="D589" t="s">
        <v>264</v>
      </c>
      <c r="E589">
        <v>3282</v>
      </c>
      <c r="F589" t="s">
        <v>36</v>
      </c>
    </row>
    <row r="590" spans="1:6" x14ac:dyDescent="0.35">
      <c r="A590" s="1">
        <v>45437</v>
      </c>
      <c r="B590" s="2">
        <v>45437.320125208331</v>
      </c>
      <c r="C590" t="s">
        <v>13</v>
      </c>
      <c r="D590" t="s">
        <v>1372</v>
      </c>
      <c r="E590">
        <v>290</v>
      </c>
      <c r="F590" t="s">
        <v>28</v>
      </c>
    </row>
    <row r="591" spans="1:6" x14ac:dyDescent="0.35">
      <c r="A591" s="1">
        <v>45437</v>
      </c>
      <c r="B591" s="2">
        <v>45437.509645694445</v>
      </c>
      <c r="C591" t="s">
        <v>8</v>
      </c>
      <c r="D591" t="s">
        <v>265</v>
      </c>
      <c r="E591">
        <v>3772</v>
      </c>
      <c r="F591" t="s">
        <v>32</v>
      </c>
    </row>
    <row r="592" spans="1:6" x14ac:dyDescent="0.35">
      <c r="A592" s="1">
        <v>45437</v>
      </c>
      <c r="B592" s="2">
        <v>45437.528050775465</v>
      </c>
      <c r="C592" t="s">
        <v>13</v>
      </c>
      <c r="D592" t="s">
        <v>1372</v>
      </c>
      <c r="E592">
        <v>290</v>
      </c>
      <c r="F592" t="s">
        <v>28</v>
      </c>
    </row>
    <row r="593" spans="1:6" x14ac:dyDescent="0.35">
      <c r="A593" s="1">
        <v>45437</v>
      </c>
      <c r="B593" s="2">
        <v>45437.529285393517</v>
      </c>
      <c r="C593" t="s">
        <v>8</v>
      </c>
      <c r="D593" t="s">
        <v>266</v>
      </c>
      <c r="E593">
        <v>3282</v>
      </c>
      <c r="F593" t="s">
        <v>36</v>
      </c>
    </row>
    <row r="594" spans="1:6" x14ac:dyDescent="0.35">
      <c r="A594" s="1">
        <v>45437</v>
      </c>
      <c r="B594" s="2">
        <v>45437.530014756943</v>
      </c>
      <c r="C594" t="s">
        <v>8</v>
      </c>
      <c r="D594" t="s">
        <v>266</v>
      </c>
      <c r="E594">
        <v>3282</v>
      </c>
      <c r="F594" t="s">
        <v>36</v>
      </c>
    </row>
    <row r="595" spans="1:6" x14ac:dyDescent="0.35">
      <c r="A595" s="1">
        <v>45437</v>
      </c>
      <c r="B595" s="2">
        <v>45437.540417233795</v>
      </c>
      <c r="C595" t="s">
        <v>8</v>
      </c>
      <c r="D595" t="s">
        <v>267</v>
      </c>
      <c r="E595">
        <v>3282</v>
      </c>
      <c r="F595" t="s">
        <v>36</v>
      </c>
    </row>
    <row r="596" spans="1:6" x14ac:dyDescent="0.35">
      <c r="A596" s="1">
        <v>45437</v>
      </c>
      <c r="B596" s="2">
        <v>45437.69941616898</v>
      </c>
      <c r="C596" t="s">
        <v>8</v>
      </c>
      <c r="D596" t="s">
        <v>16</v>
      </c>
      <c r="E596">
        <v>3282</v>
      </c>
      <c r="F596" t="s">
        <v>36</v>
      </c>
    </row>
    <row r="597" spans="1:6" x14ac:dyDescent="0.35">
      <c r="A597" s="1">
        <v>45437</v>
      </c>
      <c r="B597" s="2">
        <v>45437.700194837962</v>
      </c>
      <c r="C597" t="s">
        <v>8</v>
      </c>
      <c r="D597" t="s">
        <v>16</v>
      </c>
      <c r="E597">
        <v>2792</v>
      </c>
      <c r="F597" t="s">
        <v>28</v>
      </c>
    </row>
    <row r="598" spans="1:6" x14ac:dyDescent="0.35">
      <c r="A598" s="1">
        <v>45438</v>
      </c>
      <c r="B598" s="2">
        <v>45438.430581400462</v>
      </c>
      <c r="C598" t="s">
        <v>8</v>
      </c>
      <c r="D598" t="s">
        <v>60</v>
      </c>
      <c r="E598">
        <v>3772</v>
      </c>
      <c r="F598" t="s">
        <v>32</v>
      </c>
    </row>
    <row r="599" spans="1:6" x14ac:dyDescent="0.35">
      <c r="A599" s="1">
        <v>45438</v>
      </c>
      <c r="B599" s="2">
        <v>45438.600576527781</v>
      </c>
      <c r="C599" t="s">
        <v>8</v>
      </c>
      <c r="D599" t="s">
        <v>268</v>
      </c>
      <c r="E599">
        <v>3282</v>
      </c>
      <c r="F599" t="s">
        <v>36</v>
      </c>
    </row>
    <row r="600" spans="1:6" x14ac:dyDescent="0.35">
      <c r="A600" s="1">
        <v>45438</v>
      </c>
      <c r="B600" s="2">
        <v>45438.601449629627</v>
      </c>
      <c r="C600" t="s">
        <v>8</v>
      </c>
      <c r="D600" t="s">
        <v>269</v>
      </c>
      <c r="E600">
        <v>2792</v>
      </c>
      <c r="F600" t="s">
        <v>20</v>
      </c>
    </row>
    <row r="601" spans="1:6" x14ac:dyDescent="0.35">
      <c r="A601" s="1">
        <v>45438</v>
      </c>
      <c r="B601" s="2">
        <v>45438.611792615739</v>
      </c>
      <c r="C601" t="s">
        <v>8</v>
      </c>
      <c r="D601" t="s">
        <v>270</v>
      </c>
      <c r="E601">
        <v>3282</v>
      </c>
      <c r="F601" t="s">
        <v>36</v>
      </c>
    </row>
    <row r="602" spans="1:6" x14ac:dyDescent="0.35">
      <c r="A602" s="1">
        <v>45438</v>
      </c>
      <c r="B602" s="2">
        <v>45438.721707418983</v>
      </c>
      <c r="C602" t="s">
        <v>8</v>
      </c>
      <c r="D602" t="s">
        <v>271</v>
      </c>
      <c r="E602">
        <v>3772</v>
      </c>
      <c r="F602" t="s">
        <v>24</v>
      </c>
    </row>
    <row r="603" spans="1:6" x14ac:dyDescent="0.35">
      <c r="A603" s="1">
        <v>45438</v>
      </c>
      <c r="B603" s="2">
        <v>45438.756861608796</v>
      </c>
      <c r="C603" t="s">
        <v>8</v>
      </c>
      <c r="D603" t="s">
        <v>272</v>
      </c>
      <c r="E603">
        <v>3772</v>
      </c>
      <c r="F603" t="s">
        <v>15</v>
      </c>
    </row>
    <row r="604" spans="1:6" x14ac:dyDescent="0.35">
      <c r="A604" s="1">
        <v>45438</v>
      </c>
      <c r="B604" s="2">
        <v>45438.757664398145</v>
      </c>
      <c r="C604" t="s">
        <v>8</v>
      </c>
      <c r="D604" t="s">
        <v>272</v>
      </c>
      <c r="E604">
        <v>3772</v>
      </c>
      <c r="F604" t="s">
        <v>15</v>
      </c>
    </row>
    <row r="605" spans="1:6" x14ac:dyDescent="0.35">
      <c r="A605" s="1">
        <v>45438</v>
      </c>
      <c r="B605" s="2">
        <v>45438.759193275466</v>
      </c>
      <c r="C605" t="s">
        <v>8</v>
      </c>
      <c r="D605" t="s">
        <v>272</v>
      </c>
      <c r="E605">
        <v>2792</v>
      </c>
      <c r="F605" t="s">
        <v>28</v>
      </c>
    </row>
    <row r="606" spans="1:6" x14ac:dyDescent="0.35">
      <c r="A606" s="1">
        <v>45438</v>
      </c>
      <c r="B606" s="2">
        <v>45438.777300856484</v>
      </c>
      <c r="C606" t="s">
        <v>8</v>
      </c>
      <c r="D606" t="s">
        <v>273</v>
      </c>
      <c r="E606">
        <v>3772</v>
      </c>
      <c r="F606" t="s">
        <v>32</v>
      </c>
    </row>
    <row r="607" spans="1:6" x14ac:dyDescent="0.35">
      <c r="A607" s="1">
        <v>45438</v>
      </c>
      <c r="B607" s="2">
        <v>45438.874478634258</v>
      </c>
      <c r="C607" t="s">
        <v>8</v>
      </c>
      <c r="D607" t="s">
        <v>274</v>
      </c>
      <c r="E607">
        <v>3772</v>
      </c>
      <c r="F607" t="s">
        <v>15</v>
      </c>
    </row>
    <row r="608" spans="1:6" x14ac:dyDescent="0.35">
      <c r="A608" s="1">
        <v>45438</v>
      </c>
      <c r="B608" s="2">
        <v>45438.875064444444</v>
      </c>
      <c r="C608" t="s">
        <v>8</v>
      </c>
      <c r="D608" t="s">
        <v>274</v>
      </c>
      <c r="E608">
        <v>3772</v>
      </c>
      <c r="F608" t="s">
        <v>24</v>
      </c>
    </row>
    <row r="609" spans="1:6" x14ac:dyDescent="0.35">
      <c r="A609" s="1">
        <v>45438</v>
      </c>
      <c r="B609" s="2">
        <v>45438.876816377313</v>
      </c>
      <c r="C609" t="s">
        <v>8</v>
      </c>
      <c r="D609" t="s">
        <v>275</v>
      </c>
      <c r="E609">
        <v>2792</v>
      </c>
      <c r="F609" t="s">
        <v>20</v>
      </c>
    </row>
    <row r="610" spans="1:6" x14ac:dyDescent="0.35">
      <c r="A610" s="1">
        <v>45438</v>
      </c>
      <c r="B610" s="2">
        <v>45438.877682546299</v>
      </c>
      <c r="C610" t="s">
        <v>8</v>
      </c>
      <c r="D610" t="s">
        <v>276</v>
      </c>
      <c r="E610">
        <v>3772</v>
      </c>
      <c r="F610" t="s">
        <v>24</v>
      </c>
    </row>
    <row r="611" spans="1:6" x14ac:dyDescent="0.35">
      <c r="A611" s="1">
        <v>45438</v>
      </c>
      <c r="B611" s="2">
        <v>45438.878458611114</v>
      </c>
      <c r="C611" t="s">
        <v>8</v>
      </c>
      <c r="D611" t="s">
        <v>275</v>
      </c>
      <c r="E611">
        <v>3772</v>
      </c>
      <c r="F611" t="s">
        <v>32</v>
      </c>
    </row>
    <row r="612" spans="1:6" x14ac:dyDescent="0.35">
      <c r="A612" s="1">
        <v>45438</v>
      </c>
      <c r="B612" s="2">
        <v>45438.879197002316</v>
      </c>
      <c r="C612" t="s">
        <v>8</v>
      </c>
      <c r="D612" t="s">
        <v>277</v>
      </c>
      <c r="E612">
        <v>3772</v>
      </c>
      <c r="F612" t="s">
        <v>24</v>
      </c>
    </row>
    <row r="613" spans="1:6" x14ac:dyDescent="0.35">
      <c r="A613" s="1">
        <v>45439</v>
      </c>
      <c r="B613" s="2">
        <v>45439.482583935183</v>
      </c>
      <c r="C613" t="s">
        <v>8</v>
      </c>
      <c r="D613" t="s">
        <v>43</v>
      </c>
      <c r="E613">
        <v>2792</v>
      </c>
      <c r="F613" t="s">
        <v>28</v>
      </c>
    </row>
    <row r="614" spans="1:6" x14ac:dyDescent="0.35">
      <c r="A614" s="1">
        <v>45439</v>
      </c>
      <c r="B614" s="2">
        <v>45439.587056574077</v>
      </c>
      <c r="C614" t="s">
        <v>8</v>
      </c>
      <c r="D614" t="s">
        <v>278</v>
      </c>
      <c r="E614">
        <v>3282</v>
      </c>
      <c r="F614" t="s">
        <v>36</v>
      </c>
    </row>
    <row r="615" spans="1:6" x14ac:dyDescent="0.35">
      <c r="A615" s="1">
        <v>45439</v>
      </c>
      <c r="B615" s="2">
        <v>45439.588004212965</v>
      </c>
      <c r="C615" t="s">
        <v>8</v>
      </c>
      <c r="D615" t="s">
        <v>278</v>
      </c>
      <c r="E615">
        <v>3772</v>
      </c>
      <c r="F615" t="s">
        <v>10</v>
      </c>
    </row>
    <row r="616" spans="1:6" x14ac:dyDescent="0.35">
      <c r="A616" s="1">
        <v>45439</v>
      </c>
      <c r="B616" s="2">
        <v>45439.633033113423</v>
      </c>
      <c r="C616" t="s">
        <v>8</v>
      </c>
      <c r="D616" t="s">
        <v>279</v>
      </c>
      <c r="E616">
        <v>2792</v>
      </c>
      <c r="F616" t="s">
        <v>28</v>
      </c>
    </row>
    <row r="617" spans="1:6" x14ac:dyDescent="0.35">
      <c r="A617" s="1">
        <v>45439</v>
      </c>
      <c r="B617" s="2">
        <v>45439.634789212963</v>
      </c>
      <c r="C617" t="s">
        <v>8</v>
      </c>
      <c r="D617" t="s">
        <v>279</v>
      </c>
      <c r="E617">
        <v>2792</v>
      </c>
      <c r="F617" t="s">
        <v>28</v>
      </c>
    </row>
    <row r="618" spans="1:6" x14ac:dyDescent="0.35">
      <c r="A618" s="1">
        <v>45439</v>
      </c>
      <c r="B618" s="2">
        <v>45439.743700960651</v>
      </c>
      <c r="C618" t="s">
        <v>8</v>
      </c>
      <c r="D618" t="s">
        <v>257</v>
      </c>
      <c r="E618">
        <v>3772</v>
      </c>
      <c r="F618" t="s">
        <v>32</v>
      </c>
    </row>
    <row r="619" spans="1:6" x14ac:dyDescent="0.35">
      <c r="A619" s="1">
        <v>45439</v>
      </c>
      <c r="B619" s="2">
        <v>45439.750590081021</v>
      </c>
      <c r="C619" t="s">
        <v>8</v>
      </c>
      <c r="D619" t="s">
        <v>280</v>
      </c>
      <c r="E619">
        <v>2792</v>
      </c>
      <c r="F619" t="s">
        <v>28</v>
      </c>
    </row>
    <row r="620" spans="1:6" x14ac:dyDescent="0.35">
      <c r="A620" s="1">
        <v>45439</v>
      </c>
      <c r="B620" s="2">
        <v>45439.803094953706</v>
      </c>
      <c r="C620" t="s">
        <v>8</v>
      </c>
      <c r="D620" t="s">
        <v>281</v>
      </c>
      <c r="E620">
        <v>3772</v>
      </c>
      <c r="F620" t="s">
        <v>32</v>
      </c>
    </row>
    <row r="621" spans="1:6" x14ac:dyDescent="0.35">
      <c r="A621" s="1">
        <v>45439</v>
      </c>
      <c r="B621" s="2">
        <v>45439.803920474536</v>
      </c>
      <c r="C621" t="s">
        <v>8</v>
      </c>
      <c r="D621" t="s">
        <v>282</v>
      </c>
      <c r="E621">
        <v>3772</v>
      </c>
      <c r="F621" t="s">
        <v>32</v>
      </c>
    </row>
    <row r="622" spans="1:6" x14ac:dyDescent="0.35">
      <c r="A622" s="1">
        <v>45439</v>
      </c>
      <c r="B622" s="2">
        <v>45439.895220891201</v>
      </c>
      <c r="C622" t="s">
        <v>8</v>
      </c>
      <c r="D622" t="s">
        <v>246</v>
      </c>
      <c r="E622">
        <v>3282</v>
      </c>
      <c r="F622" t="s">
        <v>36</v>
      </c>
    </row>
    <row r="623" spans="1:6" x14ac:dyDescent="0.35">
      <c r="A623" s="1">
        <v>45439</v>
      </c>
      <c r="B623" s="2">
        <v>45439.896062175925</v>
      </c>
      <c r="C623" t="s">
        <v>8</v>
      </c>
      <c r="D623" t="s">
        <v>260</v>
      </c>
      <c r="E623">
        <v>3772</v>
      </c>
      <c r="F623" t="s">
        <v>24</v>
      </c>
    </row>
    <row r="624" spans="1:6" x14ac:dyDescent="0.35">
      <c r="A624" s="1">
        <v>45440</v>
      </c>
      <c r="B624" s="2">
        <v>45440.359132268517</v>
      </c>
      <c r="C624" t="s">
        <v>8</v>
      </c>
      <c r="D624" t="s">
        <v>43</v>
      </c>
      <c r="E624">
        <v>3282</v>
      </c>
      <c r="F624" t="s">
        <v>36</v>
      </c>
    </row>
    <row r="625" spans="1:6" x14ac:dyDescent="0.35">
      <c r="A625" s="1">
        <v>45440</v>
      </c>
      <c r="B625" s="2">
        <v>45440.389013148146</v>
      </c>
      <c r="C625" t="s">
        <v>8</v>
      </c>
      <c r="D625" t="s">
        <v>11</v>
      </c>
      <c r="E625">
        <v>3282</v>
      </c>
      <c r="F625" t="s">
        <v>36</v>
      </c>
    </row>
    <row r="626" spans="1:6" x14ac:dyDescent="0.35">
      <c r="A626" s="1">
        <v>45440</v>
      </c>
      <c r="B626" s="2">
        <v>45440.491880717593</v>
      </c>
      <c r="C626" t="s">
        <v>8</v>
      </c>
      <c r="D626" t="s">
        <v>283</v>
      </c>
      <c r="E626">
        <v>3772</v>
      </c>
      <c r="F626" t="s">
        <v>24</v>
      </c>
    </row>
    <row r="627" spans="1:6" x14ac:dyDescent="0.35">
      <c r="A627" s="1">
        <v>45440</v>
      </c>
      <c r="B627" s="2">
        <v>45440.551856886574</v>
      </c>
      <c r="C627" t="s">
        <v>8</v>
      </c>
      <c r="D627" t="s">
        <v>284</v>
      </c>
      <c r="E627">
        <v>3772</v>
      </c>
      <c r="F627" t="s">
        <v>24</v>
      </c>
    </row>
    <row r="628" spans="1:6" x14ac:dyDescent="0.35">
      <c r="A628" s="1">
        <v>45440</v>
      </c>
      <c r="B628" s="2">
        <v>45440.590899201386</v>
      </c>
      <c r="C628" t="s">
        <v>8</v>
      </c>
      <c r="D628" t="s">
        <v>248</v>
      </c>
      <c r="E628">
        <v>3772</v>
      </c>
      <c r="F628" t="s">
        <v>10</v>
      </c>
    </row>
    <row r="629" spans="1:6" x14ac:dyDescent="0.35">
      <c r="A629" s="1">
        <v>45440</v>
      </c>
      <c r="B629" s="2">
        <v>45440.684482986115</v>
      </c>
      <c r="C629" t="s">
        <v>8</v>
      </c>
      <c r="D629" t="s">
        <v>40</v>
      </c>
      <c r="E629">
        <v>2792</v>
      </c>
      <c r="F629" t="s">
        <v>20</v>
      </c>
    </row>
    <row r="630" spans="1:6" x14ac:dyDescent="0.35">
      <c r="A630" s="1">
        <v>45440</v>
      </c>
      <c r="B630" s="2">
        <v>45440.723425543983</v>
      </c>
      <c r="C630" t="s">
        <v>13</v>
      </c>
      <c r="D630" t="s">
        <v>1372</v>
      </c>
      <c r="E630">
        <v>390</v>
      </c>
      <c r="F630" t="s">
        <v>24</v>
      </c>
    </row>
    <row r="631" spans="1:6" x14ac:dyDescent="0.35">
      <c r="A631" s="1">
        <v>45440</v>
      </c>
      <c r="B631" s="2">
        <v>45440.798253113426</v>
      </c>
      <c r="C631" t="s">
        <v>8</v>
      </c>
      <c r="D631" t="s">
        <v>285</v>
      </c>
      <c r="E631">
        <v>2792</v>
      </c>
      <c r="F631" t="s">
        <v>28</v>
      </c>
    </row>
    <row r="632" spans="1:6" x14ac:dyDescent="0.35">
      <c r="A632" s="1">
        <v>45440</v>
      </c>
      <c r="B632" s="2">
        <v>45440.798970717595</v>
      </c>
      <c r="C632" t="s">
        <v>8</v>
      </c>
      <c r="D632" t="s">
        <v>285</v>
      </c>
      <c r="E632">
        <v>3772</v>
      </c>
      <c r="F632" t="s">
        <v>32</v>
      </c>
    </row>
    <row r="633" spans="1:6" x14ac:dyDescent="0.35">
      <c r="A633" s="1">
        <v>45440</v>
      </c>
      <c r="B633" s="2">
        <v>45440.850372743058</v>
      </c>
      <c r="C633" t="s">
        <v>8</v>
      </c>
      <c r="D633" t="s">
        <v>25</v>
      </c>
      <c r="E633">
        <v>3282</v>
      </c>
      <c r="F633" t="s">
        <v>36</v>
      </c>
    </row>
    <row r="634" spans="1:6" x14ac:dyDescent="0.35">
      <c r="A634" s="1">
        <v>45440</v>
      </c>
      <c r="B634" s="2">
        <v>45440.868280659721</v>
      </c>
      <c r="C634" t="s">
        <v>8</v>
      </c>
      <c r="D634" t="s">
        <v>43</v>
      </c>
      <c r="E634">
        <v>2792</v>
      </c>
      <c r="F634" t="s">
        <v>28</v>
      </c>
    </row>
    <row r="635" spans="1:6" x14ac:dyDescent="0.35">
      <c r="A635" s="1">
        <v>45441</v>
      </c>
      <c r="B635" s="2">
        <v>45441.385228055558</v>
      </c>
      <c r="C635" t="s">
        <v>8</v>
      </c>
      <c r="D635" t="s">
        <v>286</v>
      </c>
      <c r="E635">
        <v>3772</v>
      </c>
      <c r="F635" t="s">
        <v>32</v>
      </c>
    </row>
    <row r="636" spans="1:6" x14ac:dyDescent="0.35">
      <c r="A636" s="1">
        <v>45441</v>
      </c>
      <c r="B636" s="2">
        <v>45441.450541446757</v>
      </c>
      <c r="C636" t="s">
        <v>13</v>
      </c>
      <c r="D636" t="s">
        <v>1372</v>
      </c>
      <c r="E636">
        <v>390</v>
      </c>
      <c r="F636" t="s">
        <v>32</v>
      </c>
    </row>
    <row r="637" spans="1:6" x14ac:dyDescent="0.35">
      <c r="A637" s="1">
        <v>45441</v>
      </c>
      <c r="B637" s="2">
        <v>45441.46808859954</v>
      </c>
      <c r="C637" t="s">
        <v>8</v>
      </c>
      <c r="D637" t="s">
        <v>287</v>
      </c>
      <c r="E637">
        <v>3772</v>
      </c>
      <c r="F637" t="s">
        <v>15</v>
      </c>
    </row>
    <row r="638" spans="1:6" x14ac:dyDescent="0.35">
      <c r="A638" s="1">
        <v>45441</v>
      </c>
      <c r="B638" s="2">
        <v>45441.632506307869</v>
      </c>
      <c r="C638" t="s">
        <v>8</v>
      </c>
      <c r="D638" t="s">
        <v>288</v>
      </c>
      <c r="E638">
        <v>2792</v>
      </c>
      <c r="F638" t="s">
        <v>28</v>
      </c>
    </row>
    <row r="639" spans="1:6" x14ac:dyDescent="0.35">
      <c r="A639" s="1">
        <v>45441</v>
      </c>
      <c r="B639" s="2">
        <v>45441.640929641202</v>
      </c>
      <c r="C639" t="s">
        <v>8</v>
      </c>
      <c r="D639" t="s">
        <v>289</v>
      </c>
      <c r="E639">
        <v>3772</v>
      </c>
      <c r="F639" t="s">
        <v>32</v>
      </c>
    </row>
    <row r="640" spans="1:6" x14ac:dyDescent="0.35">
      <c r="A640" s="1">
        <v>45441</v>
      </c>
      <c r="B640" s="2">
        <v>45441.656397430554</v>
      </c>
      <c r="C640" t="s">
        <v>8</v>
      </c>
      <c r="D640" t="s">
        <v>290</v>
      </c>
      <c r="E640">
        <v>3772</v>
      </c>
      <c r="F640" t="s">
        <v>24</v>
      </c>
    </row>
    <row r="641" spans="1:6" x14ac:dyDescent="0.35">
      <c r="A641" s="1">
        <v>45441</v>
      </c>
      <c r="B641" s="2">
        <v>45441.697962384256</v>
      </c>
      <c r="C641" t="s">
        <v>8</v>
      </c>
      <c r="D641" t="s">
        <v>291</v>
      </c>
      <c r="E641">
        <v>3772</v>
      </c>
      <c r="F641" t="s">
        <v>32</v>
      </c>
    </row>
    <row r="642" spans="1:6" x14ac:dyDescent="0.35">
      <c r="A642" s="1">
        <v>45441</v>
      </c>
      <c r="B642" s="2">
        <v>45441.766705254631</v>
      </c>
      <c r="C642" t="s">
        <v>8</v>
      </c>
      <c r="D642" t="s">
        <v>292</v>
      </c>
      <c r="E642">
        <v>2792</v>
      </c>
      <c r="F642" t="s">
        <v>20</v>
      </c>
    </row>
    <row r="643" spans="1:6" x14ac:dyDescent="0.35">
      <c r="A643" s="1">
        <v>45441</v>
      </c>
      <c r="B643" s="2">
        <v>45441.767353136573</v>
      </c>
      <c r="C643" t="s">
        <v>8</v>
      </c>
      <c r="D643" t="s">
        <v>292</v>
      </c>
      <c r="E643">
        <v>3772</v>
      </c>
      <c r="F643" t="s">
        <v>32</v>
      </c>
    </row>
    <row r="644" spans="1:6" x14ac:dyDescent="0.35">
      <c r="A644" s="1">
        <v>45441</v>
      </c>
      <c r="B644" s="2">
        <v>45441.854655555559</v>
      </c>
      <c r="C644" t="s">
        <v>8</v>
      </c>
      <c r="D644" t="s">
        <v>293</v>
      </c>
      <c r="E644">
        <v>3772</v>
      </c>
      <c r="F644" t="s">
        <v>15</v>
      </c>
    </row>
    <row r="645" spans="1:6" x14ac:dyDescent="0.35">
      <c r="A645" s="1">
        <v>45441</v>
      </c>
      <c r="B645" s="2">
        <v>45441.85596296296</v>
      </c>
      <c r="C645" t="s">
        <v>8</v>
      </c>
      <c r="D645" t="s">
        <v>294</v>
      </c>
      <c r="E645">
        <v>3772</v>
      </c>
      <c r="F645" t="s">
        <v>10</v>
      </c>
    </row>
    <row r="646" spans="1:6" x14ac:dyDescent="0.35">
      <c r="A646" s="1">
        <v>45442</v>
      </c>
      <c r="B646" s="2">
        <v>45442.353544872683</v>
      </c>
      <c r="C646" t="s">
        <v>8</v>
      </c>
      <c r="D646" t="s">
        <v>295</v>
      </c>
      <c r="E646">
        <v>3772</v>
      </c>
      <c r="F646" t="s">
        <v>24</v>
      </c>
    </row>
    <row r="647" spans="1:6" x14ac:dyDescent="0.35">
      <c r="A647" s="1">
        <v>45442</v>
      </c>
      <c r="B647" s="2">
        <v>45442.354416504633</v>
      </c>
      <c r="C647" t="s">
        <v>8</v>
      </c>
      <c r="D647" t="s">
        <v>295</v>
      </c>
      <c r="E647">
        <v>3772</v>
      </c>
      <c r="F647" t="s">
        <v>32</v>
      </c>
    </row>
    <row r="648" spans="1:6" x14ac:dyDescent="0.35">
      <c r="A648" s="1">
        <v>45442</v>
      </c>
      <c r="B648" s="2">
        <v>45442.359090069447</v>
      </c>
      <c r="C648" t="s">
        <v>8</v>
      </c>
      <c r="D648" t="s">
        <v>296</v>
      </c>
      <c r="E648">
        <v>3282</v>
      </c>
      <c r="F648" t="s">
        <v>36</v>
      </c>
    </row>
    <row r="649" spans="1:6" x14ac:dyDescent="0.35">
      <c r="A649" s="1">
        <v>45442</v>
      </c>
      <c r="B649" s="2">
        <v>45442.408322824071</v>
      </c>
      <c r="C649" t="s">
        <v>8</v>
      </c>
      <c r="D649" t="s">
        <v>60</v>
      </c>
      <c r="E649">
        <v>3772</v>
      </c>
      <c r="F649" t="s">
        <v>32</v>
      </c>
    </row>
    <row r="650" spans="1:6" x14ac:dyDescent="0.35">
      <c r="A650" s="1">
        <v>45442</v>
      </c>
      <c r="B650" s="2">
        <v>45442.622401307868</v>
      </c>
      <c r="C650" t="s">
        <v>8</v>
      </c>
      <c r="D650" t="s">
        <v>11</v>
      </c>
      <c r="E650">
        <v>3282</v>
      </c>
      <c r="F650" t="s">
        <v>36</v>
      </c>
    </row>
    <row r="651" spans="1:6" x14ac:dyDescent="0.35">
      <c r="A651" s="1">
        <v>45442</v>
      </c>
      <c r="B651" s="2">
        <v>45442.636292418982</v>
      </c>
      <c r="C651" t="s">
        <v>8</v>
      </c>
      <c r="D651" t="s">
        <v>297</v>
      </c>
      <c r="E651">
        <v>2302</v>
      </c>
      <c r="F651" t="s">
        <v>5</v>
      </c>
    </row>
    <row r="652" spans="1:6" x14ac:dyDescent="0.35">
      <c r="A652" s="1">
        <v>45442</v>
      </c>
      <c r="B652" s="2">
        <v>45442.637252962966</v>
      </c>
      <c r="C652" t="s">
        <v>8</v>
      </c>
      <c r="D652" t="s">
        <v>43</v>
      </c>
      <c r="E652">
        <v>2302</v>
      </c>
      <c r="F652" t="s">
        <v>5</v>
      </c>
    </row>
    <row r="653" spans="1:6" x14ac:dyDescent="0.35">
      <c r="A653" s="1">
        <v>45442</v>
      </c>
      <c r="B653" s="2">
        <v>45442.828601724534</v>
      </c>
      <c r="C653" t="s">
        <v>8</v>
      </c>
      <c r="D653" t="s">
        <v>260</v>
      </c>
      <c r="E653">
        <v>3772</v>
      </c>
      <c r="F653" t="s">
        <v>24</v>
      </c>
    </row>
    <row r="654" spans="1:6" x14ac:dyDescent="0.35">
      <c r="A654" s="1">
        <v>45442</v>
      </c>
      <c r="B654" s="2">
        <v>45442.85492395833</v>
      </c>
      <c r="C654" t="s">
        <v>8</v>
      </c>
      <c r="D654" t="s">
        <v>298</v>
      </c>
      <c r="E654">
        <v>3772</v>
      </c>
      <c r="F654" t="s">
        <v>32</v>
      </c>
    </row>
    <row r="655" spans="1:6" x14ac:dyDescent="0.35">
      <c r="A655" s="1">
        <v>45442</v>
      </c>
      <c r="B655" s="2">
        <v>45442.865437905093</v>
      </c>
      <c r="C655" t="s">
        <v>8</v>
      </c>
      <c r="D655" t="s">
        <v>25</v>
      </c>
      <c r="E655">
        <v>3772</v>
      </c>
      <c r="F655" t="s">
        <v>15</v>
      </c>
    </row>
    <row r="656" spans="1:6" x14ac:dyDescent="0.35">
      <c r="A656" s="1">
        <v>45442</v>
      </c>
      <c r="B656" s="2">
        <v>45442.866222060184</v>
      </c>
      <c r="C656" t="s">
        <v>8</v>
      </c>
      <c r="D656" t="s">
        <v>25</v>
      </c>
      <c r="E656">
        <v>3282</v>
      </c>
      <c r="F656" t="s">
        <v>36</v>
      </c>
    </row>
    <row r="657" spans="1:6" x14ac:dyDescent="0.35">
      <c r="A657" s="1">
        <v>45443</v>
      </c>
      <c r="B657" s="2">
        <v>45443.329135115739</v>
      </c>
      <c r="C657" t="s">
        <v>8</v>
      </c>
      <c r="D657" t="s">
        <v>299</v>
      </c>
      <c r="E657">
        <v>3282</v>
      </c>
      <c r="F657" t="s">
        <v>36</v>
      </c>
    </row>
    <row r="658" spans="1:6" x14ac:dyDescent="0.35">
      <c r="A658" s="1">
        <v>45443</v>
      </c>
      <c r="B658" s="2">
        <v>45443.389673854166</v>
      </c>
      <c r="C658" t="s">
        <v>8</v>
      </c>
      <c r="D658" t="s">
        <v>300</v>
      </c>
      <c r="E658">
        <v>3772</v>
      </c>
      <c r="F658" t="s">
        <v>32</v>
      </c>
    </row>
    <row r="659" spans="1:6" x14ac:dyDescent="0.35">
      <c r="A659" s="1">
        <v>45443</v>
      </c>
      <c r="B659" s="2">
        <v>45443.391652673614</v>
      </c>
      <c r="C659" t="s">
        <v>13</v>
      </c>
      <c r="D659" t="s">
        <v>1372</v>
      </c>
      <c r="E659">
        <v>390</v>
      </c>
      <c r="F659" t="s">
        <v>32</v>
      </c>
    </row>
    <row r="660" spans="1:6" x14ac:dyDescent="0.35">
      <c r="A660" s="1">
        <v>45443</v>
      </c>
      <c r="B660" s="2">
        <v>45443.44314653935</v>
      </c>
      <c r="C660" t="s">
        <v>8</v>
      </c>
      <c r="D660" t="s">
        <v>301</v>
      </c>
      <c r="E660">
        <v>3772</v>
      </c>
      <c r="F660" t="s">
        <v>15</v>
      </c>
    </row>
    <row r="661" spans="1:6" x14ac:dyDescent="0.35">
      <c r="A661" s="1">
        <v>45443</v>
      </c>
      <c r="B661" s="2">
        <v>45443.443821018518</v>
      </c>
      <c r="C661" t="s">
        <v>8</v>
      </c>
      <c r="D661" t="s">
        <v>302</v>
      </c>
      <c r="E661">
        <v>3772</v>
      </c>
      <c r="F661" t="s">
        <v>10</v>
      </c>
    </row>
    <row r="662" spans="1:6" x14ac:dyDescent="0.35">
      <c r="A662" s="1">
        <v>45443</v>
      </c>
      <c r="B662" s="2">
        <v>45443.618205740742</v>
      </c>
      <c r="C662" t="s">
        <v>8</v>
      </c>
      <c r="D662" t="s">
        <v>303</v>
      </c>
      <c r="E662">
        <v>3282</v>
      </c>
      <c r="F662" t="s">
        <v>36</v>
      </c>
    </row>
    <row r="663" spans="1:6" x14ac:dyDescent="0.35">
      <c r="A663" s="1">
        <v>45443</v>
      </c>
      <c r="B663" s="2">
        <v>45443.766488842593</v>
      </c>
      <c r="C663" t="s">
        <v>8</v>
      </c>
      <c r="D663" t="s">
        <v>304</v>
      </c>
      <c r="E663">
        <v>3772</v>
      </c>
      <c r="F663" t="s">
        <v>32</v>
      </c>
    </row>
    <row r="664" spans="1:6" x14ac:dyDescent="0.35">
      <c r="A664" s="1">
        <v>45443</v>
      </c>
      <c r="B664" s="2">
        <v>45443.767398969911</v>
      </c>
      <c r="C664" t="s">
        <v>8</v>
      </c>
      <c r="D664" t="s">
        <v>304</v>
      </c>
      <c r="E664">
        <v>3772</v>
      </c>
      <c r="F664" t="s">
        <v>32</v>
      </c>
    </row>
    <row r="665" spans="1:6" x14ac:dyDescent="0.35">
      <c r="A665" s="1">
        <v>45443</v>
      </c>
      <c r="B665" s="2">
        <v>45443.837953310183</v>
      </c>
      <c r="C665" t="s">
        <v>8</v>
      </c>
      <c r="D665" t="s">
        <v>234</v>
      </c>
      <c r="E665">
        <v>3772</v>
      </c>
      <c r="F665" t="s">
        <v>24</v>
      </c>
    </row>
    <row r="666" spans="1:6" x14ac:dyDescent="0.35">
      <c r="A666" s="1">
        <v>45443</v>
      </c>
      <c r="B666" s="2">
        <v>45443.856324108798</v>
      </c>
      <c r="C666" t="s">
        <v>8</v>
      </c>
      <c r="D666" t="s">
        <v>189</v>
      </c>
      <c r="E666">
        <v>3282</v>
      </c>
      <c r="F666" t="s">
        <v>36</v>
      </c>
    </row>
    <row r="667" spans="1:6" x14ac:dyDescent="0.35">
      <c r="A667" s="1">
        <v>45443</v>
      </c>
      <c r="B667" s="2">
        <v>45443.857325266203</v>
      </c>
      <c r="C667" t="s">
        <v>8</v>
      </c>
      <c r="D667" t="s">
        <v>189</v>
      </c>
      <c r="E667">
        <v>3772</v>
      </c>
      <c r="F667" t="s">
        <v>32</v>
      </c>
    </row>
    <row r="668" spans="1:6" x14ac:dyDescent="0.35">
      <c r="A668" s="1">
        <v>45443</v>
      </c>
      <c r="B668" s="2">
        <v>45443.920683680553</v>
      </c>
      <c r="C668" t="s">
        <v>8</v>
      </c>
      <c r="D668" t="s">
        <v>260</v>
      </c>
      <c r="E668">
        <v>3772</v>
      </c>
      <c r="F668" t="s">
        <v>24</v>
      </c>
    </row>
    <row r="669" spans="1:6" x14ac:dyDescent="0.35">
      <c r="A669" s="1">
        <v>45443</v>
      </c>
      <c r="B669" s="2">
        <v>45443.92144085648</v>
      </c>
      <c r="C669" t="s">
        <v>8</v>
      </c>
      <c r="D669" t="s">
        <v>260</v>
      </c>
      <c r="E669">
        <v>3282</v>
      </c>
      <c r="F669" t="s">
        <v>36</v>
      </c>
    </row>
    <row r="670" spans="1:6" x14ac:dyDescent="0.35">
      <c r="A670" s="1">
        <v>45443</v>
      </c>
      <c r="B670" s="2">
        <v>45443.922168611112</v>
      </c>
      <c r="C670" t="s">
        <v>8</v>
      </c>
      <c r="D670" t="s">
        <v>260</v>
      </c>
      <c r="E670">
        <v>2792</v>
      </c>
      <c r="F670" t="s">
        <v>20</v>
      </c>
    </row>
    <row r="671" spans="1:6" x14ac:dyDescent="0.35">
      <c r="A671" s="1">
        <v>45444</v>
      </c>
      <c r="B671" s="2">
        <v>45444.352103530095</v>
      </c>
      <c r="C671" t="s">
        <v>8</v>
      </c>
      <c r="D671" t="s">
        <v>40</v>
      </c>
      <c r="E671">
        <v>2792</v>
      </c>
      <c r="F671" t="s">
        <v>20</v>
      </c>
    </row>
    <row r="672" spans="1:6" x14ac:dyDescent="0.35">
      <c r="A672" s="1">
        <v>45444</v>
      </c>
      <c r="B672" s="2">
        <v>45444.408619791669</v>
      </c>
      <c r="C672" t="s">
        <v>8</v>
      </c>
      <c r="D672" t="s">
        <v>286</v>
      </c>
      <c r="E672">
        <v>3772</v>
      </c>
      <c r="F672" t="s">
        <v>32</v>
      </c>
    </row>
    <row r="673" spans="1:6" x14ac:dyDescent="0.35">
      <c r="A673" s="1">
        <v>45444</v>
      </c>
      <c r="B673" s="2">
        <v>45444.484830682872</v>
      </c>
      <c r="C673" t="s">
        <v>8</v>
      </c>
      <c r="D673" t="s">
        <v>304</v>
      </c>
      <c r="E673">
        <v>3772</v>
      </c>
      <c r="F673" t="s">
        <v>32</v>
      </c>
    </row>
    <row r="674" spans="1:6" x14ac:dyDescent="0.35">
      <c r="A674" s="1">
        <v>45444</v>
      </c>
      <c r="B674" s="2">
        <v>45444.603399756947</v>
      </c>
      <c r="C674" t="s">
        <v>8</v>
      </c>
      <c r="D674" t="s">
        <v>11</v>
      </c>
      <c r="E674">
        <v>3282</v>
      </c>
      <c r="F674" t="s">
        <v>36</v>
      </c>
    </row>
    <row r="675" spans="1:6" x14ac:dyDescent="0.35">
      <c r="A675" s="1">
        <v>45444</v>
      </c>
      <c r="B675" s="2">
        <v>45444.764036805558</v>
      </c>
      <c r="C675" t="s">
        <v>8</v>
      </c>
      <c r="D675" t="s">
        <v>305</v>
      </c>
      <c r="E675">
        <v>3282</v>
      </c>
      <c r="F675" t="s">
        <v>36</v>
      </c>
    </row>
    <row r="676" spans="1:6" x14ac:dyDescent="0.35">
      <c r="A676" s="1">
        <v>45444</v>
      </c>
      <c r="B676" s="2">
        <v>45444.764761145831</v>
      </c>
      <c r="C676" t="s">
        <v>8</v>
      </c>
      <c r="D676" t="s">
        <v>305</v>
      </c>
      <c r="E676">
        <v>3282</v>
      </c>
      <c r="F676" t="s">
        <v>36</v>
      </c>
    </row>
    <row r="677" spans="1:6" x14ac:dyDescent="0.35">
      <c r="A677" s="1">
        <v>45444</v>
      </c>
      <c r="B677" s="2">
        <v>45444.868176944445</v>
      </c>
      <c r="C677" t="s">
        <v>8</v>
      </c>
      <c r="D677" t="s">
        <v>208</v>
      </c>
      <c r="E677">
        <v>3772</v>
      </c>
      <c r="F677" t="s">
        <v>24</v>
      </c>
    </row>
    <row r="678" spans="1:6" x14ac:dyDescent="0.35">
      <c r="A678" s="1">
        <v>45444</v>
      </c>
      <c r="B678" s="2">
        <v>45444.868907002317</v>
      </c>
      <c r="C678" t="s">
        <v>8</v>
      </c>
      <c r="D678" t="s">
        <v>208</v>
      </c>
      <c r="E678">
        <v>3772</v>
      </c>
      <c r="F678" t="s">
        <v>24</v>
      </c>
    </row>
    <row r="679" spans="1:6" x14ac:dyDescent="0.35">
      <c r="A679" s="1">
        <v>45444</v>
      </c>
      <c r="B679" s="2">
        <v>45444.871519293978</v>
      </c>
      <c r="C679" t="s">
        <v>13</v>
      </c>
      <c r="D679" t="s">
        <v>1372</v>
      </c>
      <c r="E679">
        <v>390</v>
      </c>
      <c r="F679" t="s">
        <v>10</v>
      </c>
    </row>
    <row r="680" spans="1:6" x14ac:dyDescent="0.35">
      <c r="A680" s="1">
        <v>45444</v>
      </c>
      <c r="B680" s="2">
        <v>45444.874417696759</v>
      </c>
      <c r="C680" t="s">
        <v>8</v>
      </c>
      <c r="D680" t="s">
        <v>306</v>
      </c>
      <c r="E680">
        <v>3772</v>
      </c>
      <c r="F680" t="s">
        <v>10</v>
      </c>
    </row>
    <row r="681" spans="1:6" x14ac:dyDescent="0.35">
      <c r="A681" s="1">
        <v>45444</v>
      </c>
      <c r="B681" s="2">
        <v>45444.910474201388</v>
      </c>
      <c r="C681" t="s">
        <v>8</v>
      </c>
      <c r="D681" t="s">
        <v>25</v>
      </c>
      <c r="E681">
        <v>3282</v>
      </c>
      <c r="F681" t="s">
        <v>36</v>
      </c>
    </row>
    <row r="682" spans="1:6" x14ac:dyDescent="0.35">
      <c r="A682" s="1">
        <v>45445</v>
      </c>
      <c r="B682" s="2">
        <v>45445.835715266207</v>
      </c>
      <c r="C682" t="s">
        <v>8</v>
      </c>
      <c r="D682" t="s">
        <v>25</v>
      </c>
      <c r="E682">
        <v>3772</v>
      </c>
      <c r="F682" t="s">
        <v>32</v>
      </c>
    </row>
    <row r="683" spans="1:6" x14ac:dyDescent="0.35">
      <c r="A683" s="1">
        <v>45445</v>
      </c>
      <c r="B683" s="2">
        <v>45445.85002834491</v>
      </c>
      <c r="C683" t="s">
        <v>8</v>
      </c>
      <c r="D683" t="s">
        <v>16</v>
      </c>
      <c r="E683">
        <v>3282</v>
      </c>
      <c r="F683" t="s">
        <v>36</v>
      </c>
    </row>
    <row r="684" spans="1:6" x14ac:dyDescent="0.35">
      <c r="A684" s="1">
        <v>45445</v>
      </c>
      <c r="B684" s="2">
        <v>45445.850778217595</v>
      </c>
      <c r="C684" t="s">
        <v>8</v>
      </c>
      <c r="D684" t="s">
        <v>16</v>
      </c>
      <c r="E684">
        <v>3772</v>
      </c>
      <c r="F684" t="s">
        <v>24</v>
      </c>
    </row>
    <row r="685" spans="1:6" x14ac:dyDescent="0.35">
      <c r="A685" s="1">
        <v>45445</v>
      </c>
      <c r="B685" s="2">
        <v>45445.880098738424</v>
      </c>
      <c r="C685" t="s">
        <v>8</v>
      </c>
      <c r="D685" t="s">
        <v>11</v>
      </c>
      <c r="E685">
        <v>3282</v>
      </c>
      <c r="F685" t="s">
        <v>36</v>
      </c>
    </row>
    <row r="686" spans="1:6" x14ac:dyDescent="0.35">
      <c r="A686" s="1">
        <v>45445</v>
      </c>
      <c r="B686" s="2">
        <v>45445.895977199078</v>
      </c>
      <c r="C686" t="s">
        <v>8</v>
      </c>
      <c r="D686" t="s">
        <v>307</v>
      </c>
      <c r="E686">
        <v>3772</v>
      </c>
      <c r="F686" t="s">
        <v>32</v>
      </c>
    </row>
    <row r="687" spans="1:6" x14ac:dyDescent="0.35">
      <c r="A687" s="1">
        <v>45445</v>
      </c>
      <c r="B687" s="2">
        <v>45445.946650879632</v>
      </c>
      <c r="C687" t="s">
        <v>13</v>
      </c>
      <c r="D687" t="s">
        <v>1372</v>
      </c>
      <c r="E687">
        <v>340</v>
      </c>
      <c r="F687" t="s">
        <v>36</v>
      </c>
    </row>
    <row r="688" spans="1:6" x14ac:dyDescent="0.35">
      <c r="A688" s="1">
        <v>45446</v>
      </c>
      <c r="B688" s="2">
        <v>45446.425047928242</v>
      </c>
      <c r="C688" t="s">
        <v>8</v>
      </c>
      <c r="D688" t="s">
        <v>60</v>
      </c>
      <c r="E688">
        <v>3772</v>
      </c>
      <c r="F688" t="s">
        <v>32</v>
      </c>
    </row>
    <row r="689" spans="1:6" x14ac:dyDescent="0.35">
      <c r="A689" s="1">
        <v>45446</v>
      </c>
      <c r="B689" s="2">
        <v>45446.43599302083</v>
      </c>
      <c r="C689" t="s">
        <v>8</v>
      </c>
      <c r="D689" t="s">
        <v>245</v>
      </c>
      <c r="E689">
        <v>3772</v>
      </c>
      <c r="F689" t="s">
        <v>32</v>
      </c>
    </row>
    <row r="690" spans="1:6" x14ac:dyDescent="0.35">
      <c r="A690" s="1">
        <v>45446</v>
      </c>
      <c r="B690" s="2">
        <v>45446.605351134262</v>
      </c>
      <c r="C690" t="s">
        <v>8</v>
      </c>
      <c r="D690" t="s">
        <v>82</v>
      </c>
      <c r="E690">
        <v>3772</v>
      </c>
      <c r="F690" t="s">
        <v>24</v>
      </c>
    </row>
    <row r="691" spans="1:6" x14ac:dyDescent="0.35">
      <c r="A691" s="1">
        <v>45446</v>
      </c>
      <c r="B691" s="2">
        <v>45446.606261018518</v>
      </c>
      <c r="C691" t="s">
        <v>8</v>
      </c>
      <c r="D691" t="s">
        <v>81</v>
      </c>
      <c r="E691">
        <v>3282</v>
      </c>
      <c r="F691" t="s">
        <v>36</v>
      </c>
    </row>
    <row r="692" spans="1:6" x14ac:dyDescent="0.35">
      <c r="A692" s="1">
        <v>45446</v>
      </c>
      <c r="B692" s="2">
        <v>45446.607024560188</v>
      </c>
      <c r="C692" t="s">
        <v>8</v>
      </c>
      <c r="D692" t="s">
        <v>25</v>
      </c>
      <c r="E692">
        <v>3772</v>
      </c>
      <c r="F692" t="s">
        <v>32</v>
      </c>
    </row>
    <row r="693" spans="1:6" x14ac:dyDescent="0.35">
      <c r="A693" s="1">
        <v>45446</v>
      </c>
      <c r="B693" s="2">
        <v>45446.904765439816</v>
      </c>
      <c r="C693" t="s">
        <v>13</v>
      </c>
      <c r="D693" t="s">
        <v>1372</v>
      </c>
      <c r="E693">
        <v>340</v>
      </c>
      <c r="F693" t="s">
        <v>36</v>
      </c>
    </row>
    <row r="694" spans="1:6" x14ac:dyDescent="0.35">
      <c r="A694" s="1">
        <v>45446</v>
      </c>
      <c r="B694" s="2">
        <v>45446.90529480324</v>
      </c>
      <c r="C694" t="s">
        <v>13</v>
      </c>
      <c r="D694" t="s">
        <v>1372</v>
      </c>
      <c r="E694">
        <v>340</v>
      </c>
      <c r="F694" t="s">
        <v>36</v>
      </c>
    </row>
    <row r="695" spans="1:6" x14ac:dyDescent="0.35">
      <c r="A695" s="1">
        <v>45447</v>
      </c>
      <c r="B695" s="2">
        <v>45447.391468726855</v>
      </c>
      <c r="C695" t="s">
        <v>8</v>
      </c>
      <c r="D695" t="s">
        <v>40</v>
      </c>
      <c r="E695">
        <v>2792</v>
      </c>
      <c r="F695" t="s">
        <v>20</v>
      </c>
    </row>
    <row r="696" spans="1:6" x14ac:dyDescent="0.35">
      <c r="A696" s="1">
        <v>45447</v>
      </c>
      <c r="B696" s="2">
        <v>45447.435578414355</v>
      </c>
      <c r="C696" t="s">
        <v>8</v>
      </c>
      <c r="D696" t="s">
        <v>11</v>
      </c>
      <c r="E696">
        <v>3282</v>
      </c>
      <c r="F696" t="s">
        <v>36</v>
      </c>
    </row>
    <row r="697" spans="1:6" x14ac:dyDescent="0.35">
      <c r="A697" s="1">
        <v>45447</v>
      </c>
      <c r="B697" s="2">
        <v>45447.501507094908</v>
      </c>
      <c r="C697" t="s">
        <v>8</v>
      </c>
      <c r="D697" t="s">
        <v>308</v>
      </c>
      <c r="E697">
        <v>3772</v>
      </c>
      <c r="F697" t="s">
        <v>32</v>
      </c>
    </row>
    <row r="698" spans="1:6" x14ac:dyDescent="0.35">
      <c r="A698" s="1">
        <v>45447</v>
      </c>
      <c r="B698" s="2">
        <v>45447.503810023147</v>
      </c>
      <c r="C698" t="s">
        <v>8</v>
      </c>
      <c r="D698" t="s">
        <v>308</v>
      </c>
      <c r="E698">
        <v>3772</v>
      </c>
      <c r="F698" t="s">
        <v>15</v>
      </c>
    </row>
    <row r="699" spans="1:6" x14ac:dyDescent="0.35">
      <c r="A699" s="1">
        <v>45447</v>
      </c>
      <c r="B699" s="2">
        <v>45447.646208969905</v>
      </c>
      <c r="C699" t="s">
        <v>8</v>
      </c>
      <c r="D699" t="s">
        <v>309</v>
      </c>
      <c r="E699">
        <v>3772</v>
      </c>
      <c r="F699" t="s">
        <v>32</v>
      </c>
    </row>
    <row r="700" spans="1:6" x14ac:dyDescent="0.35">
      <c r="A700" s="1">
        <v>45447</v>
      </c>
      <c r="B700" s="2">
        <v>45447.74070209491</v>
      </c>
      <c r="C700" t="s">
        <v>8</v>
      </c>
      <c r="D700" t="s">
        <v>246</v>
      </c>
      <c r="E700">
        <v>2792</v>
      </c>
      <c r="F700" t="s">
        <v>20</v>
      </c>
    </row>
    <row r="701" spans="1:6" x14ac:dyDescent="0.35">
      <c r="A701" s="1">
        <v>45447</v>
      </c>
      <c r="B701" s="2">
        <v>45447.741306099539</v>
      </c>
      <c r="C701" t="s">
        <v>8</v>
      </c>
      <c r="D701" t="s">
        <v>246</v>
      </c>
      <c r="E701">
        <v>3772</v>
      </c>
      <c r="F701" t="s">
        <v>24</v>
      </c>
    </row>
    <row r="702" spans="1:6" x14ac:dyDescent="0.35">
      <c r="A702" s="1">
        <v>45447</v>
      </c>
      <c r="B702" s="2">
        <v>45447.842375046297</v>
      </c>
      <c r="C702" t="s">
        <v>8</v>
      </c>
      <c r="D702" t="s">
        <v>310</v>
      </c>
      <c r="E702">
        <v>3772</v>
      </c>
      <c r="F702" t="s">
        <v>15</v>
      </c>
    </row>
    <row r="703" spans="1:6" x14ac:dyDescent="0.35">
      <c r="A703" s="1">
        <v>45447</v>
      </c>
      <c r="B703" s="2">
        <v>45447.868447870373</v>
      </c>
      <c r="C703" t="s">
        <v>8</v>
      </c>
      <c r="D703" t="s">
        <v>311</v>
      </c>
      <c r="E703">
        <v>3772</v>
      </c>
      <c r="F703" t="s">
        <v>24</v>
      </c>
    </row>
    <row r="704" spans="1:6" x14ac:dyDescent="0.35">
      <c r="A704" s="1">
        <v>45447</v>
      </c>
      <c r="B704" s="2">
        <v>45447.897209583331</v>
      </c>
      <c r="C704" t="s">
        <v>8</v>
      </c>
      <c r="D704" t="s">
        <v>312</v>
      </c>
      <c r="E704">
        <v>2792</v>
      </c>
      <c r="F704" t="s">
        <v>20</v>
      </c>
    </row>
    <row r="705" spans="1:6" x14ac:dyDescent="0.35">
      <c r="A705" s="1">
        <v>45447</v>
      </c>
      <c r="B705" s="2">
        <v>45447.897947002311</v>
      </c>
      <c r="C705" t="s">
        <v>8</v>
      </c>
      <c r="D705" t="s">
        <v>313</v>
      </c>
      <c r="E705">
        <v>3282</v>
      </c>
      <c r="F705" t="s">
        <v>36</v>
      </c>
    </row>
    <row r="706" spans="1:6" x14ac:dyDescent="0.35">
      <c r="A706" s="1">
        <v>45447</v>
      </c>
      <c r="B706" s="2">
        <v>45447.899255405093</v>
      </c>
      <c r="C706" t="s">
        <v>8</v>
      </c>
      <c r="D706" t="s">
        <v>314</v>
      </c>
      <c r="E706">
        <v>3282</v>
      </c>
      <c r="F706" t="s">
        <v>36</v>
      </c>
    </row>
    <row r="707" spans="1:6" x14ac:dyDescent="0.35">
      <c r="A707" s="1">
        <v>45447</v>
      </c>
      <c r="B707" s="2">
        <v>45447.90008013889</v>
      </c>
      <c r="C707" t="s">
        <v>8</v>
      </c>
      <c r="D707" t="s">
        <v>314</v>
      </c>
      <c r="E707">
        <v>3282</v>
      </c>
      <c r="F707" t="s">
        <v>36</v>
      </c>
    </row>
    <row r="708" spans="1:6" x14ac:dyDescent="0.35">
      <c r="A708" s="1">
        <v>45447</v>
      </c>
      <c r="B708" s="2">
        <v>45447.900869953701</v>
      </c>
      <c r="C708" t="s">
        <v>8</v>
      </c>
      <c r="D708" t="s">
        <v>314</v>
      </c>
      <c r="E708">
        <v>3282</v>
      </c>
      <c r="F708" t="s">
        <v>36</v>
      </c>
    </row>
    <row r="709" spans="1:6" x14ac:dyDescent="0.35">
      <c r="A709" s="1">
        <v>45448</v>
      </c>
      <c r="B709" s="2">
        <v>45448.348483379632</v>
      </c>
      <c r="C709" t="s">
        <v>8</v>
      </c>
      <c r="D709" t="s">
        <v>315</v>
      </c>
      <c r="E709">
        <v>3772</v>
      </c>
      <c r="F709" t="s">
        <v>24</v>
      </c>
    </row>
    <row r="710" spans="1:6" x14ac:dyDescent="0.35">
      <c r="A710" s="1">
        <v>45448</v>
      </c>
      <c r="B710" s="2">
        <v>45448.349383368055</v>
      </c>
      <c r="C710" t="s">
        <v>8</v>
      </c>
      <c r="D710" t="s">
        <v>315</v>
      </c>
      <c r="E710">
        <v>3772</v>
      </c>
      <c r="F710" t="s">
        <v>24</v>
      </c>
    </row>
    <row r="711" spans="1:6" x14ac:dyDescent="0.35">
      <c r="A711" s="1">
        <v>45448</v>
      </c>
      <c r="B711" s="2">
        <v>45448.390776712964</v>
      </c>
      <c r="C711" t="s">
        <v>8</v>
      </c>
      <c r="D711" t="s">
        <v>316</v>
      </c>
      <c r="E711">
        <v>2792</v>
      </c>
      <c r="F711" t="s">
        <v>28</v>
      </c>
    </row>
    <row r="712" spans="1:6" x14ac:dyDescent="0.35">
      <c r="A712" s="1">
        <v>45448</v>
      </c>
      <c r="B712" s="2">
        <v>45448.436696990742</v>
      </c>
      <c r="C712" t="s">
        <v>8</v>
      </c>
      <c r="D712" t="s">
        <v>60</v>
      </c>
      <c r="E712">
        <v>3772</v>
      </c>
      <c r="F712" t="s">
        <v>32</v>
      </c>
    </row>
    <row r="713" spans="1:6" x14ac:dyDescent="0.35">
      <c r="A713" s="1">
        <v>45448</v>
      </c>
      <c r="B713" s="2">
        <v>45448.445060046295</v>
      </c>
      <c r="C713" t="s">
        <v>8</v>
      </c>
      <c r="D713" t="s">
        <v>11</v>
      </c>
      <c r="E713">
        <v>3282</v>
      </c>
      <c r="F713" t="s">
        <v>36</v>
      </c>
    </row>
    <row r="714" spans="1:6" x14ac:dyDescent="0.35">
      <c r="A714" s="1">
        <v>45448</v>
      </c>
      <c r="B714" s="2">
        <v>45448.822195312503</v>
      </c>
      <c r="C714" t="s">
        <v>8</v>
      </c>
      <c r="D714" t="s">
        <v>317</v>
      </c>
      <c r="E714">
        <v>3282</v>
      </c>
      <c r="F714" t="s">
        <v>36</v>
      </c>
    </row>
    <row r="715" spans="1:6" x14ac:dyDescent="0.35">
      <c r="A715" s="1">
        <v>45448</v>
      </c>
      <c r="B715" s="2">
        <v>45448.83325841435</v>
      </c>
      <c r="C715" t="s">
        <v>8</v>
      </c>
      <c r="D715" t="s">
        <v>318</v>
      </c>
      <c r="E715">
        <v>3772</v>
      </c>
      <c r="F715" t="s">
        <v>32</v>
      </c>
    </row>
    <row r="716" spans="1:6" x14ac:dyDescent="0.35">
      <c r="A716" s="1">
        <v>45448</v>
      </c>
      <c r="B716" s="2">
        <v>45448.840828969907</v>
      </c>
      <c r="C716" t="s">
        <v>8</v>
      </c>
      <c r="D716" t="s">
        <v>274</v>
      </c>
      <c r="E716">
        <v>3772</v>
      </c>
      <c r="F716" t="s">
        <v>10</v>
      </c>
    </row>
    <row r="717" spans="1:6" x14ac:dyDescent="0.35">
      <c r="A717" s="1">
        <v>45448</v>
      </c>
      <c r="B717" s="2">
        <v>45448.841685856481</v>
      </c>
      <c r="C717" t="s">
        <v>8</v>
      </c>
      <c r="D717" t="s">
        <v>274</v>
      </c>
      <c r="E717">
        <v>2792</v>
      </c>
      <c r="F717" t="s">
        <v>20</v>
      </c>
    </row>
    <row r="718" spans="1:6" x14ac:dyDescent="0.35">
      <c r="A718" s="1">
        <v>45449</v>
      </c>
      <c r="B718" s="2">
        <v>45449.37009665509</v>
      </c>
      <c r="C718" t="s">
        <v>8</v>
      </c>
      <c r="D718" t="s">
        <v>11</v>
      </c>
      <c r="E718">
        <v>3282</v>
      </c>
      <c r="F718" t="s">
        <v>36</v>
      </c>
    </row>
    <row r="719" spans="1:6" x14ac:dyDescent="0.35">
      <c r="A719" s="1">
        <v>45449</v>
      </c>
      <c r="B719" s="2">
        <v>45449.370931192127</v>
      </c>
      <c r="C719" t="s">
        <v>8</v>
      </c>
      <c r="D719" t="s">
        <v>11</v>
      </c>
      <c r="E719">
        <v>3282</v>
      </c>
      <c r="F719" t="s">
        <v>36</v>
      </c>
    </row>
    <row r="720" spans="1:6" x14ac:dyDescent="0.35">
      <c r="A720" s="1">
        <v>45449</v>
      </c>
      <c r="B720" s="2">
        <v>45449.441778553242</v>
      </c>
      <c r="C720" t="s">
        <v>8</v>
      </c>
      <c r="D720" t="s">
        <v>60</v>
      </c>
      <c r="E720">
        <v>3772</v>
      </c>
      <c r="F720" t="s">
        <v>32</v>
      </c>
    </row>
    <row r="721" spans="1:6" x14ac:dyDescent="0.35">
      <c r="A721" s="1">
        <v>45449</v>
      </c>
      <c r="B721" s="2">
        <v>45449.512285578705</v>
      </c>
      <c r="C721" t="s">
        <v>8</v>
      </c>
      <c r="D721" t="s">
        <v>319</v>
      </c>
      <c r="E721">
        <v>2792</v>
      </c>
      <c r="F721" t="s">
        <v>28</v>
      </c>
    </row>
    <row r="722" spans="1:6" x14ac:dyDescent="0.35">
      <c r="A722" s="1">
        <v>45449</v>
      </c>
      <c r="B722" s="2">
        <v>45449.632803067128</v>
      </c>
      <c r="C722" t="s">
        <v>8</v>
      </c>
      <c r="D722" t="s">
        <v>278</v>
      </c>
      <c r="E722">
        <v>3282</v>
      </c>
      <c r="F722" t="s">
        <v>36</v>
      </c>
    </row>
    <row r="723" spans="1:6" x14ac:dyDescent="0.35">
      <c r="A723" s="1">
        <v>45449</v>
      </c>
      <c r="B723" s="2">
        <v>45449.641738668979</v>
      </c>
      <c r="C723" t="s">
        <v>8</v>
      </c>
      <c r="D723" t="s">
        <v>320</v>
      </c>
      <c r="E723">
        <v>3772</v>
      </c>
      <c r="F723" t="s">
        <v>24</v>
      </c>
    </row>
    <row r="724" spans="1:6" x14ac:dyDescent="0.35">
      <c r="A724" s="1">
        <v>45449</v>
      </c>
      <c r="B724" s="2">
        <v>45449.884781273147</v>
      </c>
      <c r="C724" t="s">
        <v>8</v>
      </c>
      <c r="D724" t="s">
        <v>321</v>
      </c>
      <c r="E724">
        <v>3772</v>
      </c>
      <c r="F724" t="s">
        <v>32</v>
      </c>
    </row>
    <row r="725" spans="1:6" x14ac:dyDescent="0.35">
      <c r="A725" s="1">
        <v>45449</v>
      </c>
      <c r="B725" s="2">
        <v>45449.885905405092</v>
      </c>
      <c r="C725" t="s">
        <v>8</v>
      </c>
      <c r="D725" t="s">
        <v>321</v>
      </c>
      <c r="E725">
        <v>3772</v>
      </c>
      <c r="F725" t="s">
        <v>32</v>
      </c>
    </row>
    <row r="726" spans="1:6" x14ac:dyDescent="0.35">
      <c r="A726" s="1">
        <v>45449</v>
      </c>
      <c r="B726" s="2">
        <v>45449.887809178239</v>
      </c>
      <c r="C726" t="s">
        <v>8</v>
      </c>
      <c r="D726" t="s">
        <v>260</v>
      </c>
      <c r="E726">
        <v>3772</v>
      </c>
      <c r="F726" t="s">
        <v>24</v>
      </c>
    </row>
    <row r="727" spans="1:6" x14ac:dyDescent="0.35">
      <c r="A727" s="1">
        <v>45449</v>
      </c>
      <c r="B727" s="2">
        <v>45449.888546712966</v>
      </c>
      <c r="C727" t="s">
        <v>8</v>
      </c>
      <c r="D727" t="s">
        <v>260</v>
      </c>
      <c r="E727">
        <v>3282</v>
      </c>
      <c r="F727" t="s">
        <v>36</v>
      </c>
    </row>
    <row r="728" spans="1:6" x14ac:dyDescent="0.35">
      <c r="A728" s="1">
        <v>45449</v>
      </c>
      <c r="B728" s="2">
        <v>45449.889634722225</v>
      </c>
      <c r="C728" t="s">
        <v>8</v>
      </c>
      <c r="D728" t="s">
        <v>321</v>
      </c>
      <c r="E728">
        <v>3772</v>
      </c>
      <c r="F728" t="s">
        <v>32</v>
      </c>
    </row>
    <row r="729" spans="1:6" x14ac:dyDescent="0.35">
      <c r="A729" s="1">
        <v>45450</v>
      </c>
      <c r="B729" s="2">
        <v>45450.345883055554</v>
      </c>
      <c r="C729" t="s">
        <v>8</v>
      </c>
      <c r="D729" t="s">
        <v>322</v>
      </c>
      <c r="E729">
        <v>3772</v>
      </c>
      <c r="F729" t="s">
        <v>24</v>
      </c>
    </row>
    <row r="730" spans="1:6" x14ac:dyDescent="0.35">
      <c r="A730" s="1">
        <v>45450</v>
      </c>
      <c r="B730" s="2">
        <v>45450.441297500001</v>
      </c>
      <c r="C730" t="s">
        <v>8</v>
      </c>
      <c r="D730" t="s">
        <v>323</v>
      </c>
      <c r="E730">
        <v>2302</v>
      </c>
      <c r="F730" t="s">
        <v>5</v>
      </c>
    </row>
    <row r="731" spans="1:6" x14ac:dyDescent="0.35">
      <c r="A731" s="1">
        <v>45450</v>
      </c>
      <c r="B731" s="2">
        <v>45450.565489548608</v>
      </c>
      <c r="C731" t="s">
        <v>8</v>
      </c>
      <c r="D731" t="s">
        <v>218</v>
      </c>
      <c r="E731">
        <v>3282</v>
      </c>
      <c r="F731" t="s">
        <v>36</v>
      </c>
    </row>
    <row r="732" spans="1:6" x14ac:dyDescent="0.35">
      <c r="A732" s="1">
        <v>45450</v>
      </c>
      <c r="B732" s="2">
        <v>45450.698405300929</v>
      </c>
      <c r="C732" t="s">
        <v>8</v>
      </c>
      <c r="D732" t="s">
        <v>324</v>
      </c>
      <c r="E732">
        <v>2792</v>
      </c>
      <c r="F732" t="s">
        <v>20</v>
      </c>
    </row>
    <row r="733" spans="1:6" x14ac:dyDescent="0.35">
      <c r="A733" s="1">
        <v>45450</v>
      </c>
      <c r="B733" s="2">
        <v>45450.699484733799</v>
      </c>
      <c r="C733" t="s">
        <v>8</v>
      </c>
      <c r="D733" t="s">
        <v>324</v>
      </c>
      <c r="E733">
        <v>2792</v>
      </c>
      <c r="F733" t="s">
        <v>20</v>
      </c>
    </row>
    <row r="734" spans="1:6" x14ac:dyDescent="0.35">
      <c r="A734" s="1">
        <v>45451</v>
      </c>
      <c r="B734" s="2">
        <v>45451.378009444445</v>
      </c>
      <c r="C734" t="s">
        <v>8</v>
      </c>
      <c r="D734" t="s">
        <v>325</v>
      </c>
      <c r="E734">
        <v>2792</v>
      </c>
      <c r="F734" t="s">
        <v>20</v>
      </c>
    </row>
    <row r="735" spans="1:6" x14ac:dyDescent="0.35">
      <c r="A735" s="1">
        <v>45451</v>
      </c>
      <c r="B735" s="2">
        <v>45451.393184722219</v>
      </c>
      <c r="C735" t="s">
        <v>8</v>
      </c>
      <c r="D735" t="s">
        <v>11</v>
      </c>
      <c r="E735">
        <v>3282</v>
      </c>
      <c r="F735" t="s">
        <v>36</v>
      </c>
    </row>
    <row r="736" spans="1:6" x14ac:dyDescent="0.35">
      <c r="A736" s="1">
        <v>45451</v>
      </c>
      <c r="B736" s="2">
        <v>45451.850628703702</v>
      </c>
      <c r="C736" t="s">
        <v>8</v>
      </c>
      <c r="D736" t="s">
        <v>189</v>
      </c>
      <c r="E736">
        <v>3772</v>
      </c>
      <c r="F736" t="s">
        <v>24</v>
      </c>
    </row>
    <row r="737" spans="1:6" x14ac:dyDescent="0.35">
      <c r="A737" s="1">
        <v>45451</v>
      </c>
      <c r="B737" s="2">
        <v>45451.851346249998</v>
      </c>
      <c r="C737" t="s">
        <v>8</v>
      </c>
      <c r="D737" t="s">
        <v>189</v>
      </c>
      <c r="E737">
        <v>3772</v>
      </c>
      <c r="F737" t="s">
        <v>24</v>
      </c>
    </row>
    <row r="738" spans="1:6" x14ac:dyDescent="0.35">
      <c r="A738" s="1">
        <v>45452</v>
      </c>
      <c r="B738" s="2">
        <v>45452.344360648145</v>
      </c>
      <c r="C738" t="s">
        <v>8</v>
      </c>
      <c r="D738" t="s">
        <v>11</v>
      </c>
      <c r="E738">
        <v>3772</v>
      </c>
      <c r="F738" t="s">
        <v>32</v>
      </c>
    </row>
    <row r="739" spans="1:6" x14ac:dyDescent="0.35">
      <c r="A739" s="1">
        <v>45452</v>
      </c>
      <c r="B739" s="2">
        <v>45452.437551631941</v>
      </c>
      <c r="C739" t="s">
        <v>8</v>
      </c>
      <c r="D739" t="s">
        <v>326</v>
      </c>
      <c r="E739">
        <v>3772</v>
      </c>
      <c r="F739" t="s">
        <v>32</v>
      </c>
    </row>
    <row r="740" spans="1:6" x14ac:dyDescent="0.35">
      <c r="A740" s="1">
        <v>45452</v>
      </c>
      <c r="B740" s="2">
        <v>45452.452844872685</v>
      </c>
      <c r="C740" t="s">
        <v>8</v>
      </c>
      <c r="D740" t="s">
        <v>327</v>
      </c>
      <c r="E740">
        <v>3772</v>
      </c>
      <c r="F740" t="s">
        <v>24</v>
      </c>
    </row>
    <row r="741" spans="1:6" x14ac:dyDescent="0.35">
      <c r="A741" s="1">
        <v>45452</v>
      </c>
      <c r="B741" s="2">
        <v>45452.461589189814</v>
      </c>
      <c r="C741" t="s">
        <v>8</v>
      </c>
      <c r="D741" t="s">
        <v>40</v>
      </c>
      <c r="E741">
        <v>2792</v>
      </c>
      <c r="F741" t="s">
        <v>20</v>
      </c>
    </row>
    <row r="742" spans="1:6" x14ac:dyDescent="0.35">
      <c r="A742" s="1">
        <v>45452</v>
      </c>
      <c r="B742" s="2">
        <v>45452.463288287036</v>
      </c>
      <c r="C742" t="s">
        <v>8</v>
      </c>
      <c r="D742" t="s">
        <v>328</v>
      </c>
      <c r="E742">
        <v>2302</v>
      </c>
      <c r="F742" t="s">
        <v>5</v>
      </c>
    </row>
    <row r="743" spans="1:6" x14ac:dyDescent="0.35">
      <c r="A743" s="1">
        <v>45452</v>
      </c>
      <c r="B743" s="2">
        <v>45452.495018703703</v>
      </c>
      <c r="C743" t="s">
        <v>8</v>
      </c>
      <c r="D743" t="s">
        <v>329</v>
      </c>
      <c r="E743">
        <v>3772</v>
      </c>
      <c r="F743" t="s">
        <v>24</v>
      </c>
    </row>
    <row r="744" spans="1:6" x14ac:dyDescent="0.35">
      <c r="A744" s="1">
        <v>45452</v>
      </c>
      <c r="B744" s="2">
        <v>45452.507912499997</v>
      </c>
      <c r="C744" t="s">
        <v>8</v>
      </c>
      <c r="D744" t="s">
        <v>29</v>
      </c>
      <c r="E744">
        <v>3282</v>
      </c>
      <c r="F744" t="s">
        <v>36</v>
      </c>
    </row>
    <row r="745" spans="1:6" x14ac:dyDescent="0.35">
      <c r="A745" s="1">
        <v>45452</v>
      </c>
      <c r="B745" s="2">
        <v>45452.509121145835</v>
      </c>
      <c r="C745" t="s">
        <v>8</v>
      </c>
      <c r="D745" t="s">
        <v>29</v>
      </c>
      <c r="E745">
        <v>3772</v>
      </c>
      <c r="F745" t="s">
        <v>32</v>
      </c>
    </row>
    <row r="746" spans="1:6" x14ac:dyDescent="0.35">
      <c r="A746" s="1">
        <v>45452</v>
      </c>
      <c r="B746" s="2">
        <v>45452.50984702546</v>
      </c>
      <c r="C746" t="s">
        <v>8</v>
      </c>
      <c r="D746" t="s">
        <v>29</v>
      </c>
      <c r="E746">
        <v>3772</v>
      </c>
      <c r="F746" t="s">
        <v>32</v>
      </c>
    </row>
    <row r="747" spans="1:6" x14ac:dyDescent="0.35">
      <c r="A747" s="1">
        <v>45452</v>
      </c>
      <c r="B747" s="2">
        <v>45452.632299675926</v>
      </c>
      <c r="C747" t="s">
        <v>8</v>
      </c>
      <c r="D747" t="s">
        <v>330</v>
      </c>
      <c r="E747">
        <v>2792</v>
      </c>
      <c r="F747" t="s">
        <v>20</v>
      </c>
    </row>
    <row r="748" spans="1:6" x14ac:dyDescent="0.35">
      <c r="A748" s="1">
        <v>45452</v>
      </c>
      <c r="B748" s="2">
        <v>45452.678798483794</v>
      </c>
      <c r="C748" t="s">
        <v>8</v>
      </c>
      <c r="D748" t="s">
        <v>331</v>
      </c>
      <c r="E748">
        <v>3772</v>
      </c>
      <c r="F748" t="s">
        <v>24</v>
      </c>
    </row>
    <row r="749" spans="1:6" x14ac:dyDescent="0.35">
      <c r="A749" s="1">
        <v>45452</v>
      </c>
      <c r="B749" s="2">
        <v>45452.806473113429</v>
      </c>
      <c r="C749" t="s">
        <v>8</v>
      </c>
      <c r="D749" t="s">
        <v>332</v>
      </c>
      <c r="E749">
        <v>3282</v>
      </c>
      <c r="F749" t="s">
        <v>36</v>
      </c>
    </row>
    <row r="750" spans="1:6" x14ac:dyDescent="0.35">
      <c r="A750" s="1">
        <v>45452</v>
      </c>
      <c r="B750" s="2">
        <v>45452.87857458333</v>
      </c>
      <c r="C750" t="s">
        <v>8</v>
      </c>
      <c r="D750" t="s">
        <v>333</v>
      </c>
      <c r="E750">
        <v>2792</v>
      </c>
      <c r="F750" t="s">
        <v>28</v>
      </c>
    </row>
    <row r="751" spans="1:6" x14ac:dyDescent="0.35">
      <c r="A751" s="1">
        <v>45453</v>
      </c>
      <c r="B751" s="2">
        <v>45453.5332159838</v>
      </c>
      <c r="C751" t="s">
        <v>8</v>
      </c>
      <c r="D751" t="s">
        <v>334</v>
      </c>
      <c r="E751">
        <v>3772</v>
      </c>
      <c r="F751" t="s">
        <v>24</v>
      </c>
    </row>
    <row r="752" spans="1:6" x14ac:dyDescent="0.35">
      <c r="A752" s="1">
        <v>45453</v>
      </c>
      <c r="B752" s="2">
        <v>45453.539447546296</v>
      </c>
      <c r="C752" t="s">
        <v>8</v>
      </c>
      <c r="D752" t="s">
        <v>11</v>
      </c>
      <c r="E752">
        <v>3772</v>
      </c>
      <c r="F752" t="s">
        <v>32</v>
      </c>
    </row>
    <row r="753" spans="1:6" x14ac:dyDescent="0.35">
      <c r="A753" s="1">
        <v>45453</v>
      </c>
      <c r="B753" s="2">
        <v>45453.794769745371</v>
      </c>
      <c r="C753" t="s">
        <v>8</v>
      </c>
      <c r="D753" t="s">
        <v>335</v>
      </c>
      <c r="E753">
        <v>3772</v>
      </c>
      <c r="F753" t="s">
        <v>15</v>
      </c>
    </row>
    <row r="754" spans="1:6" x14ac:dyDescent="0.35">
      <c r="A754" s="1">
        <v>45453</v>
      </c>
      <c r="B754" s="2">
        <v>45453.795402430558</v>
      </c>
      <c r="C754" t="s">
        <v>8</v>
      </c>
      <c r="D754" t="s">
        <v>335</v>
      </c>
      <c r="E754">
        <v>3772</v>
      </c>
      <c r="F754" t="s">
        <v>15</v>
      </c>
    </row>
    <row r="755" spans="1:6" x14ac:dyDescent="0.35">
      <c r="A755" s="1">
        <v>45453</v>
      </c>
      <c r="B755" s="2">
        <v>45453.817634282408</v>
      </c>
      <c r="C755" t="s">
        <v>8</v>
      </c>
      <c r="D755" t="s">
        <v>336</v>
      </c>
      <c r="E755">
        <v>3772</v>
      </c>
      <c r="F755" t="s">
        <v>32</v>
      </c>
    </row>
    <row r="756" spans="1:6" x14ac:dyDescent="0.35">
      <c r="A756" s="1">
        <v>45453</v>
      </c>
      <c r="B756" s="2">
        <v>45453.818283310182</v>
      </c>
      <c r="C756" t="s">
        <v>8</v>
      </c>
      <c r="D756" t="s">
        <v>336</v>
      </c>
      <c r="E756">
        <v>3772</v>
      </c>
      <c r="F756" t="s">
        <v>32</v>
      </c>
    </row>
    <row r="757" spans="1:6" x14ac:dyDescent="0.35">
      <c r="A757" s="1">
        <v>45454</v>
      </c>
      <c r="B757" s="2">
        <v>45454.443101307872</v>
      </c>
      <c r="C757" t="s">
        <v>8</v>
      </c>
      <c r="D757" t="s">
        <v>337</v>
      </c>
      <c r="E757">
        <v>3282</v>
      </c>
      <c r="F757" t="s">
        <v>36</v>
      </c>
    </row>
    <row r="758" spans="1:6" x14ac:dyDescent="0.35">
      <c r="A758" s="1">
        <v>45454</v>
      </c>
      <c r="B758" s="2">
        <v>45454.783626064818</v>
      </c>
      <c r="C758" t="s">
        <v>8</v>
      </c>
      <c r="D758" t="s">
        <v>338</v>
      </c>
      <c r="E758">
        <v>3772</v>
      </c>
      <c r="F758" t="s">
        <v>32</v>
      </c>
    </row>
    <row r="759" spans="1:6" x14ac:dyDescent="0.35">
      <c r="A759" s="1">
        <v>45454</v>
      </c>
      <c r="B759" s="2">
        <v>45454.784449398147</v>
      </c>
      <c r="C759" t="s">
        <v>8</v>
      </c>
      <c r="D759" t="s">
        <v>338</v>
      </c>
      <c r="E759">
        <v>3772</v>
      </c>
      <c r="F759" t="s">
        <v>32</v>
      </c>
    </row>
    <row r="760" spans="1:6" x14ac:dyDescent="0.35">
      <c r="A760" s="1">
        <v>45454</v>
      </c>
      <c r="B760" s="2">
        <v>45454.886844259257</v>
      </c>
      <c r="C760" t="s">
        <v>8</v>
      </c>
      <c r="D760" t="s">
        <v>339</v>
      </c>
      <c r="E760">
        <v>3772</v>
      </c>
      <c r="F760" t="s">
        <v>15</v>
      </c>
    </row>
    <row r="761" spans="1:6" x14ac:dyDescent="0.35">
      <c r="A761" s="1">
        <v>45454</v>
      </c>
      <c r="B761" s="2">
        <v>45454.894234953703</v>
      </c>
      <c r="C761" t="s">
        <v>8</v>
      </c>
      <c r="D761" t="s">
        <v>340</v>
      </c>
      <c r="E761">
        <v>3282</v>
      </c>
      <c r="F761" t="s">
        <v>36</v>
      </c>
    </row>
    <row r="762" spans="1:6" x14ac:dyDescent="0.35">
      <c r="A762" s="1">
        <v>45454</v>
      </c>
      <c r="B762" s="2">
        <v>45454.895025694444</v>
      </c>
      <c r="C762" t="s">
        <v>8</v>
      </c>
      <c r="D762" t="s">
        <v>340</v>
      </c>
      <c r="E762">
        <v>3282</v>
      </c>
      <c r="F762" t="s">
        <v>36</v>
      </c>
    </row>
    <row r="763" spans="1:6" x14ac:dyDescent="0.35">
      <c r="A763" s="1">
        <v>45455</v>
      </c>
      <c r="B763" s="2">
        <v>45455.429384097224</v>
      </c>
      <c r="C763" t="s">
        <v>8</v>
      </c>
      <c r="D763" t="s">
        <v>341</v>
      </c>
      <c r="E763">
        <v>3772</v>
      </c>
      <c r="F763" t="s">
        <v>15</v>
      </c>
    </row>
    <row r="764" spans="1:6" x14ac:dyDescent="0.35">
      <c r="A764" s="1">
        <v>45455</v>
      </c>
      <c r="B764" s="2">
        <v>45455.494257615741</v>
      </c>
      <c r="C764" t="s">
        <v>8</v>
      </c>
      <c r="D764" t="s">
        <v>342</v>
      </c>
      <c r="E764">
        <v>3772</v>
      </c>
      <c r="F764" t="s">
        <v>24</v>
      </c>
    </row>
    <row r="765" spans="1:6" x14ac:dyDescent="0.35">
      <c r="A765" s="1">
        <v>45455</v>
      </c>
      <c r="B765" s="2">
        <v>45455.737004386574</v>
      </c>
      <c r="C765" t="s">
        <v>8</v>
      </c>
      <c r="D765" t="s">
        <v>336</v>
      </c>
      <c r="E765">
        <v>3772</v>
      </c>
      <c r="F765" t="s">
        <v>32</v>
      </c>
    </row>
    <row r="766" spans="1:6" x14ac:dyDescent="0.35">
      <c r="A766" s="1">
        <v>45455</v>
      </c>
      <c r="B766" s="2">
        <v>45455.741294884261</v>
      </c>
      <c r="C766" t="s">
        <v>8</v>
      </c>
      <c r="D766" t="s">
        <v>343</v>
      </c>
      <c r="E766">
        <v>3772</v>
      </c>
      <c r="F766" t="s">
        <v>32</v>
      </c>
    </row>
    <row r="767" spans="1:6" x14ac:dyDescent="0.35">
      <c r="A767" s="1">
        <v>45455</v>
      </c>
      <c r="B767" s="2">
        <v>45455.844833888892</v>
      </c>
      <c r="C767" t="s">
        <v>8</v>
      </c>
      <c r="D767" t="s">
        <v>310</v>
      </c>
      <c r="E767">
        <v>3772</v>
      </c>
      <c r="F767" t="s">
        <v>15</v>
      </c>
    </row>
    <row r="768" spans="1:6" x14ac:dyDescent="0.35">
      <c r="A768" s="1">
        <v>45455</v>
      </c>
      <c r="B768" s="2">
        <v>45455.851090729164</v>
      </c>
      <c r="C768" t="s">
        <v>8</v>
      </c>
      <c r="D768" t="s">
        <v>344</v>
      </c>
      <c r="E768">
        <v>3282</v>
      </c>
      <c r="F768" t="s">
        <v>36</v>
      </c>
    </row>
    <row r="769" spans="1:6" x14ac:dyDescent="0.35">
      <c r="A769" s="1">
        <v>45456</v>
      </c>
      <c r="B769" s="2">
        <v>45456.371113506946</v>
      </c>
      <c r="C769" t="s">
        <v>8</v>
      </c>
      <c r="D769" t="s">
        <v>345</v>
      </c>
      <c r="E769">
        <v>2792</v>
      </c>
      <c r="F769" t="s">
        <v>28</v>
      </c>
    </row>
    <row r="770" spans="1:6" x14ac:dyDescent="0.35">
      <c r="A770" s="1">
        <v>45456</v>
      </c>
      <c r="B770" s="2">
        <v>45456.37321287037</v>
      </c>
      <c r="C770" t="s">
        <v>8</v>
      </c>
      <c r="D770" t="s">
        <v>11</v>
      </c>
      <c r="E770">
        <v>3772</v>
      </c>
      <c r="F770" t="s">
        <v>32</v>
      </c>
    </row>
    <row r="771" spans="1:6" x14ac:dyDescent="0.35">
      <c r="A771" s="1">
        <v>45456</v>
      </c>
      <c r="B771" s="2">
        <v>45456.41001201389</v>
      </c>
      <c r="C771" t="s">
        <v>8</v>
      </c>
      <c r="D771" t="s">
        <v>346</v>
      </c>
      <c r="E771">
        <v>3282</v>
      </c>
      <c r="F771" t="s">
        <v>36</v>
      </c>
    </row>
    <row r="772" spans="1:6" x14ac:dyDescent="0.35">
      <c r="A772" s="1">
        <v>45456</v>
      </c>
      <c r="B772" s="2">
        <v>45456.414716643521</v>
      </c>
      <c r="C772" t="s">
        <v>8</v>
      </c>
      <c r="D772" t="s">
        <v>40</v>
      </c>
      <c r="E772">
        <v>2792</v>
      </c>
      <c r="F772" t="s">
        <v>20</v>
      </c>
    </row>
    <row r="773" spans="1:6" x14ac:dyDescent="0.35">
      <c r="A773" s="1">
        <v>45456</v>
      </c>
      <c r="B773" s="2">
        <v>45456.711789363428</v>
      </c>
      <c r="C773" t="s">
        <v>8</v>
      </c>
      <c r="D773" t="s">
        <v>347</v>
      </c>
      <c r="E773">
        <v>3282</v>
      </c>
      <c r="F773" t="s">
        <v>36</v>
      </c>
    </row>
    <row r="774" spans="1:6" x14ac:dyDescent="0.35">
      <c r="A774" s="1">
        <v>45456</v>
      </c>
      <c r="B774" s="2">
        <v>45456.727622986109</v>
      </c>
      <c r="C774" t="s">
        <v>8</v>
      </c>
      <c r="D774" t="s">
        <v>348</v>
      </c>
      <c r="E774">
        <v>3772</v>
      </c>
      <c r="F774" t="s">
        <v>15</v>
      </c>
    </row>
    <row r="775" spans="1:6" x14ac:dyDescent="0.35">
      <c r="A775" s="1">
        <v>45456</v>
      </c>
      <c r="B775" s="2">
        <v>45456.807165312501</v>
      </c>
      <c r="C775" t="s">
        <v>8</v>
      </c>
      <c r="D775" t="s">
        <v>349</v>
      </c>
      <c r="E775">
        <v>3772</v>
      </c>
      <c r="F775" t="s">
        <v>32</v>
      </c>
    </row>
    <row r="776" spans="1:6" x14ac:dyDescent="0.35">
      <c r="A776" s="1">
        <v>45456</v>
      </c>
      <c r="B776" s="2">
        <v>45456.847821319447</v>
      </c>
      <c r="C776" t="s">
        <v>8</v>
      </c>
      <c r="D776" t="s">
        <v>43</v>
      </c>
      <c r="E776">
        <v>3282</v>
      </c>
      <c r="F776" t="s">
        <v>36</v>
      </c>
    </row>
    <row r="777" spans="1:6" x14ac:dyDescent="0.35">
      <c r="A777" s="1">
        <v>45456</v>
      </c>
      <c r="B777" s="2">
        <v>45456.863726747688</v>
      </c>
      <c r="C777" t="s">
        <v>8</v>
      </c>
      <c r="D777" t="s">
        <v>43</v>
      </c>
      <c r="E777">
        <v>2302</v>
      </c>
      <c r="F777" t="s">
        <v>5</v>
      </c>
    </row>
    <row r="778" spans="1:6" x14ac:dyDescent="0.35">
      <c r="A778" s="1">
        <v>45456</v>
      </c>
      <c r="B778" s="2">
        <v>45456.864590451391</v>
      </c>
      <c r="C778" t="s">
        <v>8</v>
      </c>
      <c r="D778" t="s">
        <v>348</v>
      </c>
      <c r="E778">
        <v>2302</v>
      </c>
      <c r="F778" t="s">
        <v>5</v>
      </c>
    </row>
    <row r="779" spans="1:6" x14ac:dyDescent="0.35">
      <c r="A779" s="1">
        <v>45456</v>
      </c>
      <c r="B779" s="2">
        <v>45456.866873865743</v>
      </c>
      <c r="C779" t="s">
        <v>8</v>
      </c>
      <c r="D779" t="s">
        <v>25</v>
      </c>
      <c r="E779">
        <v>3282</v>
      </c>
      <c r="F779" t="s">
        <v>36</v>
      </c>
    </row>
    <row r="780" spans="1:6" x14ac:dyDescent="0.35">
      <c r="A780" s="1">
        <v>45456</v>
      </c>
      <c r="B780" s="2">
        <v>45456.876717326391</v>
      </c>
      <c r="C780" t="s">
        <v>8</v>
      </c>
      <c r="D780" t="s">
        <v>25</v>
      </c>
      <c r="E780">
        <v>3282</v>
      </c>
      <c r="F780" t="s">
        <v>36</v>
      </c>
    </row>
    <row r="781" spans="1:6" x14ac:dyDescent="0.35">
      <c r="A781" s="1">
        <v>45457</v>
      </c>
      <c r="B781" s="2">
        <v>45457.323764328707</v>
      </c>
      <c r="C781" t="s">
        <v>8</v>
      </c>
      <c r="D781" t="s">
        <v>40</v>
      </c>
      <c r="E781">
        <v>2792</v>
      </c>
      <c r="F781" t="s">
        <v>20</v>
      </c>
    </row>
    <row r="782" spans="1:6" x14ac:dyDescent="0.35">
      <c r="A782" s="1">
        <v>45457</v>
      </c>
      <c r="B782" s="2">
        <v>45457.437865555556</v>
      </c>
      <c r="C782" t="s">
        <v>8</v>
      </c>
      <c r="D782" t="s">
        <v>350</v>
      </c>
      <c r="E782">
        <v>2792</v>
      </c>
      <c r="F782" t="s">
        <v>28</v>
      </c>
    </row>
    <row r="783" spans="1:6" x14ac:dyDescent="0.35">
      <c r="A783" s="1">
        <v>45457</v>
      </c>
      <c r="B783" s="2">
        <v>45457.510204814818</v>
      </c>
      <c r="C783" t="s">
        <v>8</v>
      </c>
      <c r="D783" t="s">
        <v>11</v>
      </c>
      <c r="E783">
        <v>3772</v>
      </c>
      <c r="F783" t="s">
        <v>32</v>
      </c>
    </row>
    <row r="784" spans="1:6" x14ac:dyDescent="0.35">
      <c r="A784" s="1">
        <v>45457</v>
      </c>
      <c r="B784" s="2">
        <v>45457.77075693287</v>
      </c>
      <c r="C784" t="s">
        <v>8</v>
      </c>
      <c r="D784" t="s">
        <v>351</v>
      </c>
      <c r="E784">
        <v>3282</v>
      </c>
      <c r="F784" t="s">
        <v>36</v>
      </c>
    </row>
    <row r="785" spans="1:6" x14ac:dyDescent="0.35">
      <c r="A785" s="1">
        <v>45458</v>
      </c>
      <c r="B785" s="2">
        <v>45458.476411736112</v>
      </c>
      <c r="C785" t="s">
        <v>8</v>
      </c>
      <c r="D785" t="s">
        <v>352</v>
      </c>
      <c r="E785">
        <v>3772</v>
      </c>
      <c r="F785" t="s">
        <v>24</v>
      </c>
    </row>
    <row r="786" spans="1:6" x14ac:dyDescent="0.35">
      <c r="A786" s="1">
        <v>45458</v>
      </c>
      <c r="B786" s="2">
        <v>45458.514908969904</v>
      </c>
      <c r="C786" t="s">
        <v>8</v>
      </c>
      <c r="D786" t="s">
        <v>353</v>
      </c>
      <c r="E786">
        <v>3772</v>
      </c>
      <c r="F786" t="s">
        <v>32</v>
      </c>
    </row>
    <row r="787" spans="1:6" x14ac:dyDescent="0.35">
      <c r="A787" s="1">
        <v>45458</v>
      </c>
      <c r="B787" s="2">
        <v>45458.51582108796</v>
      </c>
      <c r="C787" t="s">
        <v>8</v>
      </c>
      <c r="D787" t="s">
        <v>353</v>
      </c>
      <c r="E787">
        <v>3282</v>
      </c>
      <c r="F787" t="s">
        <v>36</v>
      </c>
    </row>
    <row r="788" spans="1:6" x14ac:dyDescent="0.35">
      <c r="A788" s="1">
        <v>45458</v>
      </c>
      <c r="B788" s="2">
        <v>45458.516575995367</v>
      </c>
      <c r="C788" t="s">
        <v>8</v>
      </c>
      <c r="D788" t="s">
        <v>353</v>
      </c>
      <c r="E788">
        <v>2302</v>
      </c>
      <c r="F788" t="s">
        <v>5</v>
      </c>
    </row>
    <row r="789" spans="1:6" x14ac:dyDescent="0.35">
      <c r="A789" s="1">
        <v>45458</v>
      </c>
      <c r="B789" s="2">
        <v>45458.517073263887</v>
      </c>
      <c r="C789" t="s">
        <v>8</v>
      </c>
      <c r="D789" t="s">
        <v>353</v>
      </c>
      <c r="E789">
        <v>3772</v>
      </c>
      <c r="F789" t="s">
        <v>10</v>
      </c>
    </row>
    <row r="790" spans="1:6" x14ac:dyDescent="0.35">
      <c r="A790" s="1">
        <v>45458</v>
      </c>
      <c r="B790" s="2">
        <v>45458.517638425925</v>
      </c>
      <c r="C790" t="s">
        <v>8</v>
      </c>
      <c r="D790" t="s">
        <v>353</v>
      </c>
      <c r="E790">
        <v>3282</v>
      </c>
      <c r="F790" t="s">
        <v>36</v>
      </c>
    </row>
    <row r="791" spans="1:6" x14ac:dyDescent="0.35">
      <c r="A791" s="1">
        <v>45458</v>
      </c>
      <c r="B791" s="2">
        <v>45458.669096168982</v>
      </c>
      <c r="C791" t="s">
        <v>8</v>
      </c>
      <c r="D791" t="s">
        <v>354</v>
      </c>
      <c r="E791">
        <v>3282</v>
      </c>
      <c r="F791" t="s">
        <v>36</v>
      </c>
    </row>
    <row r="792" spans="1:6" x14ac:dyDescent="0.35">
      <c r="A792" s="1">
        <v>45458</v>
      </c>
      <c r="B792" s="2">
        <v>45458.759775729166</v>
      </c>
      <c r="C792" t="s">
        <v>8</v>
      </c>
      <c r="D792" t="s">
        <v>355</v>
      </c>
      <c r="E792">
        <v>2792</v>
      </c>
      <c r="F792" t="s">
        <v>28</v>
      </c>
    </row>
    <row r="793" spans="1:6" x14ac:dyDescent="0.35">
      <c r="A793" s="1">
        <v>45459</v>
      </c>
      <c r="B793" s="2">
        <v>45459.447123333332</v>
      </c>
      <c r="C793" t="s">
        <v>8</v>
      </c>
      <c r="D793" t="s">
        <v>115</v>
      </c>
      <c r="E793">
        <v>3282</v>
      </c>
      <c r="F793" t="s">
        <v>36</v>
      </c>
    </row>
    <row r="794" spans="1:6" x14ac:dyDescent="0.35">
      <c r="A794" s="1">
        <v>45459</v>
      </c>
      <c r="B794" s="2">
        <v>45459.457423217595</v>
      </c>
      <c r="C794" t="s">
        <v>8</v>
      </c>
      <c r="D794" t="s">
        <v>356</v>
      </c>
      <c r="E794">
        <v>3772</v>
      </c>
      <c r="F794" t="s">
        <v>32</v>
      </c>
    </row>
    <row r="795" spans="1:6" x14ac:dyDescent="0.35">
      <c r="A795" s="1">
        <v>45459</v>
      </c>
      <c r="B795" s="2">
        <v>45459.458775358798</v>
      </c>
      <c r="C795" t="s">
        <v>8</v>
      </c>
      <c r="D795" t="s">
        <v>356</v>
      </c>
      <c r="E795">
        <v>3772</v>
      </c>
      <c r="F795" t="s">
        <v>15</v>
      </c>
    </row>
    <row r="796" spans="1:6" x14ac:dyDescent="0.35">
      <c r="A796" s="1">
        <v>45459</v>
      </c>
      <c r="B796" s="2">
        <v>45459.459507962965</v>
      </c>
      <c r="C796" t="s">
        <v>8</v>
      </c>
      <c r="D796" t="s">
        <v>356</v>
      </c>
      <c r="E796">
        <v>3772</v>
      </c>
      <c r="F796" t="s">
        <v>15</v>
      </c>
    </row>
    <row r="797" spans="1:6" x14ac:dyDescent="0.35">
      <c r="A797" s="1">
        <v>45459</v>
      </c>
      <c r="B797" s="2">
        <v>45459.534347499997</v>
      </c>
      <c r="C797" t="s">
        <v>8</v>
      </c>
      <c r="D797" t="s">
        <v>29</v>
      </c>
      <c r="E797">
        <v>3282</v>
      </c>
      <c r="F797" t="s">
        <v>36</v>
      </c>
    </row>
    <row r="798" spans="1:6" x14ac:dyDescent="0.35">
      <c r="A798" s="1">
        <v>45459</v>
      </c>
      <c r="B798" s="2">
        <v>45459.583784629627</v>
      </c>
      <c r="C798" t="s">
        <v>8</v>
      </c>
      <c r="D798" t="s">
        <v>328</v>
      </c>
      <c r="E798">
        <v>2302</v>
      </c>
      <c r="F798" t="s">
        <v>5</v>
      </c>
    </row>
    <row r="799" spans="1:6" x14ac:dyDescent="0.35">
      <c r="A799" s="1">
        <v>45459</v>
      </c>
      <c r="B799" s="2">
        <v>45459.626809398149</v>
      </c>
      <c r="C799" t="s">
        <v>8</v>
      </c>
      <c r="D799" t="s">
        <v>357</v>
      </c>
      <c r="E799">
        <v>3282</v>
      </c>
      <c r="F799" t="s">
        <v>36</v>
      </c>
    </row>
    <row r="800" spans="1:6" x14ac:dyDescent="0.35">
      <c r="A800" s="1">
        <v>45459</v>
      </c>
      <c r="B800" s="2">
        <v>45459.628592835645</v>
      </c>
      <c r="C800" t="s">
        <v>8</v>
      </c>
      <c r="D800" t="s">
        <v>357</v>
      </c>
      <c r="E800">
        <v>3282</v>
      </c>
      <c r="F800" t="s">
        <v>36</v>
      </c>
    </row>
    <row r="801" spans="1:6" x14ac:dyDescent="0.35">
      <c r="A801" s="1">
        <v>45459</v>
      </c>
      <c r="B801" s="2">
        <v>45459.655550844909</v>
      </c>
      <c r="C801" t="s">
        <v>8</v>
      </c>
      <c r="D801" t="s">
        <v>358</v>
      </c>
      <c r="E801">
        <v>3772</v>
      </c>
      <c r="F801" t="s">
        <v>15</v>
      </c>
    </row>
    <row r="802" spans="1:6" x14ac:dyDescent="0.35">
      <c r="A802" s="1">
        <v>45459</v>
      </c>
      <c r="B802" s="2">
        <v>45459.699728252315</v>
      </c>
      <c r="C802" t="s">
        <v>8</v>
      </c>
      <c r="D802" t="s">
        <v>359</v>
      </c>
      <c r="E802">
        <v>3772</v>
      </c>
      <c r="F802" t="s">
        <v>15</v>
      </c>
    </row>
    <row r="803" spans="1:6" x14ac:dyDescent="0.35">
      <c r="A803" s="1">
        <v>45459</v>
      </c>
      <c r="B803" s="2">
        <v>45459.739783182871</v>
      </c>
      <c r="C803" t="s">
        <v>8</v>
      </c>
      <c r="D803" t="s">
        <v>115</v>
      </c>
      <c r="E803">
        <v>3282</v>
      </c>
      <c r="F803" t="s">
        <v>36</v>
      </c>
    </row>
    <row r="804" spans="1:6" x14ac:dyDescent="0.35">
      <c r="A804" s="1">
        <v>45459</v>
      </c>
      <c r="B804" s="2">
        <v>45459.740469375</v>
      </c>
      <c r="C804" t="s">
        <v>8</v>
      </c>
      <c r="D804" t="s">
        <v>115</v>
      </c>
      <c r="E804">
        <v>3282</v>
      </c>
      <c r="F804" t="s">
        <v>36</v>
      </c>
    </row>
    <row r="805" spans="1:6" x14ac:dyDescent="0.35">
      <c r="A805" s="1">
        <v>45460</v>
      </c>
      <c r="B805" s="2">
        <v>45460.373194953703</v>
      </c>
      <c r="C805" t="s">
        <v>8</v>
      </c>
      <c r="D805" t="s">
        <v>360</v>
      </c>
      <c r="E805">
        <v>2792</v>
      </c>
      <c r="F805" t="s">
        <v>28</v>
      </c>
    </row>
    <row r="806" spans="1:6" x14ac:dyDescent="0.35">
      <c r="A806" s="1">
        <v>45460</v>
      </c>
      <c r="B806" s="2">
        <v>45460.425059479167</v>
      </c>
      <c r="C806" t="s">
        <v>8</v>
      </c>
      <c r="D806" t="s">
        <v>361</v>
      </c>
      <c r="E806">
        <v>2792</v>
      </c>
      <c r="F806" t="s">
        <v>20</v>
      </c>
    </row>
    <row r="807" spans="1:6" x14ac:dyDescent="0.35">
      <c r="A807" s="1">
        <v>45460</v>
      </c>
      <c r="B807" s="2">
        <v>45460.426129340274</v>
      </c>
      <c r="C807" t="s">
        <v>8</v>
      </c>
      <c r="D807" t="s">
        <v>361</v>
      </c>
      <c r="E807">
        <v>2792</v>
      </c>
      <c r="F807" t="s">
        <v>20</v>
      </c>
    </row>
    <row r="808" spans="1:6" x14ac:dyDescent="0.35">
      <c r="A808" s="1">
        <v>45460</v>
      </c>
      <c r="B808" s="2">
        <v>45460.455458425924</v>
      </c>
      <c r="C808" t="s">
        <v>8</v>
      </c>
      <c r="D808" t="s">
        <v>98</v>
      </c>
      <c r="E808">
        <v>3772</v>
      </c>
      <c r="F808" t="s">
        <v>24</v>
      </c>
    </row>
    <row r="809" spans="1:6" x14ac:dyDescent="0.35">
      <c r="A809" s="1">
        <v>45460</v>
      </c>
      <c r="B809" s="2">
        <v>45460.619159502312</v>
      </c>
      <c r="C809" t="s">
        <v>8</v>
      </c>
      <c r="D809" t="s">
        <v>218</v>
      </c>
      <c r="E809">
        <v>3772</v>
      </c>
      <c r="F809" t="s">
        <v>24</v>
      </c>
    </row>
    <row r="810" spans="1:6" x14ac:dyDescent="0.35">
      <c r="A810" s="1">
        <v>45460</v>
      </c>
      <c r="B810" s="2">
        <v>45460.701544456017</v>
      </c>
      <c r="C810" t="s">
        <v>8</v>
      </c>
      <c r="D810" t="s">
        <v>43</v>
      </c>
      <c r="E810">
        <v>3772</v>
      </c>
      <c r="F810" t="s">
        <v>24</v>
      </c>
    </row>
    <row r="811" spans="1:6" x14ac:dyDescent="0.35">
      <c r="A811" s="1">
        <v>45460</v>
      </c>
      <c r="B811" s="2">
        <v>45460.702211087962</v>
      </c>
      <c r="C811" t="s">
        <v>8</v>
      </c>
      <c r="D811" t="s">
        <v>43</v>
      </c>
      <c r="E811">
        <v>3772</v>
      </c>
      <c r="F811" t="s">
        <v>24</v>
      </c>
    </row>
    <row r="812" spans="1:6" x14ac:dyDescent="0.35">
      <c r="A812" s="1">
        <v>45460</v>
      </c>
      <c r="B812" s="2">
        <v>45460.703198333336</v>
      </c>
      <c r="C812" t="s">
        <v>8</v>
      </c>
      <c r="D812" t="s">
        <v>43</v>
      </c>
      <c r="E812">
        <v>2792</v>
      </c>
      <c r="F812" t="s">
        <v>28</v>
      </c>
    </row>
    <row r="813" spans="1:6" x14ac:dyDescent="0.35">
      <c r="A813" s="1">
        <v>45460</v>
      </c>
      <c r="B813" s="2">
        <v>45460.785643877316</v>
      </c>
      <c r="C813" t="s">
        <v>8</v>
      </c>
      <c r="D813" t="s">
        <v>362</v>
      </c>
      <c r="E813">
        <v>2792</v>
      </c>
      <c r="F813" t="s">
        <v>28</v>
      </c>
    </row>
    <row r="814" spans="1:6" x14ac:dyDescent="0.35">
      <c r="A814" s="1">
        <v>45460</v>
      </c>
      <c r="B814" s="2">
        <v>45460.88624403935</v>
      </c>
      <c r="C814" t="s">
        <v>8</v>
      </c>
      <c r="D814" t="s">
        <v>25</v>
      </c>
      <c r="E814">
        <v>3282</v>
      </c>
      <c r="F814" t="s">
        <v>36</v>
      </c>
    </row>
    <row r="815" spans="1:6" x14ac:dyDescent="0.35">
      <c r="A815" s="1">
        <v>45461</v>
      </c>
      <c r="B815" s="2">
        <v>45461.586182002313</v>
      </c>
      <c r="C815" t="s">
        <v>8</v>
      </c>
      <c r="D815" t="s">
        <v>352</v>
      </c>
      <c r="E815">
        <v>2792</v>
      </c>
      <c r="F815" t="s">
        <v>28</v>
      </c>
    </row>
    <row r="816" spans="1:6" x14ac:dyDescent="0.35">
      <c r="A816" s="1">
        <v>45461</v>
      </c>
      <c r="B816" s="2">
        <v>45461.586948067132</v>
      </c>
      <c r="C816" t="s">
        <v>8</v>
      </c>
      <c r="D816" t="s">
        <v>352</v>
      </c>
      <c r="E816">
        <v>3772</v>
      </c>
      <c r="F816" t="s">
        <v>24</v>
      </c>
    </row>
    <row r="817" spans="1:6" x14ac:dyDescent="0.35">
      <c r="A817" s="1">
        <v>45461</v>
      </c>
      <c r="B817" s="2">
        <v>45461.806025127313</v>
      </c>
      <c r="C817" t="s">
        <v>8</v>
      </c>
      <c r="D817" t="s">
        <v>208</v>
      </c>
      <c r="E817">
        <v>3772</v>
      </c>
      <c r="F817" t="s">
        <v>24</v>
      </c>
    </row>
    <row r="818" spans="1:6" x14ac:dyDescent="0.35">
      <c r="A818" s="1">
        <v>45461</v>
      </c>
      <c r="B818" s="2">
        <v>45461.806700138892</v>
      </c>
      <c r="C818" t="s">
        <v>8</v>
      </c>
      <c r="D818" t="s">
        <v>208</v>
      </c>
      <c r="E818">
        <v>3772</v>
      </c>
      <c r="F818" t="s">
        <v>24</v>
      </c>
    </row>
    <row r="819" spans="1:6" x14ac:dyDescent="0.35">
      <c r="A819" s="1">
        <v>45461</v>
      </c>
      <c r="B819" s="2">
        <v>45461.858211770836</v>
      </c>
      <c r="C819" t="s">
        <v>8</v>
      </c>
      <c r="D819" t="s">
        <v>363</v>
      </c>
      <c r="E819">
        <v>2792</v>
      </c>
      <c r="F819" t="s">
        <v>20</v>
      </c>
    </row>
    <row r="820" spans="1:6" x14ac:dyDescent="0.35">
      <c r="A820" s="1">
        <v>45461</v>
      </c>
      <c r="B820" s="2">
        <v>45461.889462106483</v>
      </c>
      <c r="C820" t="s">
        <v>8</v>
      </c>
      <c r="D820" t="s">
        <v>43</v>
      </c>
      <c r="E820">
        <v>3282</v>
      </c>
      <c r="F820" t="s">
        <v>36</v>
      </c>
    </row>
    <row r="821" spans="1:6" x14ac:dyDescent="0.35">
      <c r="A821" s="1">
        <v>45461</v>
      </c>
      <c r="B821" s="2">
        <v>45461.890492106482</v>
      </c>
      <c r="C821" t="s">
        <v>8</v>
      </c>
      <c r="D821" t="s">
        <v>43</v>
      </c>
      <c r="E821">
        <v>3282</v>
      </c>
      <c r="F821" t="s">
        <v>36</v>
      </c>
    </row>
    <row r="822" spans="1:6" x14ac:dyDescent="0.35">
      <c r="A822" s="1">
        <v>45462</v>
      </c>
      <c r="B822" s="2">
        <v>45462.32453510417</v>
      </c>
      <c r="C822" t="s">
        <v>8</v>
      </c>
      <c r="D822" t="s">
        <v>364</v>
      </c>
      <c r="E822">
        <v>3772</v>
      </c>
      <c r="F822" t="s">
        <v>32</v>
      </c>
    </row>
    <row r="823" spans="1:6" x14ac:dyDescent="0.35">
      <c r="A823" s="1">
        <v>45462</v>
      </c>
      <c r="B823" s="2">
        <v>45462.345769768515</v>
      </c>
      <c r="C823" t="s">
        <v>8</v>
      </c>
      <c r="D823" t="s">
        <v>40</v>
      </c>
      <c r="E823">
        <v>2792</v>
      </c>
      <c r="F823" t="s">
        <v>20</v>
      </c>
    </row>
    <row r="824" spans="1:6" x14ac:dyDescent="0.35">
      <c r="A824" s="1">
        <v>45462</v>
      </c>
      <c r="B824" s="2">
        <v>45462.454172361111</v>
      </c>
      <c r="C824" t="s">
        <v>8</v>
      </c>
      <c r="D824" t="s">
        <v>365</v>
      </c>
      <c r="E824">
        <v>2792</v>
      </c>
      <c r="F824" t="s">
        <v>28</v>
      </c>
    </row>
    <row r="825" spans="1:6" x14ac:dyDescent="0.35">
      <c r="A825" s="1">
        <v>45462</v>
      </c>
      <c r="B825" s="2">
        <v>45462.466294062498</v>
      </c>
      <c r="C825" t="s">
        <v>8</v>
      </c>
      <c r="D825" t="s">
        <v>366</v>
      </c>
      <c r="E825">
        <v>3772</v>
      </c>
      <c r="F825" t="s">
        <v>32</v>
      </c>
    </row>
    <row r="826" spans="1:6" x14ac:dyDescent="0.35">
      <c r="A826" s="1">
        <v>45462</v>
      </c>
      <c r="B826" s="2">
        <v>45462.467030231484</v>
      </c>
      <c r="C826" t="s">
        <v>8</v>
      </c>
      <c r="D826" t="s">
        <v>366</v>
      </c>
      <c r="E826">
        <v>3772</v>
      </c>
      <c r="F826" t="s">
        <v>10</v>
      </c>
    </row>
    <row r="827" spans="1:6" x14ac:dyDescent="0.35">
      <c r="A827" s="1">
        <v>45462</v>
      </c>
      <c r="B827" s="2">
        <v>45462.598336319446</v>
      </c>
      <c r="C827" t="s">
        <v>8</v>
      </c>
      <c r="D827" t="s">
        <v>218</v>
      </c>
      <c r="E827">
        <v>3282</v>
      </c>
      <c r="F827" t="s">
        <v>36</v>
      </c>
    </row>
    <row r="828" spans="1:6" x14ac:dyDescent="0.35">
      <c r="A828" s="1">
        <v>45462</v>
      </c>
      <c r="B828" s="2">
        <v>45462.769947187502</v>
      </c>
      <c r="C828" t="s">
        <v>8</v>
      </c>
      <c r="D828" t="s">
        <v>207</v>
      </c>
      <c r="E828">
        <v>3772</v>
      </c>
      <c r="F828" t="s">
        <v>24</v>
      </c>
    </row>
    <row r="829" spans="1:6" x14ac:dyDescent="0.35">
      <c r="A829" s="1">
        <v>45462</v>
      </c>
      <c r="B829" s="2">
        <v>45462.770821307873</v>
      </c>
      <c r="C829" t="s">
        <v>8</v>
      </c>
      <c r="D829" t="s">
        <v>207</v>
      </c>
      <c r="E829">
        <v>3772</v>
      </c>
      <c r="F829" t="s">
        <v>32</v>
      </c>
    </row>
    <row r="830" spans="1:6" x14ac:dyDescent="0.35">
      <c r="A830" s="1">
        <v>45462</v>
      </c>
      <c r="B830" s="2">
        <v>45462.813556631947</v>
      </c>
      <c r="C830" t="s">
        <v>8</v>
      </c>
      <c r="D830" t="s">
        <v>25</v>
      </c>
      <c r="E830">
        <v>3282</v>
      </c>
      <c r="F830" t="s">
        <v>36</v>
      </c>
    </row>
    <row r="831" spans="1:6" x14ac:dyDescent="0.35">
      <c r="A831" s="1">
        <v>45462</v>
      </c>
      <c r="B831" s="2">
        <v>45462.895132928243</v>
      </c>
      <c r="C831" t="s">
        <v>8</v>
      </c>
      <c r="D831" t="s">
        <v>246</v>
      </c>
      <c r="E831">
        <v>3772</v>
      </c>
      <c r="F831" t="s">
        <v>24</v>
      </c>
    </row>
    <row r="832" spans="1:6" x14ac:dyDescent="0.35">
      <c r="A832" s="1">
        <v>45462</v>
      </c>
      <c r="B832" s="2">
        <v>45462.895873657406</v>
      </c>
      <c r="C832" t="s">
        <v>8</v>
      </c>
      <c r="D832" t="s">
        <v>246</v>
      </c>
      <c r="E832">
        <v>3282</v>
      </c>
      <c r="F832" t="s">
        <v>36</v>
      </c>
    </row>
    <row r="833" spans="1:6" x14ac:dyDescent="0.35">
      <c r="A833" s="1">
        <v>45463</v>
      </c>
      <c r="B833" s="2">
        <v>45463.451463576392</v>
      </c>
      <c r="C833" t="s">
        <v>8</v>
      </c>
      <c r="D833" t="s">
        <v>11</v>
      </c>
      <c r="E833">
        <v>3772</v>
      </c>
      <c r="F833" t="s">
        <v>32</v>
      </c>
    </row>
    <row r="834" spans="1:6" x14ac:dyDescent="0.35">
      <c r="A834" s="1">
        <v>45463</v>
      </c>
      <c r="B834" s="2">
        <v>45463.790996319447</v>
      </c>
      <c r="C834" t="s">
        <v>8</v>
      </c>
      <c r="D834" t="s">
        <v>367</v>
      </c>
      <c r="E834">
        <v>3772</v>
      </c>
      <c r="F834" t="s">
        <v>32</v>
      </c>
    </row>
    <row r="835" spans="1:6" x14ac:dyDescent="0.35">
      <c r="A835" s="1">
        <v>45463</v>
      </c>
      <c r="B835" s="2">
        <v>45463.791669409722</v>
      </c>
      <c r="C835" t="s">
        <v>8</v>
      </c>
      <c r="D835" t="s">
        <v>367</v>
      </c>
      <c r="E835">
        <v>3772</v>
      </c>
      <c r="F835" t="s">
        <v>32</v>
      </c>
    </row>
    <row r="836" spans="1:6" x14ac:dyDescent="0.35">
      <c r="A836" s="1">
        <v>45463</v>
      </c>
      <c r="B836" s="2">
        <v>45463.90219922454</v>
      </c>
      <c r="C836" t="s">
        <v>8</v>
      </c>
      <c r="D836" t="s">
        <v>311</v>
      </c>
      <c r="E836">
        <v>3772</v>
      </c>
      <c r="F836" t="s">
        <v>32</v>
      </c>
    </row>
    <row r="837" spans="1:6" x14ac:dyDescent="0.35">
      <c r="A837" s="1">
        <v>45463</v>
      </c>
      <c r="B837" s="2">
        <v>45463.915052708333</v>
      </c>
      <c r="C837" t="s">
        <v>8</v>
      </c>
      <c r="D837" t="s">
        <v>25</v>
      </c>
      <c r="E837">
        <v>3772</v>
      </c>
      <c r="F837" t="s">
        <v>32</v>
      </c>
    </row>
    <row r="838" spans="1:6" x14ac:dyDescent="0.35">
      <c r="A838" s="1">
        <v>45463</v>
      </c>
      <c r="B838" s="2">
        <v>45463.916175902777</v>
      </c>
      <c r="C838" t="s">
        <v>8</v>
      </c>
      <c r="D838" t="s">
        <v>25</v>
      </c>
      <c r="E838">
        <v>3282</v>
      </c>
      <c r="F838" t="s">
        <v>36</v>
      </c>
    </row>
    <row r="839" spans="1:6" x14ac:dyDescent="0.35">
      <c r="A839" s="1">
        <v>45464</v>
      </c>
      <c r="B839" s="2">
        <v>45464.416619560187</v>
      </c>
      <c r="C839" t="s">
        <v>8</v>
      </c>
      <c r="D839" t="s">
        <v>364</v>
      </c>
      <c r="E839">
        <v>3772</v>
      </c>
      <c r="F839" t="s">
        <v>32</v>
      </c>
    </row>
    <row r="840" spans="1:6" x14ac:dyDescent="0.35">
      <c r="A840" s="1">
        <v>45464</v>
      </c>
      <c r="B840" s="2">
        <v>45464.417826192126</v>
      </c>
      <c r="C840" t="s">
        <v>8</v>
      </c>
      <c r="D840" t="s">
        <v>368</v>
      </c>
      <c r="E840">
        <v>2792</v>
      </c>
      <c r="F840" t="s">
        <v>28</v>
      </c>
    </row>
    <row r="841" spans="1:6" x14ac:dyDescent="0.35">
      <c r="A841" s="1">
        <v>45464</v>
      </c>
      <c r="B841" s="2">
        <v>45464.55508583333</v>
      </c>
      <c r="C841" t="s">
        <v>8</v>
      </c>
      <c r="D841" t="s">
        <v>43</v>
      </c>
      <c r="E841">
        <v>3282</v>
      </c>
      <c r="F841" t="s">
        <v>36</v>
      </c>
    </row>
    <row r="842" spans="1:6" x14ac:dyDescent="0.35">
      <c r="A842" s="1">
        <v>45464</v>
      </c>
      <c r="B842" s="2">
        <v>45464.555920289349</v>
      </c>
      <c r="C842" t="s">
        <v>8</v>
      </c>
      <c r="D842" t="s">
        <v>43</v>
      </c>
      <c r="E842">
        <v>3282</v>
      </c>
      <c r="F842" t="s">
        <v>36</v>
      </c>
    </row>
    <row r="843" spans="1:6" x14ac:dyDescent="0.35">
      <c r="A843" s="1">
        <v>45464</v>
      </c>
      <c r="B843" s="2">
        <v>45464.75851925926</v>
      </c>
      <c r="C843" t="s">
        <v>8</v>
      </c>
      <c r="D843" t="s">
        <v>369</v>
      </c>
      <c r="E843">
        <v>2302</v>
      </c>
      <c r="F843" t="s">
        <v>5</v>
      </c>
    </row>
    <row r="844" spans="1:6" x14ac:dyDescent="0.35">
      <c r="A844" s="1">
        <v>45464</v>
      </c>
      <c r="B844" s="2">
        <v>45464.812808460651</v>
      </c>
      <c r="C844" t="s">
        <v>8</v>
      </c>
      <c r="D844" t="s">
        <v>25</v>
      </c>
      <c r="E844">
        <v>3772</v>
      </c>
      <c r="F844" t="s">
        <v>32</v>
      </c>
    </row>
    <row r="845" spans="1:6" x14ac:dyDescent="0.35">
      <c r="A845" s="1">
        <v>45464</v>
      </c>
      <c r="B845" s="2">
        <v>45464.824377326389</v>
      </c>
      <c r="C845" t="s">
        <v>8</v>
      </c>
      <c r="D845" t="s">
        <v>208</v>
      </c>
      <c r="E845">
        <v>3772</v>
      </c>
      <c r="F845" t="s">
        <v>24</v>
      </c>
    </row>
    <row r="846" spans="1:6" x14ac:dyDescent="0.35">
      <c r="A846" s="1">
        <v>45464</v>
      </c>
      <c r="B846" s="2">
        <v>45464.825077696762</v>
      </c>
      <c r="C846" t="s">
        <v>8</v>
      </c>
      <c r="D846" t="s">
        <v>208</v>
      </c>
      <c r="E846">
        <v>3772</v>
      </c>
      <c r="F846" t="s">
        <v>24</v>
      </c>
    </row>
    <row r="847" spans="1:6" x14ac:dyDescent="0.35">
      <c r="A847" s="1">
        <v>45464</v>
      </c>
      <c r="B847" s="2">
        <v>45464.826325289352</v>
      </c>
      <c r="C847" t="s">
        <v>8</v>
      </c>
      <c r="D847" t="s">
        <v>234</v>
      </c>
      <c r="E847">
        <v>3772</v>
      </c>
      <c r="F847" t="s">
        <v>24</v>
      </c>
    </row>
    <row r="848" spans="1:6" x14ac:dyDescent="0.35">
      <c r="A848" s="1">
        <v>45464</v>
      </c>
      <c r="B848" s="2">
        <v>45464.827085775461</v>
      </c>
      <c r="C848" t="s">
        <v>8</v>
      </c>
      <c r="D848" t="s">
        <v>234</v>
      </c>
      <c r="E848">
        <v>3772</v>
      </c>
      <c r="F848" t="s">
        <v>24</v>
      </c>
    </row>
    <row r="849" spans="1:6" x14ac:dyDescent="0.35">
      <c r="A849" s="1">
        <v>45464</v>
      </c>
      <c r="B849" s="2">
        <v>45464.827995081017</v>
      </c>
      <c r="C849" t="s">
        <v>8</v>
      </c>
      <c r="D849" t="s">
        <v>234</v>
      </c>
      <c r="E849">
        <v>2792</v>
      </c>
      <c r="F849" t="s">
        <v>28</v>
      </c>
    </row>
    <row r="850" spans="1:6" x14ac:dyDescent="0.35">
      <c r="A850" s="1">
        <v>45464</v>
      </c>
      <c r="B850" s="2">
        <v>45464.830290995371</v>
      </c>
      <c r="C850" t="s">
        <v>8</v>
      </c>
      <c r="D850" t="s">
        <v>364</v>
      </c>
      <c r="E850">
        <v>3282</v>
      </c>
      <c r="F850" t="s">
        <v>36</v>
      </c>
    </row>
    <row r="851" spans="1:6" x14ac:dyDescent="0.35">
      <c r="A851" s="1">
        <v>45465</v>
      </c>
      <c r="B851" s="2">
        <v>45465.360998530094</v>
      </c>
      <c r="C851" t="s">
        <v>8</v>
      </c>
      <c r="D851" t="s">
        <v>40</v>
      </c>
      <c r="E851">
        <v>2792</v>
      </c>
      <c r="F851" t="s">
        <v>20</v>
      </c>
    </row>
    <row r="852" spans="1:6" x14ac:dyDescent="0.35">
      <c r="A852" s="1">
        <v>45465</v>
      </c>
      <c r="B852" s="2">
        <v>45465.401259016202</v>
      </c>
      <c r="C852" t="s">
        <v>8</v>
      </c>
      <c r="D852" t="s">
        <v>364</v>
      </c>
      <c r="E852">
        <v>3282</v>
      </c>
      <c r="F852" t="s">
        <v>36</v>
      </c>
    </row>
    <row r="853" spans="1:6" x14ac:dyDescent="0.35">
      <c r="A853" s="1">
        <v>45465</v>
      </c>
      <c r="B853" s="2">
        <v>45465.53698542824</v>
      </c>
      <c r="C853" t="s">
        <v>8</v>
      </c>
      <c r="D853" t="s">
        <v>370</v>
      </c>
      <c r="E853">
        <v>3282</v>
      </c>
      <c r="F853" t="s">
        <v>36</v>
      </c>
    </row>
    <row r="854" spans="1:6" x14ac:dyDescent="0.35">
      <c r="A854" s="1">
        <v>45465</v>
      </c>
      <c r="B854" s="2">
        <v>45465.650927511575</v>
      </c>
      <c r="C854" t="s">
        <v>8</v>
      </c>
      <c r="D854" t="s">
        <v>25</v>
      </c>
      <c r="E854">
        <v>3772</v>
      </c>
      <c r="F854" t="s">
        <v>32</v>
      </c>
    </row>
    <row r="855" spans="1:6" x14ac:dyDescent="0.35">
      <c r="A855" s="1">
        <v>45465</v>
      </c>
      <c r="B855" s="2">
        <v>45465.923877291665</v>
      </c>
      <c r="C855" t="s">
        <v>8</v>
      </c>
      <c r="D855" t="s">
        <v>371</v>
      </c>
      <c r="E855">
        <v>3772</v>
      </c>
      <c r="F855" t="s">
        <v>24</v>
      </c>
    </row>
    <row r="856" spans="1:6" x14ac:dyDescent="0.35">
      <c r="A856" s="1">
        <v>45466</v>
      </c>
      <c r="B856" s="2">
        <v>45466.758349606484</v>
      </c>
      <c r="C856" t="s">
        <v>8</v>
      </c>
      <c r="D856" t="s">
        <v>43</v>
      </c>
      <c r="E856">
        <v>3282</v>
      </c>
      <c r="F856" t="s">
        <v>36</v>
      </c>
    </row>
    <row r="857" spans="1:6" x14ac:dyDescent="0.35">
      <c r="A857" s="1">
        <v>45466</v>
      </c>
      <c r="B857" s="2">
        <v>45466.759613865739</v>
      </c>
      <c r="C857" t="s">
        <v>8</v>
      </c>
      <c r="D857" t="s">
        <v>43</v>
      </c>
      <c r="E857">
        <v>3282</v>
      </c>
      <c r="F857" t="s">
        <v>36</v>
      </c>
    </row>
    <row r="858" spans="1:6" x14ac:dyDescent="0.35">
      <c r="A858" s="1">
        <v>45466</v>
      </c>
      <c r="B858" s="2">
        <v>45466.879710138892</v>
      </c>
      <c r="C858" t="s">
        <v>8</v>
      </c>
      <c r="D858" t="s">
        <v>372</v>
      </c>
      <c r="E858">
        <v>3772</v>
      </c>
      <c r="F858" t="s">
        <v>24</v>
      </c>
    </row>
    <row r="859" spans="1:6" x14ac:dyDescent="0.35">
      <c r="A859" s="1">
        <v>45466</v>
      </c>
      <c r="B859" s="2">
        <v>45466.89522943287</v>
      </c>
      <c r="C859" t="s">
        <v>8</v>
      </c>
      <c r="D859" t="s">
        <v>373</v>
      </c>
      <c r="E859">
        <v>3772</v>
      </c>
      <c r="F859" t="s">
        <v>32</v>
      </c>
    </row>
    <row r="860" spans="1:6" x14ac:dyDescent="0.35">
      <c r="A860" s="1">
        <v>45466</v>
      </c>
      <c r="B860" s="2">
        <v>45466.896254340281</v>
      </c>
      <c r="C860" t="s">
        <v>8</v>
      </c>
      <c r="D860" t="s">
        <v>373</v>
      </c>
      <c r="E860">
        <v>3772</v>
      </c>
      <c r="F860" t="s">
        <v>24</v>
      </c>
    </row>
    <row r="861" spans="1:6" x14ac:dyDescent="0.35">
      <c r="A861" s="1">
        <v>45467</v>
      </c>
      <c r="B861" s="2">
        <v>45467.489351145836</v>
      </c>
      <c r="C861" t="s">
        <v>8</v>
      </c>
      <c r="D861" t="s">
        <v>218</v>
      </c>
      <c r="E861">
        <v>3282</v>
      </c>
      <c r="F861" t="s">
        <v>36</v>
      </c>
    </row>
    <row r="862" spans="1:6" x14ac:dyDescent="0.35">
      <c r="A862" s="1">
        <v>45467</v>
      </c>
      <c r="B862" s="2">
        <v>45467.492778287036</v>
      </c>
      <c r="C862" t="s">
        <v>8</v>
      </c>
      <c r="D862" t="s">
        <v>234</v>
      </c>
      <c r="E862">
        <v>3772</v>
      </c>
      <c r="F862" t="s">
        <v>24</v>
      </c>
    </row>
    <row r="863" spans="1:6" x14ac:dyDescent="0.35">
      <c r="A863" s="1">
        <v>45467</v>
      </c>
      <c r="B863" s="2">
        <v>45467.49356574074</v>
      </c>
      <c r="C863" t="s">
        <v>8</v>
      </c>
      <c r="D863" t="s">
        <v>234</v>
      </c>
      <c r="E863">
        <v>3772</v>
      </c>
      <c r="F863" t="s">
        <v>24</v>
      </c>
    </row>
    <row r="864" spans="1:6" x14ac:dyDescent="0.35">
      <c r="A864" s="1">
        <v>45467</v>
      </c>
      <c r="B864" s="2">
        <v>45467.626724479167</v>
      </c>
      <c r="C864" t="s">
        <v>8</v>
      </c>
      <c r="D864" t="s">
        <v>374</v>
      </c>
      <c r="E864">
        <v>3772</v>
      </c>
      <c r="F864" t="s">
        <v>32</v>
      </c>
    </row>
    <row r="865" spans="1:6" x14ac:dyDescent="0.35">
      <c r="A865" s="1">
        <v>45467</v>
      </c>
      <c r="B865" s="2">
        <v>45467.698617743059</v>
      </c>
      <c r="C865" t="s">
        <v>8</v>
      </c>
      <c r="D865" t="s">
        <v>257</v>
      </c>
      <c r="E865">
        <v>3772</v>
      </c>
      <c r="F865" t="s">
        <v>24</v>
      </c>
    </row>
    <row r="866" spans="1:6" x14ac:dyDescent="0.35">
      <c r="A866" s="1">
        <v>45467</v>
      </c>
      <c r="B866" s="2">
        <v>45467.699310289354</v>
      </c>
      <c r="C866" t="s">
        <v>8</v>
      </c>
      <c r="D866" t="s">
        <v>257</v>
      </c>
      <c r="E866">
        <v>3772</v>
      </c>
      <c r="F866" t="s">
        <v>24</v>
      </c>
    </row>
    <row r="867" spans="1:6" x14ac:dyDescent="0.35">
      <c r="A867" s="1">
        <v>45468</v>
      </c>
      <c r="B867" s="2">
        <v>45468.346808379632</v>
      </c>
      <c r="C867" t="s">
        <v>8</v>
      </c>
      <c r="D867" t="s">
        <v>375</v>
      </c>
      <c r="E867">
        <v>3772</v>
      </c>
      <c r="F867" t="s">
        <v>32</v>
      </c>
    </row>
    <row r="868" spans="1:6" x14ac:dyDescent="0.35">
      <c r="A868" s="1">
        <v>45468</v>
      </c>
      <c r="B868" s="2">
        <v>45468.436416759258</v>
      </c>
      <c r="C868" t="s">
        <v>8</v>
      </c>
      <c r="D868" t="s">
        <v>43</v>
      </c>
      <c r="E868">
        <v>3282</v>
      </c>
      <c r="F868" t="s">
        <v>36</v>
      </c>
    </row>
    <row r="869" spans="1:6" x14ac:dyDescent="0.35">
      <c r="A869" s="1">
        <v>45468</v>
      </c>
      <c r="B869" s="2">
        <v>45468.437296412034</v>
      </c>
      <c r="C869" t="s">
        <v>8</v>
      </c>
      <c r="D869" t="s">
        <v>16</v>
      </c>
      <c r="E869">
        <v>3282</v>
      </c>
      <c r="F869" t="s">
        <v>36</v>
      </c>
    </row>
    <row r="870" spans="1:6" x14ac:dyDescent="0.35">
      <c r="A870" s="1">
        <v>45468</v>
      </c>
      <c r="B870" s="2">
        <v>45468.482549722219</v>
      </c>
      <c r="C870" t="s">
        <v>8</v>
      </c>
      <c r="D870" t="s">
        <v>257</v>
      </c>
      <c r="E870">
        <v>3772</v>
      </c>
      <c r="F870" t="s">
        <v>24</v>
      </c>
    </row>
    <row r="871" spans="1:6" x14ac:dyDescent="0.35">
      <c r="A871" s="1">
        <v>45469</v>
      </c>
      <c r="B871" s="2">
        <v>45469.397936412039</v>
      </c>
      <c r="C871" t="s">
        <v>8</v>
      </c>
      <c r="D871" t="s">
        <v>376</v>
      </c>
      <c r="E871">
        <v>3772</v>
      </c>
      <c r="F871" t="s">
        <v>32</v>
      </c>
    </row>
    <row r="872" spans="1:6" x14ac:dyDescent="0.35">
      <c r="A872" s="1">
        <v>45469</v>
      </c>
      <c r="B872" s="2">
        <v>45469.689229780095</v>
      </c>
      <c r="C872" t="s">
        <v>8</v>
      </c>
      <c r="D872" t="s">
        <v>377</v>
      </c>
      <c r="E872">
        <v>2302</v>
      </c>
      <c r="F872" t="s">
        <v>5</v>
      </c>
    </row>
    <row r="873" spans="1:6" x14ac:dyDescent="0.35">
      <c r="A873" s="1">
        <v>45469</v>
      </c>
      <c r="B873" s="2">
        <v>45469.690296377317</v>
      </c>
      <c r="C873" t="s">
        <v>8</v>
      </c>
      <c r="D873" t="s">
        <v>378</v>
      </c>
      <c r="E873">
        <v>2792</v>
      </c>
      <c r="F873" t="s">
        <v>28</v>
      </c>
    </row>
    <row r="874" spans="1:6" x14ac:dyDescent="0.35">
      <c r="A874" s="1">
        <v>45469</v>
      </c>
      <c r="B874" s="2">
        <v>45469.890200185182</v>
      </c>
      <c r="C874" t="s">
        <v>8</v>
      </c>
      <c r="D874" t="s">
        <v>25</v>
      </c>
      <c r="E874">
        <v>3772</v>
      </c>
      <c r="F874" t="s">
        <v>32</v>
      </c>
    </row>
    <row r="875" spans="1:6" x14ac:dyDescent="0.35">
      <c r="A875" s="1">
        <v>45469</v>
      </c>
      <c r="B875" s="2">
        <v>45469.893759340281</v>
      </c>
      <c r="C875" t="s">
        <v>8</v>
      </c>
      <c r="D875" t="s">
        <v>25</v>
      </c>
      <c r="E875">
        <v>3772</v>
      </c>
      <c r="F875" t="s">
        <v>24</v>
      </c>
    </row>
    <row r="876" spans="1:6" x14ac:dyDescent="0.35">
      <c r="A876" s="1">
        <v>45469</v>
      </c>
      <c r="B876" s="2">
        <v>45469.894613032404</v>
      </c>
      <c r="C876" t="s">
        <v>8</v>
      </c>
      <c r="D876" t="s">
        <v>260</v>
      </c>
      <c r="E876">
        <v>3282</v>
      </c>
      <c r="F876" t="s">
        <v>36</v>
      </c>
    </row>
    <row r="877" spans="1:6" x14ac:dyDescent="0.35">
      <c r="A877" s="1">
        <v>45470</v>
      </c>
      <c r="B877" s="2">
        <v>45470.385916354164</v>
      </c>
      <c r="C877" t="s">
        <v>8</v>
      </c>
      <c r="D877" t="s">
        <v>379</v>
      </c>
      <c r="E877">
        <v>3282</v>
      </c>
      <c r="F877" t="s">
        <v>36</v>
      </c>
    </row>
    <row r="878" spans="1:6" x14ac:dyDescent="0.35">
      <c r="A878" s="1">
        <v>45470</v>
      </c>
      <c r="B878" s="2">
        <v>45470.674861111111</v>
      </c>
      <c r="C878" t="s">
        <v>8</v>
      </c>
      <c r="D878" t="s">
        <v>380</v>
      </c>
      <c r="E878">
        <v>2792</v>
      </c>
      <c r="F878" t="s">
        <v>20</v>
      </c>
    </row>
    <row r="879" spans="1:6" x14ac:dyDescent="0.35">
      <c r="A879" s="1">
        <v>45470</v>
      </c>
      <c r="B879" s="2">
        <v>45470.905594583332</v>
      </c>
      <c r="C879" t="s">
        <v>8</v>
      </c>
      <c r="D879" t="s">
        <v>381</v>
      </c>
      <c r="E879">
        <v>3282</v>
      </c>
      <c r="F879" t="s">
        <v>36</v>
      </c>
    </row>
    <row r="880" spans="1:6" x14ac:dyDescent="0.35">
      <c r="A880" s="1">
        <v>45470</v>
      </c>
      <c r="B880" s="2">
        <v>45470.910088159719</v>
      </c>
      <c r="C880" t="s">
        <v>8</v>
      </c>
      <c r="D880" t="s">
        <v>382</v>
      </c>
      <c r="E880">
        <v>3772</v>
      </c>
      <c r="F880" t="s">
        <v>24</v>
      </c>
    </row>
    <row r="881" spans="1:6" x14ac:dyDescent="0.35">
      <c r="A881" s="1">
        <v>45471</v>
      </c>
      <c r="B881" s="2">
        <v>45471.339294490739</v>
      </c>
      <c r="C881" t="s">
        <v>8</v>
      </c>
      <c r="D881" t="s">
        <v>40</v>
      </c>
      <c r="E881">
        <v>2792</v>
      </c>
      <c r="F881" t="s">
        <v>20</v>
      </c>
    </row>
    <row r="882" spans="1:6" x14ac:dyDescent="0.35">
      <c r="A882" s="1">
        <v>45471</v>
      </c>
      <c r="B882" s="2">
        <v>45471.744374918984</v>
      </c>
      <c r="C882" t="s">
        <v>8</v>
      </c>
      <c r="D882" t="s">
        <v>328</v>
      </c>
      <c r="E882">
        <v>2302</v>
      </c>
      <c r="F882" t="s">
        <v>5</v>
      </c>
    </row>
    <row r="883" spans="1:6" x14ac:dyDescent="0.35">
      <c r="A883" s="1">
        <v>45471</v>
      </c>
      <c r="B883" s="2">
        <v>45471.910363136572</v>
      </c>
      <c r="C883" t="s">
        <v>8</v>
      </c>
      <c r="D883" t="s">
        <v>383</v>
      </c>
      <c r="E883">
        <v>3282</v>
      </c>
      <c r="F883" t="s">
        <v>36</v>
      </c>
    </row>
    <row r="884" spans="1:6" x14ac:dyDescent="0.35">
      <c r="A884" s="1">
        <v>45471</v>
      </c>
      <c r="B884" s="2">
        <v>45471.911132719906</v>
      </c>
      <c r="C884" t="s">
        <v>8</v>
      </c>
      <c r="D884" t="s">
        <v>384</v>
      </c>
      <c r="E884">
        <v>3772</v>
      </c>
      <c r="F884" t="s">
        <v>32</v>
      </c>
    </row>
    <row r="885" spans="1:6" x14ac:dyDescent="0.35">
      <c r="A885" s="1">
        <v>45471</v>
      </c>
      <c r="B885" s="2">
        <v>45471.936342314817</v>
      </c>
      <c r="C885" t="s">
        <v>8</v>
      </c>
      <c r="D885" t="s">
        <v>385</v>
      </c>
      <c r="E885">
        <v>3772</v>
      </c>
      <c r="F885" t="s">
        <v>24</v>
      </c>
    </row>
    <row r="886" spans="1:6" x14ac:dyDescent="0.35">
      <c r="A886" s="1">
        <v>45472</v>
      </c>
      <c r="B886" s="2">
        <v>45472.407758148147</v>
      </c>
      <c r="C886" t="s">
        <v>8</v>
      </c>
      <c r="D886" t="s">
        <v>11</v>
      </c>
      <c r="E886">
        <v>3282</v>
      </c>
      <c r="F886" t="s">
        <v>36</v>
      </c>
    </row>
    <row r="887" spans="1:6" x14ac:dyDescent="0.35">
      <c r="A887" s="1">
        <v>45472</v>
      </c>
      <c r="B887" s="2">
        <v>45472.486337754628</v>
      </c>
      <c r="C887" t="s">
        <v>8</v>
      </c>
      <c r="D887" t="s">
        <v>386</v>
      </c>
      <c r="E887">
        <v>3282</v>
      </c>
      <c r="F887" t="s">
        <v>36</v>
      </c>
    </row>
    <row r="888" spans="1:6" x14ac:dyDescent="0.35">
      <c r="A888" s="1">
        <v>45472</v>
      </c>
      <c r="B888" s="2">
        <v>45472.487113530093</v>
      </c>
      <c r="C888" t="s">
        <v>8</v>
      </c>
      <c r="D888" t="s">
        <v>386</v>
      </c>
      <c r="E888">
        <v>3282</v>
      </c>
      <c r="F888" t="s">
        <v>36</v>
      </c>
    </row>
    <row r="889" spans="1:6" x14ac:dyDescent="0.35">
      <c r="A889" s="1">
        <v>45472</v>
      </c>
      <c r="B889" s="2">
        <v>45472.521115254633</v>
      </c>
      <c r="C889" t="s">
        <v>8</v>
      </c>
      <c r="D889" t="s">
        <v>387</v>
      </c>
      <c r="E889">
        <v>3772</v>
      </c>
      <c r="F889" t="s">
        <v>24</v>
      </c>
    </row>
    <row r="890" spans="1:6" x14ac:dyDescent="0.35">
      <c r="A890" s="1">
        <v>45472</v>
      </c>
      <c r="B890" s="2">
        <v>45472.522020625001</v>
      </c>
      <c r="C890" t="s">
        <v>8</v>
      </c>
      <c r="D890" t="s">
        <v>387</v>
      </c>
      <c r="E890">
        <v>3772</v>
      </c>
      <c r="F890" t="s">
        <v>24</v>
      </c>
    </row>
    <row r="891" spans="1:6" x14ac:dyDescent="0.35">
      <c r="A891" s="1">
        <v>45472</v>
      </c>
      <c r="B891" s="2">
        <v>45472.724809988424</v>
      </c>
      <c r="C891" t="s">
        <v>8</v>
      </c>
      <c r="D891" t="s">
        <v>388</v>
      </c>
      <c r="E891">
        <v>3772</v>
      </c>
      <c r="F891" t="s">
        <v>24</v>
      </c>
    </row>
    <row r="892" spans="1:6" x14ac:dyDescent="0.35">
      <c r="A892" s="1">
        <v>45472</v>
      </c>
      <c r="B892" s="2">
        <v>45472.725606215281</v>
      </c>
      <c r="C892" t="s">
        <v>8</v>
      </c>
      <c r="D892" t="s">
        <v>388</v>
      </c>
      <c r="E892">
        <v>3772</v>
      </c>
      <c r="F892" t="s">
        <v>15</v>
      </c>
    </row>
    <row r="893" spans="1:6" x14ac:dyDescent="0.35">
      <c r="A893" s="1">
        <v>45472</v>
      </c>
      <c r="B893" s="2">
        <v>45472.894009826392</v>
      </c>
      <c r="C893" t="s">
        <v>8</v>
      </c>
      <c r="D893" t="s">
        <v>25</v>
      </c>
      <c r="E893">
        <v>3772</v>
      </c>
      <c r="F893" t="s">
        <v>32</v>
      </c>
    </row>
    <row r="894" spans="1:6" x14ac:dyDescent="0.35">
      <c r="A894" s="1">
        <v>45473</v>
      </c>
      <c r="B894" s="2">
        <v>45473.43622502315</v>
      </c>
      <c r="C894" t="s">
        <v>8</v>
      </c>
      <c r="D894" t="s">
        <v>389</v>
      </c>
      <c r="E894">
        <v>3772</v>
      </c>
      <c r="F894" t="s">
        <v>32</v>
      </c>
    </row>
    <row r="895" spans="1:6" x14ac:dyDescent="0.35">
      <c r="A895" s="1">
        <v>45473</v>
      </c>
      <c r="B895" s="2">
        <v>45473.545724768519</v>
      </c>
      <c r="C895" t="s">
        <v>8</v>
      </c>
      <c r="D895" t="s">
        <v>390</v>
      </c>
      <c r="E895">
        <v>2302</v>
      </c>
      <c r="F895" t="s">
        <v>5</v>
      </c>
    </row>
    <row r="896" spans="1:6" x14ac:dyDescent="0.35">
      <c r="A896" s="1">
        <v>45473</v>
      </c>
      <c r="B896" s="2">
        <v>45473.7046490625</v>
      </c>
      <c r="C896" t="s">
        <v>8</v>
      </c>
      <c r="D896" t="s">
        <v>25</v>
      </c>
      <c r="E896">
        <v>3772</v>
      </c>
      <c r="F896" t="s">
        <v>15</v>
      </c>
    </row>
    <row r="897" spans="1:6" x14ac:dyDescent="0.35">
      <c r="A897" s="1">
        <v>45473</v>
      </c>
      <c r="B897" s="2">
        <v>45473.877890578704</v>
      </c>
      <c r="C897" t="s">
        <v>8</v>
      </c>
      <c r="D897" t="s">
        <v>11</v>
      </c>
      <c r="E897">
        <v>3282</v>
      </c>
      <c r="F897" t="s">
        <v>36</v>
      </c>
    </row>
    <row r="898" spans="1:6" x14ac:dyDescent="0.35">
      <c r="A898" s="1">
        <v>45474</v>
      </c>
      <c r="B898" s="2">
        <v>45474.755170833334</v>
      </c>
      <c r="C898" t="s">
        <v>8</v>
      </c>
      <c r="D898" t="s">
        <v>43</v>
      </c>
      <c r="E898">
        <v>2302</v>
      </c>
      <c r="F898" t="s">
        <v>5</v>
      </c>
    </row>
    <row r="899" spans="1:6" x14ac:dyDescent="0.35">
      <c r="A899" s="1">
        <v>45474</v>
      </c>
      <c r="B899" s="2">
        <v>45474.789488935188</v>
      </c>
      <c r="C899" t="s">
        <v>8</v>
      </c>
      <c r="D899" t="s">
        <v>391</v>
      </c>
      <c r="E899">
        <v>3772</v>
      </c>
      <c r="F899" t="s">
        <v>24</v>
      </c>
    </row>
    <row r="900" spans="1:6" x14ac:dyDescent="0.35">
      <c r="A900" s="1">
        <v>45474</v>
      </c>
      <c r="B900" s="2">
        <v>45474.790211423613</v>
      </c>
      <c r="C900" t="s">
        <v>8</v>
      </c>
      <c r="D900" t="s">
        <v>392</v>
      </c>
      <c r="E900">
        <v>3772</v>
      </c>
      <c r="F900" t="s">
        <v>24</v>
      </c>
    </row>
    <row r="901" spans="1:6" x14ac:dyDescent="0.35">
      <c r="A901" s="1">
        <v>45475</v>
      </c>
      <c r="B901" s="2">
        <v>45475.446458993058</v>
      </c>
      <c r="C901" t="s">
        <v>8</v>
      </c>
      <c r="D901" t="s">
        <v>357</v>
      </c>
      <c r="E901">
        <v>3282</v>
      </c>
      <c r="F901" t="s">
        <v>36</v>
      </c>
    </row>
    <row r="902" spans="1:6" x14ac:dyDescent="0.35">
      <c r="A902" s="1">
        <v>45475</v>
      </c>
      <c r="B902" s="2">
        <v>45475.447923807871</v>
      </c>
      <c r="C902" t="s">
        <v>8</v>
      </c>
      <c r="D902" t="s">
        <v>357</v>
      </c>
      <c r="E902">
        <v>2792</v>
      </c>
      <c r="F902" t="s">
        <v>28</v>
      </c>
    </row>
    <row r="903" spans="1:6" x14ac:dyDescent="0.35">
      <c r="A903" s="1">
        <v>45475</v>
      </c>
      <c r="B903" s="2">
        <v>45475.53339329861</v>
      </c>
      <c r="C903" t="s">
        <v>8</v>
      </c>
      <c r="D903" t="s">
        <v>76</v>
      </c>
      <c r="E903">
        <v>3772</v>
      </c>
      <c r="F903" t="s">
        <v>32</v>
      </c>
    </row>
    <row r="904" spans="1:6" x14ac:dyDescent="0.35">
      <c r="A904" s="1">
        <v>45475</v>
      </c>
      <c r="B904" s="2">
        <v>45475.585569803239</v>
      </c>
      <c r="C904" t="s">
        <v>8</v>
      </c>
      <c r="D904" t="s">
        <v>393</v>
      </c>
      <c r="E904">
        <v>2792</v>
      </c>
      <c r="F904" t="s">
        <v>28</v>
      </c>
    </row>
    <row r="905" spans="1:6" x14ac:dyDescent="0.35">
      <c r="A905" s="1">
        <v>45475</v>
      </c>
      <c r="B905" s="2">
        <v>45475.688476122683</v>
      </c>
      <c r="C905" t="s">
        <v>8</v>
      </c>
      <c r="D905" t="s">
        <v>394</v>
      </c>
      <c r="E905">
        <v>3282</v>
      </c>
      <c r="F905" t="s">
        <v>36</v>
      </c>
    </row>
    <row r="906" spans="1:6" x14ac:dyDescent="0.35">
      <c r="A906" s="1">
        <v>45475</v>
      </c>
      <c r="B906" s="2">
        <v>45475.918328425927</v>
      </c>
      <c r="C906" t="s">
        <v>8</v>
      </c>
      <c r="D906" t="s">
        <v>382</v>
      </c>
      <c r="E906">
        <v>3282</v>
      </c>
      <c r="F906" t="s">
        <v>36</v>
      </c>
    </row>
    <row r="907" spans="1:6" x14ac:dyDescent="0.35">
      <c r="A907" s="1">
        <v>45476</v>
      </c>
      <c r="B907" s="2">
        <v>45476.577256192133</v>
      </c>
      <c r="C907" t="s">
        <v>8</v>
      </c>
      <c r="D907" t="s">
        <v>43</v>
      </c>
      <c r="E907">
        <v>3282</v>
      </c>
      <c r="F907" t="s">
        <v>36</v>
      </c>
    </row>
    <row r="908" spans="1:6" x14ac:dyDescent="0.35">
      <c r="A908" s="1">
        <v>45476</v>
      </c>
      <c r="B908" s="2">
        <v>45476.667552708335</v>
      </c>
      <c r="C908" t="s">
        <v>8</v>
      </c>
      <c r="D908" t="s">
        <v>395</v>
      </c>
      <c r="E908">
        <v>3772</v>
      </c>
      <c r="F908" t="s">
        <v>24</v>
      </c>
    </row>
    <row r="909" spans="1:6" x14ac:dyDescent="0.35">
      <c r="A909" s="1">
        <v>45476</v>
      </c>
      <c r="B909" s="2">
        <v>45476.70168082176</v>
      </c>
      <c r="C909" t="s">
        <v>8</v>
      </c>
      <c r="D909" t="s">
        <v>396</v>
      </c>
      <c r="E909">
        <v>3772</v>
      </c>
      <c r="F909" t="s">
        <v>24</v>
      </c>
    </row>
    <row r="910" spans="1:6" x14ac:dyDescent="0.35">
      <c r="A910" s="1">
        <v>45476</v>
      </c>
      <c r="B910" s="2">
        <v>45476.703652986114</v>
      </c>
      <c r="C910" t="s">
        <v>8</v>
      </c>
      <c r="D910" t="s">
        <v>324</v>
      </c>
      <c r="E910">
        <v>3282</v>
      </c>
      <c r="F910" t="s">
        <v>36</v>
      </c>
    </row>
    <row r="911" spans="1:6" x14ac:dyDescent="0.35">
      <c r="A911" s="1">
        <v>45476</v>
      </c>
      <c r="B911" s="2">
        <v>45476.70443179398</v>
      </c>
      <c r="C911" t="s">
        <v>8</v>
      </c>
      <c r="D911" t="s">
        <v>397</v>
      </c>
      <c r="E911">
        <v>3282</v>
      </c>
      <c r="F911" t="s">
        <v>36</v>
      </c>
    </row>
    <row r="912" spans="1:6" x14ac:dyDescent="0.35">
      <c r="A912" s="1">
        <v>45476</v>
      </c>
      <c r="B912" s="2">
        <v>45476.705224803241</v>
      </c>
      <c r="C912" t="s">
        <v>8</v>
      </c>
      <c r="D912" t="s">
        <v>324</v>
      </c>
      <c r="E912">
        <v>3772</v>
      </c>
      <c r="F912" t="s">
        <v>32</v>
      </c>
    </row>
    <row r="913" spans="1:6" x14ac:dyDescent="0.35">
      <c r="A913" s="1">
        <v>45476</v>
      </c>
      <c r="B913" s="2">
        <v>45476.707934953702</v>
      </c>
      <c r="C913" t="s">
        <v>8</v>
      </c>
      <c r="D913" t="s">
        <v>398</v>
      </c>
      <c r="E913">
        <v>2302</v>
      </c>
      <c r="F913" t="s">
        <v>5</v>
      </c>
    </row>
    <row r="914" spans="1:6" x14ac:dyDescent="0.35">
      <c r="A914" s="1">
        <v>45476</v>
      </c>
      <c r="B914" s="2">
        <v>45476.749326701392</v>
      </c>
      <c r="C914" t="s">
        <v>8</v>
      </c>
      <c r="D914" t="s">
        <v>399</v>
      </c>
      <c r="E914">
        <v>3772</v>
      </c>
      <c r="F914" t="s">
        <v>24</v>
      </c>
    </row>
    <row r="915" spans="1:6" x14ac:dyDescent="0.35">
      <c r="A915" s="1">
        <v>45476</v>
      </c>
      <c r="B915" s="2">
        <v>45476.795939074073</v>
      </c>
      <c r="C915" t="s">
        <v>8</v>
      </c>
      <c r="D915" t="s">
        <v>25</v>
      </c>
      <c r="E915">
        <v>3772</v>
      </c>
      <c r="F915" t="s">
        <v>32</v>
      </c>
    </row>
    <row r="916" spans="1:6" x14ac:dyDescent="0.35">
      <c r="A916" s="1">
        <v>45477</v>
      </c>
      <c r="B916" s="2">
        <v>45477.43499681713</v>
      </c>
      <c r="C916" t="s">
        <v>8</v>
      </c>
      <c r="D916" t="s">
        <v>197</v>
      </c>
      <c r="E916">
        <v>3282</v>
      </c>
      <c r="F916" t="s">
        <v>36</v>
      </c>
    </row>
    <row r="917" spans="1:6" x14ac:dyDescent="0.35">
      <c r="A917" s="1">
        <v>45477</v>
      </c>
      <c r="B917" s="2">
        <v>45477.435766909723</v>
      </c>
      <c r="C917" t="s">
        <v>8</v>
      </c>
      <c r="D917" t="s">
        <v>43</v>
      </c>
      <c r="E917">
        <v>2792</v>
      </c>
      <c r="F917" t="s">
        <v>28</v>
      </c>
    </row>
    <row r="918" spans="1:6" x14ac:dyDescent="0.35">
      <c r="A918" s="1">
        <v>45478</v>
      </c>
      <c r="B918" s="2">
        <v>45478.514220717596</v>
      </c>
      <c r="C918" t="s">
        <v>8</v>
      </c>
      <c r="D918" t="s">
        <v>114</v>
      </c>
      <c r="E918">
        <v>3772</v>
      </c>
      <c r="F918" t="s">
        <v>10</v>
      </c>
    </row>
    <row r="919" spans="1:6" x14ac:dyDescent="0.35">
      <c r="A919" s="1">
        <v>45478</v>
      </c>
      <c r="B919" s="2">
        <v>45478.572027013892</v>
      </c>
      <c r="C919" t="s">
        <v>8</v>
      </c>
      <c r="D919" t="s">
        <v>16</v>
      </c>
      <c r="E919">
        <v>3282</v>
      </c>
      <c r="F919" t="s">
        <v>36</v>
      </c>
    </row>
    <row r="920" spans="1:6" x14ac:dyDescent="0.35">
      <c r="A920" s="1">
        <v>45478</v>
      </c>
      <c r="B920" s="2">
        <v>45478.572729502317</v>
      </c>
      <c r="C920" t="s">
        <v>8</v>
      </c>
      <c r="D920" t="s">
        <v>400</v>
      </c>
      <c r="E920">
        <v>3282</v>
      </c>
      <c r="F920" t="s">
        <v>36</v>
      </c>
    </row>
    <row r="921" spans="1:6" x14ac:dyDescent="0.35">
      <c r="A921" s="1">
        <v>45478</v>
      </c>
      <c r="B921" s="2">
        <v>45478.788846157404</v>
      </c>
      <c r="C921" t="s">
        <v>8</v>
      </c>
      <c r="D921" t="s">
        <v>401</v>
      </c>
      <c r="E921">
        <v>2302</v>
      </c>
      <c r="F921" t="s">
        <v>5</v>
      </c>
    </row>
    <row r="922" spans="1:6" x14ac:dyDescent="0.35">
      <c r="A922" s="1">
        <v>45478</v>
      </c>
      <c r="B922" s="2">
        <v>45478.829951527776</v>
      </c>
      <c r="C922" t="s">
        <v>8</v>
      </c>
      <c r="D922" t="s">
        <v>154</v>
      </c>
      <c r="E922">
        <v>2792</v>
      </c>
      <c r="F922" t="s">
        <v>28</v>
      </c>
    </row>
    <row r="923" spans="1:6" x14ac:dyDescent="0.35">
      <c r="A923" s="1">
        <v>45478</v>
      </c>
      <c r="B923" s="2">
        <v>45478.924959155091</v>
      </c>
      <c r="C923" t="s">
        <v>8</v>
      </c>
      <c r="D923" t="s">
        <v>402</v>
      </c>
      <c r="E923">
        <v>2302</v>
      </c>
      <c r="F923" t="s">
        <v>5</v>
      </c>
    </row>
    <row r="924" spans="1:6" x14ac:dyDescent="0.35">
      <c r="A924" s="1">
        <v>45478</v>
      </c>
      <c r="B924" s="2">
        <v>45478.929205138891</v>
      </c>
      <c r="C924" t="s">
        <v>8</v>
      </c>
      <c r="D924" t="s">
        <v>403</v>
      </c>
      <c r="E924">
        <v>2792</v>
      </c>
      <c r="F924" t="s">
        <v>28</v>
      </c>
    </row>
    <row r="925" spans="1:6" x14ac:dyDescent="0.35">
      <c r="A925" s="1">
        <v>45478</v>
      </c>
      <c r="B925" s="2">
        <v>45478.929825752311</v>
      </c>
      <c r="C925" t="s">
        <v>8</v>
      </c>
      <c r="D925" t="s">
        <v>403</v>
      </c>
      <c r="E925">
        <v>2792</v>
      </c>
      <c r="F925" t="s">
        <v>28</v>
      </c>
    </row>
    <row r="926" spans="1:6" x14ac:dyDescent="0.35">
      <c r="A926" s="1">
        <v>45478</v>
      </c>
      <c r="B926" s="2">
        <v>45478.930568854164</v>
      </c>
      <c r="C926" t="s">
        <v>8</v>
      </c>
      <c r="D926" t="s">
        <v>404</v>
      </c>
      <c r="E926">
        <v>3772</v>
      </c>
      <c r="F926" t="s">
        <v>24</v>
      </c>
    </row>
    <row r="927" spans="1:6" x14ac:dyDescent="0.35">
      <c r="A927" s="1">
        <v>45478</v>
      </c>
      <c r="B927" s="2">
        <v>45478.931359456015</v>
      </c>
      <c r="C927" t="s">
        <v>8</v>
      </c>
      <c r="D927" t="s">
        <v>404</v>
      </c>
      <c r="E927">
        <v>3282</v>
      </c>
      <c r="F927" t="s">
        <v>36</v>
      </c>
    </row>
    <row r="928" spans="1:6" x14ac:dyDescent="0.35">
      <c r="A928" s="1">
        <v>45479</v>
      </c>
      <c r="B928" s="2">
        <v>45479.436190115739</v>
      </c>
      <c r="C928" t="s">
        <v>8</v>
      </c>
      <c r="D928" t="s">
        <v>405</v>
      </c>
      <c r="E928">
        <v>3772</v>
      </c>
      <c r="F928" t="s">
        <v>32</v>
      </c>
    </row>
    <row r="929" spans="1:6" x14ac:dyDescent="0.35">
      <c r="A929" s="1">
        <v>45479</v>
      </c>
      <c r="B929" s="2">
        <v>45479.719282893515</v>
      </c>
      <c r="C929" t="s">
        <v>8</v>
      </c>
      <c r="D929" t="s">
        <v>25</v>
      </c>
      <c r="E929">
        <v>3282</v>
      </c>
      <c r="F929" t="s">
        <v>32</v>
      </c>
    </row>
    <row r="930" spans="1:6" x14ac:dyDescent="0.35">
      <c r="A930" s="1">
        <v>45479</v>
      </c>
      <c r="B930" s="2">
        <v>45479.720150995374</v>
      </c>
      <c r="C930" t="s">
        <v>8</v>
      </c>
      <c r="D930" t="s">
        <v>25</v>
      </c>
      <c r="E930">
        <v>3282</v>
      </c>
      <c r="F930" t="s">
        <v>32</v>
      </c>
    </row>
    <row r="931" spans="1:6" x14ac:dyDescent="0.35">
      <c r="A931" s="1">
        <v>45479</v>
      </c>
      <c r="B931" s="2">
        <v>45479.798450312497</v>
      </c>
      <c r="C931" t="s">
        <v>8</v>
      </c>
      <c r="D931" t="s">
        <v>43</v>
      </c>
      <c r="E931">
        <v>3282</v>
      </c>
      <c r="F931" t="s">
        <v>32</v>
      </c>
    </row>
    <row r="932" spans="1:6" x14ac:dyDescent="0.35">
      <c r="A932" s="1">
        <v>45479</v>
      </c>
      <c r="B932" s="2">
        <v>45479.799069212961</v>
      </c>
      <c r="C932" t="s">
        <v>8</v>
      </c>
      <c r="D932" t="s">
        <v>43</v>
      </c>
      <c r="E932">
        <v>2792</v>
      </c>
      <c r="F932" t="s">
        <v>36</v>
      </c>
    </row>
    <row r="933" spans="1:6" x14ac:dyDescent="0.35">
      <c r="A933" s="1">
        <v>45480</v>
      </c>
      <c r="B933" s="2">
        <v>45480.378011215274</v>
      </c>
      <c r="C933" t="s">
        <v>8</v>
      </c>
      <c r="D933" t="s">
        <v>356</v>
      </c>
      <c r="E933">
        <v>3282</v>
      </c>
      <c r="F933" t="s">
        <v>24</v>
      </c>
    </row>
    <row r="934" spans="1:6" x14ac:dyDescent="0.35">
      <c r="A934" s="1">
        <v>45480</v>
      </c>
      <c r="B934" s="2">
        <v>45480.385060474538</v>
      </c>
      <c r="C934" t="s">
        <v>8</v>
      </c>
      <c r="D934" t="s">
        <v>406</v>
      </c>
      <c r="E934">
        <v>2792</v>
      </c>
      <c r="F934" t="s">
        <v>36</v>
      </c>
    </row>
    <row r="935" spans="1:6" x14ac:dyDescent="0.35">
      <c r="A935" s="1">
        <v>45480</v>
      </c>
      <c r="B935" s="2">
        <v>45480.385842766205</v>
      </c>
      <c r="C935" t="s">
        <v>8</v>
      </c>
      <c r="D935" t="s">
        <v>406</v>
      </c>
      <c r="E935">
        <v>2792</v>
      </c>
      <c r="F935" t="s">
        <v>36</v>
      </c>
    </row>
    <row r="936" spans="1:6" x14ac:dyDescent="0.35">
      <c r="A936" s="1">
        <v>45480</v>
      </c>
      <c r="B936" s="2">
        <v>45480.395010138891</v>
      </c>
      <c r="C936" t="s">
        <v>8</v>
      </c>
      <c r="D936" t="s">
        <v>407</v>
      </c>
      <c r="E936">
        <v>3282</v>
      </c>
      <c r="F936" t="s">
        <v>24</v>
      </c>
    </row>
    <row r="937" spans="1:6" x14ac:dyDescent="0.35">
      <c r="A937" s="1">
        <v>45480</v>
      </c>
      <c r="B937" s="2">
        <v>45480.395789224538</v>
      </c>
      <c r="C937" t="s">
        <v>8</v>
      </c>
      <c r="D937" t="s">
        <v>407</v>
      </c>
      <c r="E937">
        <v>3282</v>
      </c>
      <c r="F937" t="s">
        <v>24</v>
      </c>
    </row>
    <row r="938" spans="1:6" x14ac:dyDescent="0.35">
      <c r="A938" s="1">
        <v>45480</v>
      </c>
      <c r="B938" s="2">
        <v>45480.622571678243</v>
      </c>
      <c r="C938" t="s">
        <v>8</v>
      </c>
      <c r="D938" t="s">
        <v>408</v>
      </c>
      <c r="E938">
        <v>3282</v>
      </c>
      <c r="F938" t="s">
        <v>15</v>
      </c>
    </row>
    <row r="939" spans="1:6" x14ac:dyDescent="0.35">
      <c r="A939" s="1">
        <v>45480</v>
      </c>
      <c r="B939" s="2">
        <v>45480.623465405093</v>
      </c>
      <c r="C939" t="s">
        <v>8</v>
      </c>
      <c r="D939" t="s">
        <v>408</v>
      </c>
      <c r="E939">
        <v>3282</v>
      </c>
      <c r="F939" t="s">
        <v>10</v>
      </c>
    </row>
    <row r="940" spans="1:6" x14ac:dyDescent="0.35">
      <c r="A940" s="1">
        <v>45480</v>
      </c>
      <c r="B940" s="2">
        <v>45480.713776435186</v>
      </c>
      <c r="C940" t="s">
        <v>8</v>
      </c>
      <c r="D940" t="s">
        <v>409</v>
      </c>
      <c r="E940">
        <v>3282</v>
      </c>
      <c r="F940" t="s">
        <v>32</v>
      </c>
    </row>
    <row r="941" spans="1:6" x14ac:dyDescent="0.35">
      <c r="A941" s="1">
        <v>45480</v>
      </c>
      <c r="B941" s="2">
        <v>45480.814897997683</v>
      </c>
      <c r="C941" t="s">
        <v>8</v>
      </c>
      <c r="D941" t="s">
        <v>410</v>
      </c>
      <c r="E941">
        <v>3282</v>
      </c>
      <c r="F941" t="s">
        <v>24</v>
      </c>
    </row>
    <row r="942" spans="1:6" x14ac:dyDescent="0.35">
      <c r="A942" s="1">
        <v>45480</v>
      </c>
      <c r="B942" s="2">
        <v>45480.834394131947</v>
      </c>
      <c r="C942" t="s">
        <v>8</v>
      </c>
      <c r="D942" t="s">
        <v>411</v>
      </c>
      <c r="E942">
        <v>3282</v>
      </c>
      <c r="F942" t="s">
        <v>15</v>
      </c>
    </row>
    <row r="943" spans="1:6" x14ac:dyDescent="0.35">
      <c r="A943" s="1">
        <v>45480</v>
      </c>
      <c r="B943" s="2">
        <v>45480.940002951385</v>
      </c>
      <c r="C943" t="s">
        <v>8</v>
      </c>
      <c r="D943" t="s">
        <v>412</v>
      </c>
      <c r="E943">
        <v>2792</v>
      </c>
      <c r="F943" t="s">
        <v>36</v>
      </c>
    </row>
    <row r="944" spans="1:6" x14ac:dyDescent="0.35">
      <c r="A944" s="1">
        <v>45481</v>
      </c>
      <c r="B944" s="2">
        <v>45481.314672731482</v>
      </c>
      <c r="C944" t="s">
        <v>8</v>
      </c>
      <c r="D944" t="s">
        <v>413</v>
      </c>
      <c r="E944">
        <v>3282</v>
      </c>
      <c r="F944" t="s">
        <v>32</v>
      </c>
    </row>
    <row r="945" spans="1:6" x14ac:dyDescent="0.35">
      <c r="A945" s="1">
        <v>45481</v>
      </c>
      <c r="B945" s="2">
        <v>45481.501972465281</v>
      </c>
      <c r="C945" t="s">
        <v>8</v>
      </c>
      <c r="D945" t="s">
        <v>414</v>
      </c>
      <c r="E945">
        <v>2302</v>
      </c>
      <c r="F945" t="s">
        <v>28</v>
      </c>
    </row>
    <row r="946" spans="1:6" x14ac:dyDescent="0.35">
      <c r="A946" s="1">
        <v>45481</v>
      </c>
      <c r="B946" s="2">
        <v>45481.611392939813</v>
      </c>
      <c r="C946" t="s">
        <v>8</v>
      </c>
      <c r="D946" t="s">
        <v>415</v>
      </c>
      <c r="E946">
        <v>2302</v>
      </c>
      <c r="F946" t="s">
        <v>28</v>
      </c>
    </row>
    <row r="947" spans="1:6" x14ac:dyDescent="0.35">
      <c r="A947" s="1">
        <v>45481</v>
      </c>
      <c r="B947" s="2">
        <v>45481.812904814811</v>
      </c>
      <c r="C947" t="s">
        <v>8</v>
      </c>
      <c r="D947" t="s">
        <v>416</v>
      </c>
      <c r="E947">
        <v>2792</v>
      </c>
      <c r="F947" t="s">
        <v>36</v>
      </c>
    </row>
    <row r="948" spans="1:6" x14ac:dyDescent="0.35">
      <c r="A948" s="1">
        <v>45481</v>
      </c>
      <c r="B948" s="2">
        <v>45481.926923379629</v>
      </c>
      <c r="C948" t="s">
        <v>8</v>
      </c>
      <c r="D948" t="s">
        <v>76</v>
      </c>
      <c r="E948">
        <v>3282</v>
      </c>
      <c r="F948" t="s">
        <v>32</v>
      </c>
    </row>
    <row r="949" spans="1:6" x14ac:dyDescent="0.35">
      <c r="A949" s="1">
        <v>45482</v>
      </c>
      <c r="B949" s="2">
        <v>45482.435325671293</v>
      </c>
      <c r="C949" t="s">
        <v>8</v>
      </c>
      <c r="D949" t="s">
        <v>386</v>
      </c>
      <c r="E949">
        <v>2792</v>
      </c>
      <c r="F949" t="s">
        <v>36</v>
      </c>
    </row>
    <row r="950" spans="1:6" x14ac:dyDescent="0.35">
      <c r="A950" s="1">
        <v>45482</v>
      </c>
      <c r="B950" s="2">
        <v>45482.444777395831</v>
      </c>
      <c r="C950" t="s">
        <v>8</v>
      </c>
      <c r="D950" t="s">
        <v>29</v>
      </c>
      <c r="E950">
        <v>2792</v>
      </c>
      <c r="F950" t="s">
        <v>36</v>
      </c>
    </row>
    <row r="951" spans="1:6" x14ac:dyDescent="0.35">
      <c r="A951" s="1">
        <v>45482</v>
      </c>
      <c r="B951" s="2">
        <v>45482.473334525464</v>
      </c>
      <c r="C951" t="s">
        <v>8</v>
      </c>
      <c r="D951" t="s">
        <v>248</v>
      </c>
      <c r="E951">
        <v>2792</v>
      </c>
      <c r="F951" t="s">
        <v>36</v>
      </c>
    </row>
    <row r="952" spans="1:6" x14ac:dyDescent="0.35">
      <c r="A952" s="1">
        <v>45482</v>
      </c>
      <c r="B952" s="2">
        <v>45482.474188703702</v>
      </c>
      <c r="C952" t="s">
        <v>8</v>
      </c>
      <c r="D952" t="s">
        <v>248</v>
      </c>
      <c r="E952">
        <v>3282</v>
      </c>
      <c r="F952" t="s">
        <v>24</v>
      </c>
    </row>
    <row r="953" spans="1:6" x14ac:dyDescent="0.35">
      <c r="A953" s="1">
        <v>45482</v>
      </c>
      <c r="B953" s="2">
        <v>45482.696522395832</v>
      </c>
      <c r="C953" t="s">
        <v>8</v>
      </c>
      <c r="D953" t="s">
        <v>417</v>
      </c>
      <c r="E953">
        <v>2792</v>
      </c>
      <c r="F953" t="s">
        <v>36</v>
      </c>
    </row>
    <row r="954" spans="1:6" x14ac:dyDescent="0.35">
      <c r="A954" s="1">
        <v>45483</v>
      </c>
      <c r="B954" s="2">
        <v>45483.465760300925</v>
      </c>
      <c r="C954" t="s">
        <v>8</v>
      </c>
      <c r="D954" t="s">
        <v>418</v>
      </c>
      <c r="E954">
        <v>2302</v>
      </c>
      <c r="F954" t="s">
        <v>28</v>
      </c>
    </row>
    <row r="955" spans="1:6" x14ac:dyDescent="0.35">
      <c r="A955" s="1">
        <v>45483</v>
      </c>
      <c r="B955" s="2">
        <v>45483.520065497687</v>
      </c>
      <c r="C955" t="s">
        <v>8</v>
      </c>
      <c r="D955" t="s">
        <v>419</v>
      </c>
      <c r="E955">
        <v>2792</v>
      </c>
      <c r="F955" t="s">
        <v>36</v>
      </c>
    </row>
    <row r="956" spans="1:6" x14ac:dyDescent="0.35">
      <c r="A956" s="1">
        <v>45483</v>
      </c>
      <c r="B956" s="2">
        <v>45483.925810752313</v>
      </c>
      <c r="C956" t="s">
        <v>8</v>
      </c>
      <c r="D956" t="s">
        <v>381</v>
      </c>
      <c r="E956">
        <v>3282</v>
      </c>
      <c r="F956" t="s">
        <v>32</v>
      </c>
    </row>
    <row r="957" spans="1:6" x14ac:dyDescent="0.35">
      <c r="A957" s="1">
        <v>45484</v>
      </c>
      <c r="B957" s="2">
        <v>45484.477402337965</v>
      </c>
      <c r="C957" t="s">
        <v>8</v>
      </c>
      <c r="D957" t="s">
        <v>420</v>
      </c>
      <c r="E957">
        <v>3282</v>
      </c>
      <c r="F957" t="s">
        <v>15</v>
      </c>
    </row>
    <row r="958" spans="1:6" x14ac:dyDescent="0.35">
      <c r="A958" s="1">
        <v>45484</v>
      </c>
      <c r="B958" s="2">
        <v>45484.70021653935</v>
      </c>
      <c r="C958" t="s">
        <v>8</v>
      </c>
      <c r="D958" t="s">
        <v>421</v>
      </c>
      <c r="E958">
        <v>2792</v>
      </c>
      <c r="F958" t="s">
        <v>36</v>
      </c>
    </row>
    <row r="959" spans="1:6" x14ac:dyDescent="0.35">
      <c r="A959" s="1">
        <v>45484</v>
      </c>
      <c r="B959" s="2">
        <v>45484.932102407409</v>
      </c>
      <c r="C959" t="s">
        <v>8</v>
      </c>
      <c r="D959" t="s">
        <v>422</v>
      </c>
      <c r="E959">
        <v>3282</v>
      </c>
      <c r="F959" t="s">
        <v>32</v>
      </c>
    </row>
    <row r="960" spans="1:6" x14ac:dyDescent="0.35">
      <c r="A960" s="1">
        <v>45484</v>
      </c>
      <c r="B960" s="2">
        <v>45484.938177557873</v>
      </c>
      <c r="C960" t="s">
        <v>8</v>
      </c>
      <c r="D960" t="s">
        <v>423</v>
      </c>
      <c r="E960">
        <v>2302</v>
      </c>
      <c r="F960" t="s">
        <v>28</v>
      </c>
    </row>
    <row r="961" spans="1:6" x14ac:dyDescent="0.35">
      <c r="A961" s="1">
        <v>45485</v>
      </c>
      <c r="B961" s="2">
        <v>45485.335619120371</v>
      </c>
      <c r="C961" t="s">
        <v>8</v>
      </c>
      <c r="D961" t="s">
        <v>424</v>
      </c>
      <c r="E961">
        <v>2302</v>
      </c>
      <c r="F961" t="s">
        <v>20</v>
      </c>
    </row>
    <row r="962" spans="1:6" x14ac:dyDescent="0.35">
      <c r="A962" s="1">
        <v>45485</v>
      </c>
      <c r="B962" s="2">
        <v>45485.492053020833</v>
      </c>
      <c r="C962" t="s">
        <v>8</v>
      </c>
      <c r="D962" t="s">
        <v>425</v>
      </c>
      <c r="E962">
        <v>3282</v>
      </c>
      <c r="F962" t="s">
        <v>15</v>
      </c>
    </row>
    <row r="963" spans="1:6" x14ac:dyDescent="0.35">
      <c r="A963" s="1">
        <v>45485</v>
      </c>
      <c r="B963" s="2">
        <v>45485.939879502315</v>
      </c>
      <c r="C963" t="s">
        <v>8</v>
      </c>
      <c r="D963" t="s">
        <v>232</v>
      </c>
      <c r="E963">
        <v>3282</v>
      </c>
      <c r="F963" t="s">
        <v>15</v>
      </c>
    </row>
    <row r="964" spans="1:6" x14ac:dyDescent="0.35">
      <c r="A964" s="1">
        <v>45485</v>
      </c>
      <c r="B964" s="2">
        <v>45485.940443368054</v>
      </c>
      <c r="C964" t="s">
        <v>8</v>
      </c>
      <c r="D964" t="s">
        <v>231</v>
      </c>
      <c r="E964">
        <v>3282</v>
      </c>
      <c r="F964" t="s">
        <v>15</v>
      </c>
    </row>
    <row r="965" spans="1:6" x14ac:dyDescent="0.35">
      <c r="A965" s="1">
        <v>45485</v>
      </c>
      <c r="B965" s="2">
        <v>45485.94131386574</v>
      </c>
      <c r="C965" t="s">
        <v>8</v>
      </c>
      <c r="D965" t="s">
        <v>233</v>
      </c>
      <c r="E965">
        <v>3282</v>
      </c>
      <c r="F965" t="s">
        <v>15</v>
      </c>
    </row>
    <row r="966" spans="1:6" x14ac:dyDescent="0.35">
      <c r="A966" s="1">
        <v>45486</v>
      </c>
      <c r="B966" s="2">
        <v>45486.443174456021</v>
      </c>
      <c r="C966" t="s">
        <v>8</v>
      </c>
      <c r="D966" t="s">
        <v>418</v>
      </c>
      <c r="E966">
        <v>3282</v>
      </c>
      <c r="F966" t="s">
        <v>32</v>
      </c>
    </row>
    <row r="967" spans="1:6" x14ac:dyDescent="0.35">
      <c r="A967" s="1">
        <v>45486</v>
      </c>
      <c r="B967" s="2">
        <v>45486.487246400466</v>
      </c>
      <c r="C967" t="s">
        <v>8</v>
      </c>
      <c r="D967" t="s">
        <v>418</v>
      </c>
      <c r="E967">
        <v>3282</v>
      </c>
      <c r="F967" t="s">
        <v>32</v>
      </c>
    </row>
    <row r="968" spans="1:6" x14ac:dyDescent="0.35">
      <c r="A968" s="1">
        <v>45487</v>
      </c>
      <c r="B968" s="2">
        <v>45487.454447997683</v>
      </c>
      <c r="C968" t="s">
        <v>8</v>
      </c>
      <c r="D968" t="s">
        <v>426</v>
      </c>
      <c r="E968">
        <v>2302</v>
      </c>
      <c r="F968" t="s">
        <v>28</v>
      </c>
    </row>
    <row r="969" spans="1:6" x14ac:dyDescent="0.35">
      <c r="A969" s="1">
        <v>45487</v>
      </c>
      <c r="B969" s="2">
        <v>45487.455214409725</v>
      </c>
      <c r="C969" t="s">
        <v>8</v>
      </c>
      <c r="D969" t="s">
        <v>426</v>
      </c>
      <c r="E969">
        <v>2792</v>
      </c>
      <c r="F969" t="s">
        <v>36</v>
      </c>
    </row>
    <row r="970" spans="1:6" x14ac:dyDescent="0.35">
      <c r="A970" s="1">
        <v>45487</v>
      </c>
      <c r="B970" s="2">
        <v>45487.455905682873</v>
      </c>
      <c r="C970" t="s">
        <v>8</v>
      </c>
      <c r="D970" t="s">
        <v>426</v>
      </c>
      <c r="E970">
        <v>3282</v>
      </c>
      <c r="F970" t="s">
        <v>24</v>
      </c>
    </row>
    <row r="971" spans="1:6" x14ac:dyDescent="0.35">
      <c r="A971" s="1">
        <v>45487</v>
      </c>
      <c r="B971" s="2">
        <v>45487.456875717595</v>
      </c>
      <c r="C971" t="s">
        <v>8</v>
      </c>
      <c r="D971" t="s">
        <v>427</v>
      </c>
      <c r="E971">
        <v>3282</v>
      </c>
      <c r="F971" t="s">
        <v>32</v>
      </c>
    </row>
    <row r="972" spans="1:6" x14ac:dyDescent="0.35">
      <c r="A972" s="1">
        <v>45487</v>
      </c>
      <c r="B972" s="2">
        <v>45487.459858773145</v>
      </c>
      <c r="C972" t="s">
        <v>8</v>
      </c>
      <c r="D972" t="s">
        <v>428</v>
      </c>
      <c r="E972">
        <v>2302</v>
      </c>
      <c r="F972" t="s">
        <v>28</v>
      </c>
    </row>
    <row r="973" spans="1:6" x14ac:dyDescent="0.35">
      <c r="A973" s="1">
        <v>45487</v>
      </c>
      <c r="B973" s="2">
        <v>45487.938541388889</v>
      </c>
      <c r="C973" t="s">
        <v>8</v>
      </c>
      <c r="D973" t="s">
        <v>429</v>
      </c>
      <c r="E973">
        <v>3282</v>
      </c>
      <c r="F973" t="s">
        <v>32</v>
      </c>
    </row>
    <row r="974" spans="1:6" x14ac:dyDescent="0.35">
      <c r="A974" s="1">
        <v>45488</v>
      </c>
      <c r="B974" s="2">
        <v>45488.314647650463</v>
      </c>
      <c r="C974" t="s">
        <v>8</v>
      </c>
      <c r="D974" t="s">
        <v>430</v>
      </c>
      <c r="E974">
        <v>3282</v>
      </c>
      <c r="F974" t="s">
        <v>24</v>
      </c>
    </row>
    <row r="975" spans="1:6" x14ac:dyDescent="0.35">
      <c r="A975" s="1">
        <v>45489</v>
      </c>
      <c r="B975" s="2">
        <v>45489.516405868053</v>
      </c>
      <c r="C975" t="s">
        <v>8</v>
      </c>
      <c r="D975" t="s">
        <v>431</v>
      </c>
      <c r="E975">
        <v>2792</v>
      </c>
      <c r="F975" t="s">
        <v>36</v>
      </c>
    </row>
    <row r="976" spans="1:6" x14ac:dyDescent="0.35">
      <c r="A976" s="1">
        <v>45489</v>
      </c>
      <c r="B976" s="2">
        <v>45489.81210052083</v>
      </c>
      <c r="C976" t="s">
        <v>8</v>
      </c>
      <c r="D976" t="s">
        <v>420</v>
      </c>
      <c r="E976">
        <v>3282</v>
      </c>
      <c r="F976" t="s">
        <v>15</v>
      </c>
    </row>
    <row r="977" spans="1:6" x14ac:dyDescent="0.35">
      <c r="A977" s="1">
        <v>45490</v>
      </c>
      <c r="B977" s="2">
        <v>45490.545135925924</v>
      </c>
      <c r="C977" t="s">
        <v>8</v>
      </c>
      <c r="D977" t="s">
        <v>432</v>
      </c>
      <c r="E977">
        <v>2792</v>
      </c>
      <c r="F977" t="s">
        <v>36</v>
      </c>
    </row>
    <row r="978" spans="1:6" x14ac:dyDescent="0.35">
      <c r="A978" s="1">
        <v>45491</v>
      </c>
      <c r="B978" s="2">
        <v>45491.465432789351</v>
      </c>
      <c r="C978" t="s">
        <v>8</v>
      </c>
      <c r="D978" t="s">
        <v>433</v>
      </c>
      <c r="E978">
        <v>2792</v>
      </c>
      <c r="F978" t="s">
        <v>36</v>
      </c>
    </row>
    <row r="979" spans="1:6" x14ac:dyDescent="0.35">
      <c r="A979" s="1">
        <v>45491</v>
      </c>
      <c r="B979" s="2">
        <v>45491.466243449075</v>
      </c>
      <c r="C979" t="s">
        <v>8</v>
      </c>
      <c r="D979" t="s">
        <v>434</v>
      </c>
      <c r="E979">
        <v>1812</v>
      </c>
      <c r="F979" t="s">
        <v>5</v>
      </c>
    </row>
    <row r="980" spans="1:6" x14ac:dyDescent="0.35">
      <c r="A980" s="1">
        <v>45491</v>
      </c>
      <c r="B980" s="2">
        <v>45491.481245648145</v>
      </c>
      <c r="C980" t="s">
        <v>8</v>
      </c>
      <c r="D980" t="s">
        <v>115</v>
      </c>
      <c r="E980">
        <v>2302</v>
      </c>
      <c r="F980" t="s">
        <v>28</v>
      </c>
    </row>
    <row r="981" spans="1:6" x14ac:dyDescent="0.35">
      <c r="A981" s="1">
        <v>45491</v>
      </c>
      <c r="B981" s="2">
        <v>45491.482505057873</v>
      </c>
      <c r="C981" t="s">
        <v>8</v>
      </c>
      <c r="D981" t="s">
        <v>115</v>
      </c>
      <c r="E981">
        <v>2302</v>
      </c>
      <c r="F981" t="s">
        <v>28</v>
      </c>
    </row>
    <row r="982" spans="1:6" x14ac:dyDescent="0.35">
      <c r="A982" s="1">
        <v>45491</v>
      </c>
      <c r="B982" s="2">
        <v>45491.483235011576</v>
      </c>
      <c r="C982" t="s">
        <v>8</v>
      </c>
      <c r="D982" t="s">
        <v>115</v>
      </c>
      <c r="E982">
        <v>2302</v>
      </c>
      <c r="F982" t="s">
        <v>20</v>
      </c>
    </row>
    <row r="983" spans="1:6" x14ac:dyDescent="0.35">
      <c r="A983" s="1">
        <v>45491</v>
      </c>
      <c r="B983" s="2">
        <v>45491.558030231485</v>
      </c>
      <c r="C983" t="s">
        <v>8</v>
      </c>
      <c r="D983" t="s">
        <v>428</v>
      </c>
      <c r="E983">
        <v>3282</v>
      </c>
      <c r="F983" t="s">
        <v>32</v>
      </c>
    </row>
    <row r="984" spans="1:6" x14ac:dyDescent="0.35">
      <c r="A984" s="1">
        <v>45491</v>
      </c>
      <c r="B984" s="2">
        <v>45491.762770578702</v>
      </c>
      <c r="C984" t="s">
        <v>8</v>
      </c>
      <c r="D984" t="s">
        <v>435</v>
      </c>
      <c r="E984">
        <v>3282</v>
      </c>
      <c r="F984" t="s">
        <v>24</v>
      </c>
    </row>
    <row r="985" spans="1:6" x14ac:dyDescent="0.35">
      <c r="A985" s="1">
        <v>45491</v>
      </c>
      <c r="B985" s="2">
        <v>45491.813085208334</v>
      </c>
      <c r="C985" t="s">
        <v>8</v>
      </c>
      <c r="D985" t="s">
        <v>25</v>
      </c>
      <c r="E985">
        <v>3282</v>
      </c>
      <c r="F985" t="s">
        <v>32</v>
      </c>
    </row>
    <row r="986" spans="1:6" x14ac:dyDescent="0.35">
      <c r="A986" s="1">
        <v>45491</v>
      </c>
      <c r="B986" s="2">
        <v>45491.888678402778</v>
      </c>
      <c r="C986" t="s">
        <v>8</v>
      </c>
      <c r="D986" t="s">
        <v>436</v>
      </c>
      <c r="E986">
        <v>3282</v>
      </c>
      <c r="F986" t="s">
        <v>15</v>
      </c>
    </row>
    <row r="987" spans="1:6" x14ac:dyDescent="0.35">
      <c r="A987" s="1">
        <v>45491</v>
      </c>
      <c r="B987" s="2">
        <v>45491.890276099541</v>
      </c>
      <c r="C987" t="s">
        <v>8</v>
      </c>
      <c r="D987" t="s">
        <v>436</v>
      </c>
      <c r="E987">
        <v>3282</v>
      </c>
      <c r="F987" t="s">
        <v>32</v>
      </c>
    </row>
    <row r="988" spans="1:6" x14ac:dyDescent="0.35">
      <c r="A988" s="1">
        <v>45491</v>
      </c>
      <c r="B988" s="2">
        <v>45491.907160578703</v>
      </c>
      <c r="C988" t="s">
        <v>8</v>
      </c>
      <c r="D988" t="s">
        <v>437</v>
      </c>
      <c r="E988">
        <v>3282</v>
      </c>
      <c r="F988" t="s">
        <v>32</v>
      </c>
    </row>
    <row r="989" spans="1:6" x14ac:dyDescent="0.35">
      <c r="A989" s="1">
        <v>45492</v>
      </c>
      <c r="B989" s="2">
        <v>45492.460443761571</v>
      </c>
      <c r="C989" t="s">
        <v>8</v>
      </c>
      <c r="D989" t="s">
        <v>428</v>
      </c>
      <c r="E989">
        <v>2302</v>
      </c>
      <c r="F989" t="s">
        <v>28</v>
      </c>
    </row>
    <row r="990" spans="1:6" x14ac:dyDescent="0.35">
      <c r="A990" s="1">
        <v>45492</v>
      </c>
      <c r="B990" s="2">
        <v>45492.469681817129</v>
      </c>
      <c r="C990" t="s">
        <v>8</v>
      </c>
      <c r="D990" t="s">
        <v>438</v>
      </c>
      <c r="E990">
        <v>2792</v>
      </c>
      <c r="F990" t="s">
        <v>36</v>
      </c>
    </row>
    <row r="991" spans="1:6" x14ac:dyDescent="0.35">
      <c r="A991" s="1">
        <v>45492</v>
      </c>
      <c r="B991" s="2">
        <v>45492.540712511574</v>
      </c>
      <c r="C991" t="s">
        <v>8</v>
      </c>
      <c r="D991" t="s">
        <v>439</v>
      </c>
      <c r="E991">
        <v>3282</v>
      </c>
      <c r="F991" t="s">
        <v>32</v>
      </c>
    </row>
    <row r="992" spans="1:6" x14ac:dyDescent="0.35">
      <c r="A992" s="1">
        <v>45492</v>
      </c>
      <c r="B992" s="2">
        <v>45492.541613229165</v>
      </c>
      <c r="C992" t="s">
        <v>8</v>
      </c>
      <c r="D992" t="s">
        <v>439</v>
      </c>
      <c r="E992">
        <v>2792</v>
      </c>
      <c r="F992" t="s">
        <v>36</v>
      </c>
    </row>
    <row r="993" spans="1:6" x14ac:dyDescent="0.35">
      <c r="A993" s="1">
        <v>45492</v>
      </c>
      <c r="B993" s="2">
        <v>45492.589823101851</v>
      </c>
      <c r="C993" t="s">
        <v>8</v>
      </c>
      <c r="D993" t="s">
        <v>437</v>
      </c>
      <c r="E993">
        <v>3282</v>
      </c>
      <c r="F993" t="s">
        <v>32</v>
      </c>
    </row>
    <row r="994" spans="1:6" x14ac:dyDescent="0.35">
      <c r="A994" s="1">
        <v>45492</v>
      </c>
      <c r="B994" s="2">
        <v>45492.591228067133</v>
      </c>
      <c r="C994" t="s">
        <v>8</v>
      </c>
      <c r="D994" t="s">
        <v>437</v>
      </c>
      <c r="E994">
        <v>3282</v>
      </c>
      <c r="F994" t="s">
        <v>10</v>
      </c>
    </row>
    <row r="995" spans="1:6" x14ac:dyDescent="0.35">
      <c r="A995" s="1">
        <v>45492</v>
      </c>
      <c r="B995" s="2">
        <v>45492.69188972222</v>
      </c>
      <c r="C995" t="s">
        <v>8</v>
      </c>
      <c r="D995" t="s">
        <v>437</v>
      </c>
      <c r="E995">
        <v>3282</v>
      </c>
      <c r="F995" t="s">
        <v>32</v>
      </c>
    </row>
    <row r="996" spans="1:6" x14ac:dyDescent="0.35">
      <c r="A996" s="1">
        <v>45492</v>
      </c>
      <c r="B996" s="2">
        <v>45492.692775555559</v>
      </c>
      <c r="C996" t="s">
        <v>8</v>
      </c>
      <c r="D996" t="s">
        <v>437</v>
      </c>
      <c r="E996">
        <v>3282</v>
      </c>
      <c r="F996" t="s">
        <v>32</v>
      </c>
    </row>
    <row r="997" spans="1:6" x14ac:dyDescent="0.35">
      <c r="A997" s="1">
        <v>45493</v>
      </c>
      <c r="B997" s="2">
        <v>45493.337320243052</v>
      </c>
      <c r="C997" t="s">
        <v>8</v>
      </c>
      <c r="D997" t="s">
        <v>440</v>
      </c>
      <c r="E997">
        <v>2302</v>
      </c>
      <c r="F997" t="s">
        <v>28</v>
      </c>
    </row>
    <row r="998" spans="1:6" x14ac:dyDescent="0.35">
      <c r="A998" s="1">
        <v>45493</v>
      </c>
      <c r="B998" s="2">
        <v>45493.338063483796</v>
      </c>
      <c r="C998" t="s">
        <v>8</v>
      </c>
      <c r="D998" t="s">
        <v>440</v>
      </c>
      <c r="E998">
        <v>3282</v>
      </c>
      <c r="F998" t="s">
        <v>32</v>
      </c>
    </row>
    <row r="999" spans="1:6" x14ac:dyDescent="0.35">
      <c r="A999" s="1">
        <v>45493</v>
      </c>
      <c r="B999" s="2">
        <v>45493.338789733796</v>
      </c>
      <c r="C999" t="s">
        <v>8</v>
      </c>
      <c r="D999" t="s">
        <v>440</v>
      </c>
      <c r="E999">
        <v>2302</v>
      </c>
      <c r="F999" t="s">
        <v>28</v>
      </c>
    </row>
    <row r="1000" spans="1:6" x14ac:dyDescent="0.35">
      <c r="A1000" s="1">
        <v>45493</v>
      </c>
      <c r="B1000" s="2">
        <v>45493.37562042824</v>
      </c>
      <c r="C1000" t="s">
        <v>8</v>
      </c>
      <c r="D1000" t="s">
        <v>441</v>
      </c>
      <c r="E1000">
        <v>3282</v>
      </c>
      <c r="F1000" t="s">
        <v>32</v>
      </c>
    </row>
    <row r="1001" spans="1:6" x14ac:dyDescent="0.35">
      <c r="A1001" s="1">
        <v>45493</v>
      </c>
      <c r="B1001" s="2">
        <v>45493.376711203702</v>
      </c>
      <c r="C1001" t="s">
        <v>8</v>
      </c>
      <c r="D1001" t="s">
        <v>442</v>
      </c>
      <c r="E1001">
        <v>3282</v>
      </c>
      <c r="F1001" t="s">
        <v>32</v>
      </c>
    </row>
    <row r="1002" spans="1:6" x14ac:dyDescent="0.35">
      <c r="A1002" s="1">
        <v>45493</v>
      </c>
      <c r="B1002" s="2">
        <v>45493.443993564812</v>
      </c>
      <c r="C1002" t="s">
        <v>8</v>
      </c>
      <c r="D1002" t="s">
        <v>443</v>
      </c>
      <c r="E1002">
        <v>2302</v>
      </c>
      <c r="F1002" t="s">
        <v>28</v>
      </c>
    </row>
    <row r="1003" spans="1:6" x14ac:dyDescent="0.35">
      <c r="A1003" s="1">
        <v>45493</v>
      </c>
      <c r="B1003" s="2">
        <v>45493.635523391204</v>
      </c>
      <c r="C1003" t="s">
        <v>8</v>
      </c>
      <c r="D1003" t="s">
        <v>444</v>
      </c>
      <c r="E1003">
        <v>3282</v>
      </c>
      <c r="F1003" t="s">
        <v>32</v>
      </c>
    </row>
    <row r="1004" spans="1:6" x14ac:dyDescent="0.35">
      <c r="A1004" s="1">
        <v>45494</v>
      </c>
      <c r="B1004" s="2">
        <v>45494.43814604167</v>
      </c>
      <c r="C1004" t="s">
        <v>8</v>
      </c>
      <c r="D1004" t="s">
        <v>420</v>
      </c>
      <c r="E1004">
        <v>3282</v>
      </c>
      <c r="F1004" t="s">
        <v>10</v>
      </c>
    </row>
    <row r="1005" spans="1:6" x14ac:dyDescent="0.35">
      <c r="A1005" s="1">
        <v>45494</v>
      </c>
      <c r="B1005" s="2">
        <v>45494.485749722226</v>
      </c>
      <c r="C1005" t="s">
        <v>8</v>
      </c>
      <c r="D1005" t="s">
        <v>445</v>
      </c>
      <c r="E1005">
        <v>3282</v>
      </c>
      <c r="F1005" t="s">
        <v>24</v>
      </c>
    </row>
    <row r="1006" spans="1:6" x14ac:dyDescent="0.35">
      <c r="A1006" s="1">
        <v>45494</v>
      </c>
      <c r="B1006" s="2">
        <v>45494.565634826387</v>
      </c>
      <c r="C1006" t="s">
        <v>8</v>
      </c>
      <c r="D1006" t="s">
        <v>446</v>
      </c>
      <c r="E1006">
        <v>2302</v>
      </c>
      <c r="F1006" t="s">
        <v>20</v>
      </c>
    </row>
    <row r="1007" spans="1:6" x14ac:dyDescent="0.35">
      <c r="A1007" s="1">
        <v>45494</v>
      </c>
      <c r="B1007" s="2">
        <v>45494.571197268517</v>
      </c>
      <c r="C1007" t="s">
        <v>8</v>
      </c>
      <c r="D1007" t="s">
        <v>447</v>
      </c>
      <c r="E1007">
        <v>3282</v>
      </c>
      <c r="F1007" t="s">
        <v>32</v>
      </c>
    </row>
    <row r="1008" spans="1:6" x14ac:dyDescent="0.35">
      <c r="A1008" s="1">
        <v>45495</v>
      </c>
      <c r="B1008" s="2">
        <v>45495.342629016202</v>
      </c>
      <c r="C1008" t="s">
        <v>8</v>
      </c>
      <c r="D1008" t="s">
        <v>428</v>
      </c>
      <c r="E1008">
        <v>2302</v>
      </c>
      <c r="F1008" t="s">
        <v>28</v>
      </c>
    </row>
    <row r="1009" spans="1:6" x14ac:dyDescent="0.35">
      <c r="A1009" s="1">
        <v>45495</v>
      </c>
      <c r="B1009" s="2">
        <v>45495.36168465278</v>
      </c>
      <c r="C1009" t="s">
        <v>8</v>
      </c>
      <c r="D1009" t="s">
        <v>448</v>
      </c>
      <c r="E1009">
        <v>2302</v>
      </c>
      <c r="F1009" t="s">
        <v>28</v>
      </c>
    </row>
    <row r="1010" spans="1:6" x14ac:dyDescent="0.35">
      <c r="A1010" s="1">
        <v>45495</v>
      </c>
      <c r="B1010" s="2">
        <v>45495.42751465278</v>
      </c>
      <c r="C1010" t="s">
        <v>8</v>
      </c>
      <c r="D1010" t="s">
        <v>438</v>
      </c>
      <c r="E1010">
        <v>2792</v>
      </c>
      <c r="F1010" t="s">
        <v>36</v>
      </c>
    </row>
    <row r="1011" spans="1:6" x14ac:dyDescent="0.35">
      <c r="A1011" s="1">
        <v>45495</v>
      </c>
      <c r="B1011" s="2">
        <v>45495.697657326389</v>
      </c>
      <c r="C1011" t="s">
        <v>8</v>
      </c>
      <c r="D1011" t="s">
        <v>449</v>
      </c>
      <c r="E1011">
        <v>3282</v>
      </c>
      <c r="F1011" t="s">
        <v>32</v>
      </c>
    </row>
    <row r="1012" spans="1:6" x14ac:dyDescent="0.35">
      <c r="A1012" s="1">
        <v>45496</v>
      </c>
      <c r="B1012" s="2">
        <v>45496.342317465278</v>
      </c>
      <c r="C1012" t="s">
        <v>8</v>
      </c>
      <c r="D1012" t="s">
        <v>251</v>
      </c>
      <c r="E1012">
        <v>3282</v>
      </c>
      <c r="F1012" t="s">
        <v>32</v>
      </c>
    </row>
    <row r="1013" spans="1:6" x14ac:dyDescent="0.35">
      <c r="A1013" s="1">
        <v>45496</v>
      </c>
      <c r="B1013" s="2">
        <v>45496.361330798609</v>
      </c>
      <c r="C1013" t="s">
        <v>8</v>
      </c>
      <c r="D1013" t="s">
        <v>448</v>
      </c>
      <c r="E1013">
        <v>2302</v>
      </c>
      <c r="F1013" t="s">
        <v>28</v>
      </c>
    </row>
    <row r="1014" spans="1:6" x14ac:dyDescent="0.35">
      <c r="A1014" s="1">
        <v>45496</v>
      </c>
      <c r="B1014" s="2">
        <v>45496.36451175926</v>
      </c>
      <c r="C1014" t="s">
        <v>8</v>
      </c>
      <c r="D1014" t="s">
        <v>450</v>
      </c>
      <c r="E1014">
        <v>2792</v>
      </c>
      <c r="F1014" t="s">
        <v>36</v>
      </c>
    </row>
    <row r="1015" spans="1:6" x14ac:dyDescent="0.35">
      <c r="A1015" s="1">
        <v>45496</v>
      </c>
      <c r="B1015" s="2">
        <v>45496.367651701388</v>
      </c>
      <c r="C1015" t="s">
        <v>8</v>
      </c>
      <c r="D1015" t="s">
        <v>451</v>
      </c>
      <c r="E1015">
        <v>3282</v>
      </c>
      <c r="F1015" t="s">
        <v>10</v>
      </c>
    </row>
    <row r="1016" spans="1:6" x14ac:dyDescent="0.35">
      <c r="A1016" s="1">
        <v>45496</v>
      </c>
      <c r="B1016" s="2">
        <v>45496.368869965278</v>
      </c>
      <c r="C1016" t="s">
        <v>8</v>
      </c>
      <c r="D1016" t="s">
        <v>452</v>
      </c>
      <c r="E1016">
        <v>3282</v>
      </c>
      <c r="F1016" t="s">
        <v>32</v>
      </c>
    </row>
    <row r="1017" spans="1:6" x14ac:dyDescent="0.35">
      <c r="A1017" s="1">
        <v>45496</v>
      </c>
      <c r="B1017" s="2">
        <v>45496.376223460647</v>
      </c>
      <c r="C1017" t="s">
        <v>8</v>
      </c>
      <c r="D1017" t="s">
        <v>428</v>
      </c>
      <c r="E1017">
        <v>2302</v>
      </c>
      <c r="F1017" t="s">
        <v>28</v>
      </c>
    </row>
    <row r="1018" spans="1:6" x14ac:dyDescent="0.35">
      <c r="A1018" s="1">
        <v>45496</v>
      </c>
      <c r="B1018" s="2">
        <v>45496.419172361107</v>
      </c>
      <c r="C1018" t="s">
        <v>8</v>
      </c>
      <c r="D1018" t="s">
        <v>453</v>
      </c>
      <c r="E1018">
        <v>2792</v>
      </c>
      <c r="F1018" t="s">
        <v>36</v>
      </c>
    </row>
    <row r="1019" spans="1:6" x14ac:dyDescent="0.35">
      <c r="A1019" s="1">
        <v>45496</v>
      </c>
      <c r="B1019" s="2">
        <v>45496.638946423613</v>
      </c>
      <c r="C1019" t="s">
        <v>8</v>
      </c>
      <c r="D1019" t="s">
        <v>454</v>
      </c>
      <c r="E1019">
        <v>2792</v>
      </c>
      <c r="F1019" t="s">
        <v>36</v>
      </c>
    </row>
    <row r="1020" spans="1:6" x14ac:dyDescent="0.35">
      <c r="A1020" s="1">
        <v>45496</v>
      </c>
      <c r="B1020" s="2">
        <v>45496.639598148147</v>
      </c>
      <c r="C1020" t="s">
        <v>8</v>
      </c>
      <c r="D1020" t="s">
        <v>454</v>
      </c>
      <c r="E1020">
        <v>3282</v>
      </c>
      <c r="F1020" t="s">
        <v>32</v>
      </c>
    </row>
    <row r="1021" spans="1:6" x14ac:dyDescent="0.35">
      <c r="A1021" s="1">
        <v>45496</v>
      </c>
      <c r="B1021" s="2">
        <v>45496.876164490743</v>
      </c>
      <c r="C1021" t="s">
        <v>8</v>
      </c>
      <c r="D1021" t="s">
        <v>25</v>
      </c>
      <c r="E1021">
        <v>3282</v>
      </c>
      <c r="F1021" t="s">
        <v>32</v>
      </c>
    </row>
    <row r="1022" spans="1:6" x14ac:dyDescent="0.35">
      <c r="A1022" s="1">
        <v>45496</v>
      </c>
      <c r="B1022" s="2">
        <v>45496.891128483796</v>
      </c>
      <c r="C1022" t="s">
        <v>8</v>
      </c>
      <c r="D1022" t="s">
        <v>43</v>
      </c>
      <c r="E1022">
        <v>2302</v>
      </c>
      <c r="F1022" t="s">
        <v>28</v>
      </c>
    </row>
    <row r="1023" spans="1:6" x14ac:dyDescent="0.35">
      <c r="A1023" s="1">
        <v>45496</v>
      </c>
      <c r="B1023" s="2">
        <v>45496.891928344907</v>
      </c>
      <c r="C1023" t="s">
        <v>8</v>
      </c>
      <c r="D1023" t="s">
        <v>43</v>
      </c>
      <c r="E1023">
        <v>2302</v>
      </c>
      <c r="F1023" t="s">
        <v>28</v>
      </c>
    </row>
    <row r="1024" spans="1:6" x14ac:dyDescent="0.35">
      <c r="A1024" s="1">
        <v>45497</v>
      </c>
      <c r="B1024" s="2">
        <v>45497.386224699076</v>
      </c>
      <c r="C1024" t="s">
        <v>8</v>
      </c>
      <c r="D1024" t="s">
        <v>11</v>
      </c>
      <c r="E1024">
        <v>2792</v>
      </c>
      <c r="F1024" t="s">
        <v>36</v>
      </c>
    </row>
    <row r="1025" spans="1:6" x14ac:dyDescent="0.35">
      <c r="A1025" s="1">
        <v>45497</v>
      </c>
      <c r="B1025" s="2">
        <v>45497.402025543983</v>
      </c>
      <c r="C1025" t="s">
        <v>8</v>
      </c>
      <c r="D1025" t="s">
        <v>438</v>
      </c>
      <c r="E1025">
        <v>2792</v>
      </c>
      <c r="F1025" t="s">
        <v>36</v>
      </c>
    </row>
    <row r="1026" spans="1:6" x14ac:dyDescent="0.35">
      <c r="A1026" s="1">
        <v>45497</v>
      </c>
      <c r="B1026" s="2">
        <v>45497.412933518521</v>
      </c>
      <c r="C1026" t="s">
        <v>8</v>
      </c>
      <c r="D1026" t="s">
        <v>455</v>
      </c>
      <c r="E1026">
        <v>1812</v>
      </c>
      <c r="F1026" t="s">
        <v>5</v>
      </c>
    </row>
    <row r="1027" spans="1:6" x14ac:dyDescent="0.35">
      <c r="A1027" s="1">
        <v>45497</v>
      </c>
      <c r="B1027" s="2">
        <v>45497.488809270835</v>
      </c>
      <c r="C1027" t="s">
        <v>8</v>
      </c>
      <c r="D1027" t="s">
        <v>432</v>
      </c>
      <c r="E1027">
        <v>3282</v>
      </c>
      <c r="F1027" t="s">
        <v>24</v>
      </c>
    </row>
    <row r="1028" spans="1:6" x14ac:dyDescent="0.35">
      <c r="A1028" s="1">
        <v>45497</v>
      </c>
      <c r="B1028" s="2">
        <v>45497.580021076392</v>
      </c>
      <c r="C1028" t="s">
        <v>8</v>
      </c>
      <c r="D1028" t="s">
        <v>452</v>
      </c>
      <c r="E1028">
        <v>3282</v>
      </c>
      <c r="F1028" t="s">
        <v>32</v>
      </c>
    </row>
    <row r="1029" spans="1:6" x14ac:dyDescent="0.35">
      <c r="A1029" s="1">
        <v>45497</v>
      </c>
      <c r="B1029" s="2">
        <v>45497.615159328707</v>
      </c>
      <c r="C1029" t="s">
        <v>8</v>
      </c>
      <c r="D1029" t="s">
        <v>43</v>
      </c>
      <c r="E1029">
        <v>1812</v>
      </c>
      <c r="F1029" t="s">
        <v>5</v>
      </c>
    </row>
    <row r="1030" spans="1:6" x14ac:dyDescent="0.35">
      <c r="A1030" s="1">
        <v>45497</v>
      </c>
      <c r="B1030" s="2">
        <v>45497.637853263892</v>
      </c>
      <c r="C1030" t="s">
        <v>8</v>
      </c>
      <c r="D1030" t="s">
        <v>25</v>
      </c>
      <c r="E1030">
        <v>3282</v>
      </c>
      <c r="F1030" t="s">
        <v>32</v>
      </c>
    </row>
    <row r="1031" spans="1:6" x14ac:dyDescent="0.35">
      <c r="A1031" s="1">
        <v>45497</v>
      </c>
      <c r="B1031" s="2">
        <v>45497.802149050927</v>
      </c>
      <c r="C1031" t="s">
        <v>8</v>
      </c>
      <c r="D1031" t="s">
        <v>259</v>
      </c>
      <c r="E1031">
        <v>3282</v>
      </c>
      <c r="F1031" t="s">
        <v>24</v>
      </c>
    </row>
    <row r="1032" spans="1:6" x14ac:dyDescent="0.35">
      <c r="A1032" s="1">
        <v>45497</v>
      </c>
      <c r="B1032" s="2">
        <v>45497.803469664352</v>
      </c>
      <c r="C1032" t="s">
        <v>8</v>
      </c>
      <c r="D1032" t="s">
        <v>259</v>
      </c>
      <c r="E1032">
        <v>3282</v>
      </c>
      <c r="F1032" t="s">
        <v>24</v>
      </c>
    </row>
    <row r="1033" spans="1:6" x14ac:dyDescent="0.35">
      <c r="A1033" s="1">
        <v>45497</v>
      </c>
      <c r="B1033" s="2">
        <v>45497.887231446759</v>
      </c>
      <c r="C1033" t="s">
        <v>8</v>
      </c>
      <c r="D1033" t="s">
        <v>16</v>
      </c>
      <c r="E1033">
        <v>2792</v>
      </c>
      <c r="F1033" t="s">
        <v>36</v>
      </c>
    </row>
    <row r="1034" spans="1:6" x14ac:dyDescent="0.35">
      <c r="A1034" s="1">
        <v>45497</v>
      </c>
      <c r="B1034" s="2">
        <v>45497.887977939812</v>
      </c>
      <c r="C1034" t="s">
        <v>8</v>
      </c>
      <c r="D1034" t="s">
        <v>16</v>
      </c>
      <c r="E1034">
        <v>2302</v>
      </c>
      <c r="F1034" t="s">
        <v>28</v>
      </c>
    </row>
    <row r="1035" spans="1:6" x14ac:dyDescent="0.35">
      <c r="A1035" s="1">
        <v>45497</v>
      </c>
      <c r="B1035" s="2">
        <v>45497.892563576388</v>
      </c>
      <c r="C1035" t="s">
        <v>8</v>
      </c>
      <c r="D1035" t="s">
        <v>43</v>
      </c>
      <c r="E1035">
        <v>2302</v>
      </c>
      <c r="F1035" t="s">
        <v>28</v>
      </c>
    </row>
    <row r="1036" spans="1:6" x14ac:dyDescent="0.35">
      <c r="A1036" s="1">
        <v>45498</v>
      </c>
      <c r="B1036" s="2">
        <v>45498.329721469905</v>
      </c>
      <c r="C1036" t="s">
        <v>8</v>
      </c>
      <c r="D1036" t="s">
        <v>43</v>
      </c>
      <c r="E1036">
        <v>2302</v>
      </c>
      <c r="F1036" t="s">
        <v>28</v>
      </c>
    </row>
    <row r="1037" spans="1:6" x14ac:dyDescent="0.35">
      <c r="A1037" s="1">
        <v>45498</v>
      </c>
      <c r="B1037" s="2">
        <v>45498.367574398151</v>
      </c>
      <c r="C1037" t="s">
        <v>8</v>
      </c>
      <c r="D1037" t="s">
        <v>452</v>
      </c>
      <c r="E1037">
        <v>3282</v>
      </c>
      <c r="F1037" t="s">
        <v>32</v>
      </c>
    </row>
    <row r="1038" spans="1:6" x14ac:dyDescent="0.35">
      <c r="A1038" s="1">
        <v>45498</v>
      </c>
      <c r="B1038" s="2">
        <v>45498.437322094906</v>
      </c>
      <c r="C1038" t="s">
        <v>8</v>
      </c>
      <c r="D1038" t="s">
        <v>438</v>
      </c>
      <c r="E1038">
        <v>2792</v>
      </c>
      <c r="F1038" t="s">
        <v>36</v>
      </c>
    </row>
    <row r="1039" spans="1:6" x14ac:dyDescent="0.35">
      <c r="A1039" s="1">
        <v>45498</v>
      </c>
      <c r="B1039" s="2">
        <v>45498.476443298612</v>
      </c>
      <c r="C1039" t="s">
        <v>8</v>
      </c>
      <c r="D1039" t="s">
        <v>428</v>
      </c>
      <c r="E1039">
        <v>2302</v>
      </c>
      <c r="F1039" t="s">
        <v>28</v>
      </c>
    </row>
    <row r="1040" spans="1:6" x14ac:dyDescent="0.35">
      <c r="A1040" s="1">
        <v>45498</v>
      </c>
      <c r="B1040" s="2">
        <v>45498.642436481481</v>
      </c>
      <c r="C1040" t="s">
        <v>8</v>
      </c>
      <c r="D1040" t="s">
        <v>456</v>
      </c>
      <c r="E1040">
        <v>3282</v>
      </c>
      <c r="F1040" t="s">
        <v>24</v>
      </c>
    </row>
    <row r="1041" spans="1:6" x14ac:dyDescent="0.35">
      <c r="A1041" s="1">
        <v>45498</v>
      </c>
      <c r="B1041" s="2">
        <v>45498.806258842589</v>
      </c>
      <c r="C1041" t="s">
        <v>8</v>
      </c>
      <c r="D1041" t="s">
        <v>311</v>
      </c>
      <c r="E1041">
        <v>3282</v>
      </c>
      <c r="F1041" t="s">
        <v>24</v>
      </c>
    </row>
    <row r="1042" spans="1:6" x14ac:dyDescent="0.35">
      <c r="A1042" s="1">
        <v>45498</v>
      </c>
      <c r="B1042" s="2">
        <v>45498.879181388889</v>
      </c>
      <c r="C1042" t="s">
        <v>8</v>
      </c>
      <c r="D1042" t="s">
        <v>457</v>
      </c>
      <c r="E1042">
        <v>2302</v>
      </c>
      <c r="F1042" t="s">
        <v>20</v>
      </c>
    </row>
    <row r="1043" spans="1:6" x14ac:dyDescent="0.35">
      <c r="A1043" s="1">
        <v>45498</v>
      </c>
      <c r="B1043" s="2">
        <v>45498.879745393519</v>
      </c>
      <c r="C1043" t="s">
        <v>8</v>
      </c>
      <c r="D1043" t="s">
        <v>457</v>
      </c>
      <c r="E1043">
        <v>1812</v>
      </c>
      <c r="F1043" t="s">
        <v>5</v>
      </c>
    </row>
    <row r="1044" spans="1:6" x14ac:dyDescent="0.35">
      <c r="A1044" s="1">
        <v>45498</v>
      </c>
      <c r="B1044" s="2">
        <v>45498.943649652778</v>
      </c>
      <c r="C1044" t="s">
        <v>8</v>
      </c>
      <c r="D1044" t="s">
        <v>381</v>
      </c>
      <c r="E1044">
        <v>2302</v>
      </c>
      <c r="F1044" t="s">
        <v>20</v>
      </c>
    </row>
    <row r="1045" spans="1:6" x14ac:dyDescent="0.35">
      <c r="A1045" s="1">
        <v>45498</v>
      </c>
      <c r="B1045" s="2">
        <v>45498.944291550928</v>
      </c>
      <c r="C1045" t="s">
        <v>8</v>
      </c>
      <c r="D1045" t="s">
        <v>458</v>
      </c>
      <c r="E1045">
        <v>3282</v>
      </c>
      <c r="F1045" t="s">
        <v>10</v>
      </c>
    </row>
    <row r="1046" spans="1:6" x14ac:dyDescent="0.35">
      <c r="A1046" s="1">
        <v>45499</v>
      </c>
      <c r="B1046" s="2">
        <v>45499.356264733797</v>
      </c>
      <c r="C1046" t="s">
        <v>8</v>
      </c>
      <c r="D1046" t="s">
        <v>459</v>
      </c>
      <c r="E1046">
        <v>3282</v>
      </c>
      <c r="F1046" t="s">
        <v>32</v>
      </c>
    </row>
    <row r="1047" spans="1:6" x14ac:dyDescent="0.35">
      <c r="A1047" s="1">
        <v>45499</v>
      </c>
      <c r="B1047" s="2">
        <v>45499.388627037035</v>
      </c>
      <c r="C1047" t="s">
        <v>8</v>
      </c>
      <c r="D1047" t="s">
        <v>11</v>
      </c>
      <c r="E1047">
        <v>2792</v>
      </c>
      <c r="F1047" t="s">
        <v>36</v>
      </c>
    </row>
    <row r="1048" spans="1:6" x14ac:dyDescent="0.35">
      <c r="A1048" s="1">
        <v>45499</v>
      </c>
      <c r="B1048" s="2">
        <v>45499.38928638889</v>
      </c>
      <c r="C1048" t="s">
        <v>8</v>
      </c>
      <c r="D1048" t="s">
        <v>115</v>
      </c>
      <c r="E1048">
        <v>1812</v>
      </c>
      <c r="F1048" t="s">
        <v>5</v>
      </c>
    </row>
    <row r="1049" spans="1:6" x14ac:dyDescent="0.35">
      <c r="A1049" s="1">
        <v>45499</v>
      </c>
      <c r="B1049" s="2">
        <v>45499.398049895834</v>
      </c>
      <c r="C1049" t="s">
        <v>8</v>
      </c>
      <c r="D1049" t="s">
        <v>460</v>
      </c>
      <c r="E1049">
        <v>2302</v>
      </c>
      <c r="F1049" t="s">
        <v>20</v>
      </c>
    </row>
    <row r="1050" spans="1:6" x14ac:dyDescent="0.35">
      <c r="A1050" s="1">
        <v>45499</v>
      </c>
      <c r="B1050" s="2">
        <v>45499.398803622687</v>
      </c>
      <c r="C1050" t="s">
        <v>8</v>
      </c>
      <c r="D1050" t="s">
        <v>460</v>
      </c>
      <c r="E1050">
        <v>2302</v>
      </c>
      <c r="F1050" t="s">
        <v>20</v>
      </c>
    </row>
    <row r="1051" spans="1:6" x14ac:dyDescent="0.35">
      <c r="A1051" s="1">
        <v>45499</v>
      </c>
      <c r="B1051" s="2">
        <v>45499.416063275465</v>
      </c>
      <c r="C1051" t="s">
        <v>8</v>
      </c>
      <c r="D1051" t="s">
        <v>461</v>
      </c>
      <c r="E1051">
        <v>3282</v>
      </c>
      <c r="F1051" t="s">
        <v>32</v>
      </c>
    </row>
    <row r="1052" spans="1:6" x14ac:dyDescent="0.35">
      <c r="A1052" s="1">
        <v>45499</v>
      </c>
      <c r="B1052" s="2">
        <v>45499.416698136571</v>
      </c>
      <c r="C1052" t="s">
        <v>8</v>
      </c>
      <c r="D1052" t="s">
        <v>461</v>
      </c>
      <c r="E1052">
        <v>3282</v>
      </c>
      <c r="F1052" t="s">
        <v>32</v>
      </c>
    </row>
    <row r="1053" spans="1:6" x14ac:dyDescent="0.35">
      <c r="A1053" s="1">
        <v>45499</v>
      </c>
      <c r="B1053" s="2">
        <v>45499.491132581017</v>
      </c>
      <c r="C1053" t="s">
        <v>8</v>
      </c>
      <c r="D1053" t="s">
        <v>438</v>
      </c>
      <c r="E1053">
        <v>2792</v>
      </c>
      <c r="F1053" t="s">
        <v>36</v>
      </c>
    </row>
    <row r="1054" spans="1:6" x14ac:dyDescent="0.35">
      <c r="A1054" s="1">
        <v>45499</v>
      </c>
      <c r="B1054" s="2">
        <v>45499.504880439817</v>
      </c>
      <c r="C1054" t="s">
        <v>8</v>
      </c>
      <c r="D1054" t="s">
        <v>432</v>
      </c>
      <c r="E1054">
        <v>2792</v>
      </c>
      <c r="F1054" t="s">
        <v>36</v>
      </c>
    </row>
    <row r="1055" spans="1:6" x14ac:dyDescent="0.35">
      <c r="A1055" s="1">
        <v>45499</v>
      </c>
      <c r="B1055" s="2">
        <v>45499.519537546294</v>
      </c>
      <c r="C1055" t="s">
        <v>8</v>
      </c>
      <c r="D1055" t="s">
        <v>392</v>
      </c>
      <c r="E1055">
        <v>3282</v>
      </c>
      <c r="F1055" t="s">
        <v>24</v>
      </c>
    </row>
    <row r="1056" spans="1:6" x14ac:dyDescent="0.35">
      <c r="A1056" s="1">
        <v>45499</v>
      </c>
      <c r="B1056" s="2">
        <v>45499.520343842596</v>
      </c>
      <c r="C1056" t="s">
        <v>8</v>
      </c>
      <c r="D1056" t="s">
        <v>392</v>
      </c>
      <c r="E1056">
        <v>3282</v>
      </c>
      <c r="F1056" t="s">
        <v>24</v>
      </c>
    </row>
    <row r="1057" spans="1:6" x14ac:dyDescent="0.35">
      <c r="A1057" s="1">
        <v>45499</v>
      </c>
      <c r="B1057" s="2">
        <v>45499.548566412035</v>
      </c>
      <c r="C1057" t="s">
        <v>8</v>
      </c>
      <c r="D1057" t="s">
        <v>462</v>
      </c>
      <c r="E1057">
        <v>3282</v>
      </c>
      <c r="F1057" t="s">
        <v>32</v>
      </c>
    </row>
    <row r="1058" spans="1:6" x14ac:dyDescent="0.35">
      <c r="A1058" s="1">
        <v>45499</v>
      </c>
      <c r="B1058" s="2">
        <v>45499.724645219911</v>
      </c>
      <c r="C1058" t="s">
        <v>8</v>
      </c>
      <c r="D1058" t="s">
        <v>463</v>
      </c>
      <c r="E1058">
        <v>2302</v>
      </c>
      <c r="F1058" t="s">
        <v>28</v>
      </c>
    </row>
    <row r="1059" spans="1:6" x14ac:dyDescent="0.35">
      <c r="A1059" s="1">
        <v>45499</v>
      </c>
      <c r="B1059" s="2">
        <v>45499.748949270834</v>
      </c>
      <c r="C1059" t="s">
        <v>8</v>
      </c>
      <c r="D1059" t="s">
        <v>464</v>
      </c>
      <c r="E1059">
        <v>3282</v>
      </c>
      <c r="F1059" t="s">
        <v>24</v>
      </c>
    </row>
    <row r="1060" spans="1:6" x14ac:dyDescent="0.35">
      <c r="A1060" s="1">
        <v>45499</v>
      </c>
      <c r="B1060" s="2">
        <v>45499.885527916667</v>
      </c>
      <c r="C1060" t="s">
        <v>8</v>
      </c>
      <c r="D1060" t="s">
        <v>25</v>
      </c>
      <c r="E1060">
        <v>3282</v>
      </c>
      <c r="F1060" t="s">
        <v>32</v>
      </c>
    </row>
    <row r="1061" spans="1:6" x14ac:dyDescent="0.35">
      <c r="A1061" s="1">
        <v>45499</v>
      </c>
      <c r="B1061" s="2">
        <v>45499.951299976849</v>
      </c>
      <c r="C1061" t="s">
        <v>8</v>
      </c>
      <c r="D1061" t="s">
        <v>465</v>
      </c>
      <c r="E1061">
        <v>2792</v>
      </c>
      <c r="F1061" t="s">
        <v>36</v>
      </c>
    </row>
    <row r="1062" spans="1:6" x14ac:dyDescent="0.35">
      <c r="A1062" s="1">
        <v>45500</v>
      </c>
      <c r="B1062" s="2">
        <v>45500.381440474535</v>
      </c>
      <c r="C1062" t="s">
        <v>8</v>
      </c>
      <c r="D1062" t="s">
        <v>11</v>
      </c>
      <c r="E1062">
        <v>3282</v>
      </c>
      <c r="F1062" t="s">
        <v>24</v>
      </c>
    </row>
    <row r="1063" spans="1:6" x14ac:dyDescent="0.35">
      <c r="A1063" s="1">
        <v>45500</v>
      </c>
      <c r="B1063" s="2">
        <v>45500.496890983799</v>
      </c>
      <c r="C1063" t="s">
        <v>8</v>
      </c>
      <c r="D1063" t="s">
        <v>466</v>
      </c>
      <c r="E1063">
        <v>2792</v>
      </c>
      <c r="F1063" t="s">
        <v>36</v>
      </c>
    </row>
    <row r="1064" spans="1:6" x14ac:dyDescent="0.35">
      <c r="A1064" s="1">
        <v>45500</v>
      </c>
      <c r="B1064" s="2">
        <v>45500.517478182868</v>
      </c>
      <c r="C1064" t="s">
        <v>8</v>
      </c>
      <c r="D1064" t="s">
        <v>115</v>
      </c>
      <c r="E1064">
        <v>2792</v>
      </c>
      <c r="F1064" t="s">
        <v>36</v>
      </c>
    </row>
    <row r="1065" spans="1:6" x14ac:dyDescent="0.35">
      <c r="A1065" s="1">
        <v>45500</v>
      </c>
      <c r="B1065" s="2">
        <v>45500.518207858797</v>
      </c>
      <c r="C1065" t="s">
        <v>8</v>
      </c>
      <c r="D1065" t="s">
        <v>16</v>
      </c>
      <c r="E1065">
        <v>1812</v>
      </c>
      <c r="F1065" t="s">
        <v>5</v>
      </c>
    </row>
    <row r="1066" spans="1:6" x14ac:dyDescent="0.35">
      <c r="A1066" s="1">
        <v>45500</v>
      </c>
      <c r="B1066" s="2">
        <v>45500.523183680554</v>
      </c>
      <c r="C1066" t="s">
        <v>8</v>
      </c>
      <c r="D1066" t="s">
        <v>115</v>
      </c>
      <c r="E1066">
        <v>2792</v>
      </c>
      <c r="F1066" t="s">
        <v>36</v>
      </c>
    </row>
    <row r="1067" spans="1:6" x14ac:dyDescent="0.35">
      <c r="A1067" s="1">
        <v>45500</v>
      </c>
      <c r="B1067" s="2">
        <v>45500.603262777775</v>
      </c>
      <c r="C1067" t="s">
        <v>8</v>
      </c>
      <c r="D1067" t="s">
        <v>279</v>
      </c>
      <c r="E1067">
        <v>1812</v>
      </c>
      <c r="F1067" t="s">
        <v>5</v>
      </c>
    </row>
    <row r="1068" spans="1:6" x14ac:dyDescent="0.35">
      <c r="A1068" s="1">
        <v>45500</v>
      </c>
      <c r="B1068" s="2">
        <v>45500.619365694445</v>
      </c>
      <c r="C1068" t="s">
        <v>8</v>
      </c>
      <c r="D1068" t="s">
        <v>133</v>
      </c>
      <c r="E1068">
        <v>3282</v>
      </c>
      <c r="F1068" t="s">
        <v>32</v>
      </c>
    </row>
    <row r="1069" spans="1:6" x14ac:dyDescent="0.35">
      <c r="A1069" s="1">
        <v>45500</v>
      </c>
      <c r="B1069" s="2">
        <v>45500.710108310188</v>
      </c>
      <c r="C1069" t="s">
        <v>8</v>
      </c>
      <c r="D1069" t="s">
        <v>467</v>
      </c>
      <c r="E1069">
        <v>3282</v>
      </c>
      <c r="F1069" t="s">
        <v>24</v>
      </c>
    </row>
    <row r="1070" spans="1:6" x14ac:dyDescent="0.35">
      <c r="A1070" s="1">
        <v>45500</v>
      </c>
      <c r="B1070" s="2">
        <v>45500.710869351853</v>
      </c>
      <c r="C1070" t="s">
        <v>8</v>
      </c>
      <c r="D1070" t="s">
        <v>468</v>
      </c>
      <c r="E1070">
        <v>3282</v>
      </c>
      <c r="F1070" t="s">
        <v>24</v>
      </c>
    </row>
    <row r="1071" spans="1:6" x14ac:dyDescent="0.35">
      <c r="A1071" s="1">
        <v>45500</v>
      </c>
      <c r="B1071" s="2">
        <v>45500.714588240742</v>
      </c>
      <c r="C1071" t="s">
        <v>8</v>
      </c>
      <c r="D1071" t="s">
        <v>469</v>
      </c>
      <c r="E1071">
        <v>2792</v>
      </c>
      <c r="F1071" t="s">
        <v>36</v>
      </c>
    </row>
    <row r="1072" spans="1:6" x14ac:dyDescent="0.35">
      <c r="A1072" s="1">
        <v>45500</v>
      </c>
      <c r="B1072" s="2">
        <v>45500.715371226848</v>
      </c>
      <c r="C1072" t="s">
        <v>8</v>
      </c>
      <c r="D1072" t="s">
        <v>469</v>
      </c>
      <c r="E1072">
        <v>2792</v>
      </c>
      <c r="F1072" t="s">
        <v>36</v>
      </c>
    </row>
    <row r="1073" spans="1:6" x14ac:dyDescent="0.35">
      <c r="A1073" s="1">
        <v>45500</v>
      </c>
      <c r="B1073" s="2">
        <v>45500.871761284725</v>
      </c>
      <c r="C1073" t="s">
        <v>8</v>
      </c>
      <c r="D1073" t="s">
        <v>25</v>
      </c>
      <c r="E1073">
        <v>3282</v>
      </c>
      <c r="F1073" t="s">
        <v>32</v>
      </c>
    </row>
    <row r="1074" spans="1:6" x14ac:dyDescent="0.35">
      <c r="A1074" s="1">
        <v>45500</v>
      </c>
      <c r="B1074" s="2">
        <v>45500.955832349537</v>
      </c>
      <c r="C1074" t="s">
        <v>8</v>
      </c>
      <c r="D1074" t="s">
        <v>470</v>
      </c>
      <c r="E1074">
        <v>3282</v>
      </c>
      <c r="F1074" t="s">
        <v>24</v>
      </c>
    </row>
    <row r="1075" spans="1:6" x14ac:dyDescent="0.35">
      <c r="A1075" s="1">
        <v>45501</v>
      </c>
      <c r="B1075" s="2">
        <v>45501.463494444448</v>
      </c>
      <c r="C1075" t="s">
        <v>8</v>
      </c>
      <c r="D1075" t="s">
        <v>43</v>
      </c>
      <c r="E1075">
        <v>1812</v>
      </c>
      <c r="F1075" t="s">
        <v>5</v>
      </c>
    </row>
    <row r="1076" spans="1:6" x14ac:dyDescent="0.35">
      <c r="A1076" s="1">
        <v>45501</v>
      </c>
      <c r="B1076" s="2">
        <v>45501.595766261577</v>
      </c>
      <c r="C1076" t="s">
        <v>8</v>
      </c>
      <c r="D1076" t="s">
        <v>29</v>
      </c>
      <c r="E1076">
        <v>2792</v>
      </c>
      <c r="F1076" t="s">
        <v>36</v>
      </c>
    </row>
    <row r="1077" spans="1:6" x14ac:dyDescent="0.35">
      <c r="A1077" s="1">
        <v>45501</v>
      </c>
      <c r="B1077" s="2">
        <v>45501.596437453707</v>
      </c>
      <c r="C1077" t="s">
        <v>8</v>
      </c>
      <c r="D1077" t="s">
        <v>29</v>
      </c>
      <c r="E1077">
        <v>3282</v>
      </c>
      <c r="F1077" t="s">
        <v>32</v>
      </c>
    </row>
    <row r="1078" spans="1:6" x14ac:dyDescent="0.35">
      <c r="A1078" s="1">
        <v>45502</v>
      </c>
      <c r="B1078" s="2">
        <v>45502.341740810189</v>
      </c>
      <c r="C1078" t="s">
        <v>8</v>
      </c>
      <c r="D1078" t="s">
        <v>471</v>
      </c>
      <c r="E1078">
        <v>3282</v>
      </c>
      <c r="F1078" t="s">
        <v>32</v>
      </c>
    </row>
    <row r="1079" spans="1:6" x14ac:dyDescent="0.35">
      <c r="A1079" s="1">
        <v>45502</v>
      </c>
      <c r="B1079" s="2">
        <v>45502.378333009263</v>
      </c>
      <c r="C1079" t="s">
        <v>8</v>
      </c>
      <c r="D1079" t="s">
        <v>43</v>
      </c>
      <c r="E1079">
        <v>2302</v>
      </c>
      <c r="F1079" t="s">
        <v>28</v>
      </c>
    </row>
    <row r="1080" spans="1:6" x14ac:dyDescent="0.35">
      <c r="A1080" s="1">
        <v>45502</v>
      </c>
      <c r="B1080" s="2">
        <v>45502.385950868054</v>
      </c>
      <c r="C1080" t="s">
        <v>8</v>
      </c>
      <c r="D1080" t="s">
        <v>11</v>
      </c>
      <c r="E1080">
        <v>2792</v>
      </c>
      <c r="F1080" t="s">
        <v>36</v>
      </c>
    </row>
    <row r="1081" spans="1:6" x14ac:dyDescent="0.35">
      <c r="A1081" s="1">
        <v>45502</v>
      </c>
      <c r="B1081" s="2">
        <v>45502.388704652774</v>
      </c>
      <c r="C1081" t="s">
        <v>8</v>
      </c>
      <c r="D1081" t="s">
        <v>62</v>
      </c>
      <c r="E1081">
        <v>2302</v>
      </c>
      <c r="F1081" t="s">
        <v>28</v>
      </c>
    </row>
    <row r="1082" spans="1:6" x14ac:dyDescent="0.35">
      <c r="A1082" s="1">
        <v>45502</v>
      </c>
      <c r="B1082" s="2">
        <v>45502.410703090274</v>
      </c>
      <c r="C1082" t="s">
        <v>8</v>
      </c>
      <c r="D1082" t="s">
        <v>472</v>
      </c>
      <c r="E1082">
        <v>2792</v>
      </c>
      <c r="F1082" t="s">
        <v>36</v>
      </c>
    </row>
    <row r="1083" spans="1:6" x14ac:dyDescent="0.35">
      <c r="A1083" s="1">
        <v>45502</v>
      </c>
      <c r="B1083" s="2">
        <v>45502.415620821761</v>
      </c>
      <c r="C1083" t="s">
        <v>8</v>
      </c>
      <c r="D1083" t="s">
        <v>473</v>
      </c>
      <c r="E1083">
        <v>3282</v>
      </c>
      <c r="F1083" t="s">
        <v>24</v>
      </c>
    </row>
    <row r="1084" spans="1:6" x14ac:dyDescent="0.35">
      <c r="A1084" s="1">
        <v>45502</v>
      </c>
      <c r="B1084" s="2">
        <v>45502.447036585647</v>
      </c>
      <c r="C1084" t="s">
        <v>8</v>
      </c>
      <c r="D1084" t="s">
        <v>474</v>
      </c>
      <c r="E1084">
        <v>3282</v>
      </c>
      <c r="F1084" t="s">
        <v>15</v>
      </c>
    </row>
    <row r="1085" spans="1:6" x14ac:dyDescent="0.35">
      <c r="A1085" s="1">
        <v>45502</v>
      </c>
      <c r="B1085" s="2">
        <v>45502.447868587966</v>
      </c>
      <c r="C1085" t="s">
        <v>8</v>
      </c>
      <c r="D1085" t="s">
        <v>474</v>
      </c>
      <c r="E1085">
        <v>3282</v>
      </c>
      <c r="F1085" t="s">
        <v>15</v>
      </c>
    </row>
    <row r="1086" spans="1:6" x14ac:dyDescent="0.35">
      <c r="A1086" s="1">
        <v>45502</v>
      </c>
      <c r="B1086" s="2">
        <v>45502.79619364583</v>
      </c>
      <c r="C1086" t="s">
        <v>8</v>
      </c>
      <c r="D1086" t="s">
        <v>475</v>
      </c>
      <c r="E1086">
        <v>3282</v>
      </c>
      <c r="F1086" t="s">
        <v>24</v>
      </c>
    </row>
    <row r="1087" spans="1:6" x14ac:dyDescent="0.35">
      <c r="A1087" s="1">
        <v>45502</v>
      </c>
      <c r="B1087" s="2">
        <v>45502.812688877311</v>
      </c>
      <c r="C1087" t="s">
        <v>8</v>
      </c>
      <c r="D1087" t="s">
        <v>154</v>
      </c>
      <c r="E1087">
        <v>2302</v>
      </c>
      <c r="F1087" t="s">
        <v>28</v>
      </c>
    </row>
    <row r="1088" spans="1:6" x14ac:dyDescent="0.35">
      <c r="A1088" s="1">
        <v>45502</v>
      </c>
      <c r="B1088" s="2">
        <v>45502.914981701389</v>
      </c>
      <c r="C1088" t="s">
        <v>8</v>
      </c>
      <c r="D1088" t="s">
        <v>381</v>
      </c>
      <c r="E1088">
        <v>3282</v>
      </c>
      <c r="F1088" t="s">
        <v>10</v>
      </c>
    </row>
    <row r="1089" spans="1:6" x14ac:dyDescent="0.35">
      <c r="A1089" s="1">
        <v>45503</v>
      </c>
      <c r="B1089" s="2">
        <v>45503.320265567127</v>
      </c>
      <c r="C1089" t="s">
        <v>8</v>
      </c>
      <c r="D1089" t="s">
        <v>476</v>
      </c>
      <c r="E1089">
        <v>2792</v>
      </c>
      <c r="F1089" t="s">
        <v>36</v>
      </c>
    </row>
    <row r="1090" spans="1:6" x14ac:dyDescent="0.35">
      <c r="A1090" s="1">
        <v>45503</v>
      </c>
      <c r="B1090" s="2">
        <v>45503.336889074075</v>
      </c>
      <c r="C1090" t="s">
        <v>8</v>
      </c>
      <c r="D1090" t="s">
        <v>477</v>
      </c>
      <c r="E1090">
        <v>2302</v>
      </c>
      <c r="F1090" t="s">
        <v>20</v>
      </c>
    </row>
    <row r="1091" spans="1:6" x14ac:dyDescent="0.35">
      <c r="A1091" s="1">
        <v>45503</v>
      </c>
      <c r="B1091" s="2">
        <v>45503.347813831017</v>
      </c>
      <c r="C1091" t="s">
        <v>8</v>
      </c>
      <c r="D1091" t="s">
        <v>478</v>
      </c>
      <c r="E1091">
        <v>3282</v>
      </c>
      <c r="F1091" t="s">
        <v>24</v>
      </c>
    </row>
    <row r="1092" spans="1:6" x14ac:dyDescent="0.35">
      <c r="A1092" s="1">
        <v>45503</v>
      </c>
      <c r="B1092" s="2">
        <v>45503.384527974536</v>
      </c>
      <c r="C1092" t="s">
        <v>8</v>
      </c>
      <c r="D1092" t="s">
        <v>11</v>
      </c>
      <c r="E1092">
        <v>2792</v>
      </c>
      <c r="F1092" t="s">
        <v>36</v>
      </c>
    </row>
    <row r="1093" spans="1:6" x14ac:dyDescent="0.35">
      <c r="A1093" s="1">
        <v>45503</v>
      </c>
      <c r="B1093" s="2">
        <v>45503.428601238425</v>
      </c>
      <c r="C1093" t="s">
        <v>8</v>
      </c>
      <c r="D1093" t="s">
        <v>40</v>
      </c>
      <c r="E1093">
        <v>2302</v>
      </c>
      <c r="F1093" t="s">
        <v>20</v>
      </c>
    </row>
    <row r="1094" spans="1:6" x14ac:dyDescent="0.35">
      <c r="A1094" s="1">
        <v>45503</v>
      </c>
      <c r="B1094" s="2">
        <v>45503.430257094908</v>
      </c>
      <c r="C1094" t="s">
        <v>8</v>
      </c>
      <c r="D1094" t="s">
        <v>29</v>
      </c>
      <c r="E1094">
        <v>2792</v>
      </c>
      <c r="F1094" t="s">
        <v>36</v>
      </c>
    </row>
    <row r="1095" spans="1:6" x14ac:dyDescent="0.35">
      <c r="A1095" s="1">
        <v>45503</v>
      </c>
      <c r="B1095" s="2">
        <v>45503.432871759258</v>
      </c>
      <c r="C1095" t="s">
        <v>8</v>
      </c>
      <c r="D1095" t="s">
        <v>304</v>
      </c>
      <c r="E1095">
        <v>3282</v>
      </c>
      <c r="F1095" t="s">
        <v>32</v>
      </c>
    </row>
    <row r="1096" spans="1:6" x14ac:dyDescent="0.35">
      <c r="A1096" s="1">
        <v>45503</v>
      </c>
      <c r="B1096" s="2">
        <v>45503.466751840278</v>
      </c>
      <c r="C1096" t="s">
        <v>8</v>
      </c>
      <c r="D1096" t="s">
        <v>479</v>
      </c>
      <c r="E1096">
        <v>2302</v>
      </c>
      <c r="F1096" t="s">
        <v>28</v>
      </c>
    </row>
    <row r="1097" spans="1:6" x14ac:dyDescent="0.35">
      <c r="A1097" s="1">
        <v>45503</v>
      </c>
      <c r="B1097" s="2">
        <v>45503.467548819448</v>
      </c>
      <c r="C1097" t="s">
        <v>8</v>
      </c>
      <c r="D1097" t="s">
        <v>479</v>
      </c>
      <c r="E1097">
        <v>1812</v>
      </c>
      <c r="F1097" t="s">
        <v>5</v>
      </c>
    </row>
    <row r="1098" spans="1:6" x14ac:dyDescent="0.35">
      <c r="A1098" s="1">
        <v>45503</v>
      </c>
      <c r="B1098" s="2">
        <v>45503.468537939814</v>
      </c>
      <c r="C1098" t="s">
        <v>8</v>
      </c>
      <c r="D1098" t="s">
        <v>480</v>
      </c>
      <c r="E1098">
        <v>2792</v>
      </c>
      <c r="F1098" t="s">
        <v>36</v>
      </c>
    </row>
    <row r="1099" spans="1:6" x14ac:dyDescent="0.35">
      <c r="A1099" s="1">
        <v>45503</v>
      </c>
      <c r="B1099" s="2">
        <v>45503.469463310183</v>
      </c>
      <c r="C1099" t="s">
        <v>8</v>
      </c>
      <c r="D1099" t="s">
        <v>481</v>
      </c>
      <c r="E1099">
        <v>2792</v>
      </c>
      <c r="F1099" t="s">
        <v>36</v>
      </c>
    </row>
    <row r="1100" spans="1:6" x14ac:dyDescent="0.35">
      <c r="A1100" s="1">
        <v>45503</v>
      </c>
      <c r="B1100" s="2">
        <v>45503.47956871528</v>
      </c>
      <c r="C1100" t="s">
        <v>8</v>
      </c>
      <c r="D1100" t="s">
        <v>482</v>
      </c>
      <c r="E1100">
        <v>2792</v>
      </c>
      <c r="F1100" t="s">
        <v>36</v>
      </c>
    </row>
    <row r="1101" spans="1:6" x14ac:dyDescent="0.35">
      <c r="A1101" s="1">
        <v>45503</v>
      </c>
      <c r="B1101" s="2">
        <v>45503.480333437503</v>
      </c>
      <c r="C1101" t="s">
        <v>8</v>
      </c>
      <c r="D1101" t="s">
        <v>483</v>
      </c>
      <c r="E1101">
        <v>2792</v>
      </c>
      <c r="F1101" t="s">
        <v>36</v>
      </c>
    </row>
    <row r="1102" spans="1:6" x14ac:dyDescent="0.35">
      <c r="A1102" s="1">
        <v>45503</v>
      </c>
      <c r="B1102" s="2">
        <v>45503.505642453703</v>
      </c>
      <c r="C1102" t="s">
        <v>8</v>
      </c>
      <c r="D1102" t="s">
        <v>484</v>
      </c>
      <c r="E1102">
        <v>3282</v>
      </c>
      <c r="F1102" t="s">
        <v>32</v>
      </c>
    </row>
    <row r="1103" spans="1:6" x14ac:dyDescent="0.35">
      <c r="A1103" s="1">
        <v>45503</v>
      </c>
      <c r="B1103" s="2">
        <v>45503.636222546294</v>
      </c>
      <c r="C1103" t="s">
        <v>8</v>
      </c>
      <c r="D1103" t="s">
        <v>485</v>
      </c>
      <c r="E1103">
        <v>2792</v>
      </c>
      <c r="F1103" t="s">
        <v>36</v>
      </c>
    </row>
    <row r="1104" spans="1:6" x14ac:dyDescent="0.35">
      <c r="A1104" s="1">
        <v>45503</v>
      </c>
      <c r="B1104" s="2">
        <v>45503.672834212965</v>
      </c>
      <c r="C1104" t="s">
        <v>8</v>
      </c>
      <c r="D1104" t="s">
        <v>486</v>
      </c>
      <c r="E1104">
        <v>2302</v>
      </c>
      <c r="F1104" t="s">
        <v>20</v>
      </c>
    </row>
    <row r="1105" spans="1:6" x14ac:dyDescent="0.35">
      <c r="A1105" s="1">
        <v>45503</v>
      </c>
      <c r="B1105" s="2">
        <v>45503.673421608793</v>
      </c>
      <c r="C1105" t="s">
        <v>8</v>
      </c>
      <c r="D1105" t="s">
        <v>486</v>
      </c>
      <c r="E1105">
        <v>2792</v>
      </c>
      <c r="F1105" t="s">
        <v>36</v>
      </c>
    </row>
    <row r="1106" spans="1:6" x14ac:dyDescent="0.35">
      <c r="A1106" s="1">
        <v>45503</v>
      </c>
      <c r="B1106" s="2">
        <v>45503.850230023148</v>
      </c>
      <c r="C1106" t="s">
        <v>8</v>
      </c>
      <c r="D1106" t="s">
        <v>487</v>
      </c>
      <c r="E1106">
        <v>1812</v>
      </c>
      <c r="F1106" t="s">
        <v>5</v>
      </c>
    </row>
    <row r="1107" spans="1:6" x14ac:dyDescent="0.35">
      <c r="A1107" s="1">
        <v>45503</v>
      </c>
      <c r="B1107" s="2">
        <v>45503.870739189813</v>
      </c>
      <c r="C1107" t="s">
        <v>8</v>
      </c>
      <c r="D1107" t="s">
        <v>11</v>
      </c>
      <c r="E1107">
        <v>2792</v>
      </c>
      <c r="F1107" t="s">
        <v>36</v>
      </c>
    </row>
    <row r="1108" spans="1:6" x14ac:dyDescent="0.35">
      <c r="A1108" s="1">
        <v>45503</v>
      </c>
      <c r="B1108" s="2">
        <v>45503.871369398148</v>
      </c>
      <c r="C1108" t="s">
        <v>8</v>
      </c>
      <c r="D1108" t="s">
        <v>11</v>
      </c>
      <c r="E1108">
        <v>2792</v>
      </c>
      <c r="F1108" t="s">
        <v>36</v>
      </c>
    </row>
    <row r="1109" spans="1:6" x14ac:dyDescent="0.35">
      <c r="A1109" s="1">
        <v>45503</v>
      </c>
      <c r="B1109" s="2">
        <v>45503.872943564813</v>
      </c>
      <c r="C1109" t="s">
        <v>8</v>
      </c>
      <c r="D1109" t="s">
        <v>400</v>
      </c>
      <c r="E1109">
        <v>2792</v>
      </c>
      <c r="F1109" t="s">
        <v>36</v>
      </c>
    </row>
    <row r="1110" spans="1:6" x14ac:dyDescent="0.35">
      <c r="A1110" s="1">
        <v>45503</v>
      </c>
      <c r="B1110" s="2">
        <v>45503.898138865741</v>
      </c>
      <c r="C1110" t="s">
        <v>8</v>
      </c>
      <c r="D1110" t="s">
        <v>488</v>
      </c>
      <c r="E1110">
        <v>3282</v>
      </c>
      <c r="F1110" t="s">
        <v>32</v>
      </c>
    </row>
    <row r="1111" spans="1:6" x14ac:dyDescent="0.35">
      <c r="A1111" s="1">
        <v>45503</v>
      </c>
      <c r="B1111" s="2">
        <v>45503.927331990744</v>
      </c>
      <c r="C1111" t="s">
        <v>8</v>
      </c>
      <c r="D1111" t="s">
        <v>489</v>
      </c>
      <c r="E1111">
        <v>2302</v>
      </c>
      <c r="F1111" t="s">
        <v>28</v>
      </c>
    </row>
    <row r="1112" spans="1:6" x14ac:dyDescent="0.35">
      <c r="A1112" s="1">
        <v>45503</v>
      </c>
      <c r="B1112" s="2">
        <v>45503.928000694446</v>
      </c>
      <c r="C1112" t="s">
        <v>8</v>
      </c>
      <c r="D1112" t="s">
        <v>489</v>
      </c>
      <c r="E1112">
        <v>3282</v>
      </c>
      <c r="F1112" t="s">
        <v>24</v>
      </c>
    </row>
    <row r="1113" spans="1:6" x14ac:dyDescent="0.35">
      <c r="A1113" s="1">
        <v>45504</v>
      </c>
      <c r="B1113" s="2">
        <v>45504.333241875</v>
      </c>
      <c r="C1113" t="s">
        <v>8</v>
      </c>
      <c r="D1113" t="s">
        <v>476</v>
      </c>
      <c r="E1113">
        <v>2792</v>
      </c>
      <c r="F1113" t="s">
        <v>36</v>
      </c>
    </row>
    <row r="1114" spans="1:6" x14ac:dyDescent="0.35">
      <c r="A1114" s="1">
        <v>45504</v>
      </c>
      <c r="B1114" s="2">
        <v>45504.359513229167</v>
      </c>
      <c r="C1114" t="s">
        <v>8</v>
      </c>
      <c r="D1114" t="s">
        <v>490</v>
      </c>
      <c r="E1114">
        <v>2792</v>
      </c>
      <c r="F1114" t="s">
        <v>36</v>
      </c>
    </row>
    <row r="1115" spans="1:6" x14ac:dyDescent="0.35">
      <c r="A1115" s="1">
        <v>45504</v>
      </c>
      <c r="B1115" s="2">
        <v>45504.360164768521</v>
      </c>
      <c r="C1115" t="s">
        <v>8</v>
      </c>
      <c r="D1115" t="s">
        <v>490</v>
      </c>
      <c r="E1115">
        <v>2792</v>
      </c>
      <c r="F1115" t="s">
        <v>36</v>
      </c>
    </row>
    <row r="1116" spans="1:6" x14ac:dyDescent="0.35">
      <c r="A1116" s="1">
        <v>45504</v>
      </c>
      <c r="B1116" s="2">
        <v>45504.413024479167</v>
      </c>
      <c r="C1116" t="s">
        <v>8</v>
      </c>
      <c r="D1116" t="s">
        <v>441</v>
      </c>
      <c r="E1116">
        <v>2302</v>
      </c>
      <c r="F1116" t="s">
        <v>28</v>
      </c>
    </row>
    <row r="1117" spans="1:6" x14ac:dyDescent="0.35">
      <c r="A1117" s="1">
        <v>45504</v>
      </c>
      <c r="B1117" s="2">
        <v>45504.413716921299</v>
      </c>
      <c r="C1117" t="s">
        <v>8</v>
      </c>
      <c r="D1117" t="s">
        <v>441</v>
      </c>
      <c r="E1117">
        <v>2302</v>
      </c>
      <c r="F1117" t="s">
        <v>28</v>
      </c>
    </row>
    <row r="1118" spans="1:6" x14ac:dyDescent="0.35">
      <c r="A1118" s="1">
        <v>45504</v>
      </c>
      <c r="B1118" s="2">
        <v>45504.415461377313</v>
      </c>
      <c r="C1118" t="s">
        <v>8</v>
      </c>
      <c r="D1118" t="s">
        <v>29</v>
      </c>
      <c r="E1118">
        <v>2792</v>
      </c>
      <c r="F1118" t="s">
        <v>36</v>
      </c>
    </row>
    <row r="1119" spans="1:6" x14ac:dyDescent="0.35">
      <c r="A1119" s="1">
        <v>45504</v>
      </c>
      <c r="B1119" s="2">
        <v>45504.549798715278</v>
      </c>
      <c r="C1119" t="s">
        <v>8</v>
      </c>
      <c r="D1119" t="s">
        <v>437</v>
      </c>
      <c r="E1119">
        <v>3282</v>
      </c>
      <c r="F1119" t="s">
        <v>10</v>
      </c>
    </row>
    <row r="1120" spans="1:6" x14ac:dyDescent="0.35">
      <c r="A1120" s="1">
        <v>45504</v>
      </c>
      <c r="B1120" s="2">
        <v>45504.551392199071</v>
      </c>
      <c r="C1120" t="s">
        <v>8</v>
      </c>
      <c r="D1120" t="s">
        <v>437</v>
      </c>
      <c r="E1120">
        <v>3282</v>
      </c>
      <c r="F1120" t="s">
        <v>32</v>
      </c>
    </row>
    <row r="1121" spans="1:6" x14ac:dyDescent="0.35">
      <c r="A1121" s="1">
        <v>45504</v>
      </c>
      <c r="B1121" s="2">
        <v>45504.558905520833</v>
      </c>
      <c r="C1121" t="s">
        <v>8</v>
      </c>
      <c r="D1121" t="s">
        <v>491</v>
      </c>
      <c r="E1121">
        <v>2792</v>
      </c>
      <c r="F1121" t="s">
        <v>36</v>
      </c>
    </row>
    <row r="1122" spans="1:6" x14ac:dyDescent="0.35">
      <c r="A1122" s="1">
        <v>45504</v>
      </c>
      <c r="B1122" s="2">
        <v>45504.741745219908</v>
      </c>
      <c r="C1122" t="s">
        <v>8</v>
      </c>
      <c r="D1122" t="s">
        <v>492</v>
      </c>
      <c r="E1122">
        <v>2302</v>
      </c>
      <c r="F1122" t="s">
        <v>20</v>
      </c>
    </row>
    <row r="1123" spans="1:6" x14ac:dyDescent="0.35">
      <c r="A1123" s="1">
        <v>45504</v>
      </c>
      <c r="B1123" s="2">
        <v>45504.752951064816</v>
      </c>
      <c r="C1123" t="s">
        <v>8</v>
      </c>
      <c r="D1123" t="s">
        <v>493</v>
      </c>
      <c r="E1123">
        <v>3282</v>
      </c>
      <c r="F1123" t="s">
        <v>32</v>
      </c>
    </row>
    <row r="1124" spans="1:6" x14ac:dyDescent="0.35">
      <c r="A1124" s="1">
        <v>45504</v>
      </c>
      <c r="B1124" s="2">
        <v>45504.807394479169</v>
      </c>
      <c r="C1124" t="s">
        <v>8</v>
      </c>
      <c r="D1124" t="s">
        <v>494</v>
      </c>
      <c r="E1124">
        <v>2302</v>
      </c>
      <c r="F1124" t="s">
        <v>20</v>
      </c>
    </row>
    <row r="1125" spans="1:6" x14ac:dyDescent="0.35">
      <c r="A1125" s="1">
        <v>45504</v>
      </c>
      <c r="B1125" s="2">
        <v>45504.811633576392</v>
      </c>
      <c r="C1125" t="s">
        <v>8</v>
      </c>
      <c r="D1125" t="s">
        <v>25</v>
      </c>
      <c r="E1125">
        <v>3282</v>
      </c>
      <c r="F1125" t="s">
        <v>32</v>
      </c>
    </row>
    <row r="1126" spans="1:6" x14ac:dyDescent="0.35">
      <c r="A1126" s="1">
        <v>45504</v>
      </c>
      <c r="B1126" s="2">
        <v>45504.86576872685</v>
      </c>
      <c r="C1126" t="s">
        <v>8</v>
      </c>
      <c r="D1126" t="s">
        <v>495</v>
      </c>
      <c r="E1126">
        <v>3282</v>
      </c>
      <c r="F1126" t="s">
        <v>10</v>
      </c>
    </row>
    <row r="1127" spans="1:6" x14ac:dyDescent="0.35">
      <c r="A1127" s="1">
        <v>45504</v>
      </c>
      <c r="B1127" s="2">
        <v>45504.868141331019</v>
      </c>
      <c r="C1127" t="s">
        <v>8</v>
      </c>
      <c r="D1127" t="s">
        <v>496</v>
      </c>
      <c r="E1127">
        <v>2302</v>
      </c>
      <c r="F1127" t="s">
        <v>20</v>
      </c>
    </row>
    <row r="1128" spans="1:6" x14ac:dyDescent="0.35">
      <c r="A1128" s="1">
        <v>45504</v>
      </c>
      <c r="B1128" s="2">
        <v>45504.86887017361</v>
      </c>
      <c r="C1128" t="s">
        <v>8</v>
      </c>
      <c r="D1128" t="s">
        <v>496</v>
      </c>
      <c r="E1128">
        <v>3282</v>
      </c>
      <c r="F1128" t="s">
        <v>32</v>
      </c>
    </row>
    <row r="1129" spans="1:6" x14ac:dyDescent="0.35">
      <c r="A1129" s="1">
        <v>45504</v>
      </c>
      <c r="B1129" s="2">
        <v>45504.869615763891</v>
      </c>
      <c r="C1129" t="s">
        <v>8</v>
      </c>
      <c r="D1129" t="s">
        <v>207</v>
      </c>
      <c r="E1129">
        <v>3282</v>
      </c>
      <c r="F1129" t="s">
        <v>24</v>
      </c>
    </row>
    <row r="1130" spans="1:6" x14ac:dyDescent="0.35">
      <c r="A1130" s="1">
        <v>45504</v>
      </c>
      <c r="B1130" s="2">
        <v>45504.870544872683</v>
      </c>
      <c r="C1130" t="s">
        <v>8</v>
      </c>
      <c r="D1130" t="s">
        <v>496</v>
      </c>
      <c r="E1130">
        <v>2302</v>
      </c>
      <c r="F1130" t="s">
        <v>20</v>
      </c>
    </row>
    <row r="1131" spans="1:6" x14ac:dyDescent="0.35">
      <c r="A1131" s="1">
        <v>45504</v>
      </c>
      <c r="B1131" s="2">
        <v>45504.874595057867</v>
      </c>
      <c r="C1131" t="s">
        <v>8</v>
      </c>
      <c r="D1131" t="s">
        <v>16</v>
      </c>
      <c r="E1131">
        <v>2792</v>
      </c>
      <c r="F1131" t="s">
        <v>36</v>
      </c>
    </row>
    <row r="1132" spans="1:6" x14ac:dyDescent="0.35">
      <c r="A1132" s="1">
        <v>45504</v>
      </c>
      <c r="B1132" s="2">
        <v>45504.89335648148</v>
      </c>
      <c r="C1132" t="s">
        <v>8</v>
      </c>
      <c r="D1132" t="s">
        <v>497</v>
      </c>
      <c r="E1132">
        <v>3282</v>
      </c>
      <c r="F1132" t="s">
        <v>32</v>
      </c>
    </row>
    <row r="1133" spans="1:6" x14ac:dyDescent="0.35">
      <c r="A1133" s="1">
        <v>45504</v>
      </c>
      <c r="B1133" s="2">
        <v>45504.912636851848</v>
      </c>
      <c r="C1133" t="s">
        <v>8</v>
      </c>
      <c r="D1133" t="s">
        <v>498</v>
      </c>
      <c r="E1133">
        <v>3282</v>
      </c>
      <c r="F1133" t="s">
        <v>32</v>
      </c>
    </row>
    <row r="1134" spans="1:6" x14ac:dyDescent="0.35">
      <c r="A1134" s="1">
        <v>45504</v>
      </c>
      <c r="B1134" s="2">
        <v>45504.91338622685</v>
      </c>
      <c r="C1134" t="s">
        <v>8</v>
      </c>
      <c r="D1134" t="s">
        <v>499</v>
      </c>
      <c r="E1134">
        <v>3282</v>
      </c>
      <c r="F1134" t="s">
        <v>32</v>
      </c>
    </row>
    <row r="1135" spans="1:6" x14ac:dyDescent="0.35">
      <c r="A1135" s="1">
        <v>45505</v>
      </c>
      <c r="B1135" s="2">
        <v>45505.313195428243</v>
      </c>
      <c r="C1135" t="s">
        <v>8</v>
      </c>
      <c r="D1135" t="s">
        <v>476</v>
      </c>
      <c r="E1135">
        <v>2792</v>
      </c>
      <c r="F1135" t="s">
        <v>36</v>
      </c>
    </row>
    <row r="1136" spans="1:6" x14ac:dyDescent="0.35">
      <c r="A1136" s="1">
        <v>45505</v>
      </c>
      <c r="B1136" s="2">
        <v>45505.392593287041</v>
      </c>
      <c r="C1136" t="s">
        <v>8</v>
      </c>
      <c r="D1136" t="s">
        <v>29</v>
      </c>
      <c r="E1136">
        <v>2792</v>
      </c>
      <c r="F1136" t="s">
        <v>36</v>
      </c>
    </row>
    <row r="1137" spans="1:6" x14ac:dyDescent="0.35">
      <c r="A1137" s="1">
        <v>45505</v>
      </c>
      <c r="B1137" s="2">
        <v>45505.461273923611</v>
      </c>
      <c r="C1137" t="s">
        <v>8</v>
      </c>
      <c r="D1137" t="s">
        <v>11</v>
      </c>
      <c r="E1137">
        <v>2792</v>
      </c>
      <c r="F1137" t="s">
        <v>36</v>
      </c>
    </row>
    <row r="1138" spans="1:6" x14ac:dyDescent="0.35">
      <c r="A1138" s="1">
        <v>45505</v>
      </c>
      <c r="B1138" s="2">
        <v>45505.474147789355</v>
      </c>
      <c r="C1138" t="s">
        <v>8</v>
      </c>
      <c r="D1138" t="s">
        <v>500</v>
      </c>
      <c r="E1138">
        <v>2792</v>
      </c>
      <c r="F1138" t="s">
        <v>36</v>
      </c>
    </row>
    <row r="1139" spans="1:6" x14ac:dyDescent="0.35">
      <c r="A1139" s="1">
        <v>45505</v>
      </c>
      <c r="B1139" s="2">
        <v>45505.557483807868</v>
      </c>
      <c r="C1139" t="s">
        <v>8</v>
      </c>
      <c r="D1139" t="s">
        <v>501</v>
      </c>
      <c r="E1139">
        <v>2302</v>
      </c>
      <c r="F1139" t="s">
        <v>20</v>
      </c>
    </row>
    <row r="1140" spans="1:6" x14ac:dyDescent="0.35">
      <c r="A1140" s="1">
        <v>45505</v>
      </c>
      <c r="B1140" s="2">
        <v>45505.558070763887</v>
      </c>
      <c r="C1140" t="s">
        <v>8</v>
      </c>
      <c r="D1140" t="s">
        <v>501</v>
      </c>
      <c r="E1140">
        <v>3282</v>
      </c>
      <c r="F1140" t="s">
        <v>24</v>
      </c>
    </row>
    <row r="1141" spans="1:6" x14ac:dyDescent="0.35">
      <c r="A1141" s="1">
        <v>45505</v>
      </c>
      <c r="B1141" s="2">
        <v>45505.575778530096</v>
      </c>
      <c r="C1141" t="s">
        <v>8</v>
      </c>
      <c r="D1141" t="s">
        <v>502</v>
      </c>
      <c r="E1141">
        <v>3282</v>
      </c>
      <c r="F1141" t="s">
        <v>24</v>
      </c>
    </row>
    <row r="1142" spans="1:6" x14ac:dyDescent="0.35">
      <c r="A1142" s="1">
        <v>45505</v>
      </c>
      <c r="B1142" s="2">
        <v>45505.655368287036</v>
      </c>
      <c r="C1142" t="s">
        <v>8</v>
      </c>
      <c r="D1142" t="s">
        <v>476</v>
      </c>
      <c r="E1142">
        <v>2792</v>
      </c>
      <c r="F1142" t="s">
        <v>36</v>
      </c>
    </row>
    <row r="1143" spans="1:6" x14ac:dyDescent="0.35">
      <c r="A1143" s="1">
        <v>45505</v>
      </c>
      <c r="B1143" s="2">
        <v>45505.683341006945</v>
      </c>
      <c r="C1143" t="s">
        <v>8</v>
      </c>
      <c r="D1143" t="s">
        <v>503</v>
      </c>
      <c r="E1143">
        <v>2792</v>
      </c>
      <c r="F1143" t="s">
        <v>36</v>
      </c>
    </row>
    <row r="1144" spans="1:6" x14ac:dyDescent="0.35">
      <c r="A1144" s="1">
        <v>45505</v>
      </c>
      <c r="B1144" s="2">
        <v>45505.684807071761</v>
      </c>
      <c r="C1144" t="s">
        <v>8</v>
      </c>
      <c r="D1144" t="s">
        <v>503</v>
      </c>
      <c r="E1144">
        <v>2302</v>
      </c>
      <c r="F1144" t="s">
        <v>28</v>
      </c>
    </row>
    <row r="1145" spans="1:6" x14ac:dyDescent="0.35">
      <c r="A1145" s="1">
        <v>45505</v>
      </c>
      <c r="B1145" s="2">
        <v>45505.724713402778</v>
      </c>
      <c r="C1145" t="s">
        <v>8</v>
      </c>
      <c r="D1145" t="s">
        <v>504</v>
      </c>
      <c r="E1145">
        <v>2302</v>
      </c>
      <c r="F1145" t="s">
        <v>28</v>
      </c>
    </row>
    <row r="1146" spans="1:6" x14ac:dyDescent="0.35">
      <c r="A1146" s="1">
        <v>45505</v>
      </c>
      <c r="B1146" s="2">
        <v>45505.862130995367</v>
      </c>
      <c r="C1146" t="s">
        <v>8</v>
      </c>
      <c r="D1146" t="s">
        <v>505</v>
      </c>
      <c r="E1146">
        <v>3282</v>
      </c>
      <c r="F1146" t="s">
        <v>24</v>
      </c>
    </row>
    <row r="1147" spans="1:6" x14ac:dyDescent="0.35">
      <c r="A1147" s="1">
        <v>45506</v>
      </c>
      <c r="B1147" s="2">
        <v>45506.376321354168</v>
      </c>
      <c r="C1147" t="s">
        <v>8</v>
      </c>
      <c r="D1147" t="s">
        <v>506</v>
      </c>
      <c r="E1147">
        <v>2792</v>
      </c>
      <c r="F1147" t="s">
        <v>36</v>
      </c>
    </row>
    <row r="1148" spans="1:6" x14ac:dyDescent="0.35">
      <c r="A1148" s="1">
        <v>45506</v>
      </c>
      <c r="B1148" s="2">
        <v>45506.399339108793</v>
      </c>
      <c r="C1148" t="s">
        <v>8</v>
      </c>
      <c r="D1148" t="s">
        <v>11</v>
      </c>
      <c r="E1148">
        <v>2792</v>
      </c>
      <c r="F1148" t="s">
        <v>36</v>
      </c>
    </row>
    <row r="1149" spans="1:6" x14ac:dyDescent="0.35">
      <c r="A1149" s="1">
        <v>45506</v>
      </c>
      <c r="B1149" s="2">
        <v>45506.464808622688</v>
      </c>
      <c r="C1149" t="s">
        <v>8</v>
      </c>
      <c r="D1149" t="s">
        <v>40</v>
      </c>
      <c r="E1149">
        <v>2302</v>
      </c>
      <c r="F1149" t="s">
        <v>20</v>
      </c>
    </row>
    <row r="1150" spans="1:6" x14ac:dyDescent="0.35">
      <c r="A1150" s="1">
        <v>45506</v>
      </c>
      <c r="B1150" s="2">
        <v>45506.755963912037</v>
      </c>
      <c r="C1150" t="s">
        <v>8</v>
      </c>
      <c r="D1150" t="s">
        <v>507</v>
      </c>
      <c r="E1150">
        <v>2792</v>
      </c>
      <c r="F1150" t="s">
        <v>36</v>
      </c>
    </row>
    <row r="1151" spans="1:6" x14ac:dyDescent="0.35">
      <c r="A1151" s="1">
        <v>45506</v>
      </c>
      <c r="B1151" s="2">
        <v>45506.891022673612</v>
      </c>
      <c r="C1151" t="s">
        <v>8</v>
      </c>
      <c r="D1151" t="s">
        <v>25</v>
      </c>
      <c r="E1151">
        <v>3282</v>
      </c>
      <c r="F1151" t="s">
        <v>32</v>
      </c>
    </row>
    <row r="1152" spans="1:6" x14ac:dyDescent="0.35">
      <c r="A1152" s="1">
        <v>45507</v>
      </c>
      <c r="B1152" s="2">
        <v>45507.370678831016</v>
      </c>
      <c r="C1152" t="s">
        <v>8</v>
      </c>
      <c r="D1152" t="s">
        <v>11</v>
      </c>
      <c r="E1152">
        <v>2792</v>
      </c>
      <c r="F1152" t="s">
        <v>36</v>
      </c>
    </row>
    <row r="1153" spans="1:6" x14ac:dyDescent="0.35">
      <c r="A1153" s="1">
        <v>45507</v>
      </c>
      <c r="B1153" s="2">
        <v>45507.400916817132</v>
      </c>
      <c r="C1153" t="s">
        <v>8</v>
      </c>
      <c r="D1153" t="s">
        <v>454</v>
      </c>
      <c r="E1153">
        <v>2792</v>
      </c>
      <c r="F1153" t="s">
        <v>36</v>
      </c>
    </row>
    <row r="1154" spans="1:6" x14ac:dyDescent="0.35">
      <c r="A1154" s="1">
        <v>45507</v>
      </c>
      <c r="B1154" s="2">
        <v>45507.401863541665</v>
      </c>
      <c r="C1154" t="s">
        <v>8</v>
      </c>
      <c r="D1154" t="s">
        <v>454</v>
      </c>
      <c r="E1154">
        <v>2792</v>
      </c>
      <c r="F1154" t="s">
        <v>36</v>
      </c>
    </row>
    <row r="1155" spans="1:6" x14ac:dyDescent="0.35">
      <c r="A1155" s="1">
        <v>45507</v>
      </c>
      <c r="B1155" s="2">
        <v>45507.425296875001</v>
      </c>
      <c r="C1155" t="s">
        <v>8</v>
      </c>
      <c r="D1155" t="s">
        <v>357</v>
      </c>
      <c r="E1155">
        <v>2792</v>
      </c>
      <c r="F1155" t="s">
        <v>36</v>
      </c>
    </row>
    <row r="1156" spans="1:6" x14ac:dyDescent="0.35">
      <c r="A1156" s="1">
        <v>45507</v>
      </c>
      <c r="B1156" s="2">
        <v>45507.472529756946</v>
      </c>
      <c r="C1156" t="s">
        <v>8</v>
      </c>
      <c r="D1156" t="s">
        <v>508</v>
      </c>
      <c r="E1156">
        <v>2302</v>
      </c>
      <c r="F1156" t="s">
        <v>20</v>
      </c>
    </row>
    <row r="1157" spans="1:6" x14ac:dyDescent="0.35">
      <c r="A1157" s="1">
        <v>45507</v>
      </c>
      <c r="B1157" s="2">
        <v>45507.473171296297</v>
      </c>
      <c r="C1157" t="s">
        <v>8</v>
      </c>
      <c r="D1157" t="s">
        <v>508</v>
      </c>
      <c r="E1157">
        <v>2302</v>
      </c>
      <c r="F1157" t="s">
        <v>20</v>
      </c>
    </row>
    <row r="1158" spans="1:6" x14ac:dyDescent="0.35">
      <c r="A1158" s="1">
        <v>45507</v>
      </c>
      <c r="B1158" s="2">
        <v>45507.497646157404</v>
      </c>
      <c r="C1158" t="s">
        <v>8</v>
      </c>
      <c r="D1158" t="s">
        <v>16</v>
      </c>
      <c r="E1158">
        <v>1812</v>
      </c>
      <c r="F1158" t="s">
        <v>5</v>
      </c>
    </row>
    <row r="1159" spans="1:6" x14ac:dyDescent="0.35">
      <c r="A1159" s="1">
        <v>45507</v>
      </c>
      <c r="B1159" s="2">
        <v>45507.498278622683</v>
      </c>
      <c r="C1159" t="s">
        <v>8</v>
      </c>
      <c r="D1159" t="s">
        <v>16</v>
      </c>
      <c r="E1159">
        <v>2792</v>
      </c>
      <c r="F1159" t="s">
        <v>36</v>
      </c>
    </row>
    <row r="1160" spans="1:6" x14ac:dyDescent="0.35">
      <c r="A1160" s="1">
        <v>45507</v>
      </c>
      <c r="B1160" s="2">
        <v>45507.50249741898</v>
      </c>
      <c r="C1160" t="s">
        <v>8</v>
      </c>
      <c r="D1160" t="s">
        <v>16</v>
      </c>
      <c r="E1160">
        <v>2792</v>
      </c>
      <c r="F1160" t="s">
        <v>36</v>
      </c>
    </row>
    <row r="1161" spans="1:6" x14ac:dyDescent="0.35">
      <c r="A1161" s="1">
        <v>45507</v>
      </c>
      <c r="B1161" s="2">
        <v>45507.704165821757</v>
      </c>
      <c r="C1161" t="s">
        <v>8</v>
      </c>
      <c r="D1161" t="s">
        <v>375</v>
      </c>
      <c r="E1161">
        <v>2792</v>
      </c>
      <c r="F1161" t="s">
        <v>36</v>
      </c>
    </row>
    <row r="1162" spans="1:6" x14ac:dyDescent="0.35">
      <c r="A1162" s="1">
        <v>45507</v>
      </c>
      <c r="B1162" s="2">
        <v>45507.77687530093</v>
      </c>
      <c r="C1162" t="s">
        <v>8</v>
      </c>
      <c r="D1162" t="s">
        <v>509</v>
      </c>
      <c r="E1162">
        <v>3282</v>
      </c>
      <c r="F1162" t="s">
        <v>24</v>
      </c>
    </row>
    <row r="1163" spans="1:6" x14ac:dyDescent="0.35">
      <c r="A1163" s="1">
        <v>45507</v>
      </c>
      <c r="B1163" s="2">
        <v>45507.896399976853</v>
      </c>
      <c r="C1163" t="s">
        <v>8</v>
      </c>
      <c r="D1163" t="s">
        <v>510</v>
      </c>
      <c r="E1163">
        <v>3282</v>
      </c>
      <c r="F1163" t="s">
        <v>32</v>
      </c>
    </row>
    <row r="1164" spans="1:6" x14ac:dyDescent="0.35">
      <c r="A1164" s="1">
        <v>45507</v>
      </c>
      <c r="B1164" s="2">
        <v>45507.897989178244</v>
      </c>
      <c r="C1164" t="s">
        <v>8</v>
      </c>
      <c r="D1164" t="s">
        <v>510</v>
      </c>
      <c r="E1164">
        <v>3282</v>
      </c>
      <c r="F1164" t="s">
        <v>32</v>
      </c>
    </row>
    <row r="1165" spans="1:6" x14ac:dyDescent="0.35">
      <c r="A1165" s="1">
        <v>45508</v>
      </c>
      <c r="B1165" s="2">
        <v>45508.346265208333</v>
      </c>
      <c r="C1165" t="s">
        <v>8</v>
      </c>
      <c r="D1165" t="s">
        <v>511</v>
      </c>
      <c r="E1165">
        <v>3282</v>
      </c>
      <c r="F1165" t="s">
        <v>24</v>
      </c>
    </row>
    <row r="1166" spans="1:6" x14ac:dyDescent="0.35">
      <c r="A1166" s="1">
        <v>45508</v>
      </c>
      <c r="B1166" s="2">
        <v>45508.442952581019</v>
      </c>
      <c r="C1166" t="s">
        <v>8</v>
      </c>
      <c r="D1166" t="s">
        <v>16</v>
      </c>
      <c r="E1166">
        <v>2792</v>
      </c>
      <c r="F1166" t="s">
        <v>36</v>
      </c>
    </row>
    <row r="1167" spans="1:6" x14ac:dyDescent="0.35">
      <c r="A1167" s="1">
        <v>45508</v>
      </c>
      <c r="B1167" s="2">
        <v>45508.493687534719</v>
      </c>
      <c r="C1167" t="s">
        <v>8</v>
      </c>
      <c r="D1167" t="s">
        <v>312</v>
      </c>
      <c r="E1167">
        <v>3282</v>
      </c>
      <c r="F1167" t="s">
        <v>24</v>
      </c>
    </row>
    <row r="1168" spans="1:6" x14ac:dyDescent="0.35">
      <c r="A1168" s="1">
        <v>45508</v>
      </c>
      <c r="B1168" s="2">
        <v>45508.494826585651</v>
      </c>
      <c r="C1168" t="s">
        <v>8</v>
      </c>
      <c r="D1168" t="s">
        <v>312</v>
      </c>
      <c r="E1168">
        <v>2792</v>
      </c>
      <c r="F1168" t="s">
        <v>36</v>
      </c>
    </row>
    <row r="1169" spans="1:6" x14ac:dyDescent="0.35">
      <c r="A1169" s="1">
        <v>45508</v>
      </c>
      <c r="B1169" s="2">
        <v>45508.648520104165</v>
      </c>
      <c r="C1169" t="s">
        <v>8</v>
      </c>
      <c r="D1169" t="s">
        <v>322</v>
      </c>
      <c r="E1169">
        <v>3282</v>
      </c>
      <c r="F1169" t="s">
        <v>24</v>
      </c>
    </row>
    <row r="1170" spans="1:6" x14ac:dyDescent="0.35">
      <c r="A1170" s="1">
        <v>45508</v>
      </c>
      <c r="B1170" s="2">
        <v>45508.649373912034</v>
      </c>
      <c r="C1170" t="s">
        <v>8</v>
      </c>
      <c r="D1170" t="s">
        <v>322</v>
      </c>
      <c r="E1170">
        <v>3282</v>
      </c>
      <c r="F1170" t="s">
        <v>24</v>
      </c>
    </row>
    <row r="1171" spans="1:6" x14ac:dyDescent="0.35">
      <c r="A1171" s="1">
        <v>45509</v>
      </c>
      <c r="B1171" s="2">
        <v>45509.368122141204</v>
      </c>
      <c r="C1171" t="s">
        <v>8</v>
      </c>
      <c r="D1171" t="s">
        <v>512</v>
      </c>
      <c r="E1171">
        <v>2302</v>
      </c>
      <c r="F1171" t="s">
        <v>20</v>
      </c>
    </row>
    <row r="1172" spans="1:6" x14ac:dyDescent="0.35">
      <c r="A1172" s="1">
        <v>45509</v>
      </c>
      <c r="B1172" s="2">
        <v>45509.388416388887</v>
      </c>
      <c r="C1172" t="s">
        <v>8</v>
      </c>
      <c r="D1172" t="s">
        <v>11</v>
      </c>
      <c r="E1172">
        <v>2792</v>
      </c>
      <c r="F1172" t="s">
        <v>36</v>
      </c>
    </row>
    <row r="1173" spans="1:6" x14ac:dyDescent="0.35">
      <c r="A1173" s="1">
        <v>45509</v>
      </c>
      <c r="B1173" s="2">
        <v>45509.472771342589</v>
      </c>
      <c r="C1173" t="s">
        <v>8</v>
      </c>
      <c r="D1173" t="s">
        <v>428</v>
      </c>
      <c r="E1173">
        <v>2302</v>
      </c>
      <c r="F1173" t="s">
        <v>20</v>
      </c>
    </row>
    <row r="1174" spans="1:6" x14ac:dyDescent="0.35">
      <c r="A1174" s="1">
        <v>45509</v>
      </c>
      <c r="B1174" s="2">
        <v>45509.573176550926</v>
      </c>
      <c r="C1174" t="s">
        <v>8</v>
      </c>
      <c r="D1174" t="s">
        <v>513</v>
      </c>
      <c r="E1174">
        <v>3282</v>
      </c>
      <c r="F1174" t="s">
        <v>24</v>
      </c>
    </row>
    <row r="1175" spans="1:6" x14ac:dyDescent="0.35">
      <c r="A1175" s="1">
        <v>45509</v>
      </c>
      <c r="B1175" s="2">
        <v>45509.670807152776</v>
      </c>
      <c r="C1175" t="s">
        <v>8</v>
      </c>
      <c r="D1175" t="s">
        <v>514</v>
      </c>
      <c r="E1175">
        <v>3282</v>
      </c>
      <c r="F1175" t="s">
        <v>32</v>
      </c>
    </row>
    <row r="1176" spans="1:6" x14ac:dyDescent="0.35">
      <c r="A1176" s="1">
        <v>45509</v>
      </c>
      <c r="B1176" s="2">
        <v>45509.671745798609</v>
      </c>
      <c r="C1176" t="s">
        <v>8</v>
      </c>
      <c r="D1176" t="s">
        <v>514</v>
      </c>
      <c r="E1176">
        <v>3282</v>
      </c>
      <c r="F1176" t="s">
        <v>32</v>
      </c>
    </row>
    <row r="1177" spans="1:6" x14ac:dyDescent="0.35">
      <c r="A1177" s="1">
        <v>45509</v>
      </c>
      <c r="B1177" s="2">
        <v>45509.73917252315</v>
      </c>
      <c r="C1177" t="s">
        <v>8</v>
      </c>
      <c r="D1177" t="s">
        <v>515</v>
      </c>
      <c r="E1177">
        <v>3282</v>
      </c>
      <c r="F1177" t="s">
        <v>32</v>
      </c>
    </row>
    <row r="1178" spans="1:6" x14ac:dyDescent="0.35">
      <c r="A1178" s="1">
        <v>45509</v>
      </c>
      <c r="B1178" s="2">
        <v>45509.73995505787</v>
      </c>
      <c r="C1178" t="s">
        <v>8</v>
      </c>
      <c r="D1178" t="s">
        <v>515</v>
      </c>
      <c r="E1178">
        <v>2792</v>
      </c>
      <c r="F1178" t="s">
        <v>36</v>
      </c>
    </row>
    <row r="1179" spans="1:6" x14ac:dyDescent="0.35">
      <c r="A1179" s="1">
        <v>45509</v>
      </c>
      <c r="B1179" s="2">
        <v>45509.805586539354</v>
      </c>
      <c r="C1179" t="s">
        <v>8</v>
      </c>
      <c r="D1179" t="s">
        <v>76</v>
      </c>
      <c r="E1179">
        <v>3282</v>
      </c>
      <c r="F1179" t="s">
        <v>32</v>
      </c>
    </row>
    <row r="1180" spans="1:6" x14ac:dyDescent="0.35">
      <c r="A1180" s="1">
        <v>45509</v>
      </c>
      <c r="B1180" s="2">
        <v>45509.815873657404</v>
      </c>
      <c r="C1180" t="s">
        <v>8</v>
      </c>
      <c r="D1180" t="s">
        <v>25</v>
      </c>
      <c r="E1180">
        <v>3282</v>
      </c>
      <c r="F1180" t="s">
        <v>32</v>
      </c>
    </row>
    <row r="1181" spans="1:6" x14ac:dyDescent="0.35">
      <c r="A1181" s="1">
        <v>45509</v>
      </c>
      <c r="B1181" s="2">
        <v>45509.867719270835</v>
      </c>
      <c r="C1181" t="s">
        <v>8</v>
      </c>
      <c r="D1181" t="s">
        <v>516</v>
      </c>
      <c r="E1181">
        <v>3282</v>
      </c>
      <c r="F1181" t="s">
        <v>10</v>
      </c>
    </row>
    <row r="1182" spans="1:6" x14ac:dyDescent="0.35">
      <c r="A1182" s="1">
        <v>45509</v>
      </c>
      <c r="B1182" s="2">
        <v>45509.868309247686</v>
      </c>
      <c r="C1182" t="s">
        <v>8</v>
      </c>
      <c r="D1182" t="s">
        <v>516</v>
      </c>
      <c r="E1182">
        <v>3282</v>
      </c>
      <c r="F1182" t="s">
        <v>10</v>
      </c>
    </row>
    <row r="1183" spans="1:6" x14ac:dyDescent="0.35">
      <c r="A1183" s="1">
        <v>45509</v>
      </c>
      <c r="B1183" s="2">
        <v>45509.947085567132</v>
      </c>
      <c r="C1183" t="s">
        <v>8</v>
      </c>
      <c r="D1183" t="s">
        <v>517</v>
      </c>
      <c r="E1183">
        <v>2792</v>
      </c>
      <c r="F1183" t="s">
        <v>36</v>
      </c>
    </row>
    <row r="1184" spans="1:6" x14ac:dyDescent="0.35">
      <c r="A1184" s="1">
        <v>45510</v>
      </c>
      <c r="B1184" s="2">
        <v>45510.431288425927</v>
      </c>
      <c r="C1184" t="s">
        <v>8</v>
      </c>
      <c r="D1184" t="s">
        <v>428</v>
      </c>
      <c r="E1184">
        <v>2302</v>
      </c>
      <c r="F1184" t="s">
        <v>20</v>
      </c>
    </row>
    <row r="1185" spans="1:6" x14ac:dyDescent="0.35">
      <c r="A1185" s="1">
        <v>45510</v>
      </c>
      <c r="B1185" s="2">
        <v>45510.439263136577</v>
      </c>
      <c r="C1185" t="s">
        <v>8</v>
      </c>
      <c r="D1185" t="s">
        <v>518</v>
      </c>
      <c r="E1185">
        <v>3282</v>
      </c>
      <c r="F1185" t="s">
        <v>15</v>
      </c>
    </row>
    <row r="1186" spans="1:6" x14ac:dyDescent="0.35">
      <c r="A1186" s="1">
        <v>45510</v>
      </c>
      <c r="B1186" s="2">
        <v>45510.736680567126</v>
      </c>
      <c r="C1186" t="s">
        <v>8</v>
      </c>
      <c r="D1186" t="s">
        <v>519</v>
      </c>
      <c r="E1186">
        <v>3282</v>
      </c>
      <c r="F1186" t="s">
        <v>24</v>
      </c>
    </row>
    <row r="1187" spans="1:6" x14ac:dyDescent="0.35">
      <c r="A1187" s="1">
        <v>45510</v>
      </c>
      <c r="B1187" s="2">
        <v>45510.738109953701</v>
      </c>
      <c r="C1187" t="s">
        <v>8</v>
      </c>
      <c r="D1187" t="s">
        <v>519</v>
      </c>
      <c r="E1187">
        <v>3282</v>
      </c>
      <c r="F1187" t="s">
        <v>32</v>
      </c>
    </row>
    <row r="1188" spans="1:6" x14ac:dyDescent="0.35">
      <c r="A1188" s="1">
        <v>45510</v>
      </c>
      <c r="B1188" s="2">
        <v>45510.738947534723</v>
      </c>
      <c r="C1188" t="s">
        <v>8</v>
      </c>
      <c r="D1188" t="s">
        <v>519</v>
      </c>
      <c r="E1188">
        <v>3282</v>
      </c>
      <c r="F1188" t="s">
        <v>10</v>
      </c>
    </row>
    <row r="1189" spans="1:6" x14ac:dyDescent="0.35">
      <c r="A1189" s="1">
        <v>45510</v>
      </c>
      <c r="B1189" s="2">
        <v>45510.794497037037</v>
      </c>
      <c r="C1189" t="s">
        <v>8</v>
      </c>
      <c r="D1189" t="s">
        <v>76</v>
      </c>
      <c r="E1189">
        <v>3282</v>
      </c>
      <c r="F1189" t="s">
        <v>32</v>
      </c>
    </row>
    <row r="1190" spans="1:6" x14ac:dyDescent="0.35">
      <c r="A1190" s="1">
        <v>45510</v>
      </c>
      <c r="B1190" s="2">
        <v>45510.795406365738</v>
      </c>
      <c r="C1190" t="s">
        <v>8</v>
      </c>
      <c r="D1190" t="s">
        <v>520</v>
      </c>
      <c r="E1190">
        <v>2792</v>
      </c>
      <c r="F1190" t="s">
        <v>36</v>
      </c>
    </row>
    <row r="1191" spans="1:6" x14ac:dyDescent="0.35">
      <c r="A1191" s="1">
        <v>45510</v>
      </c>
      <c r="B1191" s="2">
        <v>45510.836425150461</v>
      </c>
      <c r="C1191" t="s">
        <v>8</v>
      </c>
      <c r="D1191" t="s">
        <v>521</v>
      </c>
      <c r="E1191">
        <v>3282</v>
      </c>
      <c r="F1191" t="s">
        <v>32</v>
      </c>
    </row>
    <row r="1192" spans="1:6" x14ac:dyDescent="0.35">
      <c r="A1192" s="1">
        <v>45511</v>
      </c>
      <c r="B1192" s="2">
        <v>45511.372088599535</v>
      </c>
      <c r="C1192" t="s">
        <v>8</v>
      </c>
      <c r="D1192" t="s">
        <v>506</v>
      </c>
      <c r="E1192">
        <v>2792</v>
      </c>
      <c r="F1192" t="s">
        <v>36</v>
      </c>
    </row>
    <row r="1193" spans="1:6" x14ac:dyDescent="0.35">
      <c r="A1193" s="1">
        <v>45511</v>
      </c>
      <c r="B1193" s="2">
        <v>45511.508643518522</v>
      </c>
      <c r="C1193" t="s">
        <v>8</v>
      </c>
      <c r="D1193" t="s">
        <v>62</v>
      </c>
      <c r="E1193">
        <v>2302</v>
      </c>
      <c r="F1193" t="s">
        <v>28</v>
      </c>
    </row>
    <row r="1194" spans="1:6" x14ac:dyDescent="0.35">
      <c r="A1194" s="1">
        <v>45511</v>
      </c>
      <c r="B1194" s="2">
        <v>45511.509498425927</v>
      </c>
      <c r="C1194" t="s">
        <v>8</v>
      </c>
      <c r="D1194" t="s">
        <v>62</v>
      </c>
      <c r="E1194">
        <v>2302</v>
      </c>
      <c r="F1194" t="s">
        <v>28</v>
      </c>
    </row>
    <row r="1195" spans="1:6" x14ac:dyDescent="0.35">
      <c r="A1195" s="1">
        <v>45511</v>
      </c>
      <c r="B1195" s="2">
        <v>45511.549492534723</v>
      </c>
      <c r="C1195" t="s">
        <v>8</v>
      </c>
      <c r="D1195" t="s">
        <v>522</v>
      </c>
      <c r="E1195">
        <v>1812</v>
      </c>
      <c r="F1195" t="s">
        <v>5</v>
      </c>
    </row>
    <row r="1196" spans="1:6" x14ac:dyDescent="0.35">
      <c r="A1196" s="1">
        <v>45511</v>
      </c>
      <c r="B1196" s="2">
        <v>45511.679880289354</v>
      </c>
      <c r="C1196" t="s">
        <v>8</v>
      </c>
      <c r="D1196" t="s">
        <v>523</v>
      </c>
      <c r="E1196">
        <v>2302</v>
      </c>
      <c r="F1196" t="s">
        <v>28</v>
      </c>
    </row>
    <row r="1197" spans="1:6" x14ac:dyDescent="0.35">
      <c r="A1197" s="1">
        <v>45511</v>
      </c>
      <c r="B1197" s="2">
        <v>45511.816929849534</v>
      </c>
      <c r="C1197" t="s">
        <v>8</v>
      </c>
      <c r="D1197" t="s">
        <v>25</v>
      </c>
      <c r="E1197">
        <v>3282</v>
      </c>
      <c r="F1197" t="s">
        <v>32</v>
      </c>
    </row>
    <row r="1198" spans="1:6" x14ac:dyDescent="0.35">
      <c r="A1198" s="1">
        <v>45511</v>
      </c>
      <c r="B1198" s="2">
        <v>45511.861218530095</v>
      </c>
      <c r="C1198" t="s">
        <v>8</v>
      </c>
      <c r="D1198" t="s">
        <v>495</v>
      </c>
      <c r="E1198">
        <v>3282</v>
      </c>
      <c r="F1198" t="s">
        <v>10</v>
      </c>
    </row>
    <row r="1199" spans="1:6" x14ac:dyDescent="0.35">
      <c r="A1199" s="1">
        <v>45511</v>
      </c>
      <c r="B1199" s="2">
        <v>45511.887638773151</v>
      </c>
      <c r="C1199" t="s">
        <v>8</v>
      </c>
      <c r="D1199" t="s">
        <v>381</v>
      </c>
      <c r="E1199">
        <v>3282</v>
      </c>
      <c r="F1199" t="s">
        <v>24</v>
      </c>
    </row>
    <row r="1200" spans="1:6" x14ac:dyDescent="0.35">
      <c r="A1200" s="1">
        <v>45511</v>
      </c>
      <c r="B1200" s="2">
        <v>45511.936767199077</v>
      </c>
      <c r="C1200" t="s">
        <v>8</v>
      </c>
      <c r="D1200" t="s">
        <v>524</v>
      </c>
      <c r="E1200">
        <v>3282</v>
      </c>
      <c r="F1200" t="s">
        <v>32</v>
      </c>
    </row>
    <row r="1201" spans="1:6" x14ac:dyDescent="0.35">
      <c r="A1201" s="1">
        <v>45511</v>
      </c>
      <c r="B1201" s="2">
        <v>45511.939073738424</v>
      </c>
      <c r="C1201" t="s">
        <v>8</v>
      </c>
      <c r="D1201" t="s">
        <v>525</v>
      </c>
      <c r="E1201">
        <v>3282</v>
      </c>
      <c r="F1201" t="s">
        <v>32</v>
      </c>
    </row>
    <row r="1202" spans="1:6" x14ac:dyDescent="0.35">
      <c r="A1202" s="1">
        <v>45512</v>
      </c>
      <c r="B1202" s="2">
        <v>45512.365696805558</v>
      </c>
      <c r="C1202" t="s">
        <v>8</v>
      </c>
      <c r="D1202" t="s">
        <v>40</v>
      </c>
      <c r="E1202">
        <v>1812</v>
      </c>
      <c r="F1202" t="s">
        <v>5</v>
      </c>
    </row>
    <row r="1203" spans="1:6" x14ac:dyDescent="0.35">
      <c r="A1203" s="1">
        <v>45512</v>
      </c>
      <c r="B1203" s="2">
        <v>45512.366304236108</v>
      </c>
      <c r="C1203" t="s">
        <v>8</v>
      </c>
      <c r="D1203" t="s">
        <v>40</v>
      </c>
      <c r="E1203">
        <v>2302</v>
      </c>
      <c r="F1203" t="s">
        <v>20</v>
      </c>
    </row>
    <row r="1204" spans="1:6" x14ac:dyDescent="0.35">
      <c r="A1204" s="1">
        <v>45512</v>
      </c>
      <c r="B1204" s="2">
        <v>45512.518812187503</v>
      </c>
      <c r="C1204" t="s">
        <v>8</v>
      </c>
      <c r="D1204" t="s">
        <v>473</v>
      </c>
      <c r="E1204">
        <v>2792</v>
      </c>
      <c r="F1204" t="s">
        <v>36</v>
      </c>
    </row>
    <row r="1205" spans="1:6" x14ac:dyDescent="0.35">
      <c r="A1205" s="1">
        <v>45512</v>
      </c>
      <c r="B1205" s="2">
        <v>45512.530087476851</v>
      </c>
      <c r="C1205" t="s">
        <v>8</v>
      </c>
      <c r="D1205" t="s">
        <v>40</v>
      </c>
      <c r="E1205">
        <v>2302</v>
      </c>
      <c r="F1205" t="s">
        <v>20</v>
      </c>
    </row>
    <row r="1206" spans="1:6" x14ac:dyDescent="0.35">
      <c r="A1206" s="1">
        <v>45512</v>
      </c>
      <c r="B1206" s="2">
        <v>45512.530728622682</v>
      </c>
      <c r="C1206" t="s">
        <v>8</v>
      </c>
      <c r="D1206" t="s">
        <v>40</v>
      </c>
      <c r="E1206">
        <v>2302</v>
      </c>
      <c r="F1206" t="s">
        <v>20</v>
      </c>
    </row>
    <row r="1207" spans="1:6" x14ac:dyDescent="0.35">
      <c r="A1207" s="1">
        <v>45512</v>
      </c>
      <c r="B1207" s="2">
        <v>45512.706866504632</v>
      </c>
      <c r="C1207" t="s">
        <v>8</v>
      </c>
      <c r="D1207" t="s">
        <v>526</v>
      </c>
      <c r="E1207">
        <v>3282</v>
      </c>
      <c r="F1207" t="s">
        <v>24</v>
      </c>
    </row>
    <row r="1208" spans="1:6" x14ac:dyDescent="0.35">
      <c r="A1208" s="1">
        <v>45512</v>
      </c>
      <c r="B1208" s="2">
        <v>45512.720737835647</v>
      </c>
      <c r="C1208" t="s">
        <v>8</v>
      </c>
      <c r="D1208" t="s">
        <v>527</v>
      </c>
      <c r="E1208">
        <v>3282</v>
      </c>
      <c r="F1208" t="s">
        <v>24</v>
      </c>
    </row>
    <row r="1209" spans="1:6" x14ac:dyDescent="0.35">
      <c r="A1209" s="1">
        <v>45512</v>
      </c>
      <c r="B1209" s="2">
        <v>45512.893047048608</v>
      </c>
      <c r="C1209" t="s">
        <v>8</v>
      </c>
      <c r="D1209" t="s">
        <v>364</v>
      </c>
      <c r="E1209">
        <v>2792</v>
      </c>
      <c r="F1209" t="s">
        <v>36</v>
      </c>
    </row>
    <row r="1210" spans="1:6" x14ac:dyDescent="0.35">
      <c r="A1210" s="1">
        <v>45513</v>
      </c>
      <c r="B1210" s="2">
        <v>45513.316230787037</v>
      </c>
      <c r="C1210" t="s">
        <v>8</v>
      </c>
      <c r="D1210" t="s">
        <v>528</v>
      </c>
      <c r="E1210">
        <v>3282</v>
      </c>
      <c r="F1210" t="s">
        <v>32</v>
      </c>
    </row>
    <row r="1211" spans="1:6" x14ac:dyDescent="0.35">
      <c r="A1211" s="1">
        <v>45513</v>
      </c>
      <c r="B1211" s="2">
        <v>45513.412205474538</v>
      </c>
      <c r="C1211" t="s">
        <v>8</v>
      </c>
      <c r="D1211" t="s">
        <v>529</v>
      </c>
      <c r="E1211">
        <v>2302</v>
      </c>
      <c r="F1211" t="s">
        <v>28</v>
      </c>
    </row>
    <row r="1212" spans="1:6" x14ac:dyDescent="0.35">
      <c r="A1212" s="1">
        <v>45513</v>
      </c>
      <c r="B1212" s="2">
        <v>45513.425781678241</v>
      </c>
      <c r="C1212" t="s">
        <v>8</v>
      </c>
      <c r="D1212" t="s">
        <v>40</v>
      </c>
      <c r="E1212">
        <v>2302</v>
      </c>
      <c r="F1212" t="s">
        <v>20</v>
      </c>
    </row>
    <row r="1213" spans="1:6" x14ac:dyDescent="0.35">
      <c r="A1213" s="1">
        <v>45513</v>
      </c>
      <c r="B1213" s="2">
        <v>45513.435268217596</v>
      </c>
      <c r="C1213" t="s">
        <v>8</v>
      </c>
      <c r="D1213" t="s">
        <v>364</v>
      </c>
      <c r="E1213">
        <v>2792</v>
      </c>
      <c r="F1213" t="s">
        <v>36</v>
      </c>
    </row>
    <row r="1214" spans="1:6" x14ac:dyDescent="0.35">
      <c r="A1214" s="1">
        <v>45513</v>
      </c>
      <c r="B1214" s="2">
        <v>45513.477878726851</v>
      </c>
      <c r="C1214" t="s">
        <v>8</v>
      </c>
      <c r="D1214" t="s">
        <v>528</v>
      </c>
      <c r="E1214">
        <v>3282</v>
      </c>
      <c r="F1214" t="s">
        <v>32</v>
      </c>
    </row>
    <row r="1215" spans="1:6" x14ac:dyDescent="0.35">
      <c r="A1215" s="1">
        <v>45513</v>
      </c>
      <c r="B1215" s="2">
        <v>45513.479035671298</v>
      </c>
      <c r="C1215" t="s">
        <v>8</v>
      </c>
      <c r="D1215" t="s">
        <v>530</v>
      </c>
      <c r="E1215">
        <v>2302</v>
      </c>
      <c r="F1215" t="s">
        <v>28</v>
      </c>
    </row>
    <row r="1216" spans="1:6" x14ac:dyDescent="0.35">
      <c r="A1216" s="1">
        <v>45513</v>
      </c>
      <c r="B1216" s="2">
        <v>45513.789209629627</v>
      </c>
      <c r="C1216" t="s">
        <v>8</v>
      </c>
      <c r="D1216" t="s">
        <v>531</v>
      </c>
      <c r="E1216">
        <v>2302</v>
      </c>
      <c r="F1216" t="s">
        <v>28</v>
      </c>
    </row>
    <row r="1217" spans="1:6" x14ac:dyDescent="0.35">
      <c r="A1217" s="1">
        <v>45513</v>
      </c>
      <c r="B1217" s="2">
        <v>45513.793826516201</v>
      </c>
      <c r="C1217" t="s">
        <v>8</v>
      </c>
      <c r="D1217" t="s">
        <v>532</v>
      </c>
      <c r="E1217">
        <v>3282</v>
      </c>
      <c r="F1217" t="s">
        <v>15</v>
      </c>
    </row>
    <row r="1218" spans="1:6" x14ac:dyDescent="0.35">
      <c r="A1218" s="1">
        <v>45514</v>
      </c>
      <c r="B1218" s="2">
        <v>45514.358849861113</v>
      </c>
      <c r="C1218" t="s">
        <v>8</v>
      </c>
      <c r="D1218" t="s">
        <v>533</v>
      </c>
      <c r="E1218">
        <v>3282</v>
      </c>
      <c r="F1218" t="s">
        <v>24</v>
      </c>
    </row>
    <row r="1219" spans="1:6" x14ac:dyDescent="0.35">
      <c r="A1219" s="1">
        <v>45514</v>
      </c>
      <c r="B1219" s="2">
        <v>45514.359688298609</v>
      </c>
      <c r="C1219" t="s">
        <v>8</v>
      </c>
      <c r="D1219" t="s">
        <v>533</v>
      </c>
      <c r="E1219">
        <v>2792</v>
      </c>
      <c r="F1219" t="s">
        <v>36</v>
      </c>
    </row>
    <row r="1220" spans="1:6" x14ac:dyDescent="0.35">
      <c r="A1220" s="1">
        <v>45514</v>
      </c>
      <c r="B1220" s="2">
        <v>45514.364687719906</v>
      </c>
      <c r="C1220" t="s">
        <v>8</v>
      </c>
      <c r="D1220" t="s">
        <v>40</v>
      </c>
      <c r="E1220">
        <v>2302</v>
      </c>
      <c r="F1220" t="s">
        <v>20</v>
      </c>
    </row>
    <row r="1221" spans="1:6" x14ac:dyDescent="0.35">
      <c r="A1221" s="1">
        <v>45514</v>
      </c>
      <c r="B1221" s="2">
        <v>45514.494836064812</v>
      </c>
      <c r="C1221" t="s">
        <v>8</v>
      </c>
      <c r="D1221" t="s">
        <v>43</v>
      </c>
      <c r="E1221">
        <v>2302</v>
      </c>
      <c r="F1221" t="s">
        <v>20</v>
      </c>
    </row>
    <row r="1222" spans="1:6" x14ac:dyDescent="0.35">
      <c r="A1222" s="1">
        <v>45514</v>
      </c>
      <c r="B1222" s="2">
        <v>45514.49610571759</v>
      </c>
      <c r="C1222" t="s">
        <v>8</v>
      </c>
      <c r="D1222" t="s">
        <v>43</v>
      </c>
      <c r="E1222">
        <v>2302</v>
      </c>
      <c r="F1222" t="s">
        <v>28</v>
      </c>
    </row>
    <row r="1223" spans="1:6" x14ac:dyDescent="0.35">
      <c r="A1223" s="1">
        <v>45514</v>
      </c>
      <c r="B1223" s="2">
        <v>45514.510543136574</v>
      </c>
      <c r="C1223" t="s">
        <v>8</v>
      </c>
      <c r="D1223" t="s">
        <v>534</v>
      </c>
      <c r="E1223">
        <v>3282</v>
      </c>
      <c r="F1223" t="s">
        <v>32</v>
      </c>
    </row>
    <row r="1224" spans="1:6" x14ac:dyDescent="0.35">
      <c r="A1224" s="1">
        <v>45514</v>
      </c>
      <c r="B1224" s="2">
        <v>45514.523060810185</v>
      </c>
      <c r="C1224" t="s">
        <v>8</v>
      </c>
      <c r="D1224" t="s">
        <v>516</v>
      </c>
      <c r="E1224">
        <v>2792</v>
      </c>
      <c r="F1224" t="s">
        <v>36</v>
      </c>
    </row>
    <row r="1225" spans="1:6" x14ac:dyDescent="0.35">
      <c r="A1225" s="1">
        <v>45514</v>
      </c>
      <c r="B1225" s="2">
        <v>45514.670973206019</v>
      </c>
      <c r="C1225" t="s">
        <v>8</v>
      </c>
      <c r="D1225" t="s">
        <v>25</v>
      </c>
      <c r="E1225">
        <v>3282</v>
      </c>
      <c r="F1225" t="s">
        <v>32</v>
      </c>
    </row>
    <row r="1226" spans="1:6" x14ac:dyDescent="0.35">
      <c r="A1226" s="1">
        <v>45514</v>
      </c>
      <c r="B1226" s="2">
        <v>45514.886673171299</v>
      </c>
      <c r="C1226" t="s">
        <v>8</v>
      </c>
      <c r="D1226" t="s">
        <v>535</v>
      </c>
      <c r="E1226">
        <v>3282</v>
      </c>
      <c r="F1226" t="s">
        <v>10</v>
      </c>
    </row>
    <row r="1227" spans="1:6" x14ac:dyDescent="0.35">
      <c r="A1227" s="1">
        <v>45514</v>
      </c>
      <c r="B1227" s="2">
        <v>45514.887281099538</v>
      </c>
      <c r="C1227" t="s">
        <v>8</v>
      </c>
      <c r="D1227" t="s">
        <v>535</v>
      </c>
      <c r="E1227">
        <v>3282</v>
      </c>
      <c r="F1227" t="s">
        <v>10</v>
      </c>
    </row>
    <row r="1228" spans="1:6" x14ac:dyDescent="0.35">
      <c r="A1228" s="1">
        <v>45514</v>
      </c>
      <c r="B1228" s="2">
        <v>45514.901174965278</v>
      </c>
      <c r="C1228" t="s">
        <v>8</v>
      </c>
      <c r="D1228" t="s">
        <v>495</v>
      </c>
      <c r="E1228">
        <v>3282</v>
      </c>
      <c r="F1228" t="s">
        <v>10</v>
      </c>
    </row>
    <row r="1229" spans="1:6" x14ac:dyDescent="0.35">
      <c r="A1229" s="1">
        <v>45515</v>
      </c>
      <c r="B1229" s="2">
        <v>45515.411534606479</v>
      </c>
      <c r="C1229" t="s">
        <v>8</v>
      </c>
      <c r="D1229" t="s">
        <v>493</v>
      </c>
      <c r="E1229">
        <v>3282</v>
      </c>
      <c r="F1229" t="s">
        <v>32</v>
      </c>
    </row>
    <row r="1230" spans="1:6" x14ac:dyDescent="0.35">
      <c r="A1230" s="1">
        <v>45515</v>
      </c>
      <c r="B1230" s="2">
        <v>45515.412309768515</v>
      </c>
      <c r="C1230" t="s">
        <v>8</v>
      </c>
      <c r="D1230" t="s">
        <v>493</v>
      </c>
      <c r="E1230">
        <v>3282</v>
      </c>
      <c r="F1230" t="s">
        <v>32</v>
      </c>
    </row>
    <row r="1231" spans="1:6" x14ac:dyDescent="0.35">
      <c r="A1231" s="1">
        <v>45515</v>
      </c>
      <c r="B1231" s="2">
        <v>45515.428745787038</v>
      </c>
      <c r="C1231" t="s">
        <v>8</v>
      </c>
      <c r="D1231" t="s">
        <v>400</v>
      </c>
      <c r="E1231">
        <v>2792</v>
      </c>
      <c r="F1231" t="s">
        <v>36</v>
      </c>
    </row>
    <row r="1232" spans="1:6" x14ac:dyDescent="0.35">
      <c r="A1232" s="1">
        <v>45515</v>
      </c>
      <c r="B1232" s="2">
        <v>45515.497698425927</v>
      </c>
      <c r="C1232" t="s">
        <v>8</v>
      </c>
      <c r="D1232" t="s">
        <v>533</v>
      </c>
      <c r="E1232">
        <v>3282</v>
      </c>
      <c r="F1232" t="s">
        <v>24</v>
      </c>
    </row>
    <row r="1233" spans="1:6" x14ac:dyDescent="0.35">
      <c r="A1233" s="1">
        <v>45515</v>
      </c>
      <c r="B1233" s="2">
        <v>45515.498394317132</v>
      </c>
      <c r="C1233" t="s">
        <v>8</v>
      </c>
      <c r="D1233" t="s">
        <v>533</v>
      </c>
      <c r="E1233">
        <v>2792</v>
      </c>
      <c r="F1233" t="s">
        <v>36</v>
      </c>
    </row>
    <row r="1234" spans="1:6" x14ac:dyDescent="0.35">
      <c r="A1234" s="1">
        <v>45515</v>
      </c>
      <c r="B1234" s="2">
        <v>45515.514115393518</v>
      </c>
      <c r="C1234" t="s">
        <v>8</v>
      </c>
      <c r="D1234" t="s">
        <v>40</v>
      </c>
      <c r="E1234">
        <v>2302</v>
      </c>
      <c r="F1234" t="s">
        <v>20</v>
      </c>
    </row>
    <row r="1235" spans="1:6" x14ac:dyDescent="0.35">
      <c r="A1235" s="1">
        <v>45515</v>
      </c>
      <c r="B1235" s="2">
        <v>45515.662402222224</v>
      </c>
      <c r="C1235" t="s">
        <v>8</v>
      </c>
      <c r="D1235" t="s">
        <v>536</v>
      </c>
      <c r="E1235">
        <v>3282</v>
      </c>
      <c r="F1235" t="s">
        <v>32</v>
      </c>
    </row>
    <row r="1236" spans="1:6" x14ac:dyDescent="0.35">
      <c r="A1236" s="1">
        <v>45515</v>
      </c>
      <c r="B1236" s="2">
        <v>45515.663366354165</v>
      </c>
      <c r="C1236" t="s">
        <v>8</v>
      </c>
      <c r="D1236" t="s">
        <v>537</v>
      </c>
      <c r="E1236">
        <v>2792</v>
      </c>
      <c r="F1236" t="s">
        <v>36</v>
      </c>
    </row>
    <row r="1237" spans="1:6" x14ac:dyDescent="0.35">
      <c r="A1237" s="1">
        <v>45515</v>
      </c>
      <c r="B1237" s="2">
        <v>45515.664209456016</v>
      </c>
      <c r="C1237" t="s">
        <v>8</v>
      </c>
      <c r="D1237" t="s">
        <v>537</v>
      </c>
      <c r="E1237">
        <v>3282</v>
      </c>
      <c r="F1237" t="s">
        <v>10</v>
      </c>
    </row>
    <row r="1238" spans="1:6" x14ac:dyDescent="0.35">
      <c r="A1238" s="1">
        <v>45515</v>
      </c>
      <c r="B1238" s="2">
        <v>45515.685823217595</v>
      </c>
      <c r="C1238" t="s">
        <v>8</v>
      </c>
      <c r="D1238" t="s">
        <v>467</v>
      </c>
      <c r="E1238">
        <v>3282</v>
      </c>
      <c r="F1238" t="s">
        <v>24</v>
      </c>
    </row>
    <row r="1239" spans="1:6" x14ac:dyDescent="0.35">
      <c r="A1239" s="1">
        <v>45515</v>
      </c>
      <c r="B1239" s="2">
        <v>45515.686554351851</v>
      </c>
      <c r="C1239" t="s">
        <v>8</v>
      </c>
      <c r="D1239" t="s">
        <v>538</v>
      </c>
      <c r="E1239">
        <v>1812</v>
      </c>
      <c r="F1239" t="s">
        <v>5</v>
      </c>
    </row>
    <row r="1240" spans="1:6" x14ac:dyDescent="0.35">
      <c r="A1240" s="1">
        <v>45515</v>
      </c>
      <c r="B1240" s="2">
        <v>45515.896210057872</v>
      </c>
      <c r="C1240" t="s">
        <v>8</v>
      </c>
      <c r="D1240" t="s">
        <v>539</v>
      </c>
      <c r="E1240">
        <v>2302</v>
      </c>
      <c r="F1240" t="s">
        <v>20</v>
      </c>
    </row>
    <row r="1241" spans="1:6" x14ac:dyDescent="0.35">
      <c r="A1241" s="1">
        <v>45515</v>
      </c>
      <c r="B1241" s="2">
        <v>45515.903577199075</v>
      </c>
      <c r="C1241" t="s">
        <v>8</v>
      </c>
      <c r="D1241" t="s">
        <v>528</v>
      </c>
      <c r="E1241">
        <v>3282</v>
      </c>
      <c r="F1241" t="s">
        <v>32</v>
      </c>
    </row>
    <row r="1242" spans="1:6" x14ac:dyDescent="0.35">
      <c r="A1242" s="1">
        <v>45515</v>
      </c>
      <c r="B1242" s="2">
        <v>45515.904978101855</v>
      </c>
      <c r="C1242" t="s">
        <v>8</v>
      </c>
      <c r="D1242" t="s">
        <v>540</v>
      </c>
      <c r="E1242">
        <v>3282</v>
      </c>
      <c r="F1242" t="s">
        <v>32</v>
      </c>
    </row>
    <row r="1243" spans="1:6" x14ac:dyDescent="0.35">
      <c r="A1243" s="1">
        <v>45515</v>
      </c>
      <c r="B1243" s="2">
        <v>45515.94409621528</v>
      </c>
      <c r="C1243" t="s">
        <v>8</v>
      </c>
      <c r="D1243" t="s">
        <v>541</v>
      </c>
      <c r="E1243">
        <v>3282</v>
      </c>
      <c r="F1243" t="s">
        <v>24</v>
      </c>
    </row>
    <row r="1244" spans="1:6" x14ac:dyDescent="0.35">
      <c r="A1244" s="1">
        <v>45516</v>
      </c>
      <c r="B1244" s="2">
        <v>45516.351614097221</v>
      </c>
      <c r="C1244" t="s">
        <v>8</v>
      </c>
      <c r="D1244" t="s">
        <v>420</v>
      </c>
      <c r="E1244">
        <v>3282</v>
      </c>
      <c r="F1244" t="s">
        <v>15</v>
      </c>
    </row>
    <row r="1245" spans="1:6" x14ac:dyDescent="0.35">
      <c r="A1245" s="1">
        <v>45516</v>
      </c>
      <c r="B1245" s="2">
        <v>45516.468805219905</v>
      </c>
      <c r="C1245" t="s">
        <v>8</v>
      </c>
      <c r="D1245" t="s">
        <v>542</v>
      </c>
      <c r="E1245">
        <v>2792</v>
      </c>
      <c r="F1245" t="s">
        <v>36</v>
      </c>
    </row>
    <row r="1246" spans="1:6" x14ac:dyDescent="0.35">
      <c r="A1246" s="1">
        <v>45516</v>
      </c>
      <c r="B1246" s="2">
        <v>45516.471869363428</v>
      </c>
      <c r="C1246" t="s">
        <v>8</v>
      </c>
      <c r="D1246" t="s">
        <v>543</v>
      </c>
      <c r="E1246">
        <v>2302</v>
      </c>
      <c r="F1246" t="s">
        <v>28</v>
      </c>
    </row>
    <row r="1247" spans="1:6" x14ac:dyDescent="0.35">
      <c r="A1247" s="1">
        <v>45516</v>
      </c>
      <c r="B1247" s="2">
        <v>45516.472495833332</v>
      </c>
      <c r="C1247" t="s">
        <v>8</v>
      </c>
      <c r="D1247" t="s">
        <v>543</v>
      </c>
      <c r="E1247">
        <v>3282</v>
      </c>
      <c r="F1247" t="s">
        <v>32</v>
      </c>
    </row>
    <row r="1248" spans="1:6" x14ac:dyDescent="0.35">
      <c r="A1248" s="1">
        <v>45516</v>
      </c>
      <c r="B1248" s="2">
        <v>45516.489217407405</v>
      </c>
      <c r="C1248" t="s">
        <v>8</v>
      </c>
      <c r="D1248" t="s">
        <v>544</v>
      </c>
      <c r="E1248">
        <v>3282</v>
      </c>
      <c r="F1248" t="s">
        <v>32</v>
      </c>
    </row>
    <row r="1249" spans="1:6" x14ac:dyDescent="0.35">
      <c r="A1249" s="1">
        <v>45516</v>
      </c>
      <c r="B1249" s="2">
        <v>45516.586150451389</v>
      </c>
      <c r="C1249" t="s">
        <v>8</v>
      </c>
      <c r="D1249" t="s">
        <v>545</v>
      </c>
      <c r="E1249">
        <v>1812</v>
      </c>
      <c r="F1249" t="s">
        <v>5</v>
      </c>
    </row>
    <row r="1250" spans="1:6" x14ac:dyDescent="0.35">
      <c r="A1250" s="1">
        <v>45516</v>
      </c>
      <c r="B1250" s="2">
        <v>45516.586885775461</v>
      </c>
      <c r="C1250" t="s">
        <v>8</v>
      </c>
      <c r="D1250" t="s">
        <v>545</v>
      </c>
      <c r="E1250">
        <v>2792</v>
      </c>
      <c r="F1250" t="s">
        <v>36</v>
      </c>
    </row>
    <row r="1251" spans="1:6" x14ac:dyDescent="0.35">
      <c r="A1251" s="1">
        <v>45516</v>
      </c>
      <c r="B1251" s="2">
        <v>45516.648299884262</v>
      </c>
      <c r="C1251" t="s">
        <v>8</v>
      </c>
      <c r="D1251" t="s">
        <v>546</v>
      </c>
      <c r="E1251">
        <v>2792</v>
      </c>
      <c r="F1251" t="s">
        <v>36</v>
      </c>
    </row>
    <row r="1252" spans="1:6" x14ac:dyDescent="0.35">
      <c r="A1252" s="1">
        <v>45516</v>
      </c>
      <c r="B1252" s="2">
        <v>45516.753528125002</v>
      </c>
      <c r="C1252" t="s">
        <v>8</v>
      </c>
      <c r="D1252" t="s">
        <v>11</v>
      </c>
      <c r="E1252">
        <v>2792</v>
      </c>
      <c r="F1252" t="s">
        <v>36</v>
      </c>
    </row>
    <row r="1253" spans="1:6" x14ac:dyDescent="0.35">
      <c r="A1253" s="1">
        <v>45516</v>
      </c>
      <c r="B1253" s="2">
        <v>45516.892932303243</v>
      </c>
      <c r="C1253" t="s">
        <v>8</v>
      </c>
      <c r="D1253" t="s">
        <v>11</v>
      </c>
      <c r="E1253">
        <v>2792</v>
      </c>
      <c r="F1253" t="s">
        <v>36</v>
      </c>
    </row>
    <row r="1254" spans="1:6" x14ac:dyDescent="0.35">
      <c r="A1254" s="1">
        <v>45516</v>
      </c>
      <c r="B1254" s="2">
        <v>45516.901134733795</v>
      </c>
      <c r="C1254" t="s">
        <v>8</v>
      </c>
      <c r="D1254" t="s">
        <v>547</v>
      </c>
      <c r="E1254">
        <v>3282</v>
      </c>
      <c r="F1254" t="s">
        <v>32</v>
      </c>
    </row>
    <row r="1255" spans="1:6" x14ac:dyDescent="0.35">
      <c r="A1255" s="1">
        <v>45516</v>
      </c>
      <c r="B1255" s="2">
        <v>45516.957176759257</v>
      </c>
      <c r="C1255" t="s">
        <v>8</v>
      </c>
      <c r="D1255" t="s">
        <v>189</v>
      </c>
      <c r="E1255">
        <v>3282</v>
      </c>
      <c r="F1255" t="s">
        <v>24</v>
      </c>
    </row>
    <row r="1256" spans="1:6" x14ac:dyDescent="0.35">
      <c r="A1256" s="1">
        <v>45516</v>
      </c>
      <c r="B1256" s="2">
        <v>45516.957853518521</v>
      </c>
      <c r="C1256" t="s">
        <v>8</v>
      </c>
      <c r="D1256" t="s">
        <v>189</v>
      </c>
      <c r="E1256">
        <v>3282</v>
      </c>
      <c r="F1256" t="s">
        <v>24</v>
      </c>
    </row>
    <row r="1257" spans="1:6" x14ac:dyDescent="0.35">
      <c r="A1257" s="1">
        <v>45517</v>
      </c>
      <c r="B1257" s="2">
        <v>45517.364238275462</v>
      </c>
      <c r="C1257" t="s">
        <v>8</v>
      </c>
      <c r="D1257" t="s">
        <v>548</v>
      </c>
      <c r="E1257">
        <v>2792</v>
      </c>
      <c r="F1257" t="s">
        <v>36</v>
      </c>
    </row>
    <row r="1258" spans="1:6" x14ac:dyDescent="0.35">
      <c r="A1258" s="1">
        <v>45517</v>
      </c>
      <c r="B1258" s="2">
        <v>45517.384972199077</v>
      </c>
      <c r="C1258" t="s">
        <v>8</v>
      </c>
      <c r="D1258" t="s">
        <v>11</v>
      </c>
      <c r="E1258">
        <v>2792</v>
      </c>
      <c r="F1258" t="s">
        <v>36</v>
      </c>
    </row>
    <row r="1259" spans="1:6" x14ac:dyDescent="0.35">
      <c r="A1259" s="1">
        <v>45517</v>
      </c>
      <c r="B1259" s="2">
        <v>45517.406902430557</v>
      </c>
      <c r="C1259" t="s">
        <v>8</v>
      </c>
      <c r="D1259" t="s">
        <v>438</v>
      </c>
      <c r="E1259">
        <v>2792</v>
      </c>
      <c r="F1259" t="s">
        <v>36</v>
      </c>
    </row>
    <row r="1260" spans="1:6" x14ac:dyDescent="0.35">
      <c r="A1260" s="1">
        <v>45517</v>
      </c>
      <c r="B1260" s="2">
        <v>45517.445934872689</v>
      </c>
      <c r="C1260" t="s">
        <v>8</v>
      </c>
      <c r="D1260" t="s">
        <v>40</v>
      </c>
      <c r="E1260">
        <v>2302</v>
      </c>
      <c r="F1260" t="s">
        <v>20</v>
      </c>
    </row>
    <row r="1261" spans="1:6" x14ac:dyDescent="0.35">
      <c r="A1261" s="1">
        <v>45517</v>
      </c>
      <c r="B1261" s="2">
        <v>45517.499856620372</v>
      </c>
      <c r="C1261" t="s">
        <v>8</v>
      </c>
      <c r="D1261" t="s">
        <v>549</v>
      </c>
      <c r="E1261">
        <v>3282</v>
      </c>
      <c r="F1261" t="s">
        <v>32</v>
      </c>
    </row>
    <row r="1262" spans="1:6" x14ac:dyDescent="0.35">
      <c r="A1262" s="1">
        <v>45517</v>
      </c>
      <c r="B1262" s="2">
        <v>45517.542841284725</v>
      </c>
      <c r="C1262" t="s">
        <v>8</v>
      </c>
      <c r="D1262" t="s">
        <v>550</v>
      </c>
      <c r="E1262">
        <v>2792</v>
      </c>
      <c r="F1262" t="s">
        <v>36</v>
      </c>
    </row>
    <row r="1263" spans="1:6" x14ac:dyDescent="0.35">
      <c r="A1263" s="1">
        <v>45517</v>
      </c>
      <c r="B1263" s="2">
        <v>45517.615042696758</v>
      </c>
      <c r="C1263" t="s">
        <v>8</v>
      </c>
      <c r="D1263" t="s">
        <v>547</v>
      </c>
      <c r="E1263">
        <v>3282</v>
      </c>
      <c r="F1263" t="s">
        <v>32</v>
      </c>
    </row>
    <row r="1264" spans="1:6" x14ac:dyDescent="0.35">
      <c r="A1264" s="1">
        <v>45517</v>
      </c>
      <c r="B1264" s="2">
        <v>45517.658295173613</v>
      </c>
      <c r="C1264" t="s">
        <v>8</v>
      </c>
      <c r="D1264" t="s">
        <v>551</v>
      </c>
      <c r="E1264">
        <v>3282</v>
      </c>
      <c r="F1264" t="s">
        <v>24</v>
      </c>
    </row>
    <row r="1265" spans="1:6" x14ac:dyDescent="0.35">
      <c r="A1265" s="1">
        <v>45517</v>
      </c>
      <c r="B1265" s="2">
        <v>45517.663536793982</v>
      </c>
      <c r="C1265" t="s">
        <v>8</v>
      </c>
      <c r="D1265" t="s">
        <v>11</v>
      </c>
      <c r="E1265">
        <v>2792</v>
      </c>
      <c r="F1265" t="s">
        <v>36</v>
      </c>
    </row>
    <row r="1266" spans="1:6" x14ac:dyDescent="0.35">
      <c r="A1266" s="1">
        <v>45517</v>
      </c>
      <c r="B1266" s="2">
        <v>45517.853871886575</v>
      </c>
      <c r="C1266" t="s">
        <v>8</v>
      </c>
      <c r="D1266" t="s">
        <v>552</v>
      </c>
      <c r="E1266">
        <v>3282</v>
      </c>
      <c r="F1266" t="s">
        <v>32</v>
      </c>
    </row>
    <row r="1267" spans="1:6" x14ac:dyDescent="0.35">
      <c r="A1267" s="1">
        <v>45517</v>
      </c>
      <c r="B1267" s="2">
        <v>45517.854596643519</v>
      </c>
      <c r="C1267" t="s">
        <v>8</v>
      </c>
      <c r="D1267" t="s">
        <v>552</v>
      </c>
      <c r="E1267">
        <v>3282</v>
      </c>
      <c r="F1267" t="s">
        <v>10</v>
      </c>
    </row>
    <row r="1268" spans="1:6" x14ac:dyDescent="0.35">
      <c r="A1268" s="1">
        <v>45517</v>
      </c>
      <c r="B1268" s="2">
        <v>45517.864154988427</v>
      </c>
      <c r="C1268" t="s">
        <v>8</v>
      </c>
      <c r="D1268" t="s">
        <v>553</v>
      </c>
      <c r="E1268">
        <v>3282</v>
      </c>
      <c r="F1268" t="s">
        <v>24</v>
      </c>
    </row>
    <row r="1269" spans="1:6" x14ac:dyDescent="0.35">
      <c r="A1269" s="1">
        <v>45517</v>
      </c>
      <c r="B1269" s="2">
        <v>45517.875517222223</v>
      </c>
      <c r="C1269" t="s">
        <v>8</v>
      </c>
      <c r="D1269" t="s">
        <v>554</v>
      </c>
      <c r="E1269">
        <v>2302</v>
      </c>
      <c r="F1269" t="s">
        <v>20</v>
      </c>
    </row>
    <row r="1270" spans="1:6" x14ac:dyDescent="0.35">
      <c r="A1270" s="1">
        <v>45518</v>
      </c>
      <c r="B1270" s="2">
        <v>45518.31652896991</v>
      </c>
      <c r="C1270" t="s">
        <v>8</v>
      </c>
      <c r="D1270" t="s">
        <v>528</v>
      </c>
      <c r="E1270">
        <v>3282</v>
      </c>
      <c r="F1270" t="s">
        <v>32</v>
      </c>
    </row>
    <row r="1271" spans="1:6" x14ac:dyDescent="0.35">
      <c r="A1271" s="1">
        <v>45518</v>
      </c>
      <c r="B1271" s="2">
        <v>45518.31731017361</v>
      </c>
      <c r="C1271" t="s">
        <v>8</v>
      </c>
      <c r="D1271" t="s">
        <v>525</v>
      </c>
      <c r="E1271">
        <v>3282</v>
      </c>
      <c r="F1271" t="s">
        <v>24</v>
      </c>
    </row>
    <row r="1272" spans="1:6" x14ac:dyDescent="0.35">
      <c r="A1272" s="1">
        <v>45518</v>
      </c>
      <c r="B1272" s="2">
        <v>45518.423253761575</v>
      </c>
      <c r="C1272" t="s">
        <v>8</v>
      </c>
      <c r="D1272" t="s">
        <v>40</v>
      </c>
      <c r="E1272">
        <v>2302</v>
      </c>
      <c r="F1272" t="s">
        <v>20</v>
      </c>
    </row>
    <row r="1273" spans="1:6" x14ac:dyDescent="0.35">
      <c r="A1273" s="1">
        <v>45518</v>
      </c>
      <c r="B1273" s="2">
        <v>45518.485507893522</v>
      </c>
      <c r="C1273" t="s">
        <v>8</v>
      </c>
      <c r="D1273" t="s">
        <v>151</v>
      </c>
      <c r="E1273">
        <v>1812</v>
      </c>
      <c r="F1273" t="s">
        <v>5</v>
      </c>
    </row>
    <row r="1274" spans="1:6" x14ac:dyDescent="0.35">
      <c r="A1274" s="1">
        <v>45518</v>
      </c>
      <c r="B1274" s="2">
        <v>45518.534223969909</v>
      </c>
      <c r="C1274" t="s">
        <v>8</v>
      </c>
      <c r="D1274" t="s">
        <v>555</v>
      </c>
      <c r="E1274">
        <v>2302</v>
      </c>
      <c r="F1274" t="s">
        <v>28</v>
      </c>
    </row>
    <row r="1275" spans="1:6" x14ac:dyDescent="0.35">
      <c r="A1275" s="1">
        <v>45518</v>
      </c>
      <c r="B1275" s="2">
        <v>45518.535473032411</v>
      </c>
      <c r="C1275" t="s">
        <v>8</v>
      </c>
      <c r="D1275" t="s">
        <v>503</v>
      </c>
      <c r="E1275">
        <v>2302</v>
      </c>
      <c r="F1275" t="s">
        <v>28</v>
      </c>
    </row>
    <row r="1276" spans="1:6" x14ac:dyDescent="0.35">
      <c r="A1276" s="1">
        <v>45518</v>
      </c>
      <c r="B1276" s="2">
        <v>45518.639898842594</v>
      </c>
      <c r="C1276" t="s">
        <v>8</v>
      </c>
      <c r="D1276" t="s">
        <v>556</v>
      </c>
      <c r="E1276">
        <v>3282</v>
      </c>
      <c r="F1276" t="s">
        <v>32</v>
      </c>
    </row>
    <row r="1277" spans="1:6" x14ac:dyDescent="0.35">
      <c r="A1277" s="1">
        <v>45518</v>
      </c>
      <c r="B1277" s="2">
        <v>45518.725263749999</v>
      </c>
      <c r="C1277" t="s">
        <v>8</v>
      </c>
      <c r="D1277" t="s">
        <v>557</v>
      </c>
      <c r="E1277">
        <v>2302</v>
      </c>
      <c r="F1277" t="s">
        <v>28</v>
      </c>
    </row>
    <row r="1278" spans="1:6" x14ac:dyDescent="0.35">
      <c r="A1278" s="1">
        <v>45518</v>
      </c>
      <c r="B1278" s="2">
        <v>45518.756987534725</v>
      </c>
      <c r="C1278" t="s">
        <v>8</v>
      </c>
      <c r="D1278" t="s">
        <v>558</v>
      </c>
      <c r="E1278">
        <v>2302</v>
      </c>
      <c r="F1278" t="s">
        <v>20</v>
      </c>
    </row>
    <row r="1279" spans="1:6" x14ac:dyDescent="0.35">
      <c r="A1279" s="1">
        <v>45518</v>
      </c>
      <c r="B1279" s="2">
        <v>45518.79118378472</v>
      </c>
      <c r="C1279" t="s">
        <v>8</v>
      </c>
      <c r="D1279" t="s">
        <v>559</v>
      </c>
      <c r="E1279">
        <v>2792</v>
      </c>
      <c r="F1279" t="s">
        <v>36</v>
      </c>
    </row>
    <row r="1280" spans="1:6" x14ac:dyDescent="0.35">
      <c r="A1280" s="1">
        <v>45518</v>
      </c>
      <c r="B1280" s="2">
        <v>45518.815876516201</v>
      </c>
      <c r="C1280" t="s">
        <v>8</v>
      </c>
      <c r="D1280" t="s">
        <v>43</v>
      </c>
      <c r="E1280">
        <v>3282</v>
      </c>
      <c r="F1280" t="s">
        <v>32</v>
      </c>
    </row>
    <row r="1281" spans="1:6" x14ac:dyDescent="0.35">
      <c r="A1281" s="1">
        <v>45518</v>
      </c>
      <c r="B1281" s="2">
        <v>45518.81653408565</v>
      </c>
      <c r="C1281" t="s">
        <v>8</v>
      </c>
      <c r="D1281" t="s">
        <v>43</v>
      </c>
      <c r="E1281">
        <v>2302</v>
      </c>
      <c r="F1281" t="s">
        <v>20</v>
      </c>
    </row>
    <row r="1282" spans="1:6" x14ac:dyDescent="0.35">
      <c r="A1282" s="1">
        <v>45518</v>
      </c>
      <c r="B1282" s="2">
        <v>45518.90385440972</v>
      </c>
      <c r="C1282" t="s">
        <v>8</v>
      </c>
      <c r="D1282" t="s">
        <v>21</v>
      </c>
      <c r="E1282">
        <v>3282</v>
      </c>
      <c r="F1282" t="s">
        <v>32</v>
      </c>
    </row>
    <row r="1283" spans="1:6" x14ac:dyDescent="0.35">
      <c r="A1283" s="1">
        <v>45519</v>
      </c>
      <c r="B1283" s="2">
        <v>45519.400129085647</v>
      </c>
      <c r="C1283" t="s">
        <v>8</v>
      </c>
      <c r="D1283" t="s">
        <v>40</v>
      </c>
      <c r="E1283">
        <v>2302</v>
      </c>
      <c r="F1283" t="s">
        <v>20</v>
      </c>
    </row>
    <row r="1284" spans="1:6" x14ac:dyDescent="0.35">
      <c r="A1284" s="1">
        <v>45519</v>
      </c>
      <c r="B1284" s="2">
        <v>45519.400719583333</v>
      </c>
      <c r="C1284" t="s">
        <v>8</v>
      </c>
      <c r="D1284" t="s">
        <v>560</v>
      </c>
      <c r="E1284">
        <v>3282</v>
      </c>
      <c r="F1284" t="s">
        <v>24</v>
      </c>
    </row>
    <row r="1285" spans="1:6" x14ac:dyDescent="0.35">
      <c r="A1285" s="1">
        <v>45519</v>
      </c>
      <c r="B1285" s="2">
        <v>45519.401445636577</v>
      </c>
      <c r="C1285" t="s">
        <v>8</v>
      </c>
      <c r="D1285" t="s">
        <v>561</v>
      </c>
      <c r="E1285">
        <v>3282</v>
      </c>
      <c r="F1285" t="s">
        <v>15</v>
      </c>
    </row>
    <row r="1286" spans="1:6" x14ac:dyDescent="0.35">
      <c r="A1286" s="1">
        <v>45519</v>
      </c>
      <c r="B1286" s="2">
        <v>45519.401964525459</v>
      </c>
      <c r="C1286" t="s">
        <v>8</v>
      </c>
      <c r="D1286" t="s">
        <v>561</v>
      </c>
      <c r="E1286">
        <v>3282</v>
      </c>
      <c r="F1286" t="s">
        <v>32</v>
      </c>
    </row>
    <row r="1287" spans="1:6" x14ac:dyDescent="0.35">
      <c r="A1287" s="1">
        <v>45519</v>
      </c>
      <c r="B1287" s="2">
        <v>45519.526823645836</v>
      </c>
      <c r="C1287" t="s">
        <v>8</v>
      </c>
      <c r="D1287" t="s">
        <v>286</v>
      </c>
      <c r="E1287">
        <v>3282</v>
      </c>
      <c r="F1287" t="s">
        <v>32</v>
      </c>
    </row>
    <row r="1288" spans="1:6" x14ac:dyDescent="0.35">
      <c r="A1288" s="1">
        <v>45519</v>
      </c>
      <c r="B1288" s="2">
        <v>45519.575157418978</v>
      </c>
      <c r="C1288" t="s">
        <v>8</v>
      </c>
      <c r="D1288" t="s">
        <v>562</v>
      </c>
      <c r="E1288">
        <v>3282</v>
      </c>
      <c r="F1288" t="s">
        <v>32</v>
      </c>
    </row>
    <row r="1289" spans="1:6" x14ac:dyDescent="0.35">
      <c r="A1289" s="1">
        <v>45519</v>
      </c>
      <c r="B1289" s="2">
        <v>45519.595696562501</v>
      </c>
      <c r="C1289" t="s">
        <v>8</v>
      </c>
      <c r="D1289" t="s">
        <v>43</v>
      </c>
      <c r="E1289">
        <v>2302</v>
      </c>
      <c r="F1289" t="s">
        <v>28</v>
      </c>
    </row>
    <row r="1290" spans="1:6" x14ac:dyDescent="0.35">
      <c r="A1290" s="1">
        <v>45519</v>
      </c>
      <c r="B1290" s="2">
        <v>45519.596421030095</v>
      </c>
      <c r="C1290" t="s">
        <v>8</v>
      </c>
      <c r="D1290" t="s">
        <v>43</v>
      </c>
      <c r="E1290">
        <v>1812</v>
      </c>
      <c r="F1290" t="s">
        <v>5</v>
      </c>
    </row>
    <row r="1291" spans="1:6" x14ac:dyDescent="0.35">
      <c r="A1291" s="1">
        <v>45519</v>
      </c>
      <c r="B1291" s="2">
        <v>45519.745743344909</v>
      </c>
      <c r="C1291" t="s">
        <v>8</v>
      </c>
      <c r="D1291" t="s">
        <v>563</v>
      </c>
      <c r="E1291">
        <v>2792</v>
      </c>
      <c r="F1291" t="s">
        <v>36</v>
      </c>
    </row>
    <row r="1292" spans="1:6" x14ac:dyDescent="0.35">
      <c r="A1292" s="1">
        <v>45519</v>
      </c>
      <c r="B1292" s="2">
        <v>45519.799284976849</v>
      </c>
      <c r="C1292" t="s">
        <v>8</v>
      </c>
      <c r="D1292" t="s">
        <v>564</v>
      </c>
      <c r="E1292">
        <v>3282</v>
      </c>
      <c r="F1292" t="s">
        <v>15</v>
      </c>
    </row>
    <row r="1293" spans="1:6" x14ac:dyDescent="0.35">
      <c r="A1293" s="1">
        <v>45519</v>
      </c>
      <c r="B1293" s="2">
        <v>45519.799930972222</v>
      </c>
      <c r="C1293" t="s">
        <v>8</v>
      </c>
      <c r="D1293" t="s">
        <v>564</v>
      </c>
      <c r="E1293">
        <v>2792</v>
      </c>
      <c r="F1293" t="s">
        <v>36</v>
      </c>
    </row>
    <row r="1294" spans="1:6" x14ac:dyDescent="0.35">
      <c r="A1294" s="1">
        <v>45519</v>
      </c>
      <c r="B1294" s="2">
        <v>45519.820488935184</v>
      </c>
      <c r="C1294" t="s">
        <v>8</v>
      </c>
      <c r="D1294" t="s">
        <v>565</v>
      </c>
      <c r="E1294">
        <v>2792</v>
      </c>
      <c r="F1294" t="s">
        <v>36</v>
      </c>
    </row>
    <row r="1295" spans="1:6" x14ac:dyDescent="0.35">
      <c r="A1295" s="1">
        <v>45519</v>
      </c>
      <c r="B1295" s="2">
        <v>45519.821272997688</v>
      </c>
      <c r="C1295" t="s">
        <v>8</v>
      </c>
      <c r="D1295" t="s">
        <v>565</v>
      </c>
      <c r="E1295">
        <v>2302</v>
      </c>
      <c r="F1295" t="s">
        <v>28</v>
      </c>
    </row>
    <row r="1296" spans="1:6" x14ac:dyDescent="0.35">
      <c r="A1296" s="1">
        <v>45519</v>
      </c>
      <c r="B1296" s="2">
        <v>45519.861591620371</v>
      </c>
      <c r="C1296" t="s">
        <v>8</v>
      </c>
      <c r="D1296" t="s">
        <v>566</v>
      </c>
      <c r="E1296">
        <v>3282</v>
      </c>
      <c r="F1296" t="s">
        <v>24</v>
      </c>
    </row>
    <row r="1297" spans="1:6" x14ac:dyDescent="0.35">
      <c r="A1297" s="1">
        <v>45519</v>
      </c>
      <c r="B1297" s="2">
        <v>45519.899537962963</v>
      </c>
      <c r="C1297" t="s">
        <v>8</v>
      </c>
      <c r="D1297" t="s">
        <v>16</v>
      </c>
      <c r="E1297">
        <v>1812</v>
      </c>
      <c r="F1297" t="s">
        <v>5</v>
      </c>
    </row>
    <row r="1298" spans="1:6" x14ac:dyDescent="0.35">
      <c r="A1298" s="1">
        <v>45519</v>
      </c>
      <c r="B1298" s="2">
        <v>45519.900127696761</v>
      </c>
      <c r="C1298" t="s">
        <v>8</v>
      </c>
      <c r="D1298" t="s">
        <v>16</v>
      </c>
      <c r="E1298">
        <v>2792</v>
      </c>
      <c r="F1298" t="s">
        <v>36</v>
      </c>
    </row>
    <row r="1299" spans="1:6" x14ac:dyDescent="0.35">
      <c r="A1299" s="1">
        <v>45520</v>
      </c>
      <c r="B1299" s="2">
        <v>45520.520332546294</v>
      </c>
      <c r="C1299" t="s">
        <v>8</v>
      </c>
      <c r="D1299" t="s">
        <v>565</v>
      </c>
      <c r="E1299">
        <v>3282</v>
      </c>
      <c r="F1299" t="s">
        <v>32</v>
      </c>
    </row>
    <row r="1300" spans="1:6" x14ac:dyDescent="0.35">
      <c r="A1300" s="1">
        <v>45520</v>
      </c>
      <c r="B1300" s="2">
        <v>45520.537701990739</v>
      </c>
      <c r="C1300" t="s">
        <v>8</v>
      </c>
      <c r="D1300" t="s">
        <v>567</v>
      </c>
      <c r="E1300">
        <v>2302</v>
      </c>
      <c r="F1300" t="s">
        <v>28</v>
      </c>
    </row>
    <row r="1301" spans="1:6" x14ac:dyDescent="0.35">
      <c r="A1301" s="1">
        <v>45520</v>
      </c>
      <c r="B1301" s="2">
        <v>45520.566814791666</v>
      </c>
      <c r="C1301" t="s">
        <v>8</v>
      </c>
      <c r="D1301" t="s">
        <v>482</v>
      </c>
      <c r="E1301">
        <v>2792</v>
      </c>
      <c r="F1301" t="s">
        <v>36</v>
      </c>
    </row>
    <row r="1302" spans="1:6" x14ac:dyDescent="0.35">
      <c r="A1302" s="1">
        <v>45520</v>
      </c>
      <c r="B1302" s="2">
        <v>45520.638098807867</v>
      </c>
      <c r="C1302" t="s">
        <v>8</v>
      </c>
      <c r="D1302" t="s">
        <v>43</v>
      </c>
      <c r="E1302">
        <v>1812</v>
      </c>
      <c r="F1302" t="s">
        <v>5</v>
      </c>
    </row>
    <row r="1303" spans="1:6" x14ac:dyDescent="0.35">
      <c r="A1303" s="1">
        <v>45520</v>
      </c>
      <c r="B1303" s="2">
        <v>45520.638649004628</v>
      </c>
      <c r="C1303" t="s">
        <v>8</v>
      </c>
      <c r="D1303" t="s">
        <v>43</v>
      </c>
      <c r="E1303">
        <v>1812</v>
      </c>
      <c r="F1303" t="s">
        <v>5</v>
      </c>
    </row>
    <row r="1304" spans="1:6" x14ac:dyDescent="0.35">
      <c r="A1304" s="1">
        <v>45521</v>
      </c>
      <c r="B1304" s="2">
        <v>45521.386730219907</v>
      </c>
      <c r="C1304" t="s">
        <v>8</v>
      </c>
      <c r="D1304" t="s">
        <v>11</v>
      </c>
      <c r="E1304">
        <v>2792</v>
      </c>
      <c r="F1304" t="s">
        <v>36</v>
      </c>
    </row>
    <row r="1305" spans="1:6" x14ac:dyDescent="0.35">
      <c r="A1305" s="1">
        <v>45521</v>
      </c>
      <c r="B1305" s="2">
        <v>45521.38760396991</v>
      </c>
      <c r="C1305" t="s">
        <v>8</v>
      </c>
      <c r="D1305" t="s">
        <v>568</v>
      </c>
      <c r="E1305">
        <v>3282</v>
      </c>
      <c r="F1305" t="s">
        <v>24</v>
      </c>
    </row>
    <row r="1306" spans="1:6" x14ac:dyDescent="0.35">
      <c r="A1306" s="1">
        <v>45521</v>
      </c>
      <c r="B1306" s="2">
        <v>45521.453950543983</v>
      </c>
      <c r="C1306" t="s">
        <v>8</v>
      </c>
      <c r="D1306" t="s">
        <v>569</v>
      </c>
      <c r="E1306">
        <v>2792</v>
      </c>
      <c r="F1306" t="s">
        <v>36</v>
      </c>
    </row>
    <row r="1307" spans="1:6" x14ac:dyDescent="0.35">
      <c r="A1307" s="1">
        <v>45521</v>
      </c>
      <c r="B1307" s="2">
        <v>45521.49909315972</v>
      </c>
      <c r="C1307" t="s">
        <v>8</v>
      </c>
      <c r="D1307" t="s">
        <v>40</v>
      </c>
      <c r="E1307">
        <v>2302</v>
      </c>
      <c r="F1307" t="s">
        <v>20</v>
      </c>
    </row>
    <row r="1308" spans="1:6" x14ac:dyDescent="0.35">
      <c r="A1308" s="1">
        <v>45521</v>
      </c>
      <c r="B1308" s="2">
        <v>45521.499633078703</v>
      </c>
      <c r="C1308" t="s">
        <v>8</v>
      </c>
      <c r="D1308" t="s">
        <v>40</v>
      </c>
      <c r="E1308">
        <v>2302</v>
      </c>
      <c r="F1308" t="s">
        <v>20</v>
      </c>
    </row>
    <row r="1309" spans="1:6" x14ac:dyDescent="0.35">
      <c r="A1309" s="1">
        <v>45521</v>
      </c>
      <c r="B1309" s="2">
        <v>45521.55463175926</v>
      </c>
      <c r="C1309" t="s">
        <v>8</v>
      </c>
      <c r="D1309" t="s">
        <v>570</v>
      </c>
      <c r="E1309">
        <v>2792</v>
      </c>
      <c r="F1309" t="s">
        <v>36</v>
      </c>
    </row>
    <row r="1310" spans="1:6" x14ac:dyDescent="0.35">
      <c r="A1310" s="1">
        <v>45521</v>
      </c>
      <c r="B1310" s="2">
        <v>45521.688829131941</v>
      </c>
      <c r="C1310" t="s">
        <v>8</v>
      </c>
      <c r="D1310" t="s">
        <v>330</v>
      </c>
      <c r="E1310">
        <v>2302</v>
      </c>
      <c r="F1310" t="s">
        <v>20</v>
      </c>
    </row>
    <row r="1311" spans="1:6" x14ac:dyDescent="0.35">
      <c r="A1311" s="1">
        <v>45521</v>
      </c>
      <c r="B1311" s="2">
        <v>45521.690150196759</v>
      </c>
      <c r="C1311" t="s">
        <v>8</v>
      </c>
      <c r="D1311" t="s">
        <v>246</v>
      </c>
      <c r="E1311">
        <v>3282</v>
      </c>
      <c r="F1311" t="s">
        <v>32</v>
      </c>
    </row>
    <row r="1312" spans="1:6" x14ac:dyDescent="0.35">
      <c r="A1312" s="1">
        <v>45521</v>
      </c>
      <c r="B1312" s="2">
        <v>45521.784014490739</v>
      </c>
      <c r="C1312" t="s">
        <v>8</v>
      </c>
      <c r="D1312" t="s">
        <v>509</v>
      </c>
      <c r="E1312">
        <v>3282</v>
      </c>
      <c r="F1312" t="s">
        <v>24</v>
      </c>
    </row>
    <row r="1313" spans="1:6" x14ac:dyDescent="0.35">
      <c r="A1313" s="1">
        <v>45521</v>
      </c>
      <c r="B1313" s="2">
        <v>45521.888157476853</v>
      </c>
      <c r="C1313" t="s">
        <v>8</v>
      </c>
      <c r="D1313" t="s">
        <v>16</v>
      </c>
      <c r="E1313">
        <v>2792</v>
      </c>
      <c r="F1313" t="s">
        <v>36</v>
      </c>
    </row>
    <row r="1314" spans="1:6" x14ac:dyDescent="0.35">
      <c r="A1314" s="1">
        <v>45521</v>
      </c>
      <c r="B1314" s="2">
        <v>45521.946288784726</v>
      </c>
      <c r="C1314" t="s">
        <v>8</v>
      </c>
      <c r="D1314" t="s">
        <v>571</v>
      </c>
      <c r="E1314">
        <v>3282</v>
      </c>
      <c r="F1314" t="s">
        <v>32</v>
      </c>
    </row>
    <row r="1315" spans="1:6" x14ac:dyDescent="0.35">
      <c r="A1315" s="1">
        <v>45522</v>
      </c>
      <c r="B1315" s="2">
        <v>45522.340076400462</v>
      </c>
      <c r="C1315" t="s">
        <v>8</v>
      </c>
      <c r="D1315" t="s">
        <v>572</v>
      </c>
      <c r="E1315">
        <v>3282</v>
      </c>
      <c r="F1315" t="s">
        <v>24</v>
      </c>
    </row>
    <row r="1316" spans="1:6" x14ac:dyDescent="0.35">
      <c r="A1316" s="1">
        <v>45522</v>
      </c>
      <c r="B1316" s="2">
        <v>45522.355620335649</v>
      </c>
      <c r="C1316" t="s">
        <v>8</v>
      </c>
      <c r="D1316" t="s">
        <v>573</v>
      </c>
      <c r="E1316">
        <v>3282</v>
      </c>
      <c r="F1316" t="s">
        <v>24</v>
      </c>
    </row>
    <row r="1317" spans="1:6" x14ac:dyDescent="0.35">
      <c r="A1317" s="1">
        <v>45522</v>
      </c>
      <c r="B1317" s="2">
        <v>45522.361877881944</v>
      </c>
      <c r="C1317" t="s">
        <v>8</v>
      </c>
      <c r="D1317" t="s">
        <v>40</v>
      </c>
      <c r="E1317">
        <v>2302</v>
      </c>
      <c r="F1317" t="s">
        <v>20</v>
      </c>
    </row>
    <row r="1318" spans="1:6" x14ac:dyDescent="0.35">
      <c r="A1318" s="1">
        <v>45522</v>
      </c>
      <c r="B1318" s="2">
        <v>45522.372237175929</v>
      </c>
      <c r="C1318" t="s">
        <v>8</v>
      </c>
      <c r="D1318" t="s">
        <v>574</v>
      </c>
      <c r="E1318">
        <v>2792</v>
      </c>
      <c r="F1318" t="s">
        <v>36</v>
      </c>
    </row>
    <row r="1319" spans="1:6" x14ac:dyDescent="0.35">
      <c r="A1319" s="1">
        <v>45522</v>
      </c>
      <c r="B1319" s="2">
        <v>45522.522001064812</v>
      </c>
      <c r="C1319" t="s">
        <v>8</v>
      </c>
      <c r="D1319" t="s">
        <v>516</v>
      </c>
      <c r="E1319">
        <v>3282</v>
      </c>
      <c r="F1319" t="s">
        <v>24</v>
      </c>
    </row>
    <row r="1320" spans="1:6" x14ac:dyDescent="0.35">
      <c r="A1320" s="1">
        <v>45522</v>
      </c>
      <c r="B1320" s="2">
        <v>45522.604416724535</v>
      </c>
      <c r="C1320" t="s">
        <v>8</v>
      </c>
      <c r="D1320" t="s">
        <v>16</v>
      </c>
      <c r="E1320">
        <v>2792</v>
      </c>
      <c r="F1320" t="s">
        <v>36</v>
      </c>
    </row>
    <row r="1321" spans="1:6" x14ac:dyDescent="0.35">
      <c r="A1321" s="1">
        <v>45522</v>
      </c>
      <c r="B1321" s="2">
        <v>45522.766791388887</v>
      </c>
      <c r="C1321" t="s">
        <v>8</v>
      </c>
      <c r="D1321" t="s">
        <v>575</v>
      </c>
      <c r="E1321">
        <v>2792</v>
      </c>
      <c r="F1321" t="s">
        <v>36</v>
      </c>
    </row>
    <row r="1322" spans="1:6" x14ac:dyDescent="0.35">
      <c r="A1322" s="1">
        <v>45522</v>
      </c>
      <c r="B1322" s="2">
        <v>45522.768099374996</v>
      </c>
      <c r="C1322" t="s">
        <v>8</v>
      </c>
      <c r="D1322" t="s">
        <v>575</v>
      </c>
      <c r="E1322">
        <v>2792</v>
      </c>
      <c r="F1322" t="s">
        <v>36</v>
      </c>
    </row>
    <row r="1323" spans="1:6" x14ac:dyDescent="0.35">
      <c r="A1323" s="1">
        <v>45522</v>
      </c>
      <c r="B1323" s="2">
        <v>45522.768953159721</v>
      </c>
      <c r="C1323" t="s">
        <v>8</v>
      </c>
      <c r="D1323" t="s">
        <v>575</v>
      </c>
      <c r="E1323">
        <v>2302</v>
      </c>
      <c r="F1323" t="s">
        <v>28</v>
      </c>
    </row>
    <row r="1324" spans="1:6" x14ac:dyDescent="0.35">
      <c r="A1324" s="1">
        <v>45522</v>
      </c>
      <c r="B1324" s="2">
        <v>45522.76959570602</v>
      </c>
      <c r="C1324" t="s">
        <v>8</v>
      </c>
      <c r="D1324" t="s">
        <v>575</v>
      </c>
      <c r="E1324">
        <v>2302</v>
      </c>
      <c r="F1324" t="s">
        <v>28</v>
      </c>
    </row>
    <row r="1325" spans="1:6" x14ac:dyDescent="0.35">
      <c r="A1325" s="1">
        <v>45523</v>
      </c>
      <c r="B1325" s="2">
        <v>45523.631816921297</v>
      </c>
      <c r="C1325" t="s">
        <v>8</v>
      </c>
      <c r="D1325" t="s">
        <v>576</v>
      </c>
      <c r="E1325">
        <v>2792</v>
      </c>
      <c r="F1325" t="s">
        <v>36</v>
      </c>
    </row>
    <row r="1326" spans="1:6" x14ac:dyDescent="0.35">
      <c r="A1326" s="1">
        <v>45523</v>
      </c>
      <c r="B1326" s="2">
        <v>45523.632537175923</v>
      </c>
      <c r="C1326" t="s">
        <v>8</v>
      </c>
      <c r="D1326" t="s">
        <v>576</v>
      </c>
      <c r="E1326">
        <v>2792</v>
      </c>
      <c r="F1326" t="s">
        <v>36</v>
      </c>
    </row>
    <row r="1327" spans="1:6" x14ac:dyDescent="0.35">
      <c r="A1327" s="1">
        <v>45523</v>
      </c>
      <c r="B1327" s="2">
        <v>45523.889723159722</v>
      </c>
      <c r="C1327" t="s">
        <v>8</v>
      </c>
      <c r="D1327" t="s">
        <v>21</v>
      </c>
      <c r="E1327">
        <v>3282</v>
      </c>
      <c r="F1327" t="s">
        <v>32</v>
      </c>
    </row>
    <row r="1328" spans="1:6" x14ac:dyDescent="0.35">
      <c r="A1328" s="1">
        <v>45523</v>
      </c>
      <c r="B1328" s="2">
        <v>45523.897187916664</v>
      </c>
      <c r="C1328" t="s">
        <v>8</v>
      </c>
      <c r="D1328" t="s">
        <v>544</v>
      </c>
      <c r="E1328">
        <v>3282</v>
      </c>
      <c r="F1328" t="s">
        <v>10</v>
      </c>
    </row>
    <row r="1329" spans="1:6" x14ac:dyDescent="0.35">
      <c r="A1329" s="1">
        <v>45524</v>
      </c>
      <c r="B1329" s="2">
        <v>45524.352273240744</v>
      </c>
      <c r="C1329" t="s">
        <v>8</v>
      </c>
      <c r="D1329" t="s">
        <v>40</v>
      </c>
      <c r="E1329">
        <v>2302</v>
      </c>
      <c r="F1329" t="s">
        <v>20</v>
      </c>
    </row>
    <row r="1330" spans="1:6" x14ac:dyDescent="0.35">
      <c r="A1330" s="1">
        <v>45524</v>
      </c>
      <c r="B1330" s="2">
        <v>45524.353644861112</v>
      </c>
      <c r="C1330" t="s">
        <v>8</v>
      </c>
      <c r="D1330" t="s">
        <v>577</v>
      </c>
      <c r="E1330">
        <v>3282</v>
      </c>
      <c r="F1330" t="s">
        <v>32</v>
      </c>
    </row>
    <row r="1331" spans="1:6" x14ac:dyDescent="0.35">
      <c r="A1331" s="1">
        <v>45524</v>
      </c>
      <c r="B1331" s="2">
        <v>45524.367910578701</v>
      </c>
      <c r="C1331" t="s">
        <v>8</v>
      </c>
      <c r="D1331" t="s">
        <v>578</v>
      </c>
      <c r="E1331">
        <v>1812</v>
      </c>
      <c r="F1331" t="s">
        <v>5</v>
      </c>
    </row>
    <row r="1332" spans="1:6" x14ac:dyDescent="0.35">
      <c r="A1332" s="1">
        <v>45524</v>
      </c>
      <c r="B1332" s="2">
        <v>45524.368476192132</v>
      </c>
      <c r="C1332" t="s">
        <v>8</v>
      </c>
      <c r="D1332" t="s">
        <v>578</v>
      </c>
      <c r="E1332">
        <v>2302</v>
      </c>
      <c r="F1332" t="s">
        <v>20</v>
      </c>
    </row>
    <row r="1333" spans="1:6" x14ac:dyDescent="0.35">
      <c r="A1333" s="1">
        <v>45524</v>
      </c>
      <c r="B1333" s="2">
        <v>45524.385357465275</v>
      </c>
      <c r="C1333" t="s">
        <v>8</v>
      </c>
      <c r="D1333" t="s">
        <v>11</v>
      </c>
      <c r="E1333">
        <v>2792</v>
      </c>
      <c r="F1333" t="s">
        <v>36</v>
      </c>
    </row>
    <row r="1334" spans="1:6" x14ac:dyDescent="0.35">
      <c r="A1334" s="1">
        <v>45524</v>
      </c>
      <c r="B1334" s="2">
        <v>45524.465226562497</v>
      </c>
      <c r="C1334" t="s">
        <v>8</v>
      </c>
      <c r="D1334" t="s">
        <v>579</v>
      </c>
      <c r="E1334">
        <v>2302</v>
      </c>
      <c r="F1334" t="s">
        <v>28</v>
      </c>
    </row>
    <row r="1335" spans="1:6" x14ac:dyDescent="0.35">
      <c r="A1335" s="1">
        <v>45524</v>
      </c>
      <c r="B1335" s="2">
        <v>45524.466424571758</v>
      </c>
      <c r="C1335" t="s">
        <v>8</v>
      </c>
      <c r="D1335" t="s">
        <v>580</v>
      </c>
      <c r="E1335">
        <v>2302</v>
      </c>
      <c r="F1335" t="s">
        <v>28</v>
      </c>
    </row>
    <row r="1336" spans="1:6" x14ac:dyDescent="0.35">
      <c r="A1336" s="1">
        <v>45524</v>
      </c>
      <c r="B1336" s="2">
        <v>45524.467027557868</v>
      </c>
      <c r="C1336" t="s">
        <v>8</v>
      </c>
      <c r="D1336" t="s">
        <v>581</v>
      </c>
      <c r="E1336">
        <v>2302</v>
      </c>
      <c r="F1336" t="s">
        <v>28</v>
      </c>
    </row>
    <row r="1337" spans="1:6" x14ac:dyDescent="0.35">
      <c r="A1337" s="1">
        <v>45524</v>
      </c>
      <c r="B1337" s="2">
        <v>45524.48773148148</v>
      </c>
      <c r="C1337" t="s">
        <v>8</v>
      </c>
      <c r="D1337" t="s">
        <v>40</v>
      </c>
      <c r="E1337">
        <v>3282</v>
      </c>
      <c r="F1337" t="s">
        <v>32</v>
      </c>
    </row>
    <row r="1338" spans="1:6" x14ac:dyDescent="0.35">
      <c r="A1338" s="1">
        <v>45524</v>
      </c>
      <c r="B1338" s="2">
        <v>45524.862973067131</v>
      </c>
      <c r="C1338" t="s">
        <v>8</v>
      </c>
      <c r="D1338" t="s">
        <v>582</v>
      </c>
      <c r="E1338">
        <v>3282</v>
      </c>
      <c r="F1338" t="s">
        <v>32</v>
      </c>
    </row>
    <row r="1339" spans="1:6" x14ac:dyDescent="0.35">
      <c r="A1339" s="1">
        <v>45524</v>
      </c>
      <c r="B1339" s="2">
        <v>45524.86406078704</v>
      </c>
      <c r="C1339" t="s">
        <v>8</v>
      </c>
      <c r="D1339" t="s">
        <v>583</v>
      </c>
      <c r="E1339">
        <v>3282</v>
      </c>
      <c r="F1339" t="s">
        <v>32</v>
      </c>
    </row>
    <row r="1340" spans="1:6" x14ac:dyDescent="0.35">
      <c r="A1340" s="1">
        <v>45524</v>
      </c>
      <c r="B1340" s="2">
        <v>45524.86472622685</v>
      </c>
      <c r="C1340" t="s">
        <v>8</v>
      </c>
      <c r="D1340" t="s">
        <v>583</v>
      </c>
      <c r="E1340">
        <v>3282</v>
      </c>
      <c r="F1340" t="s">
        <v>32</v>
      </c>
    </row>
    <row r="1341" spans="1:6" x14ac:dyDescent="0.35">
      <c r="A1341" s="1">
        <v>45524</v>
      </c>
      <c r="B1341" s="2">
        <v>45524.86532394676</v>
      </c>
      <c r="C1341" t="s">
        <v>8</v>
      </c>
      <c r="D1341" t="s">
        <v>584</v>
      </c>
      <c r="E1341">
        <v>3282</v>
      </c>
      <c r="F1341" t="s">
        <v>32</v>
      </c>
    </row>
    <row r="1342" spans="1:6" x14ac:dyDescent="0.35">
      <c r="A1342" s="1">
        <v>45525</v>
      </c>
      <c r="B1342" s="2">
        <v>45525.332790486114</v>
      </c>
      <c r="C1342" t="s">
        <v>8</v>
      </c>
      <c r="D1342" t="s">
        <v>585</v>
      </c>
      <c r="E1342">
        <v>2792</v>
      </c>
      <c r="F1342" t="s">
        <v>36</v>
      </c>
    </row>
    <row r="1343" spans="1:6" x14ac:dyDescent="0.35">
      <c r="A1343" s="1">
        <v>45525</v>
      </c>
      <c r="B1343" s="2">
        <v>45525.361428159726</v>
      </c>
      <c r="C1343" t="s">
        <v>8</v>
      </c>
      <c r="D1343" t="s">
        <v>40</v>
      </c>
      <c r="E1343">
        <v>2302</v>
      </c>
      <c r="F1343" t="s">
        <v>20</v>
      </c>
    </row>
    <row r="1344" spans="1:6" x14ac:dyDescent="0.35">
      <c r="A1344" s="1">
        <v>45525</v>
      </c>
      <c r="B1344" s="2">
        <v>45525.426069490743</v>
      </c>
      <c r="C1344" t="s">
        <v>8</v>
      </c>
      <c r="D1344" t="s">
        <v>428</v>
      </c>
      <c r="E1344">
        <v>2302</v>
      </c>
      <c r="F1344" t="s">
        <v>28</v>
      </c>
    </row>
    <row r="1345" spans="1:6" x14ac:dyDescent="0.35">
      <c r="A1345" s="1">
        <v>45525</v>
      </c>
      <c r="B1345" s="2">
        <v>45525.443570914351</v>
      </c>
      <c r="C1345" t="s">
        <v>8</v>
      </c>
      <c r="D1345" t="s">
        <v>29</v>
      </c>
      <c r="E1345">
        <v>2792</v>
      </c>
      <c r="F1345" t="s">
        <v>36</v>
      </c>
    </row>
    <row r="1346" spans="1:6" x14ac:dyDescent="0.35">
      <c r="A1346" s="1">
        <v>45525</v>
      </c>
      <c r="B1346" s="2">
        <v>45525.494229618052</v>
      </c>
      <c r="C1346" t="s">
        <v>8</v>
      </c>
      <c r="D1346" t="s">
        <v>40</v>
      </c>
      <c r="E1346">
        <v>2302</v>
      </c>
      <c r="F1346" t="s">
        <v>20</v>
      </c>
    </row>
    <row r="1347" spans="1:6" x14ac:dyDescent="0.35">
      <c r="A1347" s="1">
        <v>45525</v>
      </c>
      <c r="B1347" s="2">
        <v>45525.55359664352</v>
      </c>
      <c r="C1347" t="s">
        <v>8</v>
      </c>
      <c r="D1347" t="s">
        <v>586</v>
      </c>
      <c r="E1347">
        <v>3282</v>
      </c>
      <c r="F1347" t="s">
        <v>32</v>
      </c>
    </row>
    <row r="1348" spans="1:6" x14ac:dyDescent="0.35">
      <c r="A1348" s="1">
        <v>45525</v>
      </c>
      <c r="B1348" s="2">
        <v>45525.820874108795</v>
      </c>
      <c r="C1348" t="s">
        <v>8</v>
      </c>
      <c r="D1348" t="s">
        <v>21</v>
      </c>
      <c r="E1348">
        <v>3282</v>
      </c>
      <c r="F1348" t="s">
        <v>32</v>
      </c>
    </row>
    <row r="1349" spans="1:6" x14ac:dyDescent="0.35">
      <c r="A1349" s="1">
        <v>45526</v>
      </c>
      <c r="B1349" s="2">
        <v>45526.390582141205</v>
      </c>
      <c r="C1349" t="s">
        <v>8</v>
      </c>
      <c r="D1349" t="s">
        <v>40</v>
      </c>
      <c r="E1349">
        <v>2302</v>
      </c>
      <c r="F1349" t="s">
        <v>20</v>
      </c>
    </row>
    <row r="1350" spans="1:6" x14ac:dyDescent="0.35">
      <c r="A1350" s="1">
        <v>45526</v>
      </c>
      <c r="B1350" s="2">
        <v>45526.423188310182</v>
      </c>
      <c r="C1350" t="s">
        <v>8</v>
      </c>
      <c r="D1350" t="s">
        <v>472</v>
      </c>
      <c r="E1350">
        <v>2792</v>
      </c>
      <c r="F1350" t="s">
        <v>36</v>
      </c>
    </row>
    <row r="1351" spans="1:6" x14ac:dyDescent="0.35">
      <c r="A1351" s="1">
        <v>45526</v>
      </c>
      <c r="B1351" s="2">
        <v>45526.449992546295</v>
      </c>
      <c r="C1351" t="s">
        <v>8</v>
      </c>
      <c r="D1351" t="s">
        <v>587</v>
      </c>
      <c r="E1351">
        <v>2792</v>
      </c>
      <c r="F1351" t="s">
        <v>36</v>
      </c>
    </row>
    <row r="1352" spans="1:6" x14ac:dyDescent="0.35">
      <c r="A1352" s="1">
        <v>45526</v>
      </c>
      <c r="B1352" s="2">
        <v>45526.59458409722</v>
      </c>
      <c r="C1352" t="s">
        <v>8</v>
      </c>
      <c r="D1352" t="s">
        <v>562</v>
      </c>
      <c r="E1352">
        <v>3282</v>
      </c>
      <c r="F1352" t="s">
        <v>32</v>
      </c>
    </row>
    <row r="1353" spans="1:6" x14ac:dyDescent="0.35">
      <c r="A1353" s="1">
        <v>45526</v>
      </c>
      <c r="B1353" s="2">
        <v>45526.602063634258</v>
      </c>
      <c r="C1353" t="s">
        <v>8</v>
      </c>
      <c r="D1353" t="s">
        <v>588</v>
      </c>
      <c r="E1353">
        <v>3282</v>
      </c>
      <c r="F1353" t="s">
        <v>32</v>
      </c>
    </row>
    <row r="1354" spans="1:6" x14ac:dyDescent="0.35">
      <c r="A1354" s="1">
        <v>45526</v>
      </c>
      <c r="B1354" s="2">
        <v>45526.629947071757</v>
      </c>
      <c r="C1354" t="s">
        <v>8</v>
      </c>
      <c r="D1354" t="s">
        <v>589</v>
      </c>
      <c r="E1354">
        <v>3282</v>
      </c>
      <c r="F1354" t="s">
        <v>24</v>
      </c>
    </row>
    <row r="1355" spans="1:6" x14ac:dyDescent="0.35">
      <c r="A1355" s="1">
        <v>45526</v>
      </c>
      <c r="B1355" s="2">
        <v>45526.644066168985</v>
      </c>
      <c r="C1355" t="s">
        <v>8</v>
      </c>
      <c r="D1355" t="s">
        <v>590</v>
      </c>
      <c r="E1355">
        <v>2302</v>
      </c>
      <c r="F1355" t="s">
        <v>28</v>
      </c>
    </row>
    <row r="1356" spans="1:6" x14ac:dyDescent="0.35">
      <c r="A1356" s="1">
        <v>45527</v>
      </c>
      <c r="B1356" s="2">
        <v>45527.321714432874</v>
      </c>
      <c r="C1356" t="s">
        <v>8</v>
      </c>
      <c r="D1356" t="s">
        <v>528</v>
      </c>
      <c r="E1356">
        <v>3282</v>
      </c>
      <c r="F1356" t="s">
        <v>32</v>
      </c>
    </row>
    <row r="1357" spans="1:6" x14ac:dyDescent="0.35">
      <c r="A1357" s="1">
        <v>45527</v>
      </c>
      <c r="B1357" s="2">
        <v>45527.348472847225</v>
      </c>
      <c r="C1357" t="s">
        <v>8</v>
      </c>
      <c r="D1357" t="s">
        <v>40</v>
      </c>
      <c r="E1357">
        <v>2302</v>
      </c>
      <c r="F1357" t="s">
        <v>20</v>
      </c>
    </row>
    <row r="1358" spans="1:6" x14ac:dyDescent="0.35">
      <c r="A1358" s="1">
        <v>45527</v>
      </c>
      <c r="B1358" s="2">
        <v>45527.349265821758</v>
      </c>
      <c r="C1358" t="s">
        <v>8</v>
      </c>
      <c r="D1358" t="s">
        <v>478</v>
      </c>
      <c r="E1358">
        <v>3282</v>
      </c>
      <c r="F1358" t="s">
        <v>32</v>
      </c>
    </row>
    <row r="1359" spans="1:6" x14ac:dyDescent="0.35">
      <c r="A1359" s="1">
        <v>45527</v>
      </c>
      <c r="B1359" s="2">
        <v>45527.356698055555</v>
      </c>
      <c r="C1359" t="s">
        <v>8</v>
      </c>
      <c r="D1359" t="s">
        <v>279</v>
      </c>
      <c r="E1359">
        <v>2302</v>
      </c>
      <c r="F1359" t="s">
        <v>28</v>
      </c>
    </row>
    <row r="1360" spans="1:6" x14ac:dyDescent="0.35">
      <c r="A1360" s="1">
        <v>45527</v>
      </c>
      <c r="B1360" s="2">
        <v>45527.357349560189</v>
      </c>
      <c r="C1360" t="s">
        <v>8</v>
      </c>
      <c r="D1360" t="s">
        <v>279</v>
      </c>
      <c r="E1360">
        <v>2302</v>
      </c>
      <c r="F1360" t="s">
        <v>28</v>
      </c>
    </row>
    <row r="1361" spans="1:6" x14ac:dyDescent="0.35">
      <c r="A1361" s="1">
        <v>45527</v>
      </c>
      <c r="B1361" s="2">
        <v>45527.385324351853</v>
      </c>
      <c r="C1361" t="s">
        <v>8</v>
      </c>
      <c r="D1361" t="s">
        <v>472</v>
      </c>
      <c r="E1361">
        <v>2792</v>
      </c>
      <c r="F1361" t="s">
        <v>36</v>
      </c>
    </row>
    <row r="1362" spans="1:6" x14ac:dyDescent="0.35">
      <c r="A1362" s="1">
        <v>45527</v>
      </c>
      <c r="B1362" s="2">
        <v>45527.424290555558</v>
      </c>
      <c r="C1362" t="s">
        <v>8</v>
      </c>
      <c r="D1362" t="s">
        <v>591</v>
      </c>
      <c r="E1362">
        <v>3282</v>
      </c>
      <c r="F1362" t="s">
        <v>10</v>
      </c>
    </row>
    <row r="1363" spans="1:6" x14ac:dyDescent="0.35">
      <c r="A1363" s="1">
        <v>45527</v>
      </c>
      <c r="B1363" s="2">
        <v>45527.424947557869</v>
      </c>
      <c r="C1363" t="s">
        <v>8</v>
      </c>
      <c r="D1363" t="s">
        <v>591</v>
      </c>
      <c r="E1363">
        <v>2302</v>
      </c>
      <c r="F1363" t="s">
        <v>28</v>
      </c>
    </row>
    <row r="1364" spans="1:6" x14ac:dyDescent="0.35">
      <c r="A1364" s="1">
        <v>45527</v>
      </c>
      <c r="B1364" s="2">
        <v>45527.443892118055</v>
      </c>
      <c r="C1364" t="s">
        <v>8</v>
      </c>
      <c r="D1364" t="s">
        <v>40</v>
      </c>
      <c r="E1364">
        <v>2302</v>
      </c>
      <c r="F1364" t="s">
        <v>20</v>
      </c>
    </row>
    <row r="1365" spans="1:6" x14ac:dyDescent="0.35">
      <c r="A1365" s="1">
        <v>45527</v>
      </c>
      <c r="B1365" s="2">
        <v>45527.467354016204</v>
      </c>
      <c r="C1365" t="s">
        <v>8</v>
      </c>
      <c r="D1365" t="s">
        <v>592</v>
      </c>
      <c r="E1365">
        <v>3282</v>
      </c>
      <c r="F1365" t="s">
        <v>15</v>
      </c>
    </row>
    <row r="1366" spans="1:6" x14ac:dyDescent="0.35">
      <c r="A1366" s="1">
        <v>45527</v>
      </c>
      <c r="B1366" s="2">
        <v>45527.558966990742</v>
      </c>
      <c r="C1366" t="s">
        <v>8</v>
      </c>
      <c r="D1366" t="s">
        <v>593</v>
      </c>
      <c r="E1366">
        <v>2302</v>
      </c>
      <c r="F1366" t="s">
        <v>28</v>
      </c>
    </row>
    <row r="1367" spans="1:6" x14ac:dyDescent="0.35">
      <c r="A1367" s="1">
        <v>45527</v>
      </c>
      <c r="B1367" s="2">
        <v>45527.645055312503</v>
      </c>
      <c r="C1367" t="s">
        <v>8</v>
      </c>
      <c r="D1367" t="s">
        <v>594</v>
      </c>
      <c r="E1367">
        <v>2302</v>
      </c>
      <c r="F1367" t="s">
        <v>28</v>
      </c>
    </row>
    <row r="1368" spans="1:6" x14ac:dyDescent="0.35">
      <c r="A1368" s="1">
        <v>45527</v>
      </c>
      <c r="B1368" s="2">
        <v>45527.825032488428</v>
      </c>
      <c r="C1368" t="s">
        <v>8</v>
      </c>
      <c r="D1368" t="s">
        <v>21</v>
      </c>
      <c r="E1368">
        <v>3282</v>
      </c>
      <c r="F1368" t="s">
        <v>32</v>
      </c>
    </row>
    <row r="1369" spans="1:6" x14ac:dyDescent="0.35">
      <c r="A1369" s="1">
        <v>45528</v>
      </c>
      <c r="B1369" s="2">
        <v>45528.342850347224</v>
      </c>
      <c r="C1369" t="s">
        <v>8</v>
      </c>
      <c r="D1369" t="s">
        <v>40</v>
      </c>
      <c r="E1369">
        <v>2302</v>
      </c>
      <c r="F1369" t="s">
        <v>20</v>
      </c>
    </row>
    <row r="1370" spans="1:6" x14ac:dyDescent="0.35">
      <c r="A1370" s="1">
        <v>45528</v>
      </c>
      <c r="B1370" s="2">
        <v>45528.343606909722</v>
      </c>
      <c r="C1370" t="s">
        <v>8</v>
      </c>
      <c r="D1370" t="s">
        <v>40</v>
      </c>
      <c r="E1370">
        <v>2302</v>
      </c>
      <c r="F1370" t="s">
        <v>20</v>
      </c>
    </row>
    <row r="1371" spans="1:6" x14ac:dyDescent="0.35">
      <c r="A1371" s="1">
        <v>45528</v>
      </c>
      <c r="B1371" s="2">
        <v>45528.364022858797</v>
      </c>
      <c r="C1371" t="s">
        <v>8</v>
      </c>
      <c r="D1371" t="s">
        <v>595</v>
      </c>
      <c r="E1371">
        <v>2302</v>
      </c>
      <c r="F1371" t="s">
        <v>20</v>
      </c>
    </row>
    <row r="1372" spans="1:6" x14ac:dyDescent="0.35">
      <c r="A1372" s="1">
        <v>45528</v>
      </c>
      <c r="B1372" s="2">
        <v>45528.429276446761</v>
      </c>
      <c r="C1372" t="s">
        <v>8</v>
      </c>
      <c r="D1372" t="s">
        <v>596</v>
      </c>
      <c r="E1372">
        <v>1812</v>
      </c>
      <c r="F1372" t="s">
        <v>5</v>
      </c>
    </row>
    <row r="1373" spans="1:6" x14ac:dyDescent="0.35">
      <c r="A1373" s="1">
        <v>45528</v>
      </c>
      <c r="B1373" s="2">
        <v>45528.4297715625</v>
      </c>
      <c r="C1373" t="s">
        <v>8</v>
      </c>
      <c r="D1373" t="s">
        <v>596</v>
      </c>
      <c r="E1373">
        <v>1812</v>
      </c>
      <c r="F1373" t="s">
        <v>5</v>
      </c>
    </row>
    <row r="1374" spans="1:6" x14ac:dyDescent="0.35">
      <c r="A1374" s="1">
        <v>45528</v>
      </c>
      <c r="B1374" s="2">
        <v>45528.430431053239</v>
      </c>
      <c r="C1374" t="s">
        <v>8</v>
      </c>
      <c r="D1374" t="s">
        <v>596</v>
      </c>
      <c r="E1374">
        <v>2302</v>
      </c>
      <c r="F1374" t="s">
        <v>28</v>
      </c>
    </row>
    <row r="1375" spans="1:6" x14ac:dyDescent="0.35">
      <c r="A1375" s="1">
        <v>45529</v>
      </c>
      <c r="B1375" s="2">
        <v>45529.343488217593</v>
      </c>
      <c r="C1375" t="s">
        <v>8</v>
      </c>
      <c r="D1375" t="s">
        <v>40</v>
      </c>
      <c r="E1375">
        <v>2302</v>
      </c>
      <c r="F1375" t="s">
        <v>20</v>
      </c>
    </row>
    <row r="1376" spans="1:6" x14ac:dyDescent="0.35">
      <c r="A1376" s="1">
        <v>45529</v>
      </c>
      <c r="B1376" s="2">
        <v>45529.351709155089</v>
      </c>
      <c r="C1376" t="s">
        <v>8</v>
      </c>
      <c r="D1376" t="s">
        <v>461</v>
      </c>
      <c r="E1376">
        <v>2302</v>
      </c>
      <c r="F1376" t="s">
        <v>28</v>
      </c>
    </row>
    <row r="1377" spans="1:6" x14ac:dyDescent="0.35">
      <c r="A1377" s="1">
        <v>45529</v>
      </c>
      <c r="B1377" s="2">
        <v>45529.3525046875</v>
      </c>
      <c r="C1377" t="s">
        <v>8</v>
      </c>
      <c r="D1377" t="s">
        <v>461</v>
      </c>
      <c r="E1377">
        <v>2302</v>
      </c>
      <c r="F1377" t="s">
        <v>28</v>
      </c>
    </row>
    <row r="1378" spans="1:6" x14ac:dyDescent="0.35">
      <c r="A1378" s="1">
        <v>45529</v>
      </c>
      <c r="B1378" s="2">
        <v>45529.391924363423</v>
      </c>
      <c r="C1378" t="s">
        <v>8</v>
      </c>
      <c r="D1378" t="s">
        <v>597</v>
      </c>
      <c r="E1378">
        <v>3282</v>
      </c>
      <c r="F1378" t="s">
        <v>24</v>
      </c>
    </row>
    <row r="1379" spans="1:6" x14ac:dyDescent="0.35">
      <c r="A1379" s="1">
        <v>45529</v>
      </c>
      <c r="B1379" s="2">
        <v>45529.528966469908</v>
      </c>
      <c r="C1379" t="s">
        <v>8</v>
      </c>
      <c r="D1379" t="s">
        <v>598</v>
      </c>
      <c r="E1379">
        <v>3282</v>
      </c>
      <c r="F1379" t="s">
        <v>24</v>
      </c>
    </row>
    <row r="1380" spans="1:6" x14ac:dyDescent="0.35">
      <c r="A1380" s="1">
        <v>45529</v>
      </c>
      <c r="B1380" s="2">
        <v>45529.620170127317</v>
      </c>
      <c r="C1380" t="s">
        <v>8</v>
      </c>
      <c r="D1380" t="s">
        <v>133</v>
      </c>
      <c r="E1380">
        <v>3282</v>
      </c>
      <c r="F1380" t="s">
        <v>32</v>
      </c>
    </row>
    <row r="1381" spans="1:6" x14ac:dyDescent="0.35">
      <c r="A1381" s="1">
        <v>45530</v>
      </c>
      <c r="B1381" s="2">
        <v>45530.341519618058</v>
      </c>
      <c r="C1381" t="s">
        <v>8</v>
      </c>
      <c r="D1381" t="s">
        <v>40</v>
      </c>
      <c r="E1381">
        <v>2302</v>
      </c>
      <c r="F1381" t="s">
        <v>20</v>
      </c>
    </row>
    <row r="1382" spans="1:6" x14ac:dyDescent="0.35">
      <c r="A1382" s="1">
        <v>45530</v>
      </c>
      <c r="B1382" s="2">
        <v>45530.344555682874</v>
      </c>
      <c r="C1382" t="s">
        <v>8</v>
      </c>
      <c r="D1382" t="s">
        <v>461</v>
      </c>
      <c r="E1382">
        <v>2302</v>
      </c>
      <c r="F1382" t="s">
        <v>28</v>
      </c>
    </row>
    <row r="1383" spans="1:6" x14ac:dyDescent="0.35">
      <c r="A1383" s="1">
        <v>45530</v>
      </c>
      <c r="B1383" s="2">
        <v>45530.345407511573</v>
      </c>
      <c r="C1383" t="s">
        <v>8</v>
      </c>
      <c r="D1383" t="s">
        <v>461</v>
      </c>
      <c r="E1383">
        <v>2302</v>
      </c>
      <c r="F1383" t="s">
        <v>28</v>
      </c>
    </row>
    <row r="1384" spans="1:6" x14ac:dyDescent="0.35">
      <c r="A1384" s="1">
        <v>45530</v>
      </c>
      <c r="B1384" s="2">
        <v>45530.390008171293</v>
      </c>
      <c r="C1384" t="s">
        <v>8</v>
      </c>
      <c r="D1384" t="s">
        <v>11</v>
      </c>
      <c r="E1384">
        <v>2792</v>
      </c>
      <c r="F1384" t="s">
        <v>36</v>
      </c>
    </row>
    <row r="1385" spans="1:6" x14ac:dyDescent="0.35">
      <c r="A1385" s="1">
        <v>45530</v>
      </c>
      <c r="B1385" s="2">
        <v>45530.442875740744</v>
      </c>
      <c r="C1385" t="s">
        <v>8</v>
      </c>
      <c r="D1385" t="s">
        <v>599</v>
      </c>
      <c r="E1385">
        <v>3282</v>
      </c>
      <c r="F1385" t="s">
        <v>32</v>
      </c>
    </row>
    <row r="1386" spans="1:6" x14ac:dyDescent="0.35">
      <c r="A1386" s="1">
        <v>45530</v>
      </c>
      <c r="B1386" s="2">
        <v>45530.443623113424</v>
      </c>
      <c r="C1386" t="s">
        <v>8</v>
      </c>
      <c r="D1386" t="s">
        <v>600</v>
      </c>
      <c r="E1386">
        <v>3282</v>
      </c>
      <c r="F1386" t="s">
        <v>24</v>
      </c>
    </row>
    <row r="1387" spans="1:6" x14ac:dyDescent="0.35">
      <c r="A1387" s="1">
        <v>45530</v>
      </c>
      <c r="B1387" s="2">
        <v>45530.531402291665</v>
      </c>
      <c r="C1387" t="s">
        <v>8</v>
      </c>
      <c r="D1387" t="s">
        <v>62</v>
      </c>
      <c r="E1387">
        <v>2302</v>
      </c>
      <c r="F1387" t="s">
        <v>28</v>
      </c>
    </row>
    <row r="1388" spans="1:6" x14ac:dyDescent="0.35">
      <c r="A1388" s="1">
        <v>45530</v>
      </c>
      <c r="B1388" s="2">
        <v>45530.532218101849</v>
      </c>
      <c r="C1388" t="s">
        <v>8</v>
      </c>
      <c r="D1388" t="s">
        <v>62</v>
      </c>
      <c r="E1388">
        <v>2302</v>
      </c>
      <c r="F1388" t="s">
        <v>28</v>
      </c>
    </row>
    <row r="1389" spans="1:6" x14ac:dyDescent="0.35">
      <c r="A1389" s="1">
        <v>45530</v>
      </c>
      <c r="B1389" s="2">
        <v>45530.787127199073</v>
      </c>
      <c r="C1389" t="s">
        <v>8</v>
      </c>
      <c r="D1389" t="s">
        <v>601</v>
      </c>
      <c r="E1389">
        <v>2792</v>
      </c>
      <c r="F1389" t="s">
        <v>36</v>
      </c>
    </row>
    <row r="1390" spans="1:6" x14ac:dyDescent="0.35">
      <c r="A1390" s="1">
        <v>45530</v>
      </c>
      <c r="B1390" s="2">
        <v>45530.787862164354</v>
      </c>
      <c r="C1390" t="s">
        <v>8</v>
      </c>
      <c r="D1390" t="s">
        <v>601</v>
      </c>
      <c r="E1390">
        <v>3282</v>
      </c>
      <c r="F1390" t="s">
        <v>32</v>
      </c>
    </row>
    <row r="1391" spans="1:6" x14ac:dyDescent="0.35">
      <c r="A1391" s="1">
        <v>45530</v>
      </c>
      <c r="B1391" s="2">
        <v>45530.955322974536</v>
      </c>
      <c r="C1391" t="s">
        <v>8</v>
      </c>
      <c r="D1391" t="s">
        <v>602</v>
      </c>
      <c r="E1391">
        <v>2792</v>
      </c>
      <c r="F1391" t="s">
        <v>36</v>
      </c>
    </row>
    <row r="1392" spans="1:6" x14ac:dyDescent="0.35">
      <c r="A1392" s="1">
        <v>45531</v>
      </c>
      <c r="B1392" s="2">
        <v>45531.419497256946</v>
      </c>
      <c r="C1392" t="s">
        <v>8</v>
      </c>
      <c r="D1392" t="s">
        <v>428</v>
      </c>
      <c r="E1392">
        <v>3282</v>
      </c>
      <c r="F1392" t="s">
        <v>32</v>
      </c>
    </row>
    <row r="1393" spans="1:6" x14ac:dyDescent="0.35">
      <c r="A1393" s="1">
        <v>45532</v>
      </c>
      <c r="B1393" s="2">
        <v>45532.505772824072</v>
      </c>
      <c r="C1393" t="s">
        <v>8</v>
      </c>
      <c r="D1393" t="s">
        <v>603</v>
      </c>
      <c r="E1393">
        <v>2792</v>
      </c>
      <c r="F1393" t="s">
        <v>36</v>
      </c>
    </row>
    <row r="1394" spans="1:6" x14ac:dyDescent="0.35">
      <c r="A1394" s="1">
        <v>45532</v>
      </c>
      <c r="B1394" s="2">
        <v>45532.506992349539</v>
      </c>
      <c r="C1394" t="s">
        <v>8</v>
      </c>
      <c r="D1394" t="s">
        <v>603</v>
      </c>
      <c r="E1394">
        <v>3282</v>
      </c>
      <c r="F1394" t="s">
        <v>24</v>
      </c>
    </row>
    <row r="1395" spans="1:6" x14ac:dyDescent="0.35">
      <c r="A1395" s="1">
        <v>45532</v>
      </c>
      <c r="B1395" s="2">
        <v>45532.524385925928</v>
      </c>
      <c r="C1395" t="s">
        <v>8</v>
      </c>
      <c r="D1395" t="s">
        <v>428</v>
      </c>
      <c r="E1395">
        <v>2302</v>
      </c>
      <c r="F1395" t="s">
        <v>28</v>
      </c>
    </row>
    <row r="1396" spans="1:6" x14ac:dyDescent="0.35">
      <c r="A1396" s="1">
        <v>45532</v>
      </c>
      <c r="B1396" s="2">
        <v>45532.575407395831</v>
      </c>
      <c r="C1396" t="s">
        <v>8</v>
      </c>
      <c r="D1396" t="s">
        <v>604</v>
      </c>
      <c r="E1396">
        <v>2792</v>
      </c>
      <c r="F1396" t="s">
        <v>36</v>
      </c>
    </row>
    <row r="1397" spans="1:6" x14ac:dyDescent="0.35">
      <c r="A1397" s="1">
        <v>45533</v>
      </c>
      <c r="B1397" s="2">
        <v>45533.31215646991</v>
      </c>
      <c r="C1397" t="s">
        <v>8</v>
      </c>
      <c r="D1397" t="s">
        <v>605</v>
      </c>
      <c r="E1397">
        <v>2302</v>
      </c>
      <c r="F1397" t="s">
        <v>28</v>
      </c>
    </row>
    <row r="1398" spans="1:6" x14ac:dyDescent="0.35">
      <c r="A1398" s="1">
        <v>45534</v>
      </c>
      <c r="B1398" s="2">
        <v>45534.717713969905</v>
      </c>
      <c r="C1398" t="s">
        <v>8</v>
      </c>
      <c r="D1398" t="s">
        <v>606</v>
      </c>
      <c r="E1398">
        <v>3282</v>
      </c>
      <c r="F1398" t="s">
        <v>32</v>
      </c>
    </row>
    <row r="1399" spans="1:6" x14ac:dyDescent="0.35">
      <c r="A1399" s="1">
        <v>45534</v>
      </c>
      <c r="B1399" s="2">
        <v>45534.71843508102</v>
      </c>
      <c r="C1399" t="s">
        <v>8</v>
      </c>
      <c r="D1399" t="s">
        <v>606</v>
      </c>
      <c r="E1399">
        <v>2792</v>
      </c>
      <c r="F1399" t="s">
        <v>36</v>
      </c>
    </row>
    <row r="1400" spans="1:6" x14ac:dyDescent="0.35">
      <c r="A1400" s="1">
        <v>45534</v>
      </c>
      <c r="B1400" s="2">
        <v>45534.719160289351</v>
      </c>
      <c r="C1400" t="s">
        <v>8</v>
      </c>
      <c r="D1400" t="s">
        <v>606</v>
      </c>
      <c r="E1400">
        <v>2792</v>
      </c>
      <c r="F1400" t="s">
        <v>36</v>
      </c>
    </row>
    <row r="1401" spans="1:6" x14ac:dyDescent="0.35">
      <c r="A1401" s="1">
        <v>45535</v>
      </c>
      <c r="B1401" s="2">
        <v>45535.380931562497</v>
      </c>
      <c r="C1401" t="s">
        <v>8</v>
      </c>
      <c r="D1401" t="s">
        <v>424</v>
      </c>
      <c r="E1401">
        <v>2302</v>
      </c>
      <c r="F1401" t="s">
        <v>20</v>
      </c>
    </row>
    <row r="1402" spans="1:6" x14ac:dyDescent="0.35">
      <c r="A1402" s="1">
        <v>45535</v>
      </c>
      <c r="B1402" s="2">
        <v>45535.418150381942</v>
      </c>
      <c r="C1402" t="s">
        <v>8</v>
      </c>
      <c r="D1402" t="s">
        <v>607</v>
      </c>
      <c r="E1402">
        <v>2792</v>
      </c>
      <c r="F1402" t="s">
        <v>36</v>
      </c>
    </row>
    <row r="1403" spans="1:6" x14ac:dyDescent="0.35">
      <c r="A1403" s="1">
        <v>45535</v>
      </c>
      <c r="B1403" s="2">
        <v>45535.432255520835</v>
      </c>
      <c r="C1403" t="s">
        <v>8</v>
      </c>
      <c r="D1403" t="s">
        <v>608</v>
      </c>
      <c r="E1403">
        <v>1812</v>
      </c>
      <c r="F1403" t="s">
        <v>5</v>
      </c>
    </row>
    <row r="1404" spans="1:6" x14ac:dyDescent="0.35">
      <c r="A1404" s="1">
        <v>45535</v>
      </c>
      <c r="B1404" s="2">
        <v>45535.479103831021</v>
      </c>
      <c r="C1404" t="s">
        <v>8</v>
      </c>
      <c r="D1404" t="s">
        <v>609</v>
      </c>
      <c r="E1404">
        <v>2792</v>
      </c>
      <c r="F1404" t="s">
        <v>36</v>
      </c>
    </row>
    <row r="1405" spans="1:6" x14ac:dyDescent="0.35">
      <c r="A1405" s="1">
        <v>45535</v>
      </c>
      <c r="B1405" s="2">
        <v>45535.481711990738</v>
      </c>
      <c r="C1405" t="s">
        <v>8</v>
      </c>
      <c r="D1405" t="s">
        <v>40</v>
      </c>
      <c r="E1405">
        <v>2302</v>
      </c>
      <c r="F1405" t="s">
        <v>20</v>
      </c>
    </row>
    <row r="1406" spans="1:6" x14ac:dyDescent="0.35">
      <c r="A1406" s="1">
        <v>45535</v>
      </c>
      <c r="B1406" s="2">
        <v>45535.482325625002</v>
      </c>
      <c r="C1406" t="s">
        <v>8</v>
      </c>
      <c r="D1406" t="s">
        <v>40</v>
      </c>
      <c r="E1406">
        <v>2302</v>
      </c>
      <c r="F1406" t="s">
        <v>20</v>
      </c>
    </row>
    <row r="1407" spans="1:6" x14ac:dyDescent="0.35">
      <c r="A1407" s="1">
        <v>45536</v>
      </c>
      <c r="B1407" s="2">
        <v>45536.398787372687</v>
      </c>
      <c r="C1407" t="s">
        <v>8</v>
      </c>
      <c r="D1407" t="s">
        <v>40</v>
      </c>
      <c r="E1407">
        <v>2302</v>
      </c>
      <c r="F1407" t="s">
        <v>20</v>
      </c>
    </row>
    <row r="1408" spans="1:6" x14ac:dyDescent="0.35">
      <c r="A1408" s="1">
        <v>45536</v>
      </c>
      <c r="B1408" s="2">
        <v>45536.507925289348</v>
      </c>
      <c r="C1408" t="s">
        <v>8</v>
      </c>
      <c r="D1408" t="s">
        <v>610</v>
      </c>
      <c r="E1408">
        <v>3282</v>
      </c>
      <c r="F1408" t="s">
        <v>24</v>
      </c>
    </row>
    <row r="1409" spans="1:6" x14ac:dyDescent="0.35">
      <c r="A1409" s="1">
        <v>45536</v>
      </c>
      <c r="B1409" s="2">
        <v>45536.520933101849</v>
      </c>
      <c r="C1409" t="s">
        <v>8</v>
      </c>
      <c r="D1409" t="s">
        <v>235</v>
      </c>
      <c r="E1409">
        <v>2792</v>
      </c>
      <c r="F1409" t="s">
        <v>36</v>
      </c>
    </row>
    <row r="1410" spans="1:6" x14ac:dyDescent="0.35">
      <c r="A1410" s="1">
        <v>45536</v>
      </c>
      <c r="B1410" s="2">
        <v>45536.522476932871</v>
      </c>
      <c r="C1410" t="s">
        <v>8</v>
      </c>
      <c r="D1410" t="s">
        <v>235</v>
      </c>
      <c r="E1410">
        <v>2302</v>
      </c>
      <c r="F1410" t="s">
        <v>28</v>
      </c>
    </row>
    <row r="1411" spans="1:6" x14ac:dyDescent="0.35">
      <c r="A1411" s="1">
        <v>45536</v>
      </c>
      <c r="B1411" s="2">
        <v>45536.53492416667</v>
      </c>
      <c r="C1411" t="s">
        <v>8</v>
      </c>
      <c r="D1411" t="s">
        <v>611</v>
      </c>
      <c r="E1411">
        <v>2792</v>
      </c>
      <c r="F1411" t="s">
        <v>36</v>
      </c>
    </row>
    <row r="1412" spans="1:6" x14ac:dyDescent="0.35">
      <c r="A1412" s="1">
        <v>45536</v>
      </c>
      <c r="B1412" s="2">
        <v>45536.581642916666</v>
      </c>
      <c r="C1412" t="s">
        <v>8</v>
      </c>
      <c r="D1412" t="s">
        <v>612</v>
      </c>
      <c r="E1412">
        <v>3282</v>
      </c>
      <c r="F1412" t="s">
        <v>32</v>
      </c>
    </row>
    <row r="1413" spans="1:6" x14ac:dyDescent="0.35">
      <c r="A1413" s="1">
        <v>45536</v>
      </c>
      <c r="B1413" s="2">
        <v>45536.613935497684</v>
      </c>
      <c r="C1413" t="s">
        <v>8</v>
      </c>
      <c r="D1413" t="s">
        <v>438</v>
      </c>
      <c r="E1413">
        <v>2792</v>
      </c>
      <c r="F1413" t="s">
        <v>36</v>
      </c>
    </row>
    <row r="1414" spans="1:6" x14ac:dyDescent="0.35">
      <c r="A1414" s="1">
        <v>45536</v>
      </c>
      <c r="B1414" s="2">
        <v>45536.722758414355</v>
      </c>
      <c r="C1414" t="s">
        <v>8</v>
      </c>
      <c r="D1414" t="s">
        <v>613</v>
      </c>
      <c r="E1414">
        <v>3282</v>
      </c>
      <c r="F1414" t="s">
        <v>32</v>
      </c>
    </row>
    <row r="1415" spans="1:6" x14ac:dyDescent="0.35">
      <c r="A1415" s="1">
        <v>45536</v>
      </c>
      <c r="B1415" s="2">
        <v>45536.72446607639</v>
      </c>
      <c r="C1415" t="s">
        <v>8</v>
      </c>
      <c r="D1415" t="s">
        <v>614</v>
      </c>
      <c r="E1415">
        <v>3282</v>
      </c>
      <c r="F1415" t="s">
        <v>32</v>
      </c>
    </row>
    <row r="1416" spans="1:6" x14ac:dyDescent="0.35">
      <c r="A1416" s="1">
        <v>45536</v>
      </c>
      <c r="B1416" s="2">
        <v>45536.725575104167</v>
      </c>
      <c r="C1416" t="s">
        <v>8</v>
      </c>
      <c r="D1416" t="s">
        <v>615</v>
      </c>
      <c r="E1416">
        <v>3282</v>
      </c>
      <c r="F1416" t="s">
        <v>32</v>
      </c>
    </row>
    <row r="1417" spans="1:6" x14ac:dyDescent="0.35">
      <c r="A1417" s="1">
        <v>45537</v>
      </c>
      <c r="B1417" s="2">
        <v>45537.350460706017</v>
      </c>
      <c r="C1417" t="s">
        <v>8</v>
      </c>
      <c r="D1417" t="s">
        <v>478</v>
      </c>
      <c r="E1417">
        <v>3282</v>
      </c>
      <c r="F1417" t="s">
        <v>32</v>
      </c>
    </row>
    <row r="1418" spans="1:6" x14ac:dyDescent="0.35">
      <c r="A1418" s="1">
        <v>45537</v>
      </c>
      <c r="B1418" s="2">
        <v>45537.368259791663</v>
      </c>
      <c r="C1418" t="s">
        <v>8</v>
      </c>
      <c r="D1418" t="s">
        <v>616</v>
      </c>
      <c r="E1418">
        <v>2792</v>
      </c>
      <c r="F1418" t="s">
        <v>36</v>
      </c>
    </row>
    <row r="1419" spans="1:6" x14ac:dyDescent="0.35">
      <c r="A1419" s="1">
        <v>45537</v>
      </c>
      <c r="B1419" s="2">
        <v>45537.369133657405</v>
      </c>
      <c r="C1419" t="s">
        <v>8</v>
      </c>
      <c r="D1419" t="s">
        <v>617</v>
      </c>
      <c r="E1419">
        <v>3282</v>
      </c>
      <c r="F1419" t="s">
        <v>32</v>
      </c>
    </row>
    <row r="1420" spans="1:6" x14ac:dyDescent="0.35">
      <c r="A1420" s="1">
        <v>45537</v>
      </c>
      <c r="B1420" s="2">
        <v>45537.624156747683</v>
      </c>
      <c r="C1420" t="s">
        <v>8</v>
      </c>
      <c r="D1420" t="s">
        <v>618</v>
      </c>
      <c r="E1420">
        <v>2792</v>
      </c>
      <c r="F1420" t="s">
        <v>36</v>
      </c>
    </row>
    <row r="1421" spans="1:6" x14ac:dyDescent="0.35">
      <c r="A1421" s="1">
        <v>45537</v>
      </c>
      <c r="B1421" s="2">
        <v>45537.840091701386</v>
      </c>
      <c r="C1421" t="s">
        <v>8</v>
      </c>
      <c r="D1421" t="s">
        <v>619</v>
      </c>
      <c r="E1421">
        <v>3282</v>
      </c>
      <c r="F1421" t="s">
        <v>24</v>
      </c>
    </row>
    <row r="1422" spans="1:6" x14ac:dyDescent="0.35">
      <c r="A1422" s="1">
        <v>45537</v>
      </c>
      <c r="B1422" s="2">
        <v>45537.841179814815</v>
      </c>
      <c r="C1422" t="s">
        <v>8</v>
      </c>
      <c r="D1422" t="s">
        <v>233</v>
      </c>
      <c r="E1422">
        <v>3282</v>
      </c>
      <c r="F1422" t="s">
        <v>10</v>
      </c>
    </row>
    <row r="1423" spans="1:6" x14ac:dyDescent="0.35">
      <c r="A1423" s="1">
        <v>45537</v>
      </c>
      <c r="B1423" s="2">
        <v>45537.86981462963</v>
      </c>
      <c r="C1423" t="s">
        <v>8</v>
      </c>
      <c r="D1423" t="s">
        <v>620</v>
      </c>
      <c r="E1423">
        <v>2302</v>
      </c>
      <c r="F1423" t="s">
        <v>28</v>
      </c>
    </row>
    <row r="1424" spans="1:6" x14ac:dyDescent="0.35">
      <c r="A1424" s="1">
        <v>45537</v>
      </c>
      <c r="B1424" s="2">
        <v>45537.870475578704</v>
      </c>
      <c r="C1424" t="s">
        <v>8</v>
      </c>
      <c r="D1424" t="s">
        <v>620</v>
      </c>
      <c r="E1424">
        <v>2302</v>
      </c>
      <c r="F1424" t="s">
        <v>28</v>
      </c>
    </row>
    <row r="1425" spans="1:6" x14ac:dyDescent="0.35">
      <c r="A1425" s="1">
        <v>45538</v>
      </c>
      <c r="B1425" s="2">
        <v>45538.348788981479</v>
      </c>
      <c r="C1425" t="s">
        <v>8</v>
      </c>
      <c r="D1425" t="s">
        <v>621</v>
      </c>
      <c r="E1425">
        <v>3282</v>
      </c>
      <c r="F1425" t="s">
        <v>10</v>
      </c>
    </row>
    <row r="1426" spans="1:6" x14ac:dyDescent="0.35">
      <c r="A1426" s="1">
        <v>45538</v>
      </c>
      <c r="B1426" s="2">
        <v>45538.35292164352</v>
      </c>
      <c r="C1426" t="s">
        <v>8</v>
      </c>
      <c r="D1426" t="s">
        <v>222</v>
      </c>
      <c r="E1426">
        <v>3282</v>
      </c>
      <c r="F1426" t="s">
        <v>24</v>
      </c>
    </row>
    <row r="1427" spans="1:6" x14ac:dyDescent="0.35">
      <c r="A1427" s="1">
        <v>45538</v>
      </c>
      <c r="B1427" s="2">
        <v>45538.361940949071</v>
      </c>
      <c r="C1427" t="s">
        <v>8</v>
      </c>
      <c r="D1427" t="s">
        <v>622</v>
      </c>
      <c r="E1427">
        <v>3282</v>
      </c>
      <c r="F1427" t="s">
        <v>32</v>
      </c>
    </row>
    <row r="1428" spans="1:6" x14ac:dyDescent="0.35">
      <c r="A1428" s="1">
        <v>45538</v>
      </c>
      <c r="B1428" s="2">
        <v>45538.377227696757</v>
      </c>
      <c r="C1428" t="s">
        <v>8</v>
      </c>
      <c r="D1428" t="s">
        <v>623</v>
      </c>
      <c r="E1428">
        <v>2792</v>
      </c>
      <c r="F1428" t="s">
        <v>36</v>
      </c>
    </row>
    <row r="1429" spans="1:6" x14ac:dyDescent="0.35">
      <c r="A1429" s="1">
        <v>45538</v>
      </c>
      <c r="B1429" s="2">
        <v>45538.377913773147</v>
      </c>
      <c r="C1429" t="s">
        <v>8</v>
      </c>
      <c r="D1429" t="s">
        <v>623</v>
      </c>
      <c r="E1429">
        <v>3282</v>
      </c>
      <c r="F1429" t="s">
        <v>24</v>
      </c>
    </row>
    <row r="1430" spans="1:6" x14ac:dyDescent="0.35">
      <c r="A1430" s="1">
        <v>45538</v>
      </c>
      <c r="B1430" s="2">
        <v>45538.383890671299</v>
      </c>
      <c r="C1430" t="s">
        <v>8</v>
      </c>
      <c r="D1430" t="s">
        <v>624</v>
      </c>
      <c r="E1430">
        <v>3282</v>
      </c>
      <c r="F1430" t="s">
        <v>10</v>
      </c>
    </row>
    <row r="1431" spans="1:6" x14ac:dyDescent="0.35">
      <c r="A1431" s="1">
        <v>45538</v>
      </c>
      <c r="B1431" s="2">
        <v>45538.384417303241</v>
      </c>
      <c r="C1431" t="s">
        <v>8</v>
      </c>
      <c r="D1431" t="s">
        <v>624</v>
      </c>
      <c r="E1431">
        <v>3282</v>
      </c>
      <c r="F1431" t="s">
        <v>10</v>
      </c>
    </row>
    <row r="1432" spans="1:6" x14ac:dyDescent="0.35">
      <c r="A1432" s="1">
        <v>45538</v>
      </c>
      <c r="B1432" s="2">
        <v>45538.386831134259</v>
      </c>
      <c r="C1432" t="s">
        <v>8</v>
      </c>
      <c r="D1432" t="s">
        <v>438</v>
      </c>
      <c r="E1432">
        <v>2792</v>
      </c>
      <c r="F1432" t="s">
        <v>36</v>
      </c>
    </row>
    <row r="1433" spans="1:6" x14ac:dyDescent="0.35">
      <c r="A1433" s="1">
        <v>45538</v>
      </c>
      <c r="B1433" s="2">
        <v>45538.389087615738</v>
      </c>
      <c r="C1433" t="s">
        <v>8</v>
      </c>
      <c r="D1433" t="s">
        <v>625</v>
      </c>
      <c r="E1433">
        <v>2792</v>
      </c>
      <c r="F1433" t="s">
        <v>36</v>
      </c>
    </row>
    <row r="1434" spans="1:6" x14ac:dyDescent="0.35">
      <c r="A1434" s="1">
        <v>45538</v>
      </c>
      <c r="B1434" s="2">
        <v>45538.40130002315</v>
      </c>
      <c r="C1434" t="s">
        <v>8</v>
      </c>
      <c r="D1434" t="s">
        <v>626</v>
      </c>
      <c r="E1434">
        <v>3282</v>
      </c>
      <c r="F1434" t="s">
        <v>32</v>
      </c>
    </row>
    <row r="1435" spans="1:6" x14ac:dyDescent="0.35">
      <c r="A1435" s="1">
        <v>45538</v>
      </c>
      <c r="B1435" s="2">
        <v>45538.402041655092</v>
      </c>
      <c r="C1435" t="s">
        <v>8</v>
      </c>
      <c r="D1435" t="s">
        <v>627</v>
      </c>
      <c r="E1435">
        <v>3282</v>
      </c>
      <c r="F1435" t="s">
        <v>10</v>
      </c>
    </row>
    <row r="1436" spans="1:6" x14ac:dyDescent="0.35">
      <c r="A1436" s="1">
        <v>45538</v>
      </c>
      <c r="B1436" s="2">
        <v>45538.539507048612</v>
      </c>
      <c r="C1436" t="s">
        <v>8</v>
      </c>
      <c r="D1436" t="s">
        <v>628</v>
      </c>
      <c r="E1436">
        <v>2302</v>
      </c>
      <c r="F1436" t="s">
        <v>20</v>
      </c>
    </row>
    <row r="1437" spans="1:6" x14ac:dyDescent="0.35">
      <c r="A1437" s="1">
        <v>45538</v>
      </c>
      <c r="B1437" s="2">
        <v>45538.593654062497</v>
      </c>
      <c r="C1437" t="s">
        <v>8</v>
      </c>
      <c r="D1437" t="s">
        <v>386</v>
      </c>
      <c r="E1437">
        <v>2792</v>
      </c>
      <c r="F1437" t="s">
        <v>36</v>
      </c>
    </row>
    <row r="1438" spans="1:6" x14ac:dyDescent="0.35">
      <c r="A1438" s="1">
        <v>45538</v>
      </c>
      <c r="B1438" s="2">
        <v>45538.594645104167</v>
      </c>
      <c r="C1438" t="s">
        <v>8</v>
      </c>
      <c r="D1438" t="s">
        <v>386</v>
      </c>
      <c r="E1438">
        <v>2792</v>
      </c>
      <c r="F1438" t="s">
        <v>36</v>
      </c>
    </row>
    <row r="1439" spans="1:6" x14ac:dyDescent="0.35">
      <c r="A1439" s="1">
        <v>45538</v>
      </c>
      <c r="B1439" s="2">
        <v>45538.783735497687</v>
      </c>
      <c r="C1439" t="s">
        <v>8</v>
      </c>
      <c r="D1439" t="s">
        <v>386</v>
      </c>
      <c r="E1439">
        <v>2792</v>
      </c>
      <c r="F1439" t="s">
        <v>36</v>
      </c>
    </row>
    <row r="1440" spans="1:6" x14ac:dyDescent="0.35">
      <c r="A1440" s="1">
        <v>45538</v>
      </c>
      <c r="B1440" s="2">
        <v>45538.799448055557</v>
      </c>
      <c r="C1440" t="s">
        <v>8</v>
      </c>
      <c r="D1440" t="s">
        <v>520</v>
      </c>
      <c r="E1440">
        <v>3282</v>
      </c>
      <c r="F1440" t="s">
        <v>32</v>
      </c>
    </row>
    <row r="1441" spans="1:6" x14ac:dyDescent="0.35">
      <c r="A1441" s="1">
        <v>45538</v>
      </c>
      <c r="B1441" s="2">
        <v>45538.803632037037</v>
      </c>
      <c r="C1441" t="s">
        <v>8</v>
      </c>
      <c r="D1441" t="s">
        <v>520</v>
      </c>
      <c r="E1441">
        <v>2792</v>
      </c>
      <c r="F1441" t="s">
        <v>36</v>
      </c>
    </row>
    <row r="1442" spans="1:6" x14ac:dyDescent="0.35">
      <c r="A1442" s="1">
        <v>45539</v>
      </c>
      <c r="B1442" s="2">
        <v>45539.466221921299</v>
      </c>
      <c r="C1442" t="s">
        <v>8</v>
      </c>
      <c r="D1442" t="s">
        <v>629</v>
      </c>
      <c r="E1442">
        <v>2792</v>
      </c>
      <c r="F1442" t="s">
        <v>36</v>
      </c>
    </row>
    <row r="1443" spans="1:6" x14ac:dyDescent="0.35">
      <c r="A1443" s="1">
        <v>45539</v>
      </c>
      <c r="B1443" s="2">
        <v>45539.481673587965</v>
      </c>
      <c r="C1443" t="s">
        <v>8</v>
      </c>
      <c r="D1443" t="s">
        <v>562</v>
      </c>
      <c r="E1443">
        <v>3282</v>
      </c>
      <c r="F1443" t="s">
        <v>32</v>
      </c>
    </row>
    <row r="1444" spans="1:6" x14ac:dyDescent="0.35">
      <c r="A1444" s="1">
        <v>45539</v>
      </c>
      <c r="B1444" s="2">
        <v>45539.491707673609</v>
      </c>
      <c r="C1444" t="s">
        <v>8</v>
      </c>
      <c r="D1444" t="s">
        <v>76</v>
      </c>
      <c r="E1444">
        <v>2302</v>
      </c>
      <c r="F1444" t="s">
        <v>28</v>
      </c>
    </row>
    <row r="1445" spans="1:6" x14ac:dyDescent="0.35">
      <c r="A1445" s="1">
        <v>45539</v>
      </c>
      <c r="B1445" s="2">
        <v>45539.496926932872</v>
      </c>
      <c r="C1445" t="s">
        <v>8</v>
      </c>
      <c r="D1445" t="s">
        <v>630</v>
      </c>
      <c r="E1445">
        <v>2792</v>
      </c>
      <c r="F1445" t="s">
        <v>36</v>
      </c>
    </row>
    <row r="1446" spans="1:6" x14ac:dyDescent="0.35">
      <c r="A1446" s="1">
        <v>45539</v>
      </c>
      <c r="B1446" s="2">
        <v>45539.537168055555</v>
      </c>
      <c r="C1446" t="s">
        <v>8</v>
      </c>
      <c r="D1446" t="s">
        <v>617</v>
      </c>
      <c r="E1446">
        <v>3282</v>
      </c>
      <c r="F1446" t="s">
        <v>32</v>
      </c>
    </row>
    <row r="1447" spans="1:6" x14ac:dyDescent="0.35">
      <c r="A1447" s="1">
        <v>45539</v>
      </c>
      <c r="B1447" s="2">
        <v>45539.544335763887</v>
      </c>
      <c r="C1447" t="s">
        <v>8</v>
      </c>
      <c r="D1447" t="s">
        <v>631</v>
      </c>
      <c r="E1447">
        <v>3282</v>
      </c>
      <c r="F1447" t="s">
        <v>32</v>
      </c>
    </row>
    <row r="1448" spans="1:6" x14ac:dyDescent="0.35">
      <c r="A1448" s="1">
        <v>45539</v>
      </c>
      <c r="B1448" s="2">
        <v>45539.545325231484</v>
      </c>
      <c r="C1448" t="s">
        <v>8</v>
      </c>
      <c r="D1448" t="s">
        <v>631</v>
      </c>
      <c r="E1448">
        <v>2792</v>
      </c>
      <c r="F1448" t="s">
        <v>36</v>
      </c>
    </row>
    <row r="1449" spans="1:6" x14ac:dyDescent="0.35">
      <c r="A1449" s="1">
        <v>45539</v>
      </c>
      <c r="B1449" s="2">
        <v>45539.75262644676</v>
      </c>
      <c r="C1449" t="s">
        <v>8</v>
      </c>
      <c r="D1449" t="s">
        <v>632</v>
      </c>
      <c r="E1449">
        <v>3282</v>
      </c>
      <c r="F1449" t="s">
        <v>24</v>
      </c>
    </row>
    <row r="1450" spans="1:6" x14ac:dyDescent="0.35">
      <c r="A1450" s="1">
        <v>45539</v>
      </c>
      <c r="B1450" s="2">
        <v>45539.820624560183</v>
      </c>
      <c r="C1450" t="s">
        <v>8</v>
      </c>
      <c r="D1450" t="s">
        <v>11</v>
      </c>
      <c r="E1450">
        <v>2792</v>
      </c>
      <c r="F1450" t="s">
        <v>36</v>
      </c>
    </row>
    <row r="1451" spans="1:6" x14ac:dyDescent="0.35">
      <c r="A1451" s="1">
        <v>45539</v>
      </c>
      <c r="B1451" s="2">
        <v>45539.888607048611</v>
      </c>
      <c r="C1451" t="s">
        <v>8</v>
      </c>
      <c r="D1451" t="s">
        <v>547</v>
      </c>
      <c r="E1451">
        <v>3282</v>
      </c>
      <c r="F1451" t="s">
        <v>32</v>
      </c>
    </row>
    <row r="1452" spans="1:6" x14ac:dyDescent="0.35">
      <c r="A1452" s="1">
        <v>45540</v>
      </c>
      <c r="B1452" s="2">
        <v>45540.396724768521</v>
      </c>
      <c r="C1452" t="s">
        <v>8</v>
      </c>
      <c r="D1452" t="s">
        <v>438</v>
      </c>
      <c r="E1452">
        <v>2792</v>
      </c>
      <c r="F1452" t="s">
        <v>36</v>
      </c>
    </row>
    <row r="1453" spans="1:6" x14ac:dyDescent="0.35">
      <c r="A1453" s="1">
        <v>45540</v>
      </c>
      <c r="B1453" s="2">
        <v>45540.436761886573</v>
      </c>
      <c r="C1453" t="s">
        <v>8</v>
      </c>
      <c r="D1453" t="s">
        <v>633</v>
      </c>
      <c r="E1453">
        <v>2792</v>
      </c>
      <c r="F1453" t="s">
        <v>36</v>
      </c>
    </row>
    <row r="1454" spans="1:6" x14ac:dyDescent="0.35">
      <c r="A1454" s="1">
        <v>45540</v>
      </c>
      <c r="B1454" s="2">
        <v>45540.462854155092</v>
      </c>
      <c r="C1454" t="s">
        <v>8</v>
      </c>
      <c r="D1454" t="s">
        <v>76</v>
      </c>
      <c r="E1454">
        <v>2302</v>
      </c>
      <c r="F1454" t="s">
        <v>28</v>
      </c>
    </row>
    <row r="1455" spans="1:6" x14ac:dyDescent="0.35">
      <c r="A1455" s="1">
        <v>45540</v>
      </c>
      <c r="B1455" s="2">
        <v>45540.583654305556</v>
      </c>
      <c r="C1455" t="s">
        <v>8</v>
      </c>
      <c r="D1455" t="s">
        <v>634</v>
      </c>
      <c r="E1455">
        <v>3282</v>
      </c>
      <c r="F1455" t="s">
        <v>32</v>
      </c>
    </row>
    <row r="1456" spans="1:6" x14ac:dyDescent="0.35">
      <c r="A1456" s="1">
        <v>45540</v>
      </c>
      <c r="B1456" s="2">
        <v>45540.642503958334</v>
      </c>
      <c r="C1456" t="s">
        <v>8</v>
      </c>
      <c r="D1456" t="s">
        <v>635</v>
      </c>
      <c r="E1456">
        <v>3282</v>
      </c>
      <c r="F1456" t="s">
        <v>32</v>
      </c>
    </row>
    <row r="1457" spans="1:6" x14ac:dyDescent="0.35">
      <c r="A1457" s="1">
        <v>45540</v>
      </c>
      <c r="B1457" s="2">
        <v>45540.693638715275</v>
      </c>
      <c r="C1457" t="s">
        <v>8</v>
      </c>
      <c r="D1457" t="s">
        <v>636</v>
      </c>
      <c r="E1457">
        <v>2302</v>
      </c>
      <c r="F1457" t="s">
        <v>28</v>
      </c>
    </row>
    <row r="1458" spans="1:6" x14ac:dyDescent="0.35">
      <c r="A1458" s="1">
        <v>45540</v>
      </c>
      <c r="B1458" s="2">
        <v>45540.694440208332</v>
      </c>
      <c r="C1458" t="s">
        <v>8</v>
      </c>
      <c r="D1458" t="s">
        <v>637</v>
      </c>
      <c r="E1458">
        <v>2792</v>
      </c>
      <c r="F1458" t="s">
        <v>36</v>
      </c>
    </row>
    <row r="1459" spans="1:6" x14ac:dyDescent="0.35">
      <c r="A1459" s="1">
        <v>45540</v>
      </c>
      <c r="B1459" s="2">
        <v>45540.711445659719</v>
      </c>
      <c r="C1459" t="s">
        <v>8</v>
      </c>
      <c r="D1459" t="s">
        <v>638</v>
      </c>
      <c r="E1459">
        <v>3282</v>
      </c>
      <c r="F1459" t="s">
        <v>24</v>
      </c>
    </row>
    <row r="1460" spans="1:6" x14ac:dyDescent="0.35">
      <c r="A1460" s="1">
        <v>45540</v>
      </c>
      <c r="B1460" s="2">
        <v>45540.712172268519</v>
      </c>
      <c r="C1460" t="s">
        <v>8</v>
      </c>
      <c r="D1460" t="s">
        <v>638</v>
      </c>
      <c r="E1460">
        <v>3282</v>
      </c>
      <c r="F1460" t="s">
        <v>24</v>
      </c>
    </row>
    <row r="1461" spans="1:6" x14ac:dyDescent="0.35">
      <c r="A1461" s="1">
        <v>45540</v>
      </c>
      <c r="B1461" s="2">
        <v>45540.854339861115</v>
      </c>
      <c r="C1461" t="s">
        <v>8</v>
      </c>
      <c r="D1461" t="s">
        <v>639</v>
      </c>
      <c r="E1461">
        <v>3282</v>
      </c>
      <c r="F1461" t="s">
        <v>24</v>
      </c>
    </row>
    <row r="1462" spans="1:6" x14ac:dyDescent="0.35">
      <c r="A1462" s="1">
        <v>45540</v>
      </c>
      <c r="B1462" s="2">
        <v>45540.871116076392</v>
      </c>
      <c r="C1462" t="s">
        <v>8</v>
      </c>
      <c r="D1462" t="s">
        <v>640</v>
      </c>
      <c r="E1462">
        <v>2302</v>
      </c>
      <c r="F1462" t="s">
        <v>28</v>
      </c>
    </row>
    <row r="1463" spans="1:6" x14ac:dyDescent="0.35">
      <c r="A1463" s="1">
        <v>45540</v>
      </c>
      <c r="B1463" s="2">
        <v>45540.871891539355</v>
      </c>
      <c r="C1463" t="s">
        <v>8</v>
      </c>
      <c r="D1463" t="s">
        <v>640</v>
      </c>
      <c r="E1463">
        <v>3282</v>
      </c>
      <c r="F1463" t="s">
        <v>24</v>
      </c>
    </row>
    <row r="1464" spans="1:6" x14ac:dyDescent="0.35">
      <c r="A1464" s="1">
        <v>45540</v>
      </c>
      <c r="B1464" s="2">
        <v>45540.893389305558</v>
      </c>
      <c r="C1464" t="s">
        <v>8</v>
      </c>
      <c r="D1464" t="s">
        <v>16</v>
      </c>
      <c r="E1464">
        <v>2792</v>
      </c>
      <c r="F1464" t="s">
        <v>36</v>
      </c>
    </row>
    <row r="1465" spans="1:6" x14ac:dyDescent="0.35">
      <c r="A1465" s="1">
        <v>45540</v>
      </c>
      <c r="B1465" s="2">
        <v>45540.894096863427</v>
      </c>
      <c r="C1465" t="s">
        <v>8</v>
      </c>
      <c r="D1465" t="s">
        <v>16</v>
      </c>
      <c r="E1465">
        <v>2792</v>
      </c>
      <c r="F1465" t="s">
        <v>36</v>
      </c>
    </row>
    <row r="1466" spans="1:6" x14ac:dyDescent="0.35">
      <c r="A1466" s="1">
        <v>45541</v>
      </c>
      <c r="B1466" s="2">
        <v>45541.351086458337</v>
      </c>
      <c r="C1466" t="s">
        <v>8</v>
      </c>
      <c r="D1466" t="s">
        <v>634</v>
      </c>
      <c r="E1466">
        <v>3282</v>
      </c>
      <c r="F1466" t="s">
        <v>24</v>
      </c>
    </row>
    <row r="1467" spans="1:6" x14ac:dyDescent="0.35">
      <c r="A1467" s="1">
        <v>45541</v>
      </c>
      <c r="B1467" s="2">
        <v>45541.357486423614</v>
      </c>
      <c r="C1467" t="s">
        <v>8</v>
      </c>
      <c r="D1467" t="s">
        <v>478</v>
      </c>
      <c r="E1467">
        <v>3282</v>
      </c>
      <c r="F1467" t="s">
        <v>32</v>
      </c>
    </row>
    <row r="1468" spans="1:6" x14ac:dyDescent="0.35">
      <c r="A1468" s="1">
        <v>45541</v>
      </c>
      <c r="B1468" s="2">
        <v>45541.371318865742</v>
      </c>
      <c r="C1468" t="s">
        <v>8</v>
      </c>
      <c r="D1468" t="s">
        <v>641</v>
      </c>
      <c r="E1468">
        <v>2302</v>
      </c>
      <c r="F1468" t="s">
        <v>28</v>
      </c>
    </row>
    <row r="1469" spans="1:6" x14ac:dyDescent="0.35">
      <c r="A1469" s="1">
        <v>45541</v>
      </c>
      <c r="B1469" s="2">
        <v>45541.410184594904</v>
      </c>
      <c r="C1469" t="s">
        <v>8</v>
      </c>
      <c r="D1469" t="s">
        <v>642</v>
      </c>
      <c r="E1469">
        <v>1812</v>
      </c>
      <c r="F1469" t="s">
        <v>5</v>
      </c>
    </row>
    <row r="1470" spans="1:6" x14ac:dyDescent="0.35">
      <c r="A1470" s="1">
        <v>45541</v>
      </c>
      <c r="B1470" s="2">
        <v>45541.411021018517</v>
      </c>
      <c r="C1470" t="s">
        <v>8</v>
      </c>
      <c r="D1470" t="s">
        <v>642</v>
      </c>
      <c r="E1470">
        <v>3282</v>
      </c>
      <c r="F1470" t="s">
        <v>32</v>
      </c>
    </row>
    <row r="1471" spans="1:6" x14ac:dyDescent="0.35">
      <c r="A1471" s="1">
        <v>45541</v>
      </c>
      <c r="B1471" s="2">
        <v>45541.437570011571</v>
      </c>
      <c r="C1471" t="s">
        <v>8</v>
      </c>
      <c r="D1471" t="s">
        <v>643</v>
      </c>
      <c r="E1471">
        <v>3282</v>
      </c>
      <c r="F1471" t="s">
        <v>15</v>
      </c>
    </row>
    <row r="1472" spans="1:6" x14ac:dyDescent="0.35">
      <c r="A1472" s="1">
        <v>45541</v>
      </c>
      <c r="B1472" s="2">
        <v>45541.474599421294</v>
      </c>
      <c r="C1472" t="s">
        <v>8</v>
      </c>
      <c r="D1472" t="s">
        <v>151</v>
      </c>
      <c r="E1472">
        <v>1812</v>
      </c>
      <c r="F1472" t="s">
        <v>5</v>
      </c>
    </row>
    <row r="1473" spans="1:6" x14ac:dyDescent="0.35">
      <c r="A1473" s="1">
        <v>45541</v>
      </c>
      <c r="B1473" s="2">
        <v>45541.475338587959</v>
      </c>
      <c r="C1473" t="s">
        <v>8</v>
      </c>
      <c r="D1473" t="s">
        <v>520</v>
      </c>
      <c r="E1473">
        <v>1812</v>
      </c>
      <c r="F1473" t="s">
        <v>5</v>
      </c>
    </row>
    <row r="1474" spans="1:6" x14ac:dyDescent="0.35">
      <c r="A1474" s="1">
        <v>45541</v>
      </c>
      <c r="B1474" s="2">
        <v>45541.833472511571</v>
      </c>
      <c r="C1474" t="s">
        <v>8</v>
      </c>
      <c r="D1474" t="s">
        <v>336</v>
      </c>
      <c r="E1474">
        <v>3282</v>
      </c>
      <c r="F1474" t="s">
        <v>32</v>
      </c>
    </row>
    <row r="1475" spans="1:6" x14ac:dyDescent="0.35">
      <c r="A1475" s="1">
        <v>45541</v>
      </c>
      <c r="B1475" s="2">
        <v>45541.881611655095</v>
      </c>
      <c r="C1475" t="s">
        <v>8</v>
      </c>
      <c r="D1475" t="s">
        <v>21</v>
      </c>
      <c r="E1475">
        <v>3282</v>
      </c>
      <c r="F1475" t="s">
        <v>32</v>
      </c>
    </row>
    <row r="1476" spans="1:6" x14ac:dyDescent="0.35">
      <c r="A1476" s="1">
        <v>45542</v>
      </c>
      <c r="B1476" s="2">
        <v>45542.367326550928</v>
      </c>
      <c r="C1476" t="s">
        <v>8</v>
      </c>
      <c r="D1476" t="s">
        <v>644</v>
      </c>
      <c r="E1476">
        <v>3282</v>
      </c>
      <c r="F1476" t="s">
        <v>32</v>
      </c>
    </row>
    <row r="1477" spans="1:6" x14ac:dyDescent="0.35">
      <c r="A1477" s="1">
        <v>45542</v>
      </c>
      <c r="B1477" s="2">
        <v>45542.411145821759</v>
      </c>
      <c r="C1477" t="s">
        <v>8</v>
      </c>
      <c r="D1477" t="s">
        <v>595</v>
      </c>
      <c r="E1477">
        <v>2302</v>
      </c>
      <c r="F1477" t="s">
        <v>20</v>
      </c>
    </row>
    <row r="1478" spans="1:6" x14ac:dyDescent="0.35">
      <c r="A1478" s="1">
        <v>45542</v>
      </c>
      <c r="B1478" s="2">
        <v>45542.411846932868</v>
      </c>
      <c r="C1478" t="s">
        <v>8</v>
      </c>
      <c r="D1478" t="s">
        <v>595</v>
      </c>
      <c r="E1478">
        <v>2302</v>
      </c>
      <c r="F1478" t="s">
        <v>20</v>
      </c>
    </row>
    <row r="1479" spans="1:6" x14ac:dyDescent="0.35">
      <c r="A1479" s="1">
        <v>45542</v>
      </c>
      <c r="B1479" s="2">
        <v>45542.412981631947</v>
      </c>
      <c r="C1479" t="s">
        <v>8</v>
      </c>
      <c r="D1479" t="s">
        <v>645</v>
      </c>
      <c r="E1479">
        <v>2302</v>
      </c>
      <c r="F1479" t="s">
        <v>20</v>
      </c>
    </row>
    <row r="1480" spans="1:6" x14ac:dyDescent="0.35">
      <c r="A1480" s="1">
        <v>45542</v>
      </c>
      <c r="B1480" s="2">
        <v>45542.415134861112</v>
      </c>
      <c r="C1480" t="s">
        <v>8</v>
      </c>
      <c r="D1480" t="s">
        <v>29</v>
      </c>
      <c r="E1480">
        <v>2792</v>
      </c>
      <c r="F1480" t="s">
        <v>36</v>
      </c>
    </row>
    <row r="1481" spans="1:6" x14ac:dyDescent="0.35">
      <c r="A1481" s="1">
        <v>45542</v>
      </c>
      <c r="B1481" s="2">
        <v>45542.415998958335</v>
      </c>
      <c r="C1481" t="s">
        <v>8</v>
      </c>
      <c r="D1481" t="s">
        <v>29</v>
      </c>
      <c r="E1481">
        <v>2792</v>
      </c>
      <c r="F1481" t="s">
        <v>36</v>
      </c>
    </row>
    <row r="1482" spans="1:6" x14ac:dyDescent="0.35">
      <c r="A1482" s="1">
        <v>45542</v>
      </c>
      <c r="B1482" s="2">
        <v>45542.416894479167</v>
      </c>
      <c r="C1482" t="s">
        <v>8</v>
      </c>
      <c r="D1482" t="s">
        <v>40</v>
      </c>
      <c r="E1482">
        <v>2302</v>
      </c>
      <c r="F1482" t="s">
        <v>20</v>
      </c>
    </row>
    <row r="1483" spans="1:6" x14ac:dyDescent="0.35">
      <c r="A1483" s="1">
        <v>45542</v>
      </c>
      <c r="B1483" s="2">
        <v>45542.432459699077</v>
      </c>
      <c r="C1483" t="s">
        <v>8</v>
      </c>
      <c r="D1483" t="s">
        <v>646</v>
      </c>
      <c r="E1483">
        <v>2302</v>
      </c>
      <c r="F1483" t="s">
        <v>28</v>
      </c>
    </row>
    <row r="1484" spans="1:6" x14ac:dyDescent="0.35">
      <c r="A1484" s="1">
        <v>45542</v>
      </c>
      <c r="B1484" s="2">
        <v>45542.442966840281</v>
      </c>
      <c r="C1484" t="s">
        <v>8</v>
      </c>
      <c r="D1484" t="s">
        <v>647</v>
      </c>
      <c r="E1484">
        <v>1812</v>
      </c>
      <c r="F1484" t="s">
        <v>5</v>
      </c>
    </row>
    <row r="1485" spans="1:6" x14ac:dyDescent="0.35">
      <c r="A1485" s="1">
        <v>45542</v>
      </c>
      <c r="B1485" s="2">
        <v>45542.444590358798</v>
      </c>
      <c r="C1485" t="s">
        <v>8</v>
      </c>
      <c r="D1485" t="s">
        <v>647</v>
      </c>
      <c r="E1485">
        <v>1812</v>
      </c>
      <c r="F1485" t="s">
        <v>5</v>
      </c>
    </row>
    <row r="1486" spans="1:6" x14ac:dyDescent="0.35">
      <c r="A1486" s="1">
        <v>45542</v>
      </c>
      <c r="B1486" s="2">
        <v>45542.453845150463</v>
      </c>
      <c r="C1486" t="s">
        <v>8</v>
      </c>
      <c r="D1486" t="s">
        <v>648</v>
      </c>
      <c r="E1486">
        <v>3282</v>
      </c>
      <c r="F1486" t="s">
        <v>32</v>
      </c>
    </row>
    <row r="1487" spans="1:6" x14ac:dyDescent="0.35">
      <c r="A1487" s="1">
        <v>45542</v>
      </c>
      <c r="B1487" s="2">
        <v>45542.471490358796</v>
      </c>
      <c r="C1487" t="s">
        <v>8</v>
      </c>
      <c r="D1487" t="s">
        <v>43</v>
      </c>
      <c r="E1487">
        <v>2792</v>
      </c>
      <c r="F1487" t="s">
        <v>36</v>
      </c>
    </row>
    <row r="1488" spans="1:6" x14ac:dyDescent="0.35">
      <c r="A1488" s="1">
        <v>45542</v>
      </c>
      <c r="B1488" s="2">
        <v>45542.472222476848</v>
      </c>
      <c r="C1488" t="s">
        <v>8</v>
      </c>
      <c r="D1488" t="s">
        <v>76</v>
      </c>
      <c r="E1488">
        <v>2302</v>
      </c>
      <c r="F1488" t="s">
        <v>28</v>
      </c>
    </row>
    <row r="1489" spans="1:6" x14ac:dyDescent="0.35">
      <c r="A1489" s="1">
        <v>45542</v>
      </c>
      <c r="B1489" s="2">
        <v>45542.472883113427</v>
      </c>
      <c r="C1489" t="s">
        <v>8</v>
      </c>
      <c r="D1489" t="s">
        <v>43</v>
      </c>
      <c r="E1489">
        <v>1812</v>
      </c>
      <c r="F1489" t="s">
        <v>5</v>
      </c>
    </row>
    <row r="1490" spans="1:6" x14ac:dyDescent="0.35">
      <c r="A1490" s="1">
        <v>45542</v>
      </c>
      <c r="B1490" s="2">
        <v>45542.663293206017</v>
      </c>
      <c r="C1490" t="s">
        <v>8</v>
      </c>
      <c r="D1490" t="s">
        <v>649</v>
      </c>
      <c r="E1490">
        <v>3282</v>
      </c>
      <c r="F1490" t="s">
        <v>32</v>
      </c>
    </row>
    <row r="1491" spans="1:6" x14ac:dyDescent="0.35">
      <c r="A1491" s="1">
        <v>45542</v>
      </c>
      <c r="B1491" s="2">
        <v>45542.680567418982</v>
      </c>
      <c r="C1491" t="s">
        <v>8</v>
      </c>
      <c r="D1491" t="s">
        <v>76</v>
      </c>
      <c r="E1491">
        <v>2302</v>
      </c>
      <c r="F1491" t="s">
        <v>28</v>
      </c>
    </row>
    <row r="1492" spans="1:6" x14ac:dyDescent="0.35">
      <c r="A1492" s="1">
        <v>45542</v>
      </c>
      <c r="B1492" s="2">
        <v>45542.681242037041</v>
      </c>
      <c r="C1492" t="s">
        <v>8</v>
      </c>
      <c r="D1492" t="s">
        <v>43</v>
      </c>
      <c r="E1492">
        <v>1812</v>
      </c>
      <c r="F1492" t="s">
        <v>5</v>
      </c>
    </row>
    <row r="1493" spans="1:6" x14ac:dyDescent="0.35">
      <c r="A1493" s="1">
        <v>45542</v>
      </c>
      <c r="B1493" s="2">
        <v>45542.816029363428</v>
      </c>
      <c r="C1493" t="s">
        <v>8</v>
      </c>
      <c r="D1493" t="s">
        <v>336</v>
      </c>
      <c r="E1493">
        <v>3282</v>
      </c>
      <c r="F1493" t="s">
        <v>10</v>
      </c>
    </row>
    <row r="1494" spans="1:6" x14ac:dyDescent="0.35">
      <c r="A1494" s="1">
        <v>45542</v>
      </c>
      <c r="B1494" s="2">
        <v>45542.816725185185</v>
      </c>
      <c r="C1494" t="s">
        <v>8</v>
      </c>
      <c r="D1494" t="s">
        <v>336</v>
      </c>
      <c r="E1494">
        <v>3282</v>
      </c>
      <c r="F1494" t="s">
        <v>32</v>
      </c>
    </row>
    <row r="1495" spans="1:6" x14ac:dyDescent="0.35">
      <c r="A1495" s="1">
        <v>45542</v>
      </c>
      <c r="B1495" s="2">
        <v>45542.817540682867</v>
      </c>
      <c r="C1495" t="s">
        <v>8</v>
      </c>
      <c r="D1495" t="s">
        <v>336</v>
      </c>
      <c r="E1495">
        <v>3282</v>
      </c>
      <c r="F1495" t="s">
        <v>32</v>
      </c>
    </row>
    <row r="1496" spans="1:6" x14ac:dyDescent="0.35">
      <c r="A1496" s="1">
        <v>45542</v>
      </c>
      <c r="B1496" s="2">
        <v>45542.842959166665</v>
      </c>
      <c r="C1496" t="s">
        <v>8</v>
      </c>
      <c r="D1496" t="s">
        <v>650</v>
      </c>
      <c r="E1496">
        <v>3282</v>
      </c>
      <c r="F1496" t="s">
        <v>32</v>
      </c>
    </row>
    <row r="1497" spans="1:6" x14ac:dyDescent="0.35">
      <c r="A1497" s="1">
        <v>45542</v>
      </c>
      <c r="B1497" s="2">
        <v>45542.843740879631</v>
      </c>
      <c r="C1497" t="s">
        <v>8</v>
      </c>
      <c r="D1497" t="s">
        <v>650</v>
      </c>
      <c r="E1497">
        <v>3282</v>
      </c>
      <c r="F1497" t="s">
        <v>32</v>
      </c>
    </row>
    <row r="1498" spans="1:6" x14ac:dyDescent="0.35">
      <c r="A1498" s="1">
        <v>45543</v>
      </c>
      <c r="B1498" s="2">
        <v>45543.344222280095</v>
      </c>
      <c r="C1498" t="s">
        <v>8</v>
      </c>
      <c r="D1498" t="s">
        <v>40</v>
      </c>
      <c r="E1498">
        <v>2302</v>
      </c>
      <c r="F1498" t="s">
        <v>20</v>
      </c>
    </row>
    <row r="1499" spans="1:6" x14ac:dyDescent="0.35">
      <c r="A1499" s="1">
        <v>45543</v>
      </c>
      <c r="B1499" s="2">
        <v>45543.387697071761</v>
      </c>
      <c r="C1499" t="s">
        <v>8</v>
      </c>
      <c r="D1499" t="s">
        <v>595</v>
      </c>
      <c r="E1499">
        <v>2302</v>
      </c>
      <c r="F1499" t="s">
        <v>20</v>
      </c>
    </row>
    <row r="1500" spans="1:6" x14ac:dyDescent="0.35">
      <c r="A1500" s="1">
        <v>45543</v>
      </c>
      <c r="B1500" s="2">
        <v>45543.38833814815</v>
      </c>
      <c r="C1500" t="s">
        <v>8</v>
      </c>
      <c r="D1500" t="s">
        <v>595</v>
      </c>
      <c r="E1500">
        <v>2302</v>
      </c>
      <c r="F1500" t="s">
        <v>20</v>
      </c>
    </row>
    <row r="1501" spans="1:6" x14ac:dyDescent="0.35">
      <c r="A1501" s="1">
        <v>45543</v>
      </c>
      <c r="B1501" s="2">
        <v>45543.420788715281</v>
      </c>
      <c r="C1501" t="s">
        <v>8</v>
      </c>
      <c r="D1501" t="s">
        <v>595</v>
      </c>
      <c r="E1501">
        <v>2302</v>
      </c>
      <c r="F1501" t="s">
        <v>20</v>
      </c>
    </row>
    <row r="1502" spans="1:6" x14ac:dyDescent="0.35">
      <c r="A1502" s="1">
        <v>45543</v>
      </c>
      <c r="B1502" s="2">
        <v>45543.530185497686</v>
      </c>
      <c r="C1502" t="s">
        <v>8</v>
      </c>
      <c r="D1502" t="s">
        <v>539</v>
      </c>
      <c r="E1502">
        <v>2302</v>
      </c>
      <c r="F1502" t="s">
        <v>20</v>
      </c>
    </row>
    <row r="1503" spans="1:6" x14ac:dyDescent="0.35">
      <c r="A1503" s="1">
        <v>45543</v>
      </c>
      <c r="B1503" s="2">
        <v>45543.84274148148</v>
      </c>
      <c r="C1503" t="s">
        <v>8</v>
      </c>
      <c r="D1503" t="s">
        <v>400</v>
      </c>
      <c r="E1503">
        <v>2302</v>
      </c>
      <c r="F1503" t="s">
        <v>28</v>
      </c>
    </row>
    <row r="1504" spans="1:6" x14ac:dyDescent="0.35">
      <c r="A1504" s="1">
        <v>45544</v>
      </c>
      <c r="B1504" s="2">
        <v>45544.327240324077</v>
      </c>
      <c r="C1504" t="s">
        <v>8</v>
      </c>
      <c r="D1504" t="s">
        <v>651</v>
      </c>
      <c r="E1504">
        <v>3282</v>
      </c>
      <c r="F1504" t="s">
        <v>32</v>
      </c>
    </row>
    <row r="1505" spans="1:6" x14ac:dyDescent="0.35">
      <c r="A1505" s="1">
        <v>45544</v>
      </c>
      <c r="B1505" s="2">
        <v>45544.329068935185</v>
      </c>
      <c r="C1505" t="s">
        <v>8</v>
      </c>
      <c r="D1505" t="s">
        <v>634</v>
      </c>
      <c r="E1505">
        <v>3282</v>
      </c>
      <c r="F1505" t="s">
        <v>24</v>
      </c>
    </row>
    <row r="1506" spans="1:6" x14ac:dyDescent="0.35">
      <c r="A1506" s="1">
        <v>45544</v>
      </c>
      <c r="B1506" s="2">
        <v>45544.330110925926</v>
      </c>
      <c r="C1506" t="s">
        <v>8</v>
      </c>
      <c r="D1506" t="s">
        <v>651</v>
      </c>
      <c r="E1506">
        <v>2792</v>
      </c>
      <c r="F1506" t="s">
        <v>36</v>
      </c>
    </row>
    <row r="1507" spans="1:6" x14ac:dyDescent="0.35">
      <c r="A1507" s="1">
        <v>45544</v>
      </c>
      <c r="B1507" s="2">
        <v>45544.330991539355</v>
      </c>
      <c r="C1507" t="s">
        <v>8</v>
      </c>
      <c r="D1507" t="s">
        <v>622</v>
      </c>
      <c r="E1507">
        <v>3282</v>
      </c>
      <c r="F1507" t="s">
        <v>32</v>
      </c>
    </row>
    <row r="1508" spans="1:6" x14ac:dyDescent="0.35">
      <c r="A1508" s="1">
        <v>45544</v>
      </c>
      <c r="B1508" s="2">
        <v>45544.409614629629</v>
      </c>
      <c r="C1508" t="s">
        <v>8</v>
      </c>
      <c r="D1508" t="s">
        <v>635</v>
      </c>
      <c r="E1508">
        <v>3282</v>
      </c>
      <c r="F1508" t="s">
        <v>32</v>
      </c>
    </row>
    <row r="1509" spans="1:6" x14ac:dyDescent="0.35">
      <c r="A1509" s="1">
        <v>45544</v>
      </c>
      <c r="B1509" s="2">
        <v>45544.410321041665</v>
      </c>
      <c r="C1509" t="s">
        <v>8</v>
      </c>
      <c r="D1509" t="s">
        <v>635</v>
      </c>
      <c r="E1509">
        <v>3282</v>
      </c>
      <c r="F1509" t="s">
        <v>15</v>
      </c>
    </row>
    <row r="1510" spans="1:6" x14ac:dyDescent="0.35">
      <c r="A1510" s="1">
        <v>45544</v>
      </c>
      <c r="B1510" s="2">
        <v>45544.416096643516</v>
      </c>
      <c r="C1510" t="s">
        <v>8</v>
      </c>
      <c r="D1510" t="s">
        <v>547</v>
      </c>
      <c r="E1510">
        <v>3282</v>
      </c>
      <c r="F1510" t="s">
        <v>32</v>
      </c>
    </row>
    <row r="1511" spans="1:6" x14ac:dyDescent="0.35">
      <c r="A1511" s="1">
        <v>45544</v>
      </c>
      <c r="B1511" s="2">
        <v>45544.466390300928</v>
      </c>
      <c r="C1511" t="s">
        <v>8</v>
      </c>
      <c r="D1511" t="s">
        <v>652</v>
      </c>
      <c r="E1511">
        <v>2792</v>
      </c>
      <c r="F1511" t="s">
        <v>36</v>
      </c>
    </row>
    <row r="1512" spans="1:6" x14ac:dyDescent="0.35">
      <c r="A1512" s="1">
        <v>45544</v>
      </c>
      <c r="B1512" s="2">
        <v>45544.46725277778</v>
      </c>
      <c r="C1512" t="s">
        <v>8</v>
      </c>
      <c r="D1512" t="s">
        <v>653</v>
      </c>
      <c r="E1512">
        <v>2792</v>
      </c>
      <c r="F1512" t="s">
        <v>36</v>
      </c>
    </row>
    <row r="1513" spans="1:6" x14ac:dyDescent="0.35">
      <c r="A1513" s="1">
        <v>45544</v>
      </c>
      <c r="B1513" s="2">
        <v>45544.479042164348</v>
      </c>
      <c r="C1513" t="s">
        <v>8</v>
      </c>
      <c r="D1513" t="s">
        <v>654</v>
      </c>
      <c r="E1513">
        <v>3282</v>
      </c>
      <c r="F1513" t="s">
        <v>32</v>
      </c>
    </row>
    <row r="1514" spans="1:6" x14ac:dyDescent="0.35">
      <c r="A1514" s="1">
        <v>45544</v>
      </c>
      <c r="B1514" s="2">
        <v>45544.504857141204</v>
      </c>
      <c r="C1514" t="s">
        <v>8</v>
      </c>
      <c r="D1514" t="s">
        <v>655</v>
      </c>
      <c r="E1514">
        <v>1812</v>
      </c>
      <c r="F1514" t="s">
        <v>5</v>
      </c>
    </row>
    <row r="1515" spans="1:6" x14ac:dyDescent="0.35">
      <c r="A1515" s="1">
        <v>45544</v>
      </c>
      <c r="B1515" s="2">
        <v>45544.63349266204</v>
      </c>
      <c r="C1515" t="s">
        <v>8</v>
      </c>
      <c r="D1515" t="s">
        <v>656</v>
      </c>
      <c r="E1515">
        <v>3282</v>
      </c>
      <c r="F1515" t="s">
        <v>32</v>
      </c>
    </row>
    <row r="1516" spans="1:6" x14ac:dyDescent="0.35">
      <c r="A1516" s="1">
        <v>45544</v>
      </c>
      <c r="B1516" s="2">
        <v>45544.634311539354</v>
      </c>
      <c r="C1516" t="s">
        <v>8</v>
      </c>
      <c r="D1516" t="s">
        <v>656</v>
      </c>
      <c r="E1516">
        <v>2302</v>
      </c>
      <c r="F1516" t="s">
        <v>28</v>
      </c>
    </row>
    <row r="1517" spans="1:6" x14ac:dyDescent="0.35">
      <c r="A1517" s="1">
        <v>45544</v>
      </c>
      <c r="B1517" s="2">
        <v>45544.72512023148</v>
      </c>
      <c r="C1517" t="s">
        <v>8</v>
      </c>
      <c r="D1517" t="s">
        <v>657</v>
      </c>
      <c r="E1517">
        <v>3282</v>
      </c>
      <c r="F1517" t="s">
        <v>32</v>
      </c>
    </row>
    <row r="1518" spans="1:6" x14ac:dyDescent="0.35">
      <c r="A1518" s="1">
        <v>45544</v>
      </c>
      <c r="B1518" s="2">
        <v>45544.759563888889</v>
      </c>
      <c r="C1518" t="s">
        <v>8</v>
      </c>
      <c r="D1518" t="s">
        <v>21</v>
      </c>
      <c r="E1518">
        <v>3282</v>
      </c>
      <c r="F1518" t="s">
        <v>32</v>
      </c>
    </row>
    <row r="1519" spans="1:6" x14ac:dyDescent="0.35">
      <c r="A1519" s="1">
        <v>45544</v>
      </c>
      <c r="B1519" s="2">
        <v>45544.838613402775</v>
      </c>
      <c r="C1519" t="s">
        <v>8</v>
      </c>
      <c r="D1519" t="s">
        <v>322</v>
      </c>
      <c r="E1519">
        <v>3282</v>
      </c>
      <c r="F1519" t="s">
        <v>24</v>
      </c>
    </row>
    <row r="1520" spans="1:6" x14ac:dyDescent="0.35">
      <c r="A1520" s="1">
        <v>45544</v>
      </c>
      <c r="B1520" s="2">
        <v>45544.842864861108</v>
      </c>
      <c r="C1520" t="s">
        <v>8</v>
      </c>
      <c r="D1520" t="s">
        <v>658</v>
      </c>
      <c r="E1520">
        <v>3282</v>
      </c>
      <c r="F1520" t="s">
        <v>32</v>
      </c>
    </row>
    <row r="1521" spans="1:6" x14ac:dyDescent="0.35">
      <c r="A1521" s="1">
        <v>45545</v>
      </c>
      <c r="B1521" s="2">
        <v>45545.341695023148</v>
      </c>
      <c r="C1521" t="s">
        <v>8</v>
      </c>
      <c r="D1521" t="s">
        <v>659</v>
      </c>
      <c r="E1521">
        <v>3282</v>
      </c>
      <c r="F1521" t="s">
        <v>15</v>
      </c>
    </row>
    <row r="1522" spans="1:6" x14ac:dyDescent="0.35">
      <c r="A1522" s="1">
        <v>45545</v>
      </c>
      <c r="B1522" s="2">
        <v>45545.397763726854</v>
      </c>
      <c r="C1522" t="s">
        <v>8</v>
      </c>
      <c r="D1522" t="s">
        <v>660</v>
      </c>
      <c r="E1522">
        <v>3282</v>
      </c>
      <c r="F1522" t="s">
        <v>24</v>
      </c>
    </row>
    <row r="1523" spans="1:6" x14ac:dyDescent="0.35">
      <c r="A1523" s="1">
        <v>45545</v>
      </c>
      <c r="B1523" s="2">
        <v>45545.640212812497</v>
      </c>
      <c r="C1523" t="s">
        <v>8</v>
      </c>
      <c r="D1523" t="s">
        <v>595</v>
      </c>
      <c r="E1523">
        <v>2302</v>
      </c>
      <c r="F1523" t="s">
        <v>20</v>
      </c>
    </row>
    <row r="1524" spans="1:6" x14ac:dyDescent="0.35">
      <c r="A1524" s="1">
        <v>45545</v>
      </c>
      <c r="B1524" s="2">
        <v>45545.641041041665</v>
      </c>
      <c r="C1524" t="s">
        <v>8</v>
      </c>
      <c r="D1524" t="s">
        <v>595</v>
      </c>
      <c r="E1524">
        <v>2302</v>
      </c>
      <c r="F1524" t="s">
        <v>20</v>
      </c>
    </row>
    <row r="1525" spans="1:6" x14ac:dyDescent="0.35">
      <c r="A1525" s="1">
        <v>45545</v>
      </c>
      <c r="B1525" s="2">
        <v>45545.780344444443</v>
      </c>
      <c r="C1525" t="s">
        <v>8</v>
      </c>
      <c r="D1525" t="s">
        <v>661</v>
      </c>
      <c r="E1525">
        <v>3282</v>
      </c>
      <c r="F1525" t="s">
        <v>24</v>
      </c>
    </row>
    <row r="1526" spans="1:6" x14ac:dyDescent="0.35">
      <c r="A1526" s="1">
        <v>45545</v>
      </c>
      <c r="B1526" s="2">
        <v>45545.781511851848</v>
      </c>
      <c r="C1526" t="s">
        <v>8</v>
      </c>
      <c r="D1526" t="s">
        <v>662</v>
      </c>
      <c r="E1526">
        <v>2792</v>
      </c>
      <c r="F1526" t="s">
        <v>36</v>
      </c>
    </row>
    <row r="1527" spans="1:6" x14ac:dyDescent="0.35">
      <c r="A1527" s="1">
        <v>45545</v>
      </c>
      <c r="B1527" s="2">
        <v>45545.793553553238</v>
      </c>
      <c r="C1527" t="s">
        <v>8</v>
      </c>
      <c r="D1527" t="s">
        <v>663</v>
      </c>
      <c r="E1527">
        <v>3282</v>
      </c>
      <c r="F1527" t="s">
        <v>32</v>
      </c>
    </row>
    <row r="1528" spans="1:6" x14ac:dyDescent="0.35">
      <c r="A1528" s="1">
        <v>45545</v>
      </c>
      <c r="B1528" s="2">
        <v>45545.794366400463</v>
      </c>
      <c r="C1528" t="s">
        <v>8</v>
      </c>
      <c r="D1528" t="s">
        <v>663</v>
      </c>
      <c r="E1528">
        <v>3282</v>
      </c>
      <c r="F1528" t="s">
        <v>32</v>
      </c>
    </row>
    <row r="1529" spans="1:6" x14ac:dyDescent="0.35">
      <c r="A1529" s="1">
        <v>45545</v>
      </c>
      <c r="B1529" s="2">
        <v>45545.895538842589</v>
      </c>
      <c r="C1529" t="s">
        <v>8</v>
      </c>
      <c r="D1529" t="s">
        <v>43</v>
      </c>
      <c r="E1529">
        <v>2792</v>
      </c>
      <c r="F1529" t="s">
        <v>36</v>
      </c>
    </row>
    <row r="1530" spans="1:6" x14ac:dyDescent="0.35">
      <c r="A1530" s="1">
        <v>45545</v>
      </c>
      <c r="B1530" s="2">
        <v>45545.896146250001</v>
      </c>
      <c r="C1530" t="s">
        <v>8</v>
      </c>
      <c r="D1530" t="s">
        <v>43</v>
      </c>
      <c r="E1530">
        <v>2302</v>
      </c>
      <c r="F1530" t="s">
        <v>28</v>
      </c>
    </row>
    <row r="1531" spans="1:6" x14ac:dyDescent="0.35">
      <c r="A1531" s="1">
        <v>45546</v>
      </c>
      <c r="B1531" s="2">
        <v>45546.366230381944</v>
      </c>
      <c r="C1531" t="s">
        <v>8</v>
      </c>
      <c r="D1531" t="s">
        <v>664</v>
      </c>
      <c r="E1531">
        <v>3282</v>
      </c>
      <c r="F1531" t="s">
        <v>32</v>
      </c>
    </row>
    <row r="1532" spans="1:6" x14ac:dyDescent="0.35">
      <c r="A1532" s="1">
        <v>45546</v>
      </c>
      <c r="B1532" s="2">
        <v>45546.394985613428</v>
      </c>
      <c r="C1532" t="s">
        <v>8</v>
      </c>
      <c r="D1532" t="s">
        <v>11</v>
      </c>
      <c r="E1532">
        <v>2792</v>
      </c>
      <c r="F1532" t="s">
        <v>36</v>
      </c>
    </row>
    <row r="1533" spans="1:6" x14ac:dyDescent="0.35">
      <c r="A1533" s="1">
        <v>45546</v>
      </c>
      <c r="B1533" s="2">
        <v>45546.452883993057</v>
      </c>
      <c r="C1533" t="s">
        <v>8</v>
      </c>
      <c r="D1533" t="s">
        <v>665</v>
      </c>
      <c r="E1533">
        <v>3282</v>
      </c>
      <c r="F1533" t="s">
        <v>32</v>
      </c>
    </row>
    <row r="1534" spans="1:6" x14ac:dyDescent="0.35">
      <c r="A1534" s="1">
        <v>45546</v>
      </c>
      <c r="B1534" s="2">
        <v>45546.828617326391</v>
      </c>
      <c r="C1534" t="s">
        <v>8</v>
      </c>
      <c r="D1534" t="s">
        <v>666</v>
      </c>
      <c r="E1534">
        <v>3282</v>
      </c>
      <c r="F1534" t="s">
        <v>24</v>
      </c>
    </row>
    <row r="1535" spans="1:6" x14ac:dyDescent="0.35">
      <c r="A1535" s="1">
        <v>45546</v>
      </c>
      <c r="B1535" s="2">
        <v>45546.842533414354</v>
      </c>
      <c r="C1535" t="s">
        <v>8</v>
      </c>
      <c r="D1535" t="s">
        <v>583</v>
      </c>
      <c r="E1535">
        <v>2792</v>
      </c>
      <c r="F1535" t="s">
        <v>36</v>
      </c>
    </row>
    <row r="1536" spans="1:6" x14ac:dyDescent="0.35">
      <c r="A1536" s="1">
        <v>45546</v>
      </c>
      <c r="B1536" s="2">
        <v>45546.843274143517</v>
      </c>
      <c r="C1536" t="s">
        <v>8</v>
      </c>
      <c r="D1536" t="s">
        <v>583</v>
      </c>
      <c r="E1536">
        <v>3282</v>
      </c>
      <c r="F1536" t="s">
        <v>32</v>
      </c>
    </row>
    <row r="1537" spans="1:6" x14ac:dyDescent="0.35">
      <c r="A1537" s="1">
        <v>45546</v>
      </c>
      <c r="B1537" s="2">
        <v>45546.843973958334</v>
      </c>
      <c r="C1537" t="s">
        <v>8</v>
      </c>
      <c r="D1537" t="s">
        <v>583</v>
      </c>
      <c r="E1537">
        <v>3282</v>
      </c>
      <c r="F1537" t="s">
        <v>32</v>
      </c>
    </row>
    <row r="1538" spans="1:6" x14ac:dyDescent="0.35">
      <c r="A1538" s="1">
        <v>45546</v>
      </c>
      <c r="B1538" s="2">
        <v>45546.87609056713</v>
      </c>
      <c r="C1538" t="s">
        <v>8</v>
      </c>
      <c r="D1538" t="s">
        <v>636</v>
      </c>
      <c r="E1538">
        <v>2302</v>
      </c>
      <c r="F1538" t="s">
        <v>20</v>
      </c>
    </row>
    <row r="1539" spans="1:6" x14ac:dyDescent="0.35">
      <c r="A1539" s="1">
        <v>45547</v>
      </c>
      <c r="B1539" s="2">
        <v>45547.456546516201</v>
      </c>
      <c r="C1539" t="s">
        <v>8</v>
      </c>
      <c r="D1539" t="s">
        <v>400</v>
      </c>
      <c r="E1539">
        <v>1812</v>
      </c>
      <c r="F1539" t="s">
        <v>5</v>
      </c>
    </row>
    <row r="1540" spans="1:6" x14ac:dyDescent="0.35">
      <c r="A1540" s="1">
        <v>45547</v>
      </c>
      <c r="B1540" s="2">
        <v>45547.457173692128</v>
      </c>
      <c r="C1540" t="s">
        <v>8</v>
      </c>
      <c r="D1540" t="s">
        <v>400</v>
      </c>
      <c r="E1540">
        <v>2792</v>
      </c>
      <c r="F1540" t="s">
        <v>36</v>
      </c>
    </row>
    <row r="1541" spans="1:6" x14ac:dyDescent="0.35">
      <c r="A1541" s="1">
        <v>45547</v>
      </c>
      <c r="B1541" s="2">
        <v>45547.477500752313</v>
      </c>
      <c r="C1541" t="s">
        <v>8</v>
      </c>
      <c r="D1541" t="s">
        <v>667</v>
      </c>
      <c r="E1541">
        <v>2792</v>
      </c>
      <c r="F1541" t="s">
        <v>36</v>
      </c>
    </row>
    <row r="1542" spans="1:6" x14ac:dyDescent="0.35">
      <c r="A1542" s="1">
        <v>45547</v>
      </c>
      <c r="B1542" s="2">
        <v>45547.505812013886</v>
      </c>
      <c r="C1542" t="s">
        <v>8</v>
      </c>
      <c r="D1542" t="s">
        <v>617</v>
      </c>
      <c r="E1542">
        <v>3282</v>
      </c>
      <c r="F1542" t="s">
        <v>24</v>
      </c>
    </row>
    <row r="1543" spans="1:6" x14ac:dyDescent="0.35">
      <c r="A1543" s="1">
        <v>45547</v>
      </c>
      <c r="B1543" s="2">
        <v>45547.521608761577</v>
      </c>
      <c r="C1543" t="s">
        <v>8</v>
      </c>
      <c r="D1543" t="s">
        <v>668</v>
      </c>
      <c r="E1543">
        <v>2302</v>
      </c>
      <c r="F1543" t="s">
        <v>20</v>
      </c>
    </row>
    <row r="1544" spans="1:6" x14ac:dyDescent="0.35">
      <c r="A1544" s="1">
        <v>45547</v>
      </c>
      <c r="B1544" s="2">
        <v>45547.522488206021</v>
      </c>
      <c r="C1544" t="s">
        <v>8</v>
      </c>
      <c r="D1544" t="s">
        <v>668</v>
      </c>
      <c r="E1544">
        <v>2302</v>
      </c>
      <c r="F1544" t="s">
        <v>20</v>
      </c>
    </row>
    <row r="1545" spans="1:6" x14ac:dyDescent="0.35">
      <c r="A1545" s="1">
        <v>45547</v>
      </c>
      <c r="B1545" s="2">
        <v>45547.525930821757</v>
      </c>
      <c r="C1545" t="s">
        <v>8</v>
      </c>
      <c r="D1545" t="s">
        <v>40</v>
      </c>
      <c r="E1545">
        <v>2302</v>
      </c>
      <c r="F1545" t="s">
        <v>20</v>
      </c>
    </row>
    <row r="1546" spans="1:6" x14ac:dyDescent="0.35">
      <c r="A1546" s="1">
        <v>45547</v>
      </c>
      <c r="B1546" s="2">
        <v>45547.526501562497</v>
      </c>
      <c r="C1546" t="s">
        <v>8</v>
      </c>
      <c r="D1546" t="s">
        <v>40</v>
      </c>
      <c r="E1546">
        <v>2302</v>
      </c>
      <c r="F1546" t="s">
        <v>20</v>
      </c>
    </row>
    <row r="1547" spans="1:6" x14ac:dyDescent="0.35">
      <c r="A1547" s="1">
        <v>45547</v>
      </c>
      <c r="B1547" s="2">
        <v>45547.70931972222</v>
      </c>
      <c r="C1547" t="s">
        <v>8</v>
      </c>
      <c r="D1547" t="s">
        <v>669</v>
      </c>
      <c r="E1547">
        <v>3282</v>
      </c>
      <c r="F1547" t="s">
        <v>32</v>
      </c>
    </row>
    <row r="1548" spans="1:6" x14ac:dyDescent="0.35">
      <c r="A1548" s="1">
        <v>45547</v>
      </c>
      <c r="B1548" s="2">
        <v>45547.881370509262</v>
      </c>
      <c r="C1548" t="s">
        <v>8</v>
      </c>
      <c r="D1548" t="s">
        <v>670</v>
      </c>
      <c r="E1548">
        <v>2302</v>
      </c>
      <c r="F1548" t="s">
        <v>28</v>
      </c>
    </row>
    <row r="1549" spans="1:6" x14ac:dyDescent="0.35">
      <c r="A1549" s="1">
        <v>45547</v>
      </c>
      <c r="B1549" s="2">
        <v>45547.882189340278</v>
      </c>
      <c r="C1549" t="s">
        <v>8</v>
      </c>
      <c r="D1549" t="s">
        <v>670</v>
      </c>
      <c r="E1549">
        <v>3282</v>
      </c>
      <c r="F1549" t="s">
        <v>24</v>
      </c>
    </row>
    <row r="1550" spans="1:6" x14ac:dyDescent="0.35">
      <c r="A1550" s="1">
        <v>45547</v>
      </c>
      <c r="B1550" s="2">
        <v>45547.884222314817</v>
      </c>
      <c r="C1550" t="s">
        <v>8</v>
      </c>
      <c r="D1550" t="s">
        <v>372</v>
      </c>
      <c r="E1550">
        <v>2302</v>
      </c>
      <c r="F1550" t="s">
        <v>20</v>
      </c>
    </row>
    <row r="1551" spans="1:6" x14ac:dyDescent="0.35">
      <c r="A1551" s="1">
        <v>45548</v>
      </c>
      <c r="B1551" s="2">
        <v>45548.331177812499</v>
      </c>
      <c r="C1551" t="s">
        <v>8</v>
      </c>
      <c r="D1551" t="s">
        <v>622</v>
      </c>
      <c r="E1551">
        <v>3282</v>
      </c>
      <c r="F1551" t="s">
        <v>32</v>
      </c>
    </row>
    <row r="1552" spans="1:6" x14ac:dyDescent="0.35">
      <c r="A1552" s="1">
        <v>45548</v>
      </c>
      <c r="B1552" s="2">
        <v>45548.361840104168</v>
      </c>
      <c r="C1552" t="s">
        <v>8</v>
      </c>
      <c r="D1552" t="s">
        <v>478</v>
      </c>
      <c r="E1552">
        <v>3282</v>
      </c>
      <c r="F1552" t="s">
        <v>32</v>
      </c>
    </row>
    <row r="1553" spans="1:6" x14ac:dyDescent="0.35">
      <c r="A1553" s="1">
        <v>45548</v>
      </c>
      <c r="B1553" s="2">
        <v>45548.371016365738</v>
      </c>
      <c r="C1553" t="s">
        <v>8</v>
      </c>
      <c r="D1553" t="s">
        <v>428</v>
      </c>
      <c r="E1553">
        <v>3282</v>
      </c>
      <c r="F1553" t="s">
        <v>32</v>
      </c>
    </row>
    <row r="1554" spans="1:6" x14ac:dyDescent="0.35">
      <c r="A1554" s="1">
        <v>45548</v>
      </c>
      <c r="B1554" s="2">
        <v>45548.41064105324</v>
      </c>
      <c r="C1554" t="s">
        <v>8</v>
      </c>
      <c r="D1554" t="s">
        <v>671</v>
      </c>
      <c r="E1554">
        <v>3282</v>
      </c>
      <c r="F1554" t="s">
        <v>32</v>
      </c>
    </row>
    <row r="1555" spans="1:6" x14ac:dyDescent="0.35">
      <c r="A1555" s="1">
        <v>45548</v>
      </c>
      <c r="B1555" s="2">
        <v>45548.651607280095</v>
      </c>
      <c r="C1555" t="s">
        <v>8</v>
      </c>
      <c r="D1555" t="s">
        <v>296</v>
      </c>
      <c r="E1555">
        <v>2792</v>
      </c>
      <c r="F1555" t="s">
        <v>36</v>
      </c>
    </row>
    <row r="1556" spans="1:6" x14ac:dyDescent="0.35">
      <c r="A1556" s="1">
        <v>45548</v>
      </c>
      <c r="B1556" s="2">
        <v>45548.660345972225</v>
      </c>
      <c r="C1556" t="s">
        <v>8</v>
      </c>
      <c r="D1556" t="s">
        <v>604</v>
      </c>
      <c r="E1556">
        <v>2792</v>
      </c>
      <c r="F1556" t="s">
        <v>36</v>
      </c>
    </row>
    <row r="1557" spans="1:6" x14ac:dyDescent="0.35">
      <c r="A1557" s="1">
        <v>45549</v>
      </c>
      <c r="B1557" s="2">
        <v>45549.687029618057</v>
      </c>
      <c r="C1557" t="s">
        <v>8</v>
      </c>
      <c r="D1557" t="s">
        <v>595</v>
      </c>
      <c r="E1557">
        <v>3282</v>
      </c>
      <c r="F1557" t="s">
        <v>24</v>
      </c>
    </row>
    <row r="1558" spans="1:6" x14ac:dyDescent="0.35">
      <c r="A1558" s="1">
        <v>45549</v>
      </c>
      <c r="B1558" s="2">
        <v>45549.687695289351</v>
      </c>
      <c r="C1558" t="s">
        <v>8</v>
      </c>
      <c r="D1558" t="s">
        <v>595</v>
      </c>
      <c r="E1558">
        <v>3282</v>
      </c>
      <c r="F1558" t="s">
        <v>24</v>
      </c>
    </row>
    <row r="1559" spans="1:6" x14ac:dyDescent="0.35">
      <c r="A1559" s="1">
        <v>45550</v>
      </c>
      <c r="B1559" s="2">
        <v>45550.362973854164</v>
      </c>
      <c r="C1559" t="s">
        <v>8</v>
      </c>
      <c r="D1559" t="s">
        <v>400</v>
      </c>
      <c r="E1559">
        <v>1812</v>
      </c>
      <c r="F1559" t="s">
        <v>5</v>
      </c>
    </row>
    <row r="1560" spans="1:6" x14ac:dyDescent="0.35">
      <c r="A1560" s="1">
        <v>45550</v>
      </c>
      <c r="B1560" s="2">
        <v>45550.409476168985</v>
      </c>
      <c r="C1560" t="s">
        <v>8</v>
      </c>
      <c r="D1560" t="s">
        <v>672</v>
      </c>
      <c r="E1560">
        <v>2792</v>
      </c>
      <c r="F1560" t="s">
        <v>36</v>
      </c>
    </row>
    <row r="1561" spans="1:6" x14ac:dyDescent="0.35">
      <c r="A1561" s="1">
        <v>45550</v>
      </c>
      <c r="B1561" s="2">
        <v>45550.57612716435</v>
      </c>
      <c r="C1561" t="s">
        <v>8</v>
      </c>
      <c r="D1561" t="s">
        <v>357</v>
      </c>
      <c r="E1561">
        <v>2302</v>
      </c>
      <c r="F1561" t="s">
        <v>28</v>
      </c>
    </row>
    <row r="1562" spans="1:6" x14ac:dyDescent="0.35">
      <c r="A1562" s="1">
        <v>45550</v>
      </c>
      <c r="B1562" s="2">
        <v>45550.608556562504</v>
      </c>
      <c r="C1562" t="s">
        <v>8</v>
      </c>
      <c r="D1562" t="s">
        <v>40</v>
      </c>
      <c r="E1562">
        <v>2302</v>
      </c>
      <c r="F1562" t="s">
        <v>20</v>
      </c>
    </row>
    <row r="1563" spans="1:6" x14ac:dyDescent="0.35">
      <c r="A1563" s="1">
        <v>45550</v>
      </c>
      <c r="B1563" s="2">
        <v>45550.609266168984</v>
      </c>
      <c r="C1563" t="s">
        <v>8</v>
      </c>
      <c r="D1563" t="s">
        <v>40</v>
      </c>
      <c r="E1563">
        <v>2302</v>
      </c>
      <c r="F1563" t="s">
        <v>20</v>
      </c>
    </row>
    <row r="1564" spans="1:6" x14ac:dyDescent="0.35">
      <c r="A1564" s="1">
        <v>45550</v>
      </c>
      <c r="B1564" s="2">
        <v>45550.620355416664</v>
      </c>
      <c r="C1564" t="s">
        <v>8</v>
      </c>
      <c r="D1564" t="s">
        <v>595</v>
      </c>
      <c r="E1564">
        <v>3282</v>
      </c>
      <c r="F1564" t="s">
        <v>24</v>
      </c>
    </row>
    <row r="1565" spans="1:6" x14ac:dyDescent="0.35">
      <c r="A1565" s="1">
        <v>45551</v>
      </c>
      <c r="B1565" s="2">
        <v>45551.564153645835</v>
      </c>
      <c r="C1565" t="s">
        <v>8</v>
      </c>
      <c r="D1565" t="s">
        <v>673</v>
      </c>
      <c r="E1565">
        <v>3282</v>
      </c>
      <c r="F1565" t="s">
        <v>32</v>
      </c>
    </row>
    <row r="1566" spans="1:6" x14ac:dyDescent="0.35">
      <c r="A1566" s="1">
        <v>45551</v>
      </c>
      <c r="B1566" s="2">
        <v>45551.565008877318</v>
      </c>
      <c r="C1566" t="s">
        <v>8</v>
      </c>
      <c r="D1566" t="s">
        <v>636</v>
      </c>
      <c r="E1566">
        <v>2792</v>
      </c>
      <c r="F1566" t="s">
        <v>36</v>
      </c>
    </row>
    <row r="1567" spans="1:6" x14ac:dyDescent="0.35">
      <c r="A1567" s="1">
        <v>45551</v>
      </c>
      <c r="B1567" s="2">
        <v>45551.641195138887</v>
      </c>
      <c r="C1567" t="s">
        <v>8</v>
      </c>
      <c r="D1567" t="s">
        <v>673</v>
      </c>
      <c r="E1567">
        <v>3282</v>
      </c>
      <c r="F1567" t="s">
        <v>32</v>
      </c>
    </row>
    <row r="1568" spans="1:6" x14ac:dyDescent="0.35">
      <c r="A1568" s="1">
        <v>45551</v>
      </c>
      <c r="B1568" s="2">
        <v>45551.719510810188</v>
      </c>
      <c r="C1568" t="s">
        <v>8</v>
      </c>
      <c r="D1568" t="s">
        <v>674</v>
      </c>
      <c r="E1568">
        <v>2792</v>
      </c>
      <c r="F1568" t="s">
        <v>36</v>
      </c>
    </row>
    <row r="1569" spans="1:6" x14ac:dyDescent="0.35">
      <c r="A1569" s="1">
        <v>45551</v>
      </c>
      <c r="B1569" s="2">
        <v>45551.720870960649</v>
      </c>
      <c r="C1569" t="s">
        <v>8</v>
      </c>
      <c r="D1569" t="s">
        <v>675</v>
      </c>
      <c r="E1569">
        <v>3282</v>
      </c>
      <c r="F1569" t="s">
        <v>32</v>
      </c>
    </row>
    <row r="1570" spans="1:6" x14ac:dyDescent="0.35">
      <c r="A1570" s="1">
        <v>45551</v>
      </c>
      <c r="B1570" s="2">
        <v>45551.788026018519</v>
      </c>
      <c r="C1570" t="s">
        <v>8</v>
      </c>
      <c r="D1570" t="s">
        <v>676</v>
      </c>
      <c r="E1570">
        <v>3282</v>
      </c>
      <c r="F1570" t="s">
        <v>32</v>
      </c>
    </row>
    <row r="1571" spans="1:6" x14ac:dyDescent="0.35">
      <c r="A1571" s="1">
        <v>45551</v>
      </c>
      <c r="B1571" s="2">
        <v>45551.788949942129</v>
      </c>
      <c r="C1571" t="s">
        <v>8</v>
      </c>
      <c r="D1571" t="s">
        <v>677</v>
      </c>
      <c r="E1571">
        <v>3282</v>
      </c>
      <c r="F1571" t="s">
        <v>32</v>
      </c>
    </row>
    <row r="1572" spans="1:6" x14ac:dyDescent="0.35">
      <c r="A1572" s="1">
        <v>45551</v>
      </c>
      <c r="B1572" s="2">
        <v>45551.88216079861</v>
      </c>
      <c r="C1572" t="s">
        <v>8</v>
      </c>
      <c r="D1572" t="s">
        <v>678</v>
      </c>
      <c r="E1572">
        <v>2792</v>
      </c>
      <c r="F1572" t="s">
        <v>36</v>
      </c>
    </row>
    <row r="1573" spans="1:6" x14ac:dyDescent="0.35">
      <c r="A1573" s="1">
        <v>45551</v>
      </c>
      <c r="B1573" s="2">
        <v>45551.883015046296</v>
      </c>
      <c r="C1573" t="s">
        <v>8</v>
      </c>
      <c r="D1573" t="s">
        <v>678</v>
      </c>
      <c r="E1573">
        <v>3282</v>
      </c>
      <c r="F1573" t="s">
        <v>32</v>
      </c>
    </row>
    <row r="1574" spans="1:6" x14ac:dyDescent="0.35">
      <c r="A1574" s="1">
        <v>45551</v>
      </c>
      <c r="B1574" s="2">
        <v>45551.901241990738</v>
      </c>
      <c r="C1574" t="s">
        <v>8</v>
      </c>
      <c r="D1574" t="s">
        <v>340</v>
      </c>
      <c r="E1574">
        <v>2792</v>
      </c>
      <c r="F1574" t="s">
        <v>36</v>
      </c>
    </row>
    <row r="1575" spans="1:6" x14ac:dyDescent="0.35">
      <c r="A1575" s="1">
        <v>45551</v>
      </c>
      <c r="B1575" s="2">
        <v>45551.901952152781</v>
      </c>
      <c r="C1575" t="s">
        <v>8</v>
      </c>
      <c r="D1575" t="s">
        <v>11</v>
      </c>
      <c r="E1575">
        <v>2792</v>
      </c>
      <c r="F1575" t="s">
        <v>36</v>
      </c>
    </row>
    <row r="1576" spans="1:6" x14ac:dyDescent="0.35">
      <c r="A1576" s="1">
        <v>45552</v>
      </c>
      <c r="B1576" s="2">
        <v>45552.329837118057</v>
      </c>
      <c r="C1576" t="s">
        <v>8</v>
      </c>
      <c r="D1576" t="s">
        <v>679</v>
      </c>
      <c r="E1576">
        <v>2302</v>
      </c>
      <c r="F1576" t="s">
        <v>20</v>
      </c>
    </row>
    <row r="1577" spans="1:6" x14ac:dyDescent="0.35">
      <c r="A1577" s="1">
        <v>45552</v>
      </c>
      <c r="B1577" s="2">
        <v>45552.339593703706</v>
      </c>
      <c r="C1577" t="s">
        <v>8</v>
      </c>
      <c r="D1577" t="s">
        <v>673</v>
      </c>
      <c r="E1577">
        <v>3282</v>
      </c>
      <c r="F1577" t="s">
        <v>32</v>
      </c>
    </row>
    <row r="1578" spans="1:6" x14ac:dyDescent="0.35">
      <c r="A1578" s="1">
        <v>45552</v>
      </c>
      <c r="B1578" s="2">
        <v>45552.359462418979</v>
      </c>
      <c r="C1578" t="s">
        <v>8</v>
      </c>
      <c r="D1578" t="s">
        <v>29</v>
      </c>
      <c r="E1578">
        <v>2792</v>
      </c>
      <c r="F1578" t="s">
        <v>36</v>
      </c>
    </row>
    <row r="1579" spans="1:6" x14ac:dyDescent="0.35">
      <c r="A1579" s="1">
        <v>45552</v>
      </c>
      <c r="B1579" s="2">
        <v>45552.362864282404</v>
      </c>
      <c r="C1579" t="s">
        <v>8</v>
      </c>
      <c r="D1579" t="s">
        <v>40</v>
      </c>
      <c r="E1579">
        <v>2302</v>
      </c>
      <c r="F1579" t="s">
        <v>20</v>
      </c>
    </row>
    <row r="1580" spans="1:6" x14ac:dyDescent="0.35">
      <c r="A1580" s="1">
        <v>45552</v>
      </c>
      <c r="B1580" s="2">
        <v>45552.381987905093</v>
      </c>
      <c r="C1580" t="s">
        <v>8</v>
      </c>
      <c r="D1580" t="s">
        <v>606</v>
      </c>
      <c r="E1580">
        <v>3282</v>
      </c>
      <c r="F1580" t="s">
        <v>24</v>
      </c>
    </row>
    <row r="1581" spans="1:6" x14ac:dyDescent="0.35">
      <c r="A1581" s="1">
        <v>45552</v>
      </c>
      <c r="B1581" s="2">
        <v>45552.382734039355</v>
      </c>
      <c r="C1581" t="s">
        <v>8</v>
      </c>
      <c r="D1581" t="s">
        <v>606</v>
      </c>
      <c r="E1581">
        <v>2792</v>
      </c>
      <c r="F1581" t="s">
        <v>36</v>
      </c>
    </row>
    <row r="1582" spans="1:6" x14ac:dyDescent="0.35">
      <c r="A1582" s="1">
        <v>45552</v>
      </c>
      <c r="B1582" s="2">
        <v>45552.399268055553</v>
      </c>
      <c r="C1582" t="s">
        <v>8</v>
      </c>
      <c r="D1582" t="s">
        <v>672</v>
      </c>
      <c r="E1582">
        <v>2792</v>
      </c>
      <c r="F1582" t="s">
        <v>36</v>
      </c>
    </row>
    <row r="1583" spans="1:6" x14ac:dyDescent="0.35">
      <c r="A1583" s="1">
        <v>45552</v>
      </c>
      <c r="B1583" s="2">
        <v>45552.526779722219</v>
      </c>
      <c r="C1583" t="s">
        <v>8</v>
      </c>
      <c r="D1583" t="s">
        <v>680</v>
      </c>
      <c r="E1583">
        <v>1812</v>
      </c>
      <c r="F1583" t="s">
        <v>5</v>
      </c>
    </row>
    <row r="1584" spans="1:6" x14ac:dyDescent="0.35">
      <c r="A1584" s="1">
        <v>45552</v>
      </c>
      <c r="B1584" s="2">
        <v>45552.5274731713</v>
      </c>
      <c r="C1584" t="s">
        <v>8</v>
      </c>
      <c r="D1584" t="s">
        <v>680</v>
      </c>
      <c r="E1584">
        <v>2792</v>
      </c>
      <c r="F1584" t="s">
        <v>36</v>
      </c>
    </row>
    <row r="1585" spans="1:6" x14ac:dyDescent="0.35">
      <c r="A1585" s="1">
        <v>45552</v>
      </c>
      <c r="B1585" s="2">
        <v>45552.530730925922</v>
      </c>
      <c r="C1585" t="s">
        <v>8</v>
      </c>
      <c r="D1585" t="s">
        <v>681</v>
      </c>
      <c r="E1585">
        <v>3282</v>
      </c>
      <c r="F1585" t="s">
        <v>32</v>
      </c>
    </row>
    <row r="1586" spans="1:6" x14ac:dyDescent="0.35">
      <c r="A1586" s="1">
        <v>45552</v>
      </c>
      <c r="B1586" s="2">
        <v>45552.579433240739</v>
      </c>
      <c r="C1586" t="s">
        <v>8</v>
      </c>
      <c r="D1586" t="s">
        <v>606</v>
      </c>
      <c r="E1586">
        <v>2792</v>
      </c>
      <c r="F1586" t="s">
        <v>36</v>
      </c>
    </row>
    <row r="1587" spans="1:6" x14ac:dyDescent="0.35">
      <c r="A1587" s="1">
        <v>45552</v>
      </c>
      <c r="B1587" s="2">
        <v>45552.580222696757</v>
      </c>
      <c r="C1587" t="s">
        <v>8</v>
      </c>
      <c r="D1587" t="s">
        <v>682</v>
      </c>
      <c r="E1587">
        <v>2302</v>
      </c>
      <c r="F1587" t="s">
        <v>20</v>
      </c>
    </row>
    <row r="1588" spans="1:6" x14ac:dyDescent="0.35">
      <c r="A1588" s="1">
        <v>45552</v>
      </c>
      <c r="B1588" s="2">
        <v>45552.687236296297</v>
      </c>
      <c r="C1588" t="s">
        <v>8</v>
      </c>
      <c r="D1588" t="s">
        <v>606</v>
      </c>
      <c r="E1588">
        <v>3282</v>
      </c>
      <c r="F1588" t="s">
        <v>24</v>
      </c>
    </row>
    <row r="1589" spans="1:6" x14ac:dyDescent="0.35">
      <c r="A1589" s="1">
        <v>45552</v>
      </c>
      <c r="B1589" s="2">
        <v>45552.688202731479</v>
      </c>
      <c r="C1589" t="s">
        <v>8</v>
      </c>
      <c r="D1589" t="s">
        <v>682</v>
      </c>
      <c r="E1589">
        <v>3282</v>
      </c>
      <c r="F1589" t="s">
        <v>32</v>
      </c>
    </row>
    <row r="1590" spans="1:6" x14ac:dyDescent="0.35">
      <c r="A1590" s="1">
        <v>45552</v>
      </c>
      <c r="B1590" s="2">
        <v>45552.787775266203</v>
      </c>
      <c r="C1590" t="s">
        <v>8</v>
      </c>
      <c r="D1590" t="s">
        <v>683</v>
      </c>
      <c r="E1590">
        <v>3282</v>
      </c>
      <c r="F1590" t="s">
        <v>15</v>
      </c>
    </row>
    <row r="1591" spans="1:6" x14ac:dyDescent="0.35">
      <c r="A1591" s="1">
        <v>45552</v>
      </c>
      <c r="B1591" s="2">
        <v>45552.792198067131</v>
      </c>
      <c r="C1591" t="s">
        <v>8</v>
      </c>
      <c r="D1591" t="s">
        <v>684</v>
      </c>
      <c r="E1591">
        <v>2792</v>
      </c>
      <c r="F1591" t="s">
        <v>36</v>
      </c>
    </row>
    <row r="1592" spans="1:6" x14ac:dyDescent="0.35">
      <c r="A1592" s="1">
        <v>45552</v>
      </c>
      <c r="B1592" s="2">
        <v>45552.79436659722</v>
      </c>
      <c r="C1592" t="s">
        <v>8</v>
      </c>
      <c r="D1592" t="s">
        <v>685</v>
      </c>
      <c r="E1592">
        <v>2792</v>
      </c>
      <c r="F1592" t="s">
        <v>36</v>
      </c>
    </row>
    <row r="1593" spans="1:6" x14ac:dyDescent="0.35">
      <c r="A1593" s="1">
        <v>45552</v>
      </c>
      <c r="B1593" s="2">
        <v>45552.800554456022</v>
      </c>
      <c r="C1593" t="s">
        <v>8</v>
      </c>
      <c r="D1593" t="s">
        <v>686</v>
      </c>
      <c r="E1593">
        <v>3282</v>
      </c>
      <c r="F1593" t="s">
        <v>32</v>
      </c>
    </row>
    <row r="1594" spans="1:6" x14ac:dyDescent="0.35">
      <c r="A1594" s="1">
        <v>45552</v>
      </c>
      <c r="B1594" s="2">
        <v>45552.801385902778</v>
      </c>
      <c r="C1594" t="s">
        <v>8</v>
      </c>
      <c r="D1594" t="s">
        <v>686</v>
      </c>
      <c r="E1594">
        <v>2792</v>
      </c>
      <c r="F1594" t="s">
        <v>36</v>
      </c>
    </row>
    <row r="1595" spans="1:6" x14ac:dyDescent="0.35">
      <c r="A1595" s="1">
        <v>45552</v>
      </c>
      <c r="B1595" s="2">
        <v>45552.802077696761</v>
      </c>
      <c r="C1595" t="s">
        <v>8</v>
      </c>
      <c r="D1595" t="s">
        <v>686</v>
      </c>
      <c r="E1595">
        <v>2792</v>
      </c>
      <c r="F1595" t="s">
        <v>36</v>
      </c>
    </row>
    <row r="1596" spans="1:6" x14ac:dyDescent="0.35">
      <c r="A1596" s="1">
        <v>45552</v>
      </c>
      <c r="B1596" s="2">
        <v>45552.813858425929</v>
      </c>
      <c r="C1596" t="s">
        <v>8</v>
      </c>
      <c r="D1596" t="s">
        <v>687</v>
      </c>
      <c r="E1596">
        <v>2792</v>
      </c>
      <c r="F1596" t="s">
        <v>36</v>
      </c>
    </row>
    <row r="1597" spans="1:6" x14ac:dyDescent="0.35">
      <c r="A1597" s="1">
        <v>45552</v>
      </c>
      <c r="B1597" s="2">
        <v>45552.930277557869</v>
      </c>
      <c r="C1597" t="s">
        <v>8</v>
      </c>
      <c r="D1597" t="s">
        <v>688</v>
      </c>
      <c r="E1597">
        <v>3282</v>
      </c>
      <c r="F1597" t="s">
        <v>15</v>
      </c>
    </row>
    <row r="1598" spans="1:6" x14ac:dyDescent="0.35">
      <c r="A1598" s="1">
        <v>45552</v>
      </c>
      <c r="B1598" s="2">
        <v>45552.930780671297</v>
      </c>
      <c r="C1598" t="s">
        <v>8</v>
      </c>
      <c r="D1598" t="s">
        <v>689</v>
      </c>
      <c r="E1598">
        <v>3282</v>
      </c>
      <c r="F1598" t="s">
        <v>15</v>
      </c>
    </row>
    <row r="1599" spans="1:6" x14ac:dyDescent="0.35">
      <c r="A1599" s="1">
        <v>45553</v>
      </c>
      <c r="B1599" s="2">
        <v>45553.604038171296</v>
      </c>
      <c r="C1599" t="s">
        <v>8</v>
      </c>
      <c r="D1599" t="s">
        <v>690</v>
      </c>
      <c r="E1599">
        <v>3282</v>
      </c>
      <c r="F1599" t="s">
        <v>32</v>
      </c>
    </row>
    <row r="1600" spans="1:6" x14ac:dyDescent="0.35">
      <c r="A1600" s="1">
        <v>45553</v>
      </c>
      <c r="B1600" s="2">
        <v>45553.732172048614</v>
      </c>
      <c r="C1600" t="s">
        <v>8</v>
      </c>
      <c r="D1600" t="s">
        <v>691</v>
      </c>
      <c r="E1600">
        <v>3282</v>
      </c>
      <c r="F1600" t="s">
        <v>32</v>
      </c>
    </row>
    <row r="1601" spans="1:6" x14ac:dyDescent="0.35">
      <c r="A1601" s="1">
        <v>45553</v>
      </c>
      <c r="B1601" s="2">
        <v>45553.885865254633</v>
      </c>
      <c r="C1601" t="s">
        <v>8</v>
      </c>
      <c r="D1601" t="s">
        <v>16</v>
      </c>
      <c r="E1601">
        <v>2792</v>
      </c>
      <c r="F1601" t="s">
        <v>36</v>
      </c>
    </row>
    <row r="1602" spans="1:6" x14ac:dyDescent="0.35">
      <c r="A1602" s="1">
        <v>45553</v>
      </c>
      <c r="B1602" s="2">
        <v>45553.887749467591</v>
      </c>
      <c r="C1602" t="s">
        <v>8</v>
      </c>
      <c r="D1602" t="s">
        <v>16</v>
      </c>
      <c r="E1602">
        <v>2792</v>
      </c>
      <c r="F1602" t="s">
        <v>36</v>
      </c>
    </row>
    <row r="1603" spans="1:6" x14ac:dyDescent="0.35">
      <c r="A1603" s="1">
        <v>45554</v>
      </c>
      <c r="B1603" s="2">
        <v>45554.34535491898</v>
      </c>
      <c r="C1603" t="s">
        <v>8</v>
      </c>
      <c r="D1603" t="s">
        <v>29</v>
      </c>
      <c r="E1603">
        <v>2792</v>
      </c>
      <c r="F1603" t="s">
        <v>36</v>
      </c>
    </row>
    <row r="1604" spans="1:6" x14ac:dyDescent="0.35">
      <c r="A1604" s="1">
        <v>45554</v>
      </c>
      <c r="B1604" s="2">
        <v>45554.354502858798</v>
      </c>
      <c r="C1604" t="s">
        <v>8</v>
      </c>
      <c r="D1604" t="s">
        <v>679</v>
      </c>
      <c r="E1604">
        <v>2302</v>
      </c>
      <c r="F1604" t="s">
        <v>20</v>
      </c>
    </row>
    <row r="1605" spans="1:6" x14ac:dyDescent="0.35">
      <c r="A1605" s="1">
        <v>45554</v>
      </c>
      <c r="B1605" s="2">
        <v>45554.417715034724</v>
      </c>
      <c r="C1605" t="s">
        <v>8</v>
      </c>
      <c r="D1605" t="s">
        <v>547</v>
      </c>
      <c r="E1605">
        <v>3282</v>
      </c>
      <c r="F1605" t="s">
        <v>32</v>
      </c>
    </row>
    <row r="1606" spans="1:6" x14ac:dyDescent="0.35">
      <c r="A1606" s="1">
        <v>45554</v>
      </c>
      <c r="B1606" s="2">
        <v>45554.54136127315</v>
      </c>
      <c r="C1606" t="s">
        <v>8</v>
      </c>
      <c r="D1606" t="s">
        <v>63</v>
      </c>
      <c r="E1606">
        <v>2302</v>
      </c>
      <c r="F1606" t="s">
        <v>28</v>
      </c>
    </row>
    <row r="1607" spans="1:6" x14ac:dyDescent="0.35">
      <c r="A1607" s="1">
        <v>45554</v>
      </c>
      <c r="B1607" s="2">
        <v>45554.542055740741</v>
      </c>
      <c r="C1607" t="s">
        <v>8</v>
      </c>
      <c r="D1607" t="s">
        <v>63</v>
      </c>
      <c r="E1607">
        <v>2792</v>
      </c>
      <c r="F1607" t="s">
        <v>36</v>
      </c>
    </row>
    <row r="1608" spans="1:6" x14ac:dyDescent="0.35">
      <c r="A1608" s="1">
        <v>45554</v>
      </c>
      <c r="B1608" s="2">
        <v>45554.573407025462</v>
      </c>
      <c r="C1608" t="s">
        <v>8</v>
      </c>
      <c r="D1608" t="s">
        <v>692</v>
      </c>
      <c r="E1608">
        <v>2302</v>
      </c>
      <c r="F1608" t="s">
        <v>20</v>
      </c>
    </row>
    <row r="1609" spans="1:6" x14ac:dyDescent="0.35">
      <c r="A1609" s="1">
        <v>45555</v>
      </c>
      <c r="B1609" s="2">
        <v>45555.357603356482</v>
      </c>
      <c r="C1609" t="s">
        <v>8</v>
      </c>
      <c r="D1609" t="s">
        <v>29</v>
      </c>
      <c r="E1609">
        <v>2792</v>
      </c>
      <c r="F1609" t="s">
        <v>36</v>
      </c>
    </row>
    <row r="1610" spans="1:6" x14ac:dyDescent="0.35">
      <c r="A1610" s="1">
        <v>45555</v>
      </c>
      <c r="B1610" s="2">
        <v>45555.407122685188</v>
      </c>
      <c r="C1610" t="s">
        <v>8</v>
      </c>
      <c r="D1610" t="s">
        <v>693</v>
      </c>
      <c r="E1610">
        <v>2792</v>
      </c>
      <c r="F1610" t="s">
        <v>36</v>
      </c>
    </row>
    <row r="1611" spans="1:6" x14ac:dyDescent="0.35">
      <c r="A1611" s="1">
        <v>45555</v>
      </c>
      <c r="B1611" s="2">
        <v>45555.569391956022</v>
      </c>
      <c r="C1611" t="s">
        <v>8</v>
      </c>
      <c r="D1611" t="s">
        <v>386</v>
      </c>
      <c r="E1611">
        <v>2792</v>
      </c>
      <c r="F1611" t="s">
        <v>36</v>
      </c>
    </row>
    <row r="1612" spans="1:6" x14ac:dyDescent="0.35">
      <c r="A1612" s="1">
        <v>45555</v>
      </c>
      <c r="B1612" s="2">
        <v>45555.669092719909</v>
      </c>
      <c r="C1612" t="s">
        <v>8</v>
      </c>
      <c r="D1612" t="s">
        <v>694</v>
      </c>
      <c r="E1612">
        <v>3282</v>
      </c>
      <c r="F1612" t="s">
        <v>32</v>
      </c>
    </row>
    <row r="1613" spans="1:6" x14ac:dyDescent="0.35">
      <c r="A1613" s="1">
        <v>45555</v>
      </c>
      <c r="B1613" s="2">
        <v>45555.860684363426</v>
      </c>
      <c r="C1613" t="s">
        <v>8</v>
      </c>
      <c r="D1613" t="s">
        <v>695</v>
      </c>
      <c r="E1613">
        <v>2302</v>
      </c>
      <c r="F1613" t="s">
        <v>28</v>
      </c>
    </row>
    <row r="1614" spans="1:6" x14ac:dyDescent="0.35">
      <c r="A1614" s="1">
        <v>45555</v>
      </c>
      <c r="B1614" s="2">
        <v>45555.896951157411</v>
      </c>
      <c r="C1614" t="s">
        <v>8</v>
      </c>
      <c r="D1614" t="s">
        <v>340</v>
      </c>
      <c r="E1614">
        <v>2792</v>
      </c>
      <c r="F1614" t="s">
        <v>36</v>
      </c>
    </row>
    <row r="1615" spans="1:6" x14ac:dyDescent="0.35">
      <c r="A1615" s="1">
        <v>45555</v>
      </c>
      <c r="B1615" s="2">
        <v>45555.897720196757</v>
      </c>
      <c r="C1615" t="s">
        <v>8</v>
      </c>
      <c r="D1615" t="s">
        <v>340</v>
      </c>
      <c r="E1615">
        <v>2792</v>
      </c>
      <c r="F1615" t="s">
        <v>36</v>
      </c>
    </row>
    <row r="1616" spans="1:6" x14ac:dyDescent="0.35">
      <c r="A1616" s="1">
        <v>45556</v>
      </c>
      <c r="B1616" s="2">
        <v>45556.459200787038</v>
      </c>
      <c r="C1616" t="s">
        <v>8</v>
      </c>
      <c r="D1616" t="s">
        <v>696</v>
      </c>
      <c r="E1616">
        <v>3282</v>
      </c>
      <c r="F1616" t="s">
        <v>32</v>
      </c>
    </row>
    <row r="1617" spans="1:6" x14ac:dyDescent="0.35">
      <c r="A1617" s="1">
        <v>45556</v>
      </c>
      <c r="B1617" s="2">
        <v>45556.459881967596</v>
      </c>
      <c r="C1617" t="s">
        <v>8</v>
      </c>
      <c r="D1617" t="s">
        <v>696</v>
      </c>
      <c r="E1617">
        <v>3282</v>
      </c>
      <c r="F1617" t="s">
        <v>10</v>
      </c>
    </row>
    <row r="1618" spans="1:6" x14ac:dyDescent="0.35">
      <c r="A1618" s="1">
        <v>45556</v>
      </c>
      <c r="B1618" s="2">
        <v>45556.484574571761</v>
      </c>
      <c r="C1618" t="s">
        <v>8</v>
      </c>
      <c r="D1618" t="s">
        <v>595</v>
      </c>
      <c r="E1618">
        <v>2302</v>
      </c>
      <c r="F1618" t="s">
        <v>20</v>
      </c>
    </row>
    <row r="1619" spans="1:6" x14ac:dyDescent="0.35">
      <c r="A1619" s="1">
        <v>45556</v>
      </c>
      <c r="B1619" s="2">
        <v>45556.485243020834</v>
      </c>
      <c r="C1619" t="s">
        <v>8</v>
      </c>
      <c r="D1619" t="s">
        <v>595</v>
      </c>
      <c r="E1619">
        <v>2302</v>
      </c>
      <c r="F1619" t="s">
        <v>20</v>
      </c>
    </row>
    <row r="1620" spans="1:6" x14ac:dyDescent="0.35">
      <c r="A1620" s="1">
        <v>45556</v>
      </c>
      <c r="B1620" s="2">
        <v>45556.632052870373</v>
      </c>
      <c r="C1620" t="s">
        <v>8</v>
      </c>
      <c r="D1620" t="s">
        <v>697</v>
      </c>
      <c r="E1620">
        <v>3282</v>
      </c>
      <c r="F1620" t="s">
        <v>24</v>
      </c>
    </row>
    <row r="1621" spans="1:6" x14ac:dyDescent="0.35">
      <c r="A1621" s="1">
        <v>45556</v>
      </c>
      <c r="B1621" s="2">
        <v>45556.650157511576</v>
      </c>
      <c r="C1621" t="s">
        <v>8</v>
      </c>
      <c r="D1621" t="s">
        <v>698</v>
      </c>
      <c r="E1621">
        <v>3282</v>
      </c>
      <c r="F1621" t="s">
        <v>32</v>
      </c>
    </row>
    <row r="1622" spans="1:6" x14ac:dyDescent="0.35">
      <c r="A1622" s="1">
        <v>45556</v>
      </c>
      <c r="B1622" s="2">
        <v>45556.761443298608</v>
      </c>
      <c r="C1622" t="s">
        <v>8</v>
      </c>
      <c r="D1622" t="s">
        <v>21</v>
      </c>
      <c r="E1622">
        <v>3282</v>
      </c>
      <c r="F1622" t="s">
        <v>32</v>
      </c>
    </row>
    <row r="1623" spans="1:6" x14ac:dyDescent="0.35">
      <c r="A1623" s="1">
        <v>45556</v>
      </c>
      <c r="B1623" s="2">
        <v>45556.76216071759</v>
      </c>
      <c r="C1623" t="s">
        <v>8</v>
      </c>
      <c r="D1623" t="s">
        <v>21</v>
      </c>
      <c r="E1623">
        <v>3282</v>
      </c>
      <c r="F1623" t="s">
        <v>32</v>
      </c>
    </row>
    <row r="1624" spans="1:6" x14ac:dyDescent="0.35">
      <c r="A1624" s="1">
        <v>45556</v>
      </c>
      <c r="B1624" s="2">
        <v>45556.853969201387</v>
      </c>
      <c r="C1624" t="s">
        <v>8</v>
      </c>
      <c r="D1624" t="s">
        <v>16</v>
      </c>
      <c r="E1624">
        <v>2302</v>
      </c>
      <c r="F1624" t="s">
        <v>28</v>
      </c>
    </row>
    <row r="1625" spans="1:6" x14ac:dyDescent="0.35">
      <c r="A1625" s="1">
        <v>45556</v>
      </c>
      <c r="B1625" s="2">
        <v>45556.854616689816</v>
      </c>
      <c r="C1625" t="s">
        <v>8</v>
      </c>
      <c r="D1625" t="s">
        <v>16</v>
      </c>
      <c r="E1625">
        <v>2302</v>
      </c>
      <c r="F1625" t="s">
        <v>28</v>
      </c>
    </row>
    <row r="1626" spans="1:6" x14ac:dyDescent="0.35">
      <c r="A1626" s="1">
        <v>45556</v>
      </c>
      <c r="B1626" s="2">
        <v>45556.856923321757</v>
      </c>
      <c r="C1626" t="s">
        <v>8</v>
      </c>
      <c r="D1626" t="s">
        <v>654</v>
      </c>
      <c r="E1626">
        <v>3282</v>
      </c>
      <c r="F1626" t="s">
        <v>32</v>
      </c>
    </row>
    <row r="1627" spans="1:6" x14ac:dyDescent="0.35">
      <c r="A1627" s="1">
        <v>45556</v>
      </c>
      <c r="B1627" s="2">
        <v>45556.857988067131</v>
      </c>
      <c r="C1627" t="s">
        <v>8</v>
      </c>
      <c r="D1627" t="s">
        <v>654</v>
      </c>
      <c r="E1627">
        <v>3282</v>
      </c>
      <c r="F1627" t="s">
        <v>32</v>
      </c>
    </row>
    <row r="1628" spans="1:6" x14ac:dyDescent="0.35">
      <c r="A1628" s="1">
        <v>45556</v>
      </c>
      <c r="B1628" s="2">
        <v>45556.929700092594</v>
      </c>
      <c r="C1628" t="s">
        <v>8</v>
      </c>
      <c r="D1628" t="s">
        <v>699</v>
      </c>
      <c r="E1628">
        <v>2792</v>
      </c>
      <c r="F1628" t="s">
        <v>36</v>
      </c>
    </row>
    <row r="1629" spans="1:6" x14ac:dyDescent="0.35">
      <c r="A1629" s="1">
        <v>45556</v>
      </c>
      <c r="B1629" s="2">
        <v>45556.930441296296</v>
      </c>
      <c r="C1629" t="s">
        <v>8</v>
      </c>
      <c r="D1629" t="s">
        <v>699</v>
      </c>
      <c r="E1629">
        <v>2302</v>
      </c>
      <c r="F1629" t="s">
        <v>28</v>
      </c>
    </row>
    <row r="1630" spans="1:6" x14ac:dyDescent="0.35">
      <c r="A1630" s="1">
        <v>45556</v>
      </c>
      <c r="B1630" s="2">
        <v>45556.931115277781</v>
      </c>
      <c r="C1630" t="s">
        <v>8</v>
      </c>
      <c r="D1630" t="s">
        <v>699</v>
      </c>
      <c r="E1630">
        <v>2302</v>
      </c>
      <c r="F1630" t="s">
        <v>28</v>
      </c>
    </row>
    <row r="1631" spans="1:6" x14ac:dyDescent="0.35">
      <c r="A1631" s="1">
        <v>45557</v>
      </c>
      <c r="B1631" s="2">
        <v>45557.356182546297</v>
      </c>
      <c r="C1631" t="s">
        <v>8</v>
      </c>
      <c r="D1631" t="s">
        <v>700</v>
      </c>
      <c r="E1631">
        <v>2302</v>
      </c>
      <c r="F1631" t="s">
        <v>28</v>
      </c>
    </row>
    <row r="1632" spans="1:6" x14ac:dyDescent="0.35">
      <c r="A1632" s="1">
        <v>45557</v>
      </c>
      <c r="B1632" s="2">
        <v>45557.42511300926</v>
      </c>
      <c r="C1632" t="s">
        <v>8</v>
      </c>
      <c r="D1632" t="s">
        <v>701</v>
      </c>
      <c r="E1632">
        <v>2792</v>
      </c>
      <c r="F1632" t="s">
        <v>36</v>
      </c>
    </row>
    <row r="1633" spans="1:6" x14ac:dyDescent="0.35">
      <c r="A1633" s="1">
        <v>45557</v>
      </c>
      <c r="B1633" s="2">
        <v>45557.425793819442</v>
      </c>
      <c r="C1633" t="s">
        <v>8</v>
      </c>
      <c r="D1633" t="s">
        <v>701</v>
      </c>
      <c r="E1633">
        <v>3282</v>
      </c>
      <c r="F1633" t="s">
        <v>32</v>
      </c>
    </row>
    <row r="1634" spans="1:6" x14ac:dyDescent="0.35">
      <c r="A1634" s="1">
        <v>45557</v>
      </c>
      <c r="B1634" s="2">
        <v>45557.462804479168</v>
      </c>
      <c r="C1634" t="s">
        <v>8</v>
      </c>
      <c r="D1634" t="s">
        <v>702</v>
      </c>
      <c r="E1634">
        <v>2302</v>
      </c>
      <c r="F1634" t="s">
        <v>20</v>
      </c>
    </row>
    <row r="1635" spans="1:6" x14ac:dyDescent="0.35">
      <c r="A1635" s="1">
        <v>45557</v>
      </c>
      <c r="B1635" s="2">
        <v>45557.463615509259</v>
      </c>
      <c r="C1635" t="s">
        <v>8</v>
      </c>
      <c r="D1635" t="s">
        <v>702</v>
      </c>
      <c r="E1635">
        <v>2302</v>
      </c>
      <c r="F1635" t="s">
        <v>20</v>
      </c>
    </row>
    <row r="1636" spans="1:6" x14ac:dyDescent="0.35">
      <c r="A1636" s="1">
        <v>45557</v>
      </c>
      <c r="B1636" s="2">
        <v>45557.494443148149</v>
      </c>
      <c r="C1636" t="s">
        <v>8</v>
      </c>
      <c r="D1636" t="s">
        <v>703</v>
      </c>
      <c r="E1636">
        <v>2792</v>
      </c>
      <c r="F1636" t="s">
        <v>36</v>
      </c>
    </row>
    <row r="1637" spans="1:6" x14ac:dyDescent="0.35">
      <c r="A1637" s="1">
        <v>45557</v>
      </c>
      <c r="B1637" s="2">
        <v>45557.49667734954</v>
      </c>
      <c r="C1637" t="s">
        <v>8</v>
      </c>
      <c r="D1637" t="s">
        <v>154</v>
      </c>
      <c r="E1637">
        <v>2302</v>
      </c>
      <c r="F1637" t="s">
        <v>28</v>
      </c>
    </row>
    <row r="1638" spans="1:6" x14ac:dyDescent="0.35">
      <c r="A1638" s="1">
        <v>45557</v>
      </c>
      <c r="B1638" s="2">
        <v>45557.505101469906</v>
      </c>
      <c r="C1638" t="s">
        <v>8</v>
      </c>
      <c r="D1638" t="s">
        <v>29</v>
      </c>
      <c r="E1638">
        <v>2792</v>
      </c>
      <c r="F1638" t="s">
        <v>36</v>
      </c>
    </row>
    <row r="1639" spans="1:6" x14ac:dyDescent="0.35">
      <c r="A1639" s="1">
        <v>45557</v>
      </c>
      <c r="B1639" s="2">
        <v>45557.561280821756</v>
      </c>
      <c r="C1639" t="s">
        <v>8</v>
      </c>
      <c r="D1639" t="s">
        <v>386</v>
      </c>
      <c r="E1639">
        <v>2792</v>
      </c>
      <c r="F1639" t="s">
        <v>36</v>
      </c>
    </row>
    <row r="1640" spans="1:6" x14ac:dyDescent="0.35">
      <c r="A1640" s="1">
        <v>45557</v>
      </c>
      <c r="B1640" s="2">
        <v>45557.562221261571</v>
      </c>
      <c r="C1640" t="s">
        <v>8</v>
      </c>
      <c r="D1640" t="s">
        <v>386</v>
      </c>
      <c r="E1640">
        <v>2792</v>
      </c>
      <c r="F1640" t="s">
        <v>36</v>
      </c>
    </row>
    <row r="1641" spans="1:6" x14ac:dyDescent="0.35">
      <c r="A1641" s="1">
        <v>45557</v>
      </c>
      <c r="B1641" s="2">
        <v>45557.564983344906</v>
      </c>
      <c r="C1641" t="s">
        <v>8</v>
      </c>
      <c r="D1641" t="s">
        <v>562</v>
      </c>
      <c r="E1641">
        <v>2792</v>
      </c>
      <c r="F1641" t="s">
        <v>36</v>
      </c>
    </row>
    <row r="1642" spans="1:6" x14ac:dyDescent="0.35">
      <c r="A1642" s="1">
        <v>45557</v>
      </c>
      <c r="B1642" s="2">
        <v>45557.648727997686</v>
      </c>
      <c r="C1642" t="s">
        <v>8</v>
      </c>
      <c r="D1642" t="s">
        <v>704</v>
      </c>
      <c r="E1642">
        <v>3282</v>
      </c>
      <c r="F1642" t="s">
        <v>32</v>
      </c>
    </row>
    <row r="1643" spans="1:6" x14ac:dyDescent="0.35">
      <c r="A1643" s="1">
        <v>45557</v>
      </c>
      <c r="B1643" s="2">
        <v>45557.649586041669</v>
      </c>
      <c r="C1643" t="s">
        <v>8</v>
      </c>
      <c r="D1643" t="s">
        <v>704</v>
      </c>
      <c r="E1643">
        <v>2792</v>
      </c>
      <c r="F1643" t="s">
        <v>36</v>
      </c>
    </row>
    <row r="1644" spans="1:6" x14ac:dyDescent="0.35">
      <c r="A1644" s="1">
        <v>45557</v>
      </c>
      <c r="B1644" s="2">
        <v>45557.684067916663</v>
      </c>
      <c r="C1644" t="s">
        <v>8</v>
      </c>
      <c r="D1644" t="s">
        <v>705</v>
      </c>
      <c r="E1644">
        <v>3282</v>
      </c>
      <c r="F1644" t="s">
        <v>10</v>
      </c>
    </row>
    <row r="1645" spans="1:6" x14ac:dyDescent="0.35">
      <c r="A1645" s="1">
        <v>45557</v>
      </c>
      <c r="B1645" s="2">
        <v>45557.846644467594</v>
      </c>
      <c r="C1645" t="s">
        <v>8</v>
      </c>
      <c r="D1645" t="s">
        <v>706</v>
      </c>
      <c r="E1645">
        <v>3282</v>
      </c>
      <c r="F1645" t="s">
        <v>32</v>
      </c>
    </row>
    <row r="1646" spans="1:6" x14ac:dyDescent="0.35">
      <c r="A1646" s="1">
        <v>45557</v>
      </c>
      <c r="B1646" s="2">
        <v>45557.847634131947</v>
      </c>
      <c r="C1646" t="s">
        <v>8</v>
      </c>
      <c r="D1646" t="s">
        <v>706</v>
      </c>
      <c r="E1646">
        <v>3282</v>
      </c>
      <c r="F1646" t="s">
        <v>24</v>
      </c>
    </row>
    <row r="1647" spans="1:6" x14ac:dyDescent="0.35">
      <c r="A1647" s="1">
        <v>45557</v>
      </c>
      <c r="B1647" s="2">
        <v>45557.865581111109</v>
      </c>
      <c r="C1647" t="s">
        <v>8</v>
      </c>
      <c r="D1647" t="s">
        <v>508</v>
      </c>
      <c r="E1647">
        <v>2792</v>
      </c>
      <c r="F1647" t="s">
        <v>36</v>
      </c>
    </row>
    <row r="1648" spans="1:6" x14ac:dyDescent="0.35">
      <c r="A1648" s="1">
        <v>45557</v>
      </c>
      <c r="B1648" s="2">
        <v>45557.866378425926</v>
      </c>
      <c r="C1648" t="s">
        <v>8</v>
      </c>
      <c r="D1648" t="s">
        <v>508</v>
      </c>
      <c r="E1648">
        <v>2792</v>
      </c>
      <c r="F1648" t="s">
        <v>36</v>
      </c>
    </row>
    <row r="1649" spans="1:6" x14ac:dyDescent="0.35">
      <c r="A1649" s="1">
        <v>45557</v>
      </c>
      <c r="B1649" s="2">
        <v>45557.879916597223</v>
      </c>
      <c r="C1649" t="s">
        <v>8</v>
      </c>
      <c r="D1649" t="s">
        <v>707</v>
      </c>
      <c r="E1649">
        <v>2792</v>
      </c>
      <c r="F1649" t="s">
        <v>36</v>
      </c>
    </row>
    <row r="1650" spans="1:6" x14ac:dyDescent="0.35">
      <c r="A1650" s="1">
        <v>45557</v>
      </c>
      <c r="B1650" s="2">
        <v>45557.880726828706</v>
      </c>
      <c r="C1650" t="s">
        <v>8</v>
      </c>
      <c r="D1650" t="s">
        <v>707</v>
      </c>
      <c r="E1650">
        <v>2792</v>
      </c>
      <c r="F1650" t="s">
        <v>36</v>
      </c>
    </row>
    <row r="1651" spans="1:6" x14ac:dyDescent="0.35">
      <c r="A1651" s="1">
        <v>45557</v>
      </c>
      <c r="B1651" s="2">
        <v>45557.912547430555</v>
      </c>
      <c r="C1651" t="s">
        <v>8</v>
      </c>
      <c r="D1651" t="s">
        <v>689</v>
      </c>
      <c r="E1651">
        <v>3282</v>
      </c>
      <c r="F1651" t="s">
        <v>15</v>
      </c>
    </row>
    <row r="1652" spans="1:6" x14ac:dyDescent="0.35">
      <c r="A1652" s="1">
        <v>45557</v>
      </c>
      <c r="B1652" s="2">
        <v>45557.913130752313</v>
      </c>
      <c r="C1652" t="s">
        <v>8</v>
      </c>
      <c r="D1652" t="s">
        <v>689</v>
      </c>
      <c r="E1652">
        <v>3282</v>
      </c>
      <c r="F1652" t="s">
        <v>15</v>
      </c>
    </row>
    <row r="1653" spans="1:6" x14ac:dyDescent="0.35">
      <c r="A1653" s="1">
        <v>45557</v>
      </c>
      <c r="B1653" s="2">
        <v>45557.942388703705</v>
      </c>
      <c r="C1653" t="s">
        <v>8</v>
      </c>
      <c r="D1653" t="s">
        <v>708</v>
      </c>
      <c r="E1653">
        <v>2302</v>
      </c>
      <c r="F1653" t="s">
        <v>28</v>
      </c>
    </row>
    <row r="1654" spans="1:6" x14ac:dyDescent="0.35">
      <c r="A1654" s="1">
        <v>45557</v>
      </c>
      <c r="B1654" s="2">
        <v>45557.943037106481</v>
      </c>
      <c r="C1654" t="s">
        <v>8</v>
      </c>
      <c r="D1654" t="s">
        <v>709</v>
      </c>
      <c r="E1654">
        <v>2792</v>
      </c>
      <c r="F1654" t="s">
        <v>36</v>
      </c>
    </row>
    <row r="1655" spans="1:6" x14ac:dyDescent="0.35">
      <c r="A1655" s="1">
        <v>45558</v>
      </c>
      <c r="B1655" s="2">
        <v>45558.377511041668</v>
      </c>
      <c r="C1655" t="s">
        <v>8</v>
      </c>
      <c r="D1655" t="s">
        <v>29</v>
      </c>
      <c r="E1655">
        <v>2792</v>
      </c>
      <c r="F1655" t="s">
        <v>36</v>
      </c>
    </row>
    <row r="1656" spans="1:6" x14ac:dyDescent="0.35">
      <c r="A1656" s="1">
        <v>45558</v>
      </c>
      <c r="B1656" s="2">
        <v>45558.419644305555</v>
      </c>
      <c r="C1656" t="s">
        <v>8</v>
      </c>
      <c r="D1656" t="s">
        <v>40</v>
      </c>
      <c r="E1656">
        <v>2302</v>
      </c>
      <c r="F1656" t="s">
        <v>20</v>
      </c>
    </row>
    <row r="1657" spans="1:6" x14ac:dyDescent="0.35">
      <c r="A1657" s="1">
        <v>45558</v>
      </c>
      <c r="B1657" s="2">
        <v>45558.507689259262</v>
      </c>
      <c r="C1657" t="s">
        <v>8</v>
      </c>
      <c r="D1657" t="s">
        <v>636</v>
      </c>
      <c r="E1657">
        <v>2302</v>
      </c>
      <c r="F1657" t="s">
        <v>28</v>
      </c>
    </row>
    <row r="1658" spans="1:6" x14ac:dyDescent="0.35">
      <c r="A1658" s="1">
        <v>45558</v>
      </c>
      <c r="B1658" s="2">
        <v>45558.589490115737</v>
      </c>
      <c r="C1658" t="s">
        <v>8</v>
      </c>
      <c r="D1658" t="s">
        <v>625</v>
      </c>
      <c r="E1658">
        <v>2792</v>
      </c>
      <c r="F1658" t="s">
        <v>36</v>
      </c>
    </row>
    <row r="1659" spans="1:6" x14ac:dyDescent="0.35">
      <c r="A1659" s="1">
        <v>45558</v>
      </c>
      <c r="B1659" s="2">
        <v>45558.72763415509</v>
      </c>
      <c r="C1659" t="s">
        <v>8</v>
      </c>
      <c r="D1659" t="s">
        <v>710</v>
      </c>
      <c r="E1659">
        <v>3282</v>
      </c>
      <c r="F1659" t="s">
        <v>24</v>
      </c>
    </row>
    <row r="1660" spans="1:6" x14ac:dyDescent="0.35">
      <c r="A1660" s="1">
        <v>45558</v>
      </c>
      <c r="B1660" s="2">
        <v>45558.783685601855</v>
      </c>
      <c r="C1660" t="s">
        <v>8</v>
      </c>
      <c r="D1660" t="s">
        <v>711</v>
      </c>
      <c r="E1660">
        <v>2302</v>
      </c>
      <c r="F1660" t="s">
        <v>28</v>
      </c>
    </row>
    <row r="1661" spans="1:6" x14ac:dyDescent="0.35">
      <c r="A1661" s="1">
        <v>45558</v>
      </c>
      <c r="B1661" s="2">
        <v>45558.824559606481</v>
      </c>
      <c r="C1661" t="s">
        <v>8</v>
      </c>
      <c r="D1661" t="s">
        <v>21</v>
      </c>
      <c r="E1661">
        <v>3282</v>
      </c>
      <c r="F1661" t="s">
        <v>32</v>
      </c>
    </row>
    <row r="1662" spans="1:6" x14ac:dyDescent="0.35">
      <c r="A1662" s="1">
        <v>45558</v>
      </c>
      <c r="B1662" s="2">
        <v>45558.84011420139</v>
      </c>
      <c r="C1662" t="s">
        <v>8</v>
      </c>
      <c r="D1662" t="s">
        <v>260</v>
      </c>
      <c r="E1662">
        <v>3282</v>
      </c>
      <c r="F1662" t="s">
        <v>24</v>
      </c>
    </row>
    <row r="1663" spans="1:6" x14ac:dyDescent="0.35">
      <c r="A1663" s="1">
        <v>45558</v>
      </c>
      <c r="B1663" s="2">
        <v>45558.926047604167</v>
      </c>
      <c r="C1663" t="s">
        <v>8</v>
      </c>
      <c r="D1663" t="s">
        <v>693</v>
      </c>
      <c r="E1663">
        <v>2792</v>
      </c>
      <c r="F1663" t="s">
        <v>36</v>
      </c>
    </row>
    <row r="1664" spans="1:6" x14ac:dyDescent="0.35">
      <c r="A1664" s="1">
        <v>45558</v>
      </c>
      <c r="B1664" s="2">
        <v>45558.92725645833</v>
      </c>
      <c r="C1664" t="s">
        <v>8</v>
      </c>
      <c r="D1664" t="s">
        <v>693</v>
      </c>
      <c r="E1664">
        <v>2792</v>
      </c>
      <c r="F1664" t="s">
        <v>36</v>
      </c>
    </row>
    <row r="1665" spans="1:6" x14ac:dyDescent="0.35">
      <c r="A1665" s="1">
        <v>45559</v>
      </c>
      <c r="B1665" s="2">
        <v>45559.356627465277</v>
      </c>
      <c r="C1665" t="s">
        <v>8</v>
      </c>
      <c r="D1665" t="s">
        <v>29</v>
      </c>
      <c r="E1665">
        <v>2792</v>
      </c>
      <c r="F1665" t="s">
        <v>36</v>
      </c>
    </row>
    <row r="1666" spans="1:6" x14ac:dyDescent="0.35">
      <c r="A1666" s="1">
        <v>45559</v>
      </c>
      <c r="B1666" s="2">
        <v>45559.516631516206</v>
      </c>
      <c r="C1666" t="s">
        <v>8</v>
      </c>
      <c r="D1666" t="s">
        <v>686</v>
      </c>
      <c r="E1666">
        <v>3282</v>
      </c>
      <c r="F1666" t="s">
        <v>32</v>
      </c>
    </row>
    <row r="1667" spans="1:6" x14ac:dyDescent="0.35">
      <c r="A1667" s="1">
        <v>45559</v>
      </c>
      <c r="B1667" s="2">
        <v>45559.517300347223</v>
      </c>
      <c r="C1667" t="s">
        <v>8</v>
      </c>
      <c r="D1667" t="s">
        <v>686</v>
      </c>
      <c r="E1667">
        <v>3282</v>
      </c>
      <c r="F1667" t="s">
        <v>32</v>
      </c>
    </row>
    <row r="1668" spans="1:6" x14ac:dyDescent="0.35">
      <c r="A1668" s="1">
        <v>45559</v>
      </c>
      <c r="B1668" s="2">
        <v>45559.532458368056</v>
      </c>
      <c r="C1668" t="s">
        <v>8</v>
      </c>
      <c r="D1668" t="s">
        <v>712</v>
      </c>
      <c r="E1668">
        <v>3282</v>
      </c>
      <c r="F1668" t="s">
        <v>32</v>
      </c>
    </row>
    <row r="1669" spans="1:6" x14ac:dyDescent="0.35">
      <c r="A1669" s="1">
        <v>45559</v>
      </c>
      <c r="B1669" s="2">
        <v>45559.533210925925</v>
      </c>
      <c r="C1669" t="s">
        <v>8</v>
      </c>
      <c r="D1669" t="s">
        <v>712</v>
      </c>
      <c r="E1669">
        <v>3282</v>
      </c>
      <c r="F1669" t="s">
        <v>32</v>
      </c>
    </row>
    <row r="1670" spans="1:6" x14ac:dyDescent="0.35">
      <c r="A1670" s="1">
        <v>45559</v>
      </c>
      <c r="B1670" s="2">
        <v>45559.591427534724</v>
      </c>
      <c r="C1670" t="s">
        <v>8</v>
      </c>
      <c r="D1670" t="s">
        <v>713</v>
      </c>
      <c r="E1670">
        <v>3282</v>
      </c>
      <c r="F1670" t="s">
        <v>32</v>
      </c>
    </row>
    <row r="1671" spans="1:6" x14ac:dyDescent="0.35">
      <c r="A1671" s="1">
        <v>45559</v>
      </c>
      <c r="B1671" s="2">
        <v>45559.605193761578</v>
      </c>
      <c r="C1671" t="s">
        <v>8</v>
      </c>
      <c r="D1671" t="s">
        <v>714</v>
      </c>
      <c r="E1671">
        <v>2302</v>
      </c>
      <c r="F1671" t="s">
        <v>20</v>
      </c>
    </row>
    <row r="1672" spans="1:6" x14ac:dyDescent="0.35">
      <c r="A1672" s="1">
        <v>45559</v>
      </c>
      <c r="B1672" s="2">
        <v>45559.650968726855</v>
      </c>
      <c r="C1672" t="s">
        <v>8</v>
      </c>
      <c r="D1672" t="s">
        <v>562</v>
      </c>
      <c r="E1672">
        <v>3282</v>
      </c>
      <c r="F1672" t="s">
        <v>24</v>
      </c>
    </row>
    <row r="1673" spans="1:6" x14ac:dyDescent="0.35">
      <c r="A1673" s="1">
        <v>45559</v>
      </c>
      <c r="B1673" s="2">
        <v>45559.693614537035</v>
      </c>
      <c r="C1673" t="s">
        <v>8</v>
      </c>
      <c r="D1673" t="s">
        <v>635</v>
      </c>
      <c r="E1673">
        <v>3282</v>
      </c>
      <c r="F1673" t="s">
        <v>32</v>
      </c>
    </row>
    <row r="1674" spans="1:6" x14ac:dyDescent="0.35">
      <c r="A1674" s="1">
        <v>45559</v>
      </c>
      <c r="B1674" s="2">
        <v>45559.779895081017</v>
      </c>
      <c r="C1674" t="s">
        <v>8</v>
      </c>
      <c r="D1674" t="s">
        <v>461</v>
      </c>
      <c r="E1674">
        <v>2302</v>
      </c>
      <c r="F1674" t="s">
        <v>28</v>
      </c>
    </row>
    <row r="1675" spans="1:6" x14ac:dyDescent="0.35">
      <c r="A1675" s="1">
        <v>45559</v>
      </c>
      <c r="B1675" s="2">
        <v>45559.780487060183</v>
      </c>
      <c r="C1675" t="s">
        <v>8</v>
      </c>
      <c r="D1675" t="s">
        <v>461</v>
      </c>
      <c r="E1675">
        <v>2302</v>
      </c>
      <c r="F1675" t="s">
        <v>28</v>
      </c>
    </row>
    <row r="1676" spans="1:6" x14ac:dyDescent="0.35">
      <c r="A1676" s="1">
        <v>45559</v>
      </c>
      <c r="B1676" s="2">
        <v>45559.844333287037</v>
      </c>
      <c r="C1676" t="s">
        <v>8</v>
      </c>
      <c r="D1676" t="s">
        <v>715</v>
      </c>
      <c r="E1676">
        <v>3282</v>
      </c>
      <c r="F1676" t="s">
        <v>15</v>
      </c>
    </row>
    <row r="1677" spans="1:6" x14ac:dyDescent="0.35">
      <c r="A1677" s="1">
        <v>45559</v>
      </c>
      <c r="B1677" s="2">
        <v>45559.878636458336</v>
      </c>
      <c r="C1677" t="s">
        <v>8</v>
      </c>
      <c r="D1677" t="s">
        <v>683</v>
      </c>
      <c r="E1677">
        <v>3282</v>
      </c>
      <c r="F1677" t="s">
        <v>32</v>
      </c>
    </row>
    <row r="1678" spans="1:6" x14ac:dyDescent="0.35">
      <c r="A1678" s="1">
        <v>45559</v>
      </c>
      <c r="B1678" s="2">
        <v>45559.879541689814</v>
      </c>
      <c r="C1678" t="s">
        <v>8</v>
      </c>
      <c r="D1678" t="s">
        <v>583</v>
      </c>
      <c r="E1678">
        <v>2792</v>
      </c>
      <c r="F1678" t="s">
        <v>36</v>
      </c>
    </row>
    <row r="1679" spans="1:6" x14ac:dyDescent="0.35">
      <c r="A1679" s="1">
        <v>45559</v>
      </c>
      <c r="B1679" s="2">
        <v>45559.880265798609</v>
      </c>
      <c r="C1679" t="s">
        <v>8</v>
      </c>
      <c r="D1679" t="s">
        <v>583</v>
      </c>
      <c r="E1679">
        <v>2792</v>
      </c>
      <c r="F1679" t="s">
        <v>36</v>
      </c>
    </row>
    <row r="1680" spans="1:6" x14ac:dyDescent="0.35">
      <c r="A1680" s="1">
        <v>45560</v>
      </c>
      <c r="B1680" s="2">
        <v>45560.3273275463</v>
      </c>
      <c r="C1680" t="s">
        <v>8</v>
      </c>
      <c r="D1680" t="s">
        <v>716</v>
      </c>
      <c r="E1680">
        <v>3282</v>
      </c>
      <c r="F1680" t="s">
        <v>24</v>
      </c>
    </row>
    <row r="1681" spans="1:6" x14ac:dyDescent="0.35">
      <c r="A1681" s="1">
        <v>45560</v>
      </c>
      <c r="B1681" s="2">
        <v>45560.483015428239</v>
      </c>
      <c r="C1681" t="s">
        <v>8</v>
      </c>
      <c r="D1681" t="s">
        <v>40</v>
      </c>
      <c r="E1681">
        <v>2302</v>
      </c>
      <c r="F1681" t="s">
        <v>20</v>
      </c>
    </row>
    <row r="1682" spans="1:6" x14ac:dyDescent="0.35">
      <c r="A1682" s="1">
        <v>45560</v>
      </c>
      <c r="B1682" s="2">
        <v>45560.493926064817</v>
      </c>
      <c r="C1682" t="s">
        <v>8</v>
      </c>
      <c r="D1682" t="s">
        <v>717</v>
      </c>
      <c r="E1682">
        <v>2792</v>
      </c>
      <c r="F1682" t="s">
        <v>36</v>
      </c>
    </row>
    <row r="1683" spans="1:6" x14ac:dyDescent="0.35">
      <c r="A1683" s="1">
        <v>45560</v>
      </c>
      <c r="B1683" s="2">
        <v>45560.495062164351</v>
      </c>
      <c r="C1683" t="s">
        <v>8</v>
      </c>
      <c r="D1683" t="s">
        <v>717</v>
      </c>
      <c r="E1683">
        <v>3282</v>
      </c>
      <c r="F1683" t="s">
        <v>32</v>
      </c>
    </row>
    <row r="1684" spans="1:6" x14ac:dyDescent="0.35">
      <c r="A1684" s="1">
        <v>45560</v>
      </c>
      <c r="B1684" s="2">
        <v>45560.579762199071</v>
      </c>
      <c r="C1684" t="s">
        <v>8</v>
      </c>
      <c r="D1684" t="s">
        <v>718</v>
      </c>
      <c r="E1684">
        <v>2792</v>
      </c>
      <c r="F1684" t="s">
        <v>36</v>
      </c>
    </row>
    <row r="1685" spans="1:6" x14ac:dyDescent="0.35">
      <c r="A1685" s="1">
        <v>45560</v>
      </c>
      <c r="B1685" s="2">
        <v>45560.580546967591</v>
      </c>
      <c r="C1685" t="s">
        <v>8</v>
      </c>
      <c r="D1685" t="s">
        <v>718</v>
      </c>
      <c r="E1685">
        <v>2792</v>
      </c>
      <c r="F1685" t="s">
        <v>36</v>
      </c>
    </row>
    <row r="1686" spans="1:6" x14ac:dyDescent="0.35">
      <c r="A1686" s="1">
        <v>45560</v>
      </c>
      <c r="B1686" s="2">
        <v>45560.733763680553</v>
      </c>
      <c r="C1686" t="s">
        <v>8</v>
      </c>
      <c r="D1686" t="s">
        <v>719</v>
      </c>
      <c r="E1686">
        <v>2792</v>
      </c>
      <c r="F1686" t="s">
        <v>36</v>
      </c>
    </row>
    <row r="1687" spans="1:6" x14ac:dyDescent="0.35">
      <c r="A1687" s="1">
        <v>45560</v>
      </c>
      <c r="B1687" s="2">
        <v>45560.734396296299</v>
      </c>
      <c r="C1687" t="s">
        <v>8</v>
      </c>
      <c r="D1687" t="s">
        <v>719</v>
      </c>
      <c r="E1687">
        <v>2792</v>
      </c>
      <c r="F1687" t="s">
        <v>36</v>
      </c>
    </row>
    <row r="1688" spans="1:6" x14ac:dyDescent="0.35">
      <c r="A1688" s="1">
        <v>45560</v>
      </c>
      <c r="B1688" s="2">
        <v>45560.899088993057</v>
      </c>
      <c r="C1688" t="s">
        <v>8</v>
      </c>
      <c r="D1688" t="s">
        <v>720</v>
      </c>
      <c r="E1688">
        <v>2302</v>
      </c>
      <c r="F1688" t="s">
        <v>28</v>
      </c>
    </row>
    <row r="1689" spans="1:6" x14ac:dyDescent="0.35">
      <c r="A1689" s="1">
        <v>45560</v>
      </c>
      <c r="B1689" s="2">
        <v>45560.929765671295</v>
      </c>
      <c r="C1689" t="s">
        <v>8</v>
      </c>
      <c r="D1689" t="s">
        <v>528</v>
      </c>
      <c r="E1689">
        <v>2792</v>
      </c>
      <c r="F1689" t="s">
        <v>36</v>
      </c>
    </row>
    <row r="1690" spans="1:6" x14ac:dyDescent="0.35">
      <c r="A1690" s="1">
        <v>45561</v>
      </c>
      <c r="B1690" s="2">
        <v>45561.363600104167</v>
      </c>
      <c r="C1690" t="s">
        <v>8</v>
      </c>
      <c r="D1690" t="s">
        <v>622</v>
      </c>
      <c r="E1690">
        <v>3282</v>
      </c>
      <c r="F1690" t="s">
        <v>32</v>
      </c>
    </row>
    <row r="1691" spans="1:6" x14ac:dyDescent="0.35">
      <c r="A1691" s="1">
        <v>45561</v>
      </c>
      <c r="B1691" s="2">
        <v>45561.442436168982</v>
      </c>
      <c r="C1691" t="s">
        <v>8</v>
      </c>
      <c r="D1691" t="s">
        <v>386</v>
      </c>
      <c r="E1691">
        <v>2792</v>
      </c>
      <c r="F1691" t="s">
        <v>36</v>
      </c>
    </row>
    <row r="1692" spans="1:6" x14ac:dyDescent="0.35">
      <c r="A1692" s="1">
        <v>45561</v>
      </c>
      <c r="B1692" s="2">
        <v>45561.455467673608</v>
      </c>
      <c r="C1692" t="s">
        <v>8</v>
      </c>
      <c r="D1692" t="s">
        <v>721</v>
      </c>
      <c r="E1692">
        <v>1812</v>
      </c>
      <c r="F1692" t="s">
        <v>5</v>
      </c>
    </row>
    <row r="1693" spans="1:6" x14ac:dyDescent="0.35">
      <c r="A1693" s="1">
        <v>45561</v>
      </c>
      <c r="B1693" s="2">
        <v>45561.482506608794</v>
      </c>
      <c r="C1693" t="s">
        <v>8</v>
      </c>
      <c r="D1693" t="s">
        <v>722</v>
      </c>
      <c r="E1693">
        <v>3282</v>
      </c>
      <c r="F1693" t="s">
        <v>24</v>
      </c>
    </row>
    <row r="1694" spans="1:6" x14ac:dyDescent="0.35">
      <c r="A1694" s="1">
        <v>45561</v>
      </c>
      <c r="B1694" s="2">
        <v>45561.533349166668</v>
      </c>
      <c r="C1694" t="s">
        <v>8</v>
      </c>
      <c r="D1694" t="s">
        <v>723</v>
      </c>
      <c r="E1694">
        <v>3282</v>
      </c>
      <c r="F1694" t="s">
        <v>32</v>
      </c>
    </row>
    <row r="1695" spans="1:6" x14ac:dyDescent="0.35">
      <c r="A1695" s="1">
        <v>45561</v>
      </c>
      <c r="B1695" s="2">
        <v>45561.765228391203</v>
      </c>
      <c r="C1695" t="s">
        <v>8</v>
      </c>
      <c r="D1695" t="s">
        <v>724</v>
      </c>
      <c r="E1695">
        <v>3282</v>
      </c>
      <c r="F1695" t="s">
        <v>32</v>
      </c>
    </row>
    <row r="1696" spans="1:6" x14ac:dyDescent="0.35">
      <c r="A1696" s="1">
        <v>45561</v>
      </c>
      <c r="B1696" s="2">
        <v>45561.948091215279</v>
      </c>
      <c r="C1696" t="s">
        <v>8</v>
      </c>
      <c r="D1696" t="s">
        <v>725</v>
      </c>
      <c r="E1696">
        <v>3282</v>
      </c>
      <c r="F1696" t="s">
        <v>32</v>
      </c>
    </row>
    <row r="1697" spans="1:6" x14ac:dyDescent="0.35">
      <c r="A1697" s="1">
        <v>45561</v>
      </c>
      <c r="B1697" s="2">
        <v>45561.948815243057</v>
      </c>
      <c r="C1697" t="s">
        <v>8</v>
      </c>
      <c r="D1697" t="s">
        <v>725</v>
      </c>
      <c r="E1697">
        <v>2302</v>
      </c>
      <c r="F1697" t="s">
        <v>20</v>
      </c>
    </row>
    <row r="1698" spans="1:6" x14ac:dyDescent="0.35">
      <c r="A1698" s="1">
        <v>45561</v>
      </c>
      <c r="B1698" s="2">
        <v>45561.949593368059</v>
      </c>
      <c r="C1698" t="s">
        <v>8</v>
      </c>
      <c r="D1698" t="s">
        <v>525</v>
      </c>
      <c r="E1698">
        <v>2792</v>
      </c>
      <c r="F1698" t="s">
        <v>36</v>
      </c>
    </row>
    <row r="1699" spans="1:6" x14ac:dyDescent="0.35">
      <c r="A1699" s="1">
        <v>45562</v>
      </c>
      <c r="B1699" s="2">
        <v>45562.395667199075</v>
      </c>
      <c r="C1699" t="s">
        <v>8</v>
      </c>
      <c r="D1699" t="s">
        <v>29</v>
      </c>
      <c r="E1699">
        <v>2792</v>
      </c>
      <c r="F1699" t="s">
        <v>36</v>
      </c>
    </row>
    <row r="1700" spans="1:6" x14ac:dyDescent="0.35">
      <c r="A1700" s="1">
        <v>45562</v>
      </c>
      <c r="B1700" s="2">
        <v>45562.398425659725</v>
      </c>
      <c r="C1700" t="s">
        <v>8</v>
      </c>
      <c r="D1700" t="s">
        <v>40</v>
      </c>
      <c r="E1700">
        <v>2302</v>
      </c>
      <c r="F1700" t="s">
        <v>20</v>
      </c>
    </row>
    <row r="1701" spans="1:6" x14ac:dyDescent="0.35">
      <c r="A1701" s="1">
        <v>45562</v>
      </c>
      <c r="B1701" s="2">
        <v>45562.40352699074</v>
      </c>
      <c r="C1701" t="s">
        <v>8</v>
      </c>
      <c r="D1701" t="s">
        <v>726</v>
      </c>
      <c r="E1701">
        <v>3282</v>
      </c>
      <c r="F1701" t="s">
        <v>24</v>
      </c>
    </row>
    <row r="1702" spans="1:6" x14ac:dyDescent="0.35">
      <c r="A1702" s="1">
        <v>45562</v>
      </c>
      <c r="B1702" s="2">
        <v>45562.449266435186</v>
      </c>
      <c r="C1702" t="s">
        <v>8</v>
      </c>
      <c r="D1702" t="s">
        <v>386</v>
      </c>
      <c r="E1702">
        <v>2792</v>
      </c>
      <c r="F1702" t="s">
        <v>36</v>
      </c>
    </row>
    <row r="1703" spans="1:6" x14ac:dyDescent="0.35">
      <c r="A1703" s="1">
        <v>45562</v>
      </c>
      <c r="B1703" s="2">
        <v>45562.482642152776</v>
      </c>
      <c r="C1703" t="s">
        <v>8</v>
      </c>
      <c r="D1703" t="s">
        <v>386</v>
      </c>
      <c r="E1703">
        <v>2792</v>
      </c>
      <c r="F1703" t="s">
        <v>36</v>
      </c>
    </row>
    <row r="1704" spans="1:6" x14ac:dyDescent="0.35">
      <c r="A1704" s="1">
        <v>45562</v>
      </c>
      <c r="B1704" s="2">
        <v>45562.555914988428</v>
      </c>
      <c r="C1704" t="s">
        <v>8</v>
      </c>
      <c r="D1704" t="s">
        <v>727</v>
      </c>
      <c r="E1704">
        <v>3282</v>
      </c>
      <c r="F1704" t="s">
        <v>24</v>
      </c>
    </row>
    <row r="1705" spans="1:6" x14ac:dyDescent="0.35">
      <c r="A1705" s="1">
        <v>45562</v>
      </c>
      <c r="B1705" s="2">
        <v>45562.559088796297</v>
      </c>
      <c r="C1705" t="s">
        <v>8</v>
      </c>
      <c r="D1705" t="s">
        <v>728</v>
      </c>
      <c r="E1705">
        <v>3282</v>
      </c>
      <c r="F1705" t="s">
        <v>24</v>
      </c>
    </row>
    <row r="1706" spans="1:6" x14ac:dyDescent="0.35">
      <c r="A1706" s="1">
        <v>45562</v>
      </c>
      <c r="B1706" s="2">
        <v>45562.561494293979</v>
      </c>
      <c r="C1706" t="s">
        <v>8</v>
      </c>
      <c r="D1706" t="s">
        <v>728</v>
      </c>
      <c r="E1706">
        <v>2302</v>
      </c>
      <c r="F1706" t="s">
        <v>28</v>
      </c>
    </row>
    <row r="1707" spans="1:6" x14ac:dyDescent="0.35">
      <c r="A1707" s="1">
        <v>45562</v>
      </c>
      <c r="B1707" s="2">
        <v>45562.565190451387</v>
      </c>
      <c r="C1707" t="s">
        <v>8</v>
      </c>
      <c r="D1707" t="s">
        <v>729</v>
      </c>
      <c r="E1707">
        <v>2792</v>
      </c>
      <c r="F1707" t="s">
        <v>36</v>
      </c>
    </row>
    <row r="1708" spans="1:6" x14ac:dyDescent="0.35">
      <c r="A1708" s="1">
        <v>45562</v>
      </c>
      <c r="B1708" s="2">
        <v>45562.755366956022</v>
      </c>
      <c r="C1708" t="s">
        <v>8</v>
      </c>
      <c r="D1708" t="s">
        <v>730</v>
      </c>
      <c r="E1708">
        <v>3282</v>
      </c>
      <c r="F1708" t="s">
        <v>32</v>
      </c>
    </row>
    <row r="1709" spans="1:6" x14ac:dyDescent="0.35">
      <c r="A1709" s="1">
        <v>45562</v>
      </c>
      <c r="B1709" s="2">
        <v>45562.756229618055</v>
      </c>
      <c r="C1709" t="s">
        <v>8</v>
      </c>
      <c r="D1709" t="s">
        <v>730</v>
      </c>
      <c r="E1709">
        <v>3282</v>
      </c>
      <c r="F1709" t="s">
        <v>32</v>
      </c>
    </row>
    <row r="1710" spans="1:6" x14ac:dyDescent="0.35">
      <c r="A1710" s="1">
        <v>45562</v>
      </c>
      <c r="B1710" s="2">
        <v>45562.776225590278</v>
      </c>
      <c r="C1710" t="s">
        <v>8</v>
      </c>
      <c r="D1710" t="s">
        <v>731</v>
      </c>
      <c r="E1710">
        <v>3282</v>
      </c>
      <c r="F1710" t="s">
        <v>24</v>
      </c>
    </row>
    <row r="1711" spans="1:6" x14ac:dyDescent="0.35">
      <c r="A1711" s="1">
        <v>45562</v>
      </c>
      <c r="B1711" s="2">
        <v>45562.778399965275</v>
      </c>
      <c r="C1711" t="s">
        <v>8</v>
      </c>
      <c r="D1711" t="s">
        <v>732</v>
      </c>
      <c r="E1711">
        <v>3282</v>
      </c>
      <c r="F1711" t="s">
        <v>24</v>
      </c>
    </row>
    <row r="1712" spans="1:6" x14ac:dyDescent="0.35">
      <c r="A1712" s="1">
        <v>45562</v>
      </c>
      <c r="B1712" s="2">
        <v>45562.845987118053</v>
      </c>
      <c r="C1712" t="s">
        <v>8</v>
      </c>
      <c r="D1712" t="s">
        <v>461</v>
      </c>
      <c r="E1712">
        <v>3282</v>
      </c>
      <c r="F1712" t="s">
        <v>24</v>
      </c>
    </row>
    <row r="1713" spans="1:6" x14ac:dyDescent="0.35">
      <c r="A1713" s="1">
        <v>45562</v>
      </c>
      <c r="B1713" s="2">
        <v>45562.846693506945</v>
      </c>
      <c r="C1713" t="s">
        <v>8</v>
      </c>
      <c r="D1713" t="s">
        <v>461</v>
      </c>
      <c r="E1713">
        <v>3282</v>
      </c>
      <c r="F1713" t="s">
        <v>24</v>
      </c>
    </row>
    <row r="1714" spans="1:6" x14ac:dyDescent="0.35">
      <c r="A1714" s="1">
        <v>45562</v>
      </c>
      <c r="B1714" s="2">
        <v>45562.873784340278</v>
      </c>
      <c r="C1714" t="s">
        <v>8</v>
      </c>
      <c r="D1714" t="s">
        <v>733</v>
      </c>
      <c r="E1714">
        <v>2792</v>
      </c>
      <c r="F1714" t="s">
        <v>36</v>
      </c>
    </row>
    <row r="1715" spans="1:6" x14ac:dyDescent="0.35">
      <c r="A1715" s="1">
        <v>45563</v>
      </c>
      <c r="B1715" s="2">
        <v>45563.338026261576</v>
      </c>
      <c r="C1715" t="s">
        <v>8</v>
      </c>
      <c r="D1715" t="s">
        <v>718</v>
      </c>
      <c r="E1715">
        <v>2792</v>
      </c>
      <c r="F1715" t="s">
        <v>36</v>
      </c>
    </row>
    <row r="1716" spans="1:6" x14ac:dyDescent="0.35">
      <c r="A1716" s="1">
        <v>45563</v>
      </c>
      <c r="B1716" s="2">
        <v>45563.396698599536</v>
      </c>
      <c r="C1716" t="s">
        <v>8</v>
      </c>
      <c r="D1716" t="s">
        <v>734</v>
      </c>
      <c r="E1716">
        <v>2792</v>
      </c>
      <c r="F1716" t="s">
        <v>36</v>
      </c>
    </row>
    <row r="1717" spans="1:6" x14ac:dyDescent="0.35">
      <c r="A1717" s="1">
        <v>45563</v>
      </c>
      <c r="B1717" s="2">
        <v>45563.601242326389</v>
      </c>
      <c r="C1717" t="s">
        <v>8</v>
      </c>
      <c r="D1717" t="s">
        <v>21</v>
      </c>
      <c r="E1717">
        <v>3576</v>
      </c>
      <c r="F1717" t="s">
        <v>32</v>
      </c>
    </row>
    <row r="1718" spans="1:6" x14ac:dyDescent="0.35">
      <c r="A1718" s="1">
        <v>45563</v>
      </c>
      <c r="B1718" s="2">
        <v>45563.706482847221</v>
      </c>
      <c r="C1718" t="s">
        <v>8</v>
      </c>
      <c r="D1718" t="s">
        <v>735</v>
      </c>
      <c r="E1718">
        <v>3576</v>
      </c>
      <c r="F1718" t="s">
        <v>32</v>
      </c>
    </row>
    <row r="1719" spans="1:6" x14ac:dyDescent="0.35">
      <c r="A1719" s="1">
        <v>45563</v>
      </c>
      <c r="B1719" s="2">
        <v>45563.726582222225</v>
      </c>
      <c r="C1719" t="s">
        <v>8</v>
      </c>
      <c r="D1719" t="s">
        <v>736</v>
      </c>
      <c r="E1719">
        <v>3086</v>
      </c>
      <c r="F1719" t="s">
        <v>36</v>
      </c>
    </row>
    <row r="1720" spans="1:6" x14ac:dyDescent="0.35">
      <c r="A1720" s="1">
        <v>45563</v>
      </c>
      <c r="B1720" s="2">
        <v>45563.857304513891</v>
      </c>
      <c r="C1720" t="s">
        <v>8</v>
      </c>
      <c r="D1720" t="s">
        <v>498</v>
      </c>
      <c r="E1720">
        <v>3576</v>
      </c>
      <c r="F1720" t="s">
        <v>32</v>
      </c>
    </row>
    <row r="1721" spans="1:6" x14ac:dyDescent="0.35">
      <c r="A1721" s="1">
        <v>45563</v>
      </c>
      <c r="B1721" s="2">
        <v>45563.860144699072</v>
      </c>
      <c r="C1721" t="s">
        <v>8</v>
      </c>
      <c r="D1721" t="s">
        <v>737</v>
      </c>
      <c r="E1721">
        <v>3576</v>
      </c>
      <c r="F1721" t="s">
        <v>32</v>
      </c>
    </row>
    <row r="1722" spans="1:6" x14ac:dyDescent="0.35">
      <c r="A1722" s="1">
        <v>45563</v>
      </c>
      <c r="B1722" s="2">
        <v>45563.928203437499</v>
      </c>
      <c r="C1722" t="s">
        <v>8</v>
      </c>
      <c r="D1722" t="s">
        <v>738</v>
      </c>
      <c r="E1722">
        <v>3576</v>
      </c>
      <c r="F1722" t="s">
        <v>24</v>
      </c>
    </row>
    <row r="1723" spans="1:6" x14ac:dyDescent="0.35">
      <c r="A1723" s="1">
        <v>45563</v>
      </c>
      <c r="B1723" s="2">
        <v>45563.928814664352</v>
      </c>
      <c r="C1723" t="s">
        <v>8</v>
      </c>
      <c r="D1723" t="s">
        <v>738</v>
      </c>
      <c r="E1723">
        <v>3576</v>
      </c>
      <c r="F1723" t="s">
        <v>10</v>
      </c>
    </row>
    <row r="1724" spans="1:6" x14ac:dyDescent="0.35">
      <c r="A1724" s="1">
        <v>45563</v>
      </c>
      <c r="B1724" s="2">
        <v>45563.929352685183</v>
      </c>
      <c r="C1724" t="s">
        <v>8</v>
      </c>
      <c r="D1724" t="s">
        <v>739</v>
      </c>
      <c r="E1724">
        <v>2596</v>
      </c>
      <c r="F1724" t="s">
        <v>20</v>
      </c>
    </row>
    <row r="1725" spans="1:6" x14ac:dyDescent="0.35">
      <c r="A1725" s="1">
        <v>45563</v>
      </c>
      <c r="B1725" s="2">
        <v>45563.930011909724</v>
      </c>
      <c r="C1725" t="s">
        <v>8</v>
      </c>
      <c r="D1725" t="s">
        <v>739</v>
      </c>
      <c r="E1725">
        <v>3576</v>
      </c>
      <c r="F1725" t="s">
        <v>15</v>
      </c>
    </row>
    <row r="1726" spans="1:6" x14ac:dyDescent="0.35">
      <c r="A1726" s="1">
        <v>45564</v>
      </c>
      <c r="B1726" s="2">
        <v>45564.450521412036</v>
      </c>
      <c r="C1726" t="s">
        <v>8</v>
      </c>
      <c r="D1726" t="s">
        <v>520</v>
      </c>
      <c r="E1726">
        <v>2596</v>
      </c>
      <c r="F1726" t="s">
        <v>28</v>
      </c>
    </row>
    <row r="1727" spans="1:6" x14ac:dyDescent="0.35">
      <c r="A1727" s="1">
        <v>45564</v>
      </c>
      <c r="B1727" s="2">
        <v>45564.451449745371</v>
      </c>
      <c r="C1727" t="s">
        <v>8</v>
      </c>
      <c r="D1727" t="s">
        <v>226</v>
      </c>
      <c r="E1727">
        <v>3576</v>
      </c>
      <c r="F1727" t="s">
        <v>24</v>
      </c>
    </row>
    <row r="1728" spans="1:6" x14ac:dyDescent="0.35">
      <c r="A1728" s="1">
        <v>45564</v>
      </c>
      <c r="B1728" s="2">
        <v>45564.452120983799</v>
      </c>
      <c r="C1728" t="s">
        <v>8</v>
      </c>
      <c r="D1728" t="s">
        <v>226</v>
      </c>
      <c r="E1728">
        <v>3576</v>
      </c>
      <c r="F1728" t="s">
        <v>24</v>
      </c>
    </row>
    <row r="1729" spans="1:6" x14ac:dyDescent="0.35">
      <c r="A1729" s="1">
        <v>45564</v>
      </c>
      <c r="B1729" s="2">
        <v>45564.453044224538</v>
      </c>
      <c r="C1729" t="s">
        <v>8</v>
      </c>
      <c r="D1729" t="s">
        <v>226</v>
      </c>
      <c r="E1729">
        <v>3576</v>
      </c>
      <c r="F1729" t="s">
        <v>24</v>
      </c>
    </row>
    <row r="1730" spans="1:6" x14ac:dyDescent="0.35">
      <c r="A1730" s="1">
        <v>45564</v>
      </c>
      <c r="B1730" s="2">
        <v>45564.453962164349</v>
      </c>
      <c r="C1730" t="s">
        <v>8</v>
      </c>
      <c r="D1730" t="s">
        <v>386</v>
      </c>
      <c r="E1730">
        <v>3086</v>
      </c>
      <c r="F1730" t="s">
        <v>36</v>
      </c>
    </row>
    <row r="1731" spans="1:6" x14ac:dyDescent="0.35">
      <c r="A1731" s="1">
        <v>45564</v>
      </c>
      <c r="B1731" s="2">
        <v>45564.52480835648</v>
      </c>
      <c r="C1731" t="s">
        <v>8</v>
      </c>
      <c r="D1731" t="s">
        <v>735</v>
      </c>
      <c r="E1731">
        <v>3576</v>
      </c>
      <c r="F1731" t="s">
        <v>32</v>
      </c>
    </row>
    <row r="1732" spans="1:6" x14ac:dyDescent="0.35">
      <c r="A1732" s="1">
        <v>45564</v>
      </c>
      <c r="B1732" s="2">
        <v>45564.535398657405</v>
      </c>
      <c r="C1732" t="s">
        <v>8</v>
      </c>
      <c r="D1732" t="s">
        <v>40</v>
      </c>
      <c r="E1732">
        <v>2596</v>
      </c>
      <c r="F1732" t="s">
        <v>20</v>
      </c>
    </row>
    <row r="1733" spans="1:6" x14ac:dyDescent="0.35">
      <c r="A1733" s="1">
        <v>45564</v>
      </c>
      <c r="B1733" s="2">
        <v>45564.537678067129</v>
      </c>
      <c r="C1733" t="s">
        <v>8</v>
      </c>
      <c r="D1733" t="s">
        <v>654</v>
      </c>
      <c r="E1733">
        <v>3576</v>
      </c>
      <c r="F1733" t="s">
        <v>32</v>
      </c>
    </row>
    <row r="1734" spans="1:6" x14ac:dyDescent="0.35">
      <c r="A1734" s="1">
        <v>45564</v>
      </c>
      <c r="B1734" s="2">
        <v>45564.538444872684</v>
      </c>
      <c r="C1734" t="s">
        <v>8</v>
      </c>
      <c r="D1734" t="s">
        <v>740</v>
      </c>
      <c r="E1734">
        <v>3576</v>
      </c>
      <c r="F1734" t="s">
        <v>32</v>
      </c>
    </row>
    <row r="1735" spans="1:6" x14ac:dyDescent="0.35">
      <c r="A1735" s="1">
        <v>45564</v>
      </c>
      <c r="B1735" s="2">
        <v>45564.751704814815</v>
      </c>
      <c r="C1735" t="s">
        <v>8</v>
      </c>
      <c r="D1735" t="s">
        <v>741</v>
      </c>
      <c r="E1735">
        <v>3576</v>
      </c>
      <c r="F1735" t="s">
        <v>24</v>
      </c>
    </row>
    <row r="1736" spans="1:6" x14ac:dyDescent="0.35">
      <c r="A1736" s="1">
        <v>45564</v>
      </c>
      <c r="B1736" s="2">
        <v>45564.938227025465</v>
      </c>
      <c r="C1736" t="s">
        <v>8</v>
      </c>
      <c r="D1736" t="s">
        <v>742</v>
      </c>
      <c r="E1736">
        <v>3576</v>
      </c>
      <c r="F1736" t="s">
        <v>32</v>
      </c>
    </row>
    <row r="1737" spans="1:6" x14ac:dyDescent="0.35">
      <c r="A1737" s="1">
        <v>45565</v>
      </c>
      <c r="B1737" s="2">
        <v>45565.339438842595</v>
      </c>
      <c r="C1737" t="s">
        <v>8</v>
      </c>
      <c r="D1737" t="s">
        <v>40</v>
      </c>
      <c r="E1737">
        <v>2596</v>
      </c>
      <c r="F1737" t="s">
        <v>20</v>
      </c>
    </row>
    <row r="1738" spans="1:6" x14ac:dyDescent="0.35">
      <c r="A1738" s="1">
        <v>45565</v>
      </c>
      <c r="B1738" s="2">
        <v>45565.374243854167</v>
      </c>
      <c r="C1738" t="s">
        <v>8</v>
      </c>
      <c r="D1738" t="s">
        <v>743</v>
      </c>
      <c r="E1738">
        <v>2596</v>
      </c>
      <c r="F1738" t="s">
        <v>20</v>
      </c>
    </row>
    <row r="1739" spans="1:6" x14ac:dyDescent="0.35">
      <c r="A1739" s="1">
        <v>45565</v>
      </c>
      <c r="B1739" s="2">
        <v>45565.375056909725</v>
      </c>
      <c r="C1739" t="s">
        <v>8</v>
      </c>
      <c r="D1739" t="s">
        <v>744</v>
      </c>
      <c r="E1739">
        <v>3576</v>
      </c>
      <c r="F1739" t="s">
        <v>15</v>
      </c>
    </row>
    <row r="1740" spans="1:6" x14ac:dyDescent="0.35">
      <c r="A1740" s="1">
        <v>45565</v>
      </c>
      <c r="B1740" s="2">
        <v>45565.417467222222</v>
      </c>
      <c r="C1740" t="s">
        <v>8</v>
      </c>
      <c r="D1740" t="s">
        <v>29</v>
      </c>
      <c r="E1740">
        <v>3086</v>
      </c>
      <c r="F1740" t="s">
        <v>36</v>
      </c>
    </row>
    <row r="1741" spans="1:6" x14ac:dyDescent="0.35">
      <c r="A1741" s="1">
        <v>45565</v>
      </c>
      <c r="B1741" s="2">
        <v>45565.420351284723</v>
      </c>
      <c r="C1741" t="s">
        <v>8</v>
      </c>
      <c r="D1741" t="s">
        <v>40</v>
      </c>
      <c r="E1741">
        <v>2596</v>
      </c>
      <c r="F1741" t="s">
        <v>20</v>
      </c>
    </row>
    <row r="1742" spans="1:6" x14ac:dyDescent="0.35">
      <c r="A1742" s="1">
        <v>45565</v>
      </c>
      <c r="B1742" s="2">
        <v>45565.481187013887</v>
      </c>
      <c r="C1742" t="s">
        <v>8</v>
      </c>
      <c r="D1742" t="s">
        <v>745</v>
      </c>
      <c r="E1742">
        <v>3086</v>
      </c>
      <c r="F1742" t="s">
        <v>36</v>
      </c>
    </row>
    <row r="1743" spans="1:6" x14ac:dyDescent="0.35">
      <c r="A1743" s="1">
        <v>45565</v>
      </c>
      <c r="B1743" s="2">
        <v>45565.698431249999</v>
      </c>
      <c r="C1743" t="s">
        <v>8</v>
      </c>
      <c r="D1743" t="s">
        <v>386</v>
      </c>
      <c r="E1743">
        <v>3086</v>
      </c>
      <c r="F1743" t="s">
        <v>36</v>
      </c>
    </row>
    <row r="1744" spans="1:6" x14ac:dyDescent="0.35">
      <c r="A1744" s="1">
        <v>45565</v>
      </c>
      <c r="B1744" s="2">
        <v>45565.814099537034</v>
      </c>
      <c r="C1744" t="s">
        <v>8</v>
      </c>
      <c r="D1744" t="s">
        <v>21</v>
      </c>
      <c r="E1744">
        <v>3576</v>
      </c>
      <c r="F1744" t="s">
        <v>32</v>
      </c>
    </row>
    <row r="1745" spans="1:6" x14ac:dyDescent="0.35">
      <c r="A1745" s="1">
        <v>45565</v>
      </c>
      <c r="B1745" s="2">
        <v>45565.828635324076</v>
      </c>
      <c r="C1745" t="s">
        <v>8</v>
      </c>
      <c r="D1745" t="s">
        <v>746</v>
      </c>
      <c r="E1745">
        <v>3086</v>
      </c>
      <c r="F1745" t="s">
        <v>36</v>
      </c>
    </row>
    <row r="1746" spans="1:6" x14ac:dyDescent="0.35">
      <c r="A1746" s="1">
        <v>45565</v>
      </c>
      <c r="B1746" s="2">
        <v>45565.829370601852</v>
      </c>
      <c r="C1746" t="s">
        <v>8</v>
      </c>
      <c r="D1746" t="s">
        <v>746</v>
      </c>
      <c r="E1746">
        <v>2596</v>
      </c>
      <c r="F1746" t="s">
        <v>20</v>
      </c>
    </row>
    <row r="1747" spans="1:6" x14ac:dyDescent="0.35">
      <c r="A1747" s="1">
        <v>45565</v>
      </c>
      <c r="B1747" s="2">
        <v>45565.832858715279</v>
      </c>
      <c r="C1747" t="s">
        <v>8</v>
      </c>
      <c r="D1747" t="s">
        <v>683</v>
      </c>
      <c r="E1747">
        <v>3576</v>
      </c>
      <c r="F1747" t="s">
        <v>32</v>
      </c>
    </row>
    <row r="1748" spans="1:6" x14ac:dyDescent="0.35">
      <c r="A1748" s="1">
        <v>45565</v>
      </c>
      <c r="B1748" s="2">
        <v>45565.833821006941</v>
      </c>
      <c r="C1748" t="s">
        <v>8</v>
      </c>
      <c r="D1748" t="s">
        <v>583</v>
      </c>
      <c r="E1748">
        <v>3086</v>
      </c>
      <c r="F1748" t="s">
        <v>36</v>
      </c>
    </row>
    <row r="1749" spans="1:6" x14ac:dyDescent="0.35">
      <c r="A1749" s="1">
        <v>45565</v>
      </c>
      <c r="B1749" s="2">
        <v>45565.834516099538</v>
      </c>
      <c r="C1749" t="s">
        <v>8</v>
      </c>
      <c r="D1749" t="s">
        <v>685</v>
      </c>
      <c r="E1749">
        <v>3086</v>
      </c>
      <c r="F1749" t="s">
        <v>36</v>
      </c>
    </row>
    <row r="1750" spans="1:6" x14ac:dyDescent="0.35">
      <c r="A1750" s="1">
        <v>45565</v>
      </c>
      <c r="B1750" s="2">
        <v>45565.90355934028</v>
      </c>
      <c r="C1750" t="s">
        <v>8</v>
      </c>
      <c r="D1750" t="s">
        <v>747</v>
      </c>
      <c r="E1750">
        <v>3086</v>
      </c>
      <c r="F1750" t="s">
        <v>36</v>
      </c>
    </row>
    <row r="1751" spans="1:6" x14ac:dyDescent="0.35">
      <c r="A1751" s="1">
        <v>45566</v>
      </c>
      <c r="B1751" s="2">
        <v>45566.324403344908</v>
      </c>
      <c r="C1751" t="s">
        <v>8</v>
      </c>
      <c r="D1751" t="s">
        <v>748</v>
      </c>
      <c r="E1751">
        <v>3576</v>
      </c>
      <c r="F1751" t="s">
        <v>32</v>
      </c>
    </row>
    <row r="1752" spans="1:6" x14ac:dyDescent="0.35">
      <c r="A1752" s="1">
        <v>45566</v>
      </c>
      <c r="B1752" s="2">
        <v>45566.408689548611</v>
      </c>
      <c r="C1752" t="s">
        <v>8</v>
      </c>
      <c r="D1752" t="s">
        <v>29</v>
      </c>
      <c r="E1752">
        <v>3086</v>
      </c>
      <c r="F1752" t="s">
        <v>36</v>
      </c>
    </row>
    <row r="1753" spans="1:6" x14ac:dyDescent="0.35">
      <c r="A1753" s="1">
        <v>45566</v>
      </c>
      <c r="B1753" s="2">
        <v>45566.418365486112</v>
      </c>
      <c r="C1753" t="s">
        <v>8</v>
      </c>
      <c r="D1753" t="s">
        <v>386</v>
      </c>
      <c r="E1753">
        <v>3086</v>
      </c>
      <c r="F1753" t="s">
        <v>36</v>
      </c>
    </row>
    <row r="1754" spans="1:6" x14ac:dyDescent="0.35">
      <c r="A1754" s="1">
        <v>45566</v>
      </c>
      <c r="B1754" s="2">
        <v>45566.419295312502</v>
      </c>
      <c r="C1754" t="s">
        <v>8</v>
      </c>
      <c r="D1754" t="s">
        <v>386</v>
      </c>
      <c r="E1754">
        <v>3086</v>
      </c>
      <c r="F1754" t="s">
        <v>36</v>
      </c>
    </row>
    <row r="1755" spans="1:6" x14ac:dyDescent="0.35">
      <c r="A1755" s="1">
        <v>45566</v>
      </c>
      <c r="B1755" s="2">
        <v>45566.496896446763</v>
      </c>
      <c r="C1755" t="s">
        <v>8</v>
      </c>
      <c r="D1755" t="s">
        <v>749</v>
      </c>
      <c r="E1755">
        <v>3086</v>
      </c>
      <c r="F1755" t="s">
        <v>36</v>
      </c>
    </row>
    <row r="1756" spans="1:6" x14ac:dyDescent="0.35">
      <c r="A1756" s="1">
        <v>45566</v>
      </c>
      <c r="B1756" s="2">
        <v>45566.508894050923</v>
      </c>
      <c r="C1756" t="s">
        <v>8</v>
      </c>
      <c r="D1756" t="s">
        <v>750</v>
      </c>
      <c r="E1756">
        <v>3086</v>
      </c>
      <c r="F1756" t="s">
        <v>36</v>
      </c>
    </row>
    <row r="1757" spans="1:6" x14ac:dyDescent="0.35">
      <c r="A1757" s="1">
        <v>45566</v>
      </c>
      <c r="B1757" s="2">
        <v>45566.509992847219</v>
      </c>
      <c r="C1757" t="s">
        <v>8</v>
      </c>
      <c r="D1757" t="s">
        <v>750</v>
      </c>
      <c r="E1757">
        <v>3086</v>
      </c>
      <c r="F1757" t="s">
        <v>36</v>
      </c>
    </row>
    <row r="1758" spans="1:6" x14ac:dyDescent="0.35">
      <c r="A1758" s="1">
        <v>45566</v>
      </c>
      <c r="B1758" s="2">
        <v>45566.595543483796</v>
      </c>
      <c r="C1758" t="s">
        <v>8</v>
      </c>
      <c r="D1758" t="s">
        <v>751</v>
      </c>
      <c r="E1758">
        <v>2596</v>
      </c>
      <c r="F1758" t="s">
        <v>28</v>
      </c>
    </row>
    <row r="1759" spans="1:6" x14ac:dyDescent="0.35">
      <c r="A1759" s="1">
        <v>45566</v>
      </c>
      <c r="B1759" s="2">
        <v>45566.596441643516</v>
      </c>
      <c r="C1759" t="s">
        <v>8</v>
      </c>
      <c r="D1759" t="s">
        <v>751</v>
      </c>
      <c r="E1759">
        <v>3086</v>
      </c>
      <c r="F1759" t="s">
        <v>36</v>
      </c>
    </row>
    <row r="1760" spans="1:6" x14ac:dyDescent="0.35">
      <c r="A1760" s="1">
        <v>45566</v>
      </c>
      <c r="B1760" s="2">
        <v>45566.67267359954</v>
      </c>
      <c r="C1760" t="s">
        <v>8</v>
      </c>
      <c r="D1760" t="s">
        <v>689</v>
      </c>
      <c r="E1760">
        <v>3576</v>
      </c>
      <c r="F1760" t="s">
        <v>15</v>
      </c>
    </row>
    <row r="1761" spans="1:6" x14ac:dyDescent="0.35">
      <c r="A1761" s="1">
        <v>45566</v>
      </c>
      <c r="B1761" s="2">
        <v>45566.695769456019</v>
      </c>
      <c r="C1761" t="s">
        <v>8</v>
      </c>
      <c r="D1761" t="s">
        <v>752</v>
      </c>
      <c r="E1761">
        <v>2596</v>
      </c>
      <c r="F1761" t="s">
        <v>28</v>
      </c>
    </row>
    <row r="1762" spans="1:6" x14ac:dyDescent="0.35">
      <c r="A1762" s="1">
        <v>45566</v>
      </c>
      <c r="B1762" s="2">
        <v>45566.755862789352</v>
      </c>
      <c r="C1762" t="s">
        <v>8</v>
      </c>
      <c r="D1762" t="s">
        <v>753</v>
      </c>
      <c r="E1762">
        <v>3576</v>
      </c>
      <c r="F1762" t="s">
        <v>32</v>
      </c>
    </row>
    <row r="1763" spans="1:6" x14ac:dyDescent="0.35">
      <c r="A1763" s="1">
        <v>45566</v>
      </c>
      <c r="B1763" s="2">
        <v>45566.766104861112</v>
      </c>
      <c r="C1763" t="s">
        <v>8</v>
      </c>
      <c r="D1763" t="s">
        <v>754</v>
      </c>
      <c r="E1763">
        <v>3576</v>
      </c>
      <c r="F1763" t="s">
        <v>32</v>
      </c>
    </row>
    <row r="1764" spans="1:6" x14ac:dyDescent="0.35">
      <c r="A1764" s="1">
        <v>45566</v>
      </c>
      <c r="B1764" s="2">
        <v>45566.766831620371</v>
      </c>
      <c r="C1764" t="s">
        <v>8</v>
      </c>
      <c r="D1764" t="s">
        <v>754</v>
      </c>
      <c r="E1764">
        <v>3576</v>
      </c>
      <c r="F1764" t="s">
        <v>15</v>
      </c>
    </row>
    <row r="1765" spans="1:6" x14ac:dyDescent="0.35">
      <c r="A1765" s="1">
        <v>45566</v>
      </c>
      <c r="B1765" s="2">
        <v>45566.835672951391</v>
      </c>
      <c r="C1765" t="s">
        <v>8</v>
      </c>
      <c r="D1765" t="s">
        <v>637</v>
      </c>
      <c r="E1765">
        <v>3576</v>
      </c>
      <c r="F1765" t="s">
        <v>15</v>
      </c>
    </row>
    <row r="1766" spans="1:6" x14ac:dyDescent="0.35">
      <c r="A1766" s="1">
        <v>45567</v>
      </c>
      <c r="B1766" s="2">
        <v>45567.331467511576</v>
      </c>
      <c r="C1766" t="s">
        <v>8</v>
      </c>
      <c r="D1766" t="s">
        <v>755</v>
      </c>
      <c r="E1766">
        <v>3576</v>
      </c>
      <c r="F1766" t="s">
        <v>32</v>
      </c>
    </row>
    <row r="1767" spans="1:6" x14ac:dyDescent="0.35">
      <c r="A1767" s="1">
        <v>45567</v>
      </c>
      <c r="B1767" s="2">
        <v>45567.363016689815</v>
      </c>
      <c r="C1767" t="s">
        <v>8</v>
      </c>
      <c r="D1767" t="s">
        <v>40</v>
      </c>
      <c r="E1767">
        <v>2596</v>
      </c>
      <c r="F1767" t="s">
        <v>20</v>
      </c>
    </row>
    <row r="1768" spans="1:6" x14ac:dyDescent="0.35">
      <c r="A1768" s="1">
        <v>45567</v>
      </c>
      <c r="B1768" s="2">
        <v>45567.388391817127</v>
      </c>
      <c r="C1768" t="s">
        <v>8</v>
      </c>
      <c r="D1768" t="s">
        <v>29</v>
      </c>
      <c r="E1768">
        <v>3086</v>
      </c>
      <c r="F1768" t="s">
        <v>36</v>
      </c>
    </row>
    <row r="1769" spans="1:6" x14ac:dyDescent="0.35">
      <c r="A1769" s="1">
        <v>45567</v>
      </c>
      <c r="B1769" s="2">
        <v>45567.431962071758</v>
      </c>
      <c r="C1769" t="s">
        <v>8</v>
      </c>
      <c r="D1769" t="s">
        <v>428</v>
      </c>
      <c r="E1769">
        <v>3576</v>
      </c>
      <c r="F1769" t="s">
        <v>32</v>
      </c>
    </row>
    <row r="1770" spans="1:6" x14ac:dyDescent="0.35">
      <c r="A1770" s="1">
        <v>45567</v>
      </c>
      <c r="B1770" s="2">
        <v>45567.433278611112</v>
      </c>
      <c r="C1770" t="s">
        <v>8</v>
      </c>
      <c r="D1770" t="s">
        <v>756</v>
      </c>
      <c r="E1770">
        <v>3086</v>
      </c>
      <c r="F1770" t="s">
        <v>36</v>
      </c>
    </row>
    <row r="1771" spans="1:6" x14ac:dyDescent="0.35">
      <c r="A1771" s="1">
        <v>45567</v>
      </c>
      <c r="B1771" s="2">
        <v>45567.478401539352</v>
      </c>
      <c r="C1771" t="s">
        <v>8</v>
      </c>
      <c r="D1771" t="s">
        <v>757</v>
      </c>
      <c r="E1771">
        <v>3576</v>
      </c>
      <c r="F1771" t="s">
        <v>24</v>
      </c>
    </row>
    <row r="1772" spans="1:6" x14ac:dyDescent="0.35">
      <c r="A1772" s="1">
        <v>45567</v>
      </c>
      <c r="B1772" s="2">
        <v>45567.634515532409</v>
      </c>
      <c r="C1772" t="s">
        <v>8</v>
      </c>
      <c r="D1772" t="s">
        <v>758</v>
      </c>
      <c r="E1772">
        <v>3576</v>
      </c>
      <c r="F1772" t="s">
        <v>24</v>
      </c>
    </row>
    <row r="1773" spans="1:6" x14ac:dyDescent="0.35">
      <c r="A1773" s="1">
        <v>45567</v>
      </c>
      <c r="B1773" s="2">
        <v>45567.771610567128</v>
      </c>
      <c r="C1773" t="s">
        <v>8</v>
      </c>
      <c r="D1773" t="s">
        <v>309</v>
      </c>
      <c r="E1773">
        <v>3576</v>
      </c>
      <c r="F1773" t="s">
        <v>15</v>
      </c>
    </row>
    <row r="1774" spans="1:6" x14ac:dyDescent="0.35">
      <c r="A1774" s="1">
        <v>45567</v>
      </c>
      <c r="B1774" s="2">
        <v>45567.929807627312</v>
      </c>
      <c r="C1774" t="s">
        <v>8</v>
      </c>
      <c r="D1774" t="s">
        <v>689</v>
      </c>
      <c r="E1774">
        <v>3576</v>
      </c>
      <c r="F1774" t="s">
        <v>15</v>
      </c>
    </row>
    <row r="1775" spans="1:6" x14ac:dyDescent="0.35">
      <c r="A1775" s="1">
        <v>45567</v>
      </c>
      <c r="B1775" s="2">
        <v>45567.93033210648</v>
      </c>
      <c r="C1775" t="s">
        <v>8</v>
      </c>
      <c r="D1775" t="s">
        <v>689</v>
      </c>
      <c r="E1775">
        <v>3576</v>
      </c>
      <c r="F1775" t="s">
        <v>15</v>
      </c>
    </row>
    <row r="1776" spans="1:6" x14ac:dyDescent="0.35">
      <c r="A1776" s="1">
        <v>45567</v>
      </c>
      <c r="B1776" s="2">
        <v>45567.930829293982</v>
      </c>
      <c r="C1776" t="s">
        <v>8</v>
      </c>
      <c r="D1776" t="s">
        <v>759</v>
      </c>
      <c r="E1776">
        <v>3576</v>
      </c>
      <c r="F1776" t="s">
        <v>15</v>
      </c>
    </row>
    <row r="1777" spans="1:6" x14ac:dyDescent="0.35">
      <c r="A1777" s="1">
        <v>45568</v>
      </c>
      <c r="B1777" s="2">
        <v>45568.574721319441</v>
      </c>
      <c r="C1777" t="s">
        <v>8</v>
      </c>
      <c r="D1777" t="s">
        <v>760</v>
      </c>
      <c r="E1777">
        <v>3576</v>
      </c>
      <c r="F1777" t="s">
        <v>10</v>
      </c>
    </row>
    <row r="1778" spans="1:6" x14ac:dyDescent="0.35">
      <c r="A1778" s="1">
        <v>45568</v>
      </c>
      <c r="B1778" s="2">
        <v>45568.633393055556</v>
      </c>
      <c r="C1778" t="s">
        <v>8</v>
      </c>
      <c r="D1778" t="s">
        <v>761</v>
      </c>
      <c r="E1778">
        <v>3086</v>
      </c>
      <c r="F1778" t="s">
        <v>36</v>
      </c>
    </row>
    <row r="1779" spans="1:6" x14ac:dyDescent="0.35">
      <c r="A1779" s="1">
        <v>45568</v>
      </c>
      <c r="B1779" s="2">
        <v>45568.842335196758</v>
      </c>
      <c r="C1779" t="s">
        <v>8</v>
      </c>
      <c r="D1779" t="s">
        <v>762</v>
      </c>
      <c r="E1779">
        <v>2596</v>
      </c>
      <c r="F1779" t="s">
        <v>20</v>
      </c>
    </row>
    <row r="1780" spans="1:6" x14ac:dyDescent="0.35">
      <c r="A1780" s="1">
        <v>45568</v>
      </c>
      <c r="B1780" s="2">
        <v>45568.843110891205</v>
      </c>
      <c r="C1780" t="s">
        <v>8</v>
      </c>
      <c r="D1780" t="s">
        <v>762</v>
      </c>
      <c r="E1780">
        <v>3576</v>
      </c>
      <c r="F1780" t="s">
        <v>15</v>
      </c>
    </row>
    <row r="1781" spans="1:6" x14ac:dyDescent="0.35">
      <c r="A1781" s="1">
        <v>45568</v>
      </c>
      <c r="B1781" s="2">
        <v>45568.889656203704</v>
      </c>
      <c r="C1781" t="s">
        <v>8</v>
      </c>
      <c r="D1781" t="s">
        <v>689</v>
      </c>
      <c r="E1781">
        <v>3576</v>
      </c>
      <c r="F1781" t="s">
        <v>15</v>
      </c>
    </row>
    <row r="1782" spans="1:6" x14ac:dyDescent="0.35">
      <c r="A1782" s="1">
        <v>45568</v>
      </c>
      <c r="B1782" s="2">
        <v>45568.890124745369</v>
      </c>
      <c r="C1782" t="s">
        <v>8</v>
      </c>
      <c r="D1782" t="s">
        <v>689</v>
      </c>
      <c r="E1782">
        <v>3576</v>
      </c>
      <c r="F1782" t="s">
        <v>15</v>
      </c>
    </row>
    <row r="1783" spans="1:6" x14ac:dyDescent="0.35">
      <c r="A1783" s="1">
        <v>45568</v>
      </c>
      <c r="B1783" s="2">
        <v>45568.895178125</v>
      </c>
      <c r="C1783" t="s">
        <v>8</v>
      </c>
      <c r="D1783" t="s">
        <v>763</v>
      </c>
      <c r="E1783">
        <v>3576</v>
      </c>
      <c r="F1783" t="s">
        <v>24</v>
      </c>
    </row>
    <row r="1784" spans="1:6" x14ac:dyDescent="0.35">
      <c r="A1784" s="1">
        <v>45568</v>
      </c>
      <c r="B1784" s="2">
        <v>45568.896532997685</v>
      </c>
      <c r="C1784" t="s">
        <v>8</v>
      </c>
      <c r="D1784" t="s">
        <v>764</v>
      </c>
      <c r="E1784">
        <v>3576</v>
      </c>
      <c r="F1784" t="s">
        <v>15</v>
      </c>
    </row>
    <row r="1785" spans="1:6" x14ac:dyDescent="0.35">
      <c r="A1785" s="1">
        <v>45569</v>
      </c>
      <c r="B1785" s="2">
        <v>45569.363898993055</v>
      </c>
      <c r="C1785" t="s">
        <v>8</v>
      </c>
      <c r="D1785" t="s">
        <v>493</v>
      </c>
      <c r="E1785">
        <v>2596</v>
      </c>
      <c r="F1785" t="s">
        <v>28</v>
      </c>
    </row>
    <row r="1786" spans="1:6" x14ac:dyDescent="0.35">
      <c r="A1786" s="1">
        <v>45569</v>
      </c>
      <c r="B1786" s="2">
        <v>45569.365034166665</v>
      </c>
      <c r="C1786" t="s">
        <v>8</v>
      </c>
      <c r="D1786" t="s">
        <v>493</v>
      </c>
      <c r="E1786">
        <v>2596</v>
      </c>
      <c r="F1786" t="s">
        <v>28</v>
      </c>
    </row>
    <row r="1787" spans="1:6" x14ac:dyDescent="0.35">
      <c r="A1787" s="1">
        <v>45569</v>
      </c>
      <c r="B1787" s="2">
        <v>45569.396088402777</v>
      </c>
      <c r="C1787" t="s">
        <v>8</v>
      </c>
      <c r="D1787" t="s">
        <v>63</v>
      </c>
      <c r="E1787">
        <v>3086</v>
      </c>
      <c r="F1787" t="s">
        <v>36</v>
      </c>
    </row>
    <row r="1788" spans="1:6" x14ac:dyDescent="0.35">
      <c r="A1788" s="1">
        <v>45569</v>
      </c>
      <c r="B1788" s="2">
        <v>45569.396841099537</v>
      </c>
      <c r="C1788" t="s">
        <v>8</v>
      </c>
      <c r="D1788" t="s">
        <v>62</v>
      </c>
      <c r="E1788">
        <v>2596</v>
      </c>
      <c r="F1788" t="s">
        <v>28</v>
      </c>
    </row>
    <row r="1789" spans="1:6" x14ac:dyDescent="0.35">
      <c r="A1789" s="1">
        <v>45569</v>
      </c>
      <c r="B1789" s="2">
        <v>45569.41248353009</v>
      </c>
      <c r="C1789" t="s">
        <v>8</v>
      </c>
      <c r="D1789" t="s">
        <v>702</v>
      </c>
      <c r="E1789">
        <v>2596</v>
      </c>
      <c r="F1789" t="s">
        <v>20</v>
      </c>
    </row>
    <row r="1790" spans="1:6" x14ac:dyDescent="0.35">
      <c r="A1790" s="1">
        <v>45569</v>
      </c>
      <c r="B1790" s="2">
        <v>45569.413247187498</v>
      </c>
      <c r="C1790" t="s">
        <v>8</v>
      </c>
      <c r="D1790" t="s">
        <v>702</v>
      </c>
      <c r="E1790">
        <v>2596</v>
      </c>
      <c r="F1790" t="s">
        <v>20</v>
      </c>
    </row>
    <row r="1791" spans="1:6" x14ac:dyDescent="0.35">
      <c r="A1791" s="1">
        <v>45569</v>
      </c>
      <c r="B1791" s="2">
        <v>45569.732810289352</v>
      </c>
      <c r="C1791" t="s">
        <v>8</v>
      </c>
      <c r="D1791" t="s">
        <v>765</v>
      </c>
      <c r="E1791">
        <v>3576</v>
      </c>
      <c r="F1791" t="s">
        <v>32</v>
      </c>
    </row>
    <row r="1792" spans="1:6" x14ac:dyDescent="0.35">
      <c r="A1792" s="1">
        <v>45569</v>
      </c>
      <c r="B1792" s="2">
        <v>45569.737756724535</v>
      </c>
      <c r="C1792" t="s">
        <v>8</v>
      </c>
      <c r="D1792" t="s">
        <v>766</v>
      </c>
      <c r="E1792">
        <v>3576</v>
      </c>
      <c r="F1792" t="s">
        <v>15</v>
      </c>
    </row>
    <row r="1793" spans="1:6" x14ac:dyDescent="0.35">
      <c r="A1793" s="1">
        <v>45569</v>
      </c>
      <c r="B1793" s="2">
        <v>45569.739309837962</v>
      </c>
      <c r="C1793" t="s">
        <v>8</v>
      </c>
      <c r="D1793" t="s">
        <v>766</v>
      </c>
      <c r="E1793">
        <v>3576</v>
      </c>
      <c r="F1793" t="s">
        <v>10</v>
      </c>
    </row>
    <row r="1794" spans="1:6" x14ac:dyDescent="0.35">
      <c r="A1794" s="1">
        <v>45570</v>
      </c>
      <c r="B1794" s="2">
        <v>45570.375542372683</v>
      </c>
      <c r="C1794" t="s">
        <v>8</v>
      </c>
      <c r="D1794" t="s">
        <v>40</v>
      </c>
      <c r="E1794">
        <v>2596</v>
      </c>
      <c r="F1794" t="s">
        <v>20</v>
      </c>
    </row>
    <row r="1795" spans="1:6" x14ac:dyDescent="0.35">
      <c r="A1795" s="1">
        <v>45570</v>
      </c>
      <c r="B1795" s="2">
        <v>45570.376188298615</v>
      </c>
      <c r="C1795" t="s">
        <v>8</v>
      </c>
      <c r="D1795" t="s">
        <v>40</v>
      </c>
      <c r="E1795">
        <v>2596</v>
      </c>
      <c r="F1795" t="s">
        <v>20</v>
      </c>
    </row>
    <row r="1796" spans="1:6" x14ac:dyDescent="0.35">
      <c r="A1796" s="1">
        <v>45570</v>
      </c>
      <c r="B1796" s="2">
        <v>45570.399825266206</v>
      </c>
      <c r="C1796" t="s">
        <v>8</v>
      </c>
      <c r="D1796" t="s">
        <v>767</v>
      </c>
      <c r="E1796">
        <v>3576</v>
      </c>
      <c r="F1796" t="s">
        <v>10</v>
      </c>
    </row>
    <row r="1797" spans="1:6" x14ac:dyDescent="0.35">
      <c r="A1797" s="1">
        <v>45570</v>
      </c>
      <c r="B1797" s="2">
        <v>45570.550153761571</v>
      </c>
      <c r="C1797" t="s">
        <v>8</v>
      </c>
      <c r="D1797" t="s">
        <v>260</v>
      </c>
      <c r="E1797">
        <v>3576</v>
      </c>
      <c r="F1797" t="s">
        <v>24</v>
      </c>
    </row>
    <row r="1798" spans="1:6" x14ac:dyDescent="0.35">
      <c r="A1798" s="1">
        <v>45570</v>
      </c>
      <c r="B1798" s="2">
        <v>45570.839329374998</v>
      </c>
      <c r="C1798" t="s">
        <v>8</v>
      </c>
      <c r="D1798" t="s">
        <v>43</v>
      </c>
      <c r="E1798">
        <v>2596</v>
      </c>
      <c r="F1798" t="s">
        <v>28</v>
      </c>
    </row>
    <row r="1799" spans="1:6" x14ac:dyDescent="0.35">
      <c r="A1799" s="1">
        <v>45570</v>
      </c>
      <c r="B1799" s="2">
        <v>45570.839972766204</v>
      </c>
      <c r="C1799" t="s">
        <v>8</v>
      </c>
      <c r="D1799" t="s">
        <v>43</v>
      </c>
      <c r="E1799">
        <v>2596</v>
      </c>
      <c r="F1799" t="s">
        <v>28</v>
      </c>
    </row>
    <row r="1800" spans="1:6" x14ac:dyDescent="0.35">
      <c r="A1800" s="1">
        <v>45571</v>
      </c>
      <c r="B1800" s="2">
        <v>45571.349267604164</v>
      </c>
      <c r="C1800" t="s">
        <v>8</v>
      </c>
      <c r="D1800" t="s">
        <v>40</v>
      </c>
      <c r="E1800">
        <v>2596</v>
      </c>
      <c r="F1800" t="s">
        <v>20</v>
      </c>
    </row>
    <row r="1801" spans="1:6" x14ac:dyDescent="0.35">
      <c r="A1801" s="1">
        <v>45571</v>
      </c>
      <c r="B1801" s="2">
        <v>45571.420644004633</v>
      </c>
      <c r="C1801" t="s">
        <v>8</v>
      </c>
      <c r="D1801" t="s">
        <v>249</v>
      </c>
      <c r="E1801">
        <v>3576</v>
      </c>
      <c r="F1801" t="s">
        <v>24</v>
      </c>
    </row>
    <row r="1802" spans="1:6" x14ac:dyDescent="0.35">
      <c r="A1802" s="1">
        <v>45571</v>
      </c>
      <c r="B1802" s="2">
        <v>45571.421378888888</v>
      </c>
      <c r="C1802" t="s">
        <v>8</v>
      </c>
      <c r="D1802" t="s">
        <v>249</v>
      </c>
      <c r="E1802">
        <v>2596</v>
      </c>
      <c r="F1802" t="s">
        <v>20</v>
      </c>
    </row>
    <row r="1803" spans="1:6" x14ac:dyDescent="0.35">
      <c r="A1803" s="1">
        <v>45571</v>
      </c>
      <c r="B1803" s="2">
        <v>45571.496861643522</v>
      </c>
      <c r="C1803" t="s">
        <v>8</v>
      </c>
      <c r="D1803" t="s">
        <v>768</v>
      </c>
      <c r="E1803">
        <v>3576</v>
      </c>
      <c r="F1803" t="s">
        <v>32</v>
      </c>
    </row>
    <row r="1804" spans="1:6" x14ac:dyDescent="0.35">
      <c r="A1804" s="1">
        <v>45571</v>
      </c>
      <c r="B1804" s="2">
        <v>45571.506294583334</v>
      </c>
      <c r="C1804" t="s">
        <v>8</v>
      </c>
      <c r="D1804" t="s">
        <v>717</v>
      </c>
      <c r="E1804">
        <v>3576</v>
      </c>
      <c r="F1804" t="s">
        <v>32</v>
      </c>
    </row>
    <row r="1805" spans="1:6" x14ac:dyDescent="0.35">
      <c r="A1805" s="1">
        <v>45571</v>
      </c>
      <c r="B1805" s="2">
        <v>45571.507145173608</v>
      </c>
      <c r="C1805" t="s">
        <v>8</v>
      </c>
      <c r="D1805" t="s">
        <v>717</v>
      </c>
      <c r="E1805">
        <v>3576</v>
      </c>
      <c r="F1805" t="s">
        <v>24</v>
      </c>
    </row>
    <row r="1806" spans="1:6" x14ac:dyDescent="0.35">
      <c r="A1806" s="1">
        <v>45571</v>
      </c>
      <c r="B1806" s="2">
        <v>45571.508140740742</v>
      </c>
      <c r="C1806" t="s">
        <v>8</v>
      </c>
      <c r="D1806" t="s">
        <v>717</v>
      </c>
      <c r="E1806">
        <v>3086</v>
      </c>
      <c r="F1806" t="s">
        <v>36</v>
      </c>
    </row>
    <row r="1807" spans="1:6" x14ac:dyDescent="0.35">
      <c r="A1807" s="1">
        <v>45571</v>
      </c>
      <c r="B1807" s="2">
        <v>45571.573653645835</v>
      </c>
      <c r="C1807" t="s">
        <v>8</v>
      </c>
      <c r="D1807" t="s">
        <v>769</v>
      </c>
      <c r="E1807">
        <v>2596</v>
      </c>
      <c r="F1807" t="s">
        <v>28</v>
      </c>
    </row>
    <row r="1808" spans="1:6" x14ac:dyDescent="0.35">
      <c r="A1808" s="1">
        <v>45571</v>
      </c>
      <c r="B1808" s="2">
        <v>45571.574328159724</v>
      </c>
      <c r="C1808" t="s">
        <v>8</v>
      </c>
      <c r="D1808" t="s">
        <v>769</v>
      </c>
      <c r="E1808">
        <v>3576</v>
      </c>
      <c r="F1808" t="s">
        <v>24</v>
      </c>
    </row>
    <row r="1809" spans="1:6" x14ac:dyDescent="0.35">
      <c r="A1809" s="1">
        <v>45571</v>
      </c>
      <c r="B1809" s="2">
        <v>45571.576390509261</v>
      </c>
      <c r="C1809" t="s">
        <v>8</v>
      </c>
      <c r="D1809" t="s">
        <v>770</v>
      </c>
      <c r="E1809">
        <v>3086</v>
      </c>
      <c r="F1809" t="s">
        <v>36</v>
      </c>
    </row>
    <row r="1810" spans="1:6" x14ac:dyDescent="0.35">
      <c r="A1810" s="1">
        <v>45571</v>
      </c>
      <c r="B1810" s="2">
        <v>45571.577132523147</v>
      </c>
      <c r="C1810" t="s">
        <v>8</v>
      </c>
      <c r="D1810" t="s">
        <v>770</v>
      </c>
      <c r="E1810">
        <v>3576</v>
      </c>
      <c r="F1810" t="s">
        <v>32</v>
      </c>
    </row>
    <row r="1811" spans="1:6" x14ac:dyDescent="0.35">
      <c r="A1811" s="1">
        <v>45571</v>
      </c>
      <c r="B1811" s="2">
        <v>45571.577734756946</v>
      </c>
      <c r="C1811" t="s">
        <v>8</v>
      </c>
      <c r="D1811" t="s">
        <v>770</v>
      </c>
      <c r="E1811">
        <v>3576</v>
      </c>
      <c r="F1811" t="s">
        <v>24</v>
      </c>
    </row>
    <row r="1812" spans="1:6" x14ac:dyDescent="0.35">
      <c r="A1812" s="1">
        <v>45571</v>
      </c>
      <c r="B1812" s="2">
        <v>45571.688583194446</v>
      </c>
      <c r="C1812" t="s">
        <v>8</v>
      </c>
      <c r="D1812" t="s">
        <v>771</v>
      </c>
      <c r="E1812">
        <v>3576</v>
      </c>
      <c r="F1812" t="s">
        <v>24</v>
      </c>
    </row>
    <row r="1813" spans="1:6" x14ac:dyDescent="0.35">
      <c r="A1813" s="1">
        <v>45571</v>
      </c>
      <c r="B1813" s="2">
        <v>45571.691500289351</v>
      </c>
      <c r="C1813" t="s">
        <v>8</v>
      </c>
      <c r="D1813" t="s">
        <v>772</v>
      </c>
      <c r="E1813">
        <v>2106</v>
      </c>
      <c r="F1813" t="s">
        <v>5</v>
      </c>
    </row>
    <row r="1814" spans="1:6" x14ac:dyDescent="0.35">
      <c r="A1814" s="1">
        <v>45571</v>
      </c>
      <c r="B1814" s="2">
        <v>45571.762326099539</v>
      </c>
      <c r="C1814" t="s">
        <v>8</v>
      </c>
      <c r="D1814" t="s">
        <v>773</v>
      </c>
      <c r="E1814">
        <v>3086</v>
      </c>
      <c r="F1814" t="s">
        <v>36</v>
      </c>
    </row>
    <row r="1815" spans="1:6" x14ac:dyDescent="0.35">
      <c r="A1815" s="1">
        <v>45571</v>
      </c>
      <c r="B1815" s="2">
        <v>45571.774496157406</v>
      </c>
      <c r="C1815" t="s">
        <v>8</v>
      </c>
      <c r="D1815" t="s">
        <v>774</v>
      </c>
      <c r="E1815">
        <v>3576</v>
      </c>
      <c r="F1815" t="s">
        <v>15</v>
      </c>
    </row>
    <row r="1816" spans="1:6" x14ac:dyDescent="0.35">
      <c r="A1816" s="1">
        <v>45571</v>
      </c>
      <c r="B1816" s="2">
        <v>45571.881399178237</v>
      </c>
      <c r="C1816" t="s">
        <v>8</v>
      </c>
      <c r="D1816" t="s">
        <v>775</v>
      </c>
      <c r="E1816">
        <v>3576</v>
      </c>
      <c r="F1816" t="s">
        <v>15</v>
      </c>
    </row>
    <row r="1817" spans="1:6" x14ac:dyDescent="0.35">
      <c r="A1817" s="1">
        <v>45571</v>
      </c>
      <c r="B1817" s="2">
        <v>45571.881949953706</v>
      </c>
      <c r="C1817" t="s">
        <v>8</v>
      </c>
      <c r="D1817" t="s">
        <v>775</v>
      </c>
      <c r="E1817">
        <v>3576</v>
      </c>
      <c r="F1817" t="s">
        <v>15</v>
      </c>
    </row>
    <row r="1818" spans="1:6" x14ac:dyDescent="0.35">
      <c r="A1818" s="1">
        <v>45571</v>
      </c>
      <c r="B1818" s="2">
        <v>45571.882468217591</v>
      </c>
      <c r="C1818" t="s">
        <v>8</v>
      </c>
      <c r="D1818" t="s">
        <v>688</v>
      </c>
      <c r="E1818">
        <v>3576</v>
      </c>
      <c r="F1818" t="s">
        <v>15</v>
      </c>
    </row>
    <row r="1819" spans="1:6" x14ac:dyDescent="0.35">
      <c r="A1819" s="1">
        <v>45571</v>
      </c>
      <c r="B1819" s="2">
        <v>45571.886676805552</v>
      </c>
      <c r="C1819" t="s">
        <v>8</v>
      </c>
      <c r="D1819" t="s">
        <v>689</v>
      </c>
      <c r="E1819">
        <v>3576</v>
      </c>
      <c r="F1819" t="s">
        <v>32</v>
      </c>
    </row>
    <row r="1820" spans="1:6" x14ac:dyDescent="0.35">
      <c r="A1820" s="1">
        <v>45572</v>
      </c>
      <c r="B1820" s="2">
        <v>45572.356671562498</v>
      </c>
      <c r="C1820" t="s">
        <v>8</v>
      </c>
      <c r="D1820" t="s">
        <v>776</v>
      </c>
      <c r="E1820">
        <v>3576</v>
      </c>
      <c r="F1820" t="s">
        <v>32</v>
      </c>
    </row>
    <row r="1821" spans="1:6" x14ac:dyDescent="0.35">
      <c r="A1821" s="1">
        <v>45572</v>
      </c>
      <c r="B1821" s="2">
        <v>45572.367783298614</v>
      </c>
      <c r="C1821" t="s">
        <v>8</v>
      </c>
      <c r="D1821" t="s">
        <v>438</v>
      </c>
      <c r="E1821">
        <v>3576</v>
      </c>
      <c r="F1821" t="s">
        <v>32</v>
      </c>
    </row>
    <row r="1822" spans="1:6" x14ac:dyDescent="0.35">
      <c r="A1822" s="1">
        <v>45572</v>
      </c>
      <c r="B1822" s="2">
        <v>45572.368537824077</v>
      </c>
      <c r="C1822" t="s">
        <v>8</v>
      </c>
      <c r="D1822" t="s">
        <v>438</v>
      </c>
      <c r="E1822">
        <v>3086</v>
      </c>
      <c r="F1822" t="s">
        <v>36</v>
      </c>
    </row>
    <row r="1823" spans="1:6" x14ac:dyDescent="0.35">
      <c r="A1823" s="1">
        <v>45572</v>
      </c>
      <c r="B1823" s="2">
        <v>45572.378797349535</v>
      </c>
      <c r="C1823" t="s">
        <v>8</v>
      </c>
      <c r="D1823" t="s">
        <v>777</v>
      </c>
      <c r="E1823">
        <v>3576</v>
      </c>
      <c r="F1823" t="s">
        <v>10</v>
      </c>
    </row>
    <row r="1824" spans="1:6" x14ac:dyDescent="0.35">
      <c r="A1824" s="1">
        <v>45572</v>
      </c>
      <c r="B1824" s="2">
        <v>45572.381925034722</v>
      </c>
      <c r="C1824" t="s">
        <v>8</v>
      </c>
      <c r="D1824" t="s">
        <v>778</v>
      </c>
      <c r="E1824">
        <v>3576</v>
      </c>
      <c r="F1824" t="s">
        <v>32</v>
      </c>
    </row>
    <row r="1825" spans="1:6" x14ac:dyDescent="0.35">
      <c r="A1825" s="1">
        <v>45572</v>
      </c>
      <c r="B1825" s="2">
        <v>45572.512462002313</v>
      </c>
      <c r="C1825" t="s">
        <v>8</v>
      </c>
      <c r="D1825" t="s">
        <v>779</v>
      </c>
      <c r="E1825">
        <v>3086</v>
      </c>
      <c r="F1825" t="s">
        <v>36</v>
      </c>
    </row>
    <row r="1826" spans="1:6" x14ac:dyDescent="0.35">
      <c r="A1826" s="1">
        <v>45572</v>
      </c>
      <c r="B1826" s="2">
        <v>45572.605384930554</v>
      </c>
      <c r="C1826" t="s">
        <v>8</v>
      </c>
      <c r="D1826" t="s">
        <v>780</v>
      </c>
      <c r="E1826">
        <v>2596</v>
      </c>
      <c r="F1826" t="s">
        <v>28</v>
      </c>
    </row>
    <row r="1827" spans="1:6" x14ac:dyDescent="0.35">
      <c r="A1827" s="1">
        <v>45572</v>
      </c>
      <c r="B1827" s="2">
        <v>45572.606004224537</v>
      </c>
      <c r="C1827" t="s">
        <v>8</v>
      </c>
      <c r="D1827" t="s">
        <v>780</v>
      </c>
      <c r="E1827">
        <v>2596</v>
      </c>
      <c r="F1827" t="s">
        <v>28</v>
      </c>
    </row>
    <row r="1828" spans="1:6" x14ac:dyDescent="0.35">
      <c r="A1828" s="1">
        <v>45572</v>
      </c>
      <c r="B1828" s="2">
        <v>45572.742303310188</v>
      </c>
      <c r="C1828" t="s">
        <v>8</v>
      </c>
      <c r="D1828" t="s">
        <v>547</v>
      </c>
      <c r="E1828">
        <v>3576</v>
      </c>
      <c r="F1828" t="s">
        <v>32</v>
      </c>
    </row>
    <row r="1829" spans="1:6" x14ac:dyDescent="0.35">
      <c r="A1829" s="1">
        <v>45572</v>
      </c>
      <c r="B1829" s="2">
        <v>45572.885209837965</v>
      </c>
      <c r="C1829" t="s">
        <v>8</v>
      </c>
      <c r="D1829" t="s">
        <v>688</v>
      </c>
      <c r="E1829">
        <v>3576</v>
      </c>
      <c r="F1829" t="s">
        <v>15</v>
      </c>
    </row>
    <row r="1830" spans="1:6" x14ac:dyDescent="0.35">
      <c r="A1830" s="1">
        <v>45572</v>
      </c>
      <c r="B1830" s="2">
        <v>45572.885649560187</v>
      </c>
      <c r="C1830" t="s">
        <v>8</v>
      </c>
      <c r="D1830" t="s">
        <v>688</v>
      </c>
      <c r="E1830">
        <v>3576</v>
      </c>
      <c r="F1830" t="s">
        <v>15</v>
      </c>
    </row>
    <row r="1831" spans="1:6" x14ac:dyDescent="0.35">
      <c r="A1831" s="1">
        <v>45572</v>
      </c>
      <c r="B1831" s="2">
        <v>45572.903339293982</v>
      </c>
      <c r="C1831" t="s">
        <v>8</v>
      </c>
      <c r="D1831" t="s">
        <v>650</v>
      </c>
      <c r="E1831">
        <v>3576</v>
      </c>
      <c r="F1831" t="s">
        <v>32</v>
      </c>
    </row>
    <row r="1832" spans="1:6" x14ac:dyDescent="0.35">
      <c r="A1832" s="1">
        <v>45573</v>
      </c>
      <c r="B1832" s="2">
        <v>45573.341561157409</v>
      </c>
      <c r="C1832" t="s">
        <v>8</v>
      </c>
      <c r="D1832" t="s">
        <v>755</v>
      </c>
      <c r="E1832">
        <v>3576</v>
      </c>
      <c r="F1832" t="s">
        <v>32</v>
      </c>
    </row>
    <row r="1833" spans="1:6" x14ac:dyDescent="0.35">
      <c r="A1833" s="1">
        <v>45573</v>
      </c>
      <c r="B1833" s="2">
        <v>45573.37863457176</v>
      </c>
      <c r="C1833" t="s">
        <v>8</v>
      </c>
      <c r="D1833" t="s">
        <v>29</v>
      </c>
      <c r="E1833">
        <v>3086</v>
      </c>
      <c r="F1833" t="s">
        <v>36</v>
      </c>
    </row>
    <row r="1834" spans="1:6" x14ac:dyDescent="0.35">
      <c r="A1834" s="1">
        <v>45573</v>
      </c>
      <c r="B1834" s="2">
        <v>45573.432307569441</v>
      </c>
      <c r="C1834" t="s">
        <v>8</v>
      </c>
      <c r="D1834" t="s">
        <v>752</v>
      </c>
      <c r="E1834">
        <v>2596</v>
      </c>
      <c r="F1834" t="s">
        <v>28</v>
      </c>
    </row>
    <row r="1835" spans="1:6" x14ac:dyDescent="0.35">
      <c r="A1835" s="1">
        <v>45573</v>
      </c>
      <c r="B1835" s="2">
        <v>45573.435518715276</v>
      </c>
      <c r="C1835" t="s">
        <v>8</v>
      </c>
      <c r="D1835" t="s">
        <v>735</v>
      </c>
      <c r="E1835">
        <v>3576</v>
      </c>
      <c r="F1835" t="s">
        <v>32</v>
      </c>
    </row>
    <row r="1836" spans="1:6" x14ac:dyDescent="0.35">
      <c r="A1836" s="1">
        <v>45573</v>
      </c>
      <c r="B1836" s="2">
        <v>45573.479285335648</v>
      </c>
      <c r="C1836" t="s">
        <v>8</v>
      </c>
      <c r="D1836" t="s">
        <v>778</v>
      </c>
      <c r="E1836">
        <v>3576</v>
      </c>
      <c r="F1836" t="s">
        <v>32</v>
      </c>
    </row>
    <row r="1837" spans="1:6" x14ac:dyDescent="0.35">
      <c r="A1837" s="1">
        <v>45573</v>
      </c>
      <c r="B1837" s="2">
        <v>45573.533385648145</v>
      </c>
      <c r="C1837" t="s">
        <v>8</v>
      </c>
      <c r="D1837" t="s">
        <v>279</v>
      </c>
      <c r="E1837">
        <v>2596</v>
      </c>
      <c r="F1837" t="s">
        <v>28</v>
      </c>
    </row>
    <row r="1838" spans="1:6" x14ac:dyDescent="0.35">
      <c r="A1838" s="1">
        <v>45573</v>
      </c>
      <c r="B1838" s="2">
        <v>45573.534080798614</v>
      </c>
      <c r="C1838" t="s">
        <v>8</v>
      </c>
      <c r="D1838" t="s">
        <v>279</v>
      </c>
      <c r="E1838">
        <v>2596</v>
      </c>
      <c r="F1838" t="s">
        <v>28</v>
      </c>
    </row>
    <row r="1839" spans="1:6" x14ac:dyDescent="0.35">
      <c r="A1839" s="1">
        <v>45573</v>
      </c>
      <c r="B1839" s="2">
        <v>45573.544454918978</v>
      </c>
      <c r="C1839" t="s">
        <v>8</v>
      </c>
      <c r="D1839" t="s">
        <v>781</v>
      </c>
      <c r="E1839">
        <v>3576</v>
      </c>
      <c r="F1839" t="s">
        <v>32</v>
      </c>
    </row>
    <row r="1840" spans="1:6" x14ac:dyDescent="0.35">
      <c r="A1840" s="1">
        <v>45573</v>
      </c>
      <c r="B1840" s="2">
        <v>45573.545132453706</v>
      </c>
      <c r="C1840" t="s">
        <v>8</v>
      </c>
      <c r="D1840" t="s">
        <v>781</v>
      </c>
      <c r="E1840">
        <v>3576</v>
      </c>
      <c r="F1840" t="s">
        <v>32</v>
      </c>
    </row>
    <row r="1841" spans="1:6" x14ac:dyDescent="0.35">
      <c r="A1841" s="1">
        <v>45573</v>
      </c>
      <c r="B1841" s="2">
        <v>45573.613106770834</v>
      </c>
      <c r="C1841" t="s">
        <v>8</v>
      </c>
      <c r="D1841" t="s">
        <v>21</v>
      </c>
      <c r="E1841">
        <v>3576</v>
      </c>
      <c r="F1841" t="s">
        <v>32</v>
      </c>
    </row>
    <row r="1842" spans="1:6" x14ac:dyDescent="0.35">
      <c r="A1842" s="1">
        <v>45573</v>
      </c>
      <c r="B1842" s="2">
        <v>45573.634504050926</v>
      </c>
      <c r="C1842" t="s">
        <v>8</v>
      </c>
      <c r="D1842" t="s">
        <v>528</v>
      </c>
      <c r="E1842">
        <v>3576</v>
      </c>
      <c r="F1842" t="s">
        <v>32</v>
      </c>
    </row>
    <row r="1843" spans="1:6" x14ac:dyDescent="0.35">
      <c r="A1843" s="1">
        <v>45573</v>
      </c>
      <c r="B1843" s="2">
        <v>45573.638797488427</v>
      </c>
      <c r="C1843" t="s">
        <v>8</v>
      </c>
      <c r="D1843" t="s">
        <v>106</v>
      </c>
      <c r="E1843">
        <v>2596</v>
      </c>
      <c r="F1843" t="s">
        <v>28</v>
      </c>
    </row>
    <row r="1844" spans="1:6" x14ac:dyDescent="0.35">
      <c r="A1844" s="1">
        <v>45573</v>
      </c>
      <c r="B1844" s="2">
        <v>45573.660221319442</v>
      </c>
      <c r="C1844" t="s">
        <v>8</v>
      </c>
      <c r="D1844" t="s">
        <v>782</v>
      </c>
      <c r="E1844">
        <v>3086</v>
      </c>
      <c r="F1844" t="s">
        <v>36</v>
      </c>
    </row>
    <row r="1845" spans="1:6" x14ac:dyDescent="0.35">
      <c r="A1845" s="1">
        <v>45573</v>
      </c>
      <c r="B1845" s="2">
        <v>45573.861579386576</v>
      </c>
      <c r="C1845" t="s">
        <v>8</v>
      </c>
      <c r="D1845" t="s">
        <v>783</v>
      </c>
      <c r="E1845">
        <v>3576</v>
      </c>
      <c r="F1845" t="s">
        <v>15</v>
      </c>
    </row>
    <row r="1846" spans="1:6" x14ac:dyDescent="0.35">
      <c r="A1846" s="1">
        <v>45573</v>
      </c>
      <c r="B1846" s="2">
        <v>45573.862192870372</v>
      </c>
      <c r="C1846" t="s">
        <v>8</v>
      </c>
      <c r="D1846" t="s">
        <v>783</v>
      </c>
      <c r="E1846">
        <v>3576</v>
      </c>
      <c r="F1846" t="s">
        <v>24</v>
      </c>
    </row>
    <row r="1847" spans="1:6" x14ac:dyDescent="0.35">
      <c r="A1847" s="1">
        <v>45573</v>
      </c>
      <c r="B1847" s="2">
        <v>45573.868850949075</v>
      </c>
      <c r="C1847" t="s">
        <v>8</v>
      </c>
      <c r="D1847" t="s">
        <v>784</v>
      </c>
      <c r="E1847">
        <v>3576</v>
      </c>
      <c r="F1847" t="s">
        <v>32</v>
      </c>
    </row>
    <row r="1848" spans="1:6" x14ac:dyDescent="0.35">
      <c r="A1848" s="1">
        <v>45573</v>
      </c>
      <c r="B1848" s="2">
        <v>45573.892037465281</v>
      </c>
      <c r="C1848" t="s">
        <v>8</v>
      </c>
      <c r="D1848" t="s">
        <v>16</v>
      </c>
      <c r="E1848">
        <v>3086</v>
      </c>
      <c r="F1848" t="s">
        <v>36</v>
      </c>
    </row>
    <row r="1849" spans="1:6" x14ac:dyDescent="0.35">
      <c r="A1849" s="1">
        <v>45573</v>
      </c>
      <c r="B1849" s="2">
        <v>45573.892731481479</v>
      </c>
      <c r="C1849" t="s">
        <v>8</v>
      </c>
      <c r="D1849" t="s">
        <v>16</v>
      </c>
      <c r="E1849">
        <v>3086</v>
      </c>
      <c r="F1849" t="s">
        <v>36</v>
      </c>
    </row>
    <row r="1850" spans="1:6" x14ac:dyDescent="0.35">
      <c r="A1850" s="1">
        <v>45574</v>
      </c>
      <c r="B1850" s="2">
        <v>45574.329659710646</v>
      </c>
      <c r="C1850" t="s">
        <v>8</v>
      </c>
      <c r="D1850" t="s">
        <v>622</v>
      </c>
      <c r="E1850">
        <v>3576</v>
      </c>
      <c r="F1850" t="s">
        <v>32</v>
      </c>
    </row>
    <row r="1851" spans="1:6" x14ac:dyDescent="0.35">
      <c r="A1851" s="1">
        <v>45574</v>
      </c>
      <c r="B1851" s="2">
        <v>45574.351360057874</v>
      </c>
      <c r="C1851" t="s">
        <v>8</v>
      </c>
      <c r="D1851" t="s">
        <v>29</v>
      </c>
      <c r="E1851">
        <v>3086</v>
      </c>
      <c r="F1851" t="s">
        <v>36</v>
      </c>
    </row>
    <row r="1852" spans="1:6" x14ac:dyDescent="0.35">
      <c r="A1852" s="1">
        <v>45574</v>
      </c>
      <c r="B1852" s="2">
        <v>45574.405104502315</v>
      </c>
      <c r="C1852" t="s">
        <v>8</v>
      </c>
      <c r="D1852" t="s">
        <v>477</v>
      </c>
      <c r="E1852">
        <v>3086</v>
      </c>
      <c r="F1852" t="s">
        <v>36</v>
      </c>
    </row>
    <row r="1853" spans="1:6" x14ac:dyDescent="0.35">
      <c r="A1853" s="1">
        <v>45574</v>
      </c>
      <c r="B1853" s="2">
        <v>45574.41643484954</v>
      </c>
      <c r="C1853" t="s">
        <v>8</v>
      </c>
      <c r="D1853" t="s">
        <v>547</v>
      </c>
      <c r="E1853">
        <v>3576</v>
      </c>
      <c r="F1853" t="s">
        <v>32</v>
      </c>
    </row>
    <row r="1854" spans="1:6" x14ac:dyDescent="0.35">
      <c r="A1854" s="1">
        <v>45574</v>
      </c>
      <c r="B1854" s="2">
        <v>45574.443019976854</v>
      </c>
      <c r="C1854" t="s">
        <v>8</v>
      </c>
      <c r="D1854" t="s">
        <v>785</v>
      </c>
      <c r="E1854">
        <v>2106</v>
      </c>
      <c r="F1854" t="s">
        <v>5</v>
      </c>
    </row>
    <row r="1855" spans="1:6" x14ac:dyDescent="0.35">
      <c r="A1855" s="1">
        <v>45574</v>
      </c>
      <c r="B1855" s="2">
        <v>45574.470858078705</v>
      </c>
      <c r="C1855" t="s">
        <v>8</v>
      </c>
      <c r="D1855" t="s">
        <v>786</v>
      </c>
      <c r="E1855">
        <v>2596</v>
      </c>
      <c r="F1855" t="s">
        <v>28</v>
      </c>
    </row>
    <row r="1856" spans="1:6" x14ac:dyDescent="0.35">
      <c r="A1856" s="1">
        <v>45574</v>
      </c>
      <c r="B1856" s="2">
        <v>45574.543848541667</v>
      </c>
      <c r="C1856" t="s">
        <v>8</v>
      </c>
      <c r="D1856" t="s">
        <v>778</v>
      </c>
      <c r="E1856">
        <v>3576</v>
      </c>
      <c r="F1856" t="s">
        <v>32</v>
      </c>
    </row>
    <row r="1857" spans="1:6" x14ac:dyDescent="0.35">
      <c r="A1857" s="1">
        <v>45574</v>
      </c>
      <c r="B1857" s="2">
        <v>45574.578179814816</v>
      </c>
      <c r="C1857" t="s">
        <v>8</v>
      </c>
      <c r="D1857" t="s">
        <v>787</v>
      </c>
      <c r="E1857">
        <v>3086</v>
      </c>
      <c r="F1857" t="s">
        <v>36</v>
      </c>
    </row>
    <row r="1858" spans="1:6" x14ac:dyDescent="0.35">
      <c r="A1858" s="1">
        <v>45574</v>
      </c>
      <c r="B1858" s="2">
        <v>45574.726902442133</v>
      </c>
      <c r="C1858" t="s">
        <v>8</v>
      </c>
      <c r="D1858" t="s">
        <v>710</v>
      </c>
      <c r="E1858">
        <v>3576</v>
      </c>
      <c r="F1858" t="s">
        <v>24</v>
      </c>
    </row>
    <row r="1859" spans="1:6" x14ac:dyDescent="0.35">
      <c r="A1859" s="1">
        <v>45574</v>
      </c>
      <c r="B1859" s="2">
        <v>45574.727649074077</v>
      </c>
      <c r="C1859" t="s">
        <v>8</v>
      </c>
      <c r="D1859" t="s">
        <v>710</v>
      </c>
      <c r="E1859">
        <v>2596</v>
      </c>
      <c r="F1859" t="s">
        <v>28</v>
      </c>
    </row>
    <row r="1860" spans="1:6" x14ac:dyDescent="0.35">
      <c r="A1860" s="1">
        <v>45574</v>
      </c>
      <c r="B1860" s="2">
        <v>45574.743050370373</v>
      </c>
      <c r="C1860" t="s">
        <v>8</v>
      </c>
      <c r="D1860" t="s">
        <v>788</v>
      </c>
      <c r="E1860">
        <v>2106</v>
      </c>
      <c r="F1860" t="s">
        <v>5</v>
      </c>
    </row>
    <row r="1861" spans="1:6" x14ac:dyDescent="0.35">
      <c r="A1861" s="1">
        <v>45574</v>
      </c>
      <c r="B1861" s="2">
        <v>45574.867505787035</v>
      </c>
      <c r="C1861" t="s">
        <v>8</v>
      </c>
      <c r="D1861" t="s">
        <v>789</v>
      </c>
      <c r="E1861">
        <v>3576</v>
      </c>
      <c r="F1861" t="s">
        <v>24</v>
      </c>
    </row>
    <row r="1862" spans="1:6" x14ac:dyDescent="0.35">
      <c r="A1862" s="1">
        <v>45575</v>
      </c>
      <c r="B1862" s="2">
        <v>45575.366746527776</v>
      </c>
      <c r="C1862" t="s">
        <v>8</v>
      </c>
      <c r="D1862" t="s">
        <v>62</v>
      </c>
      <c r="E1862">
        <v>2596</v>
      </c>
      <c r="F1862" t="s">
        <v>28</v>
      </c>
    </row>
    <row r="1863" spans="1:6" x14ac:dyDescent="0.35">
      <c r="A1863" s="1">
        <v>45575</v>
      </c>
      <c r="B1863" s="2">
        <v>45575.391205069442</v>
      </c>
      <c r="C1863" t="s">
        <v>8</v>
      </c>
      <c r="D1863" t="s">
        <v>29</v>
      </c>
      <c r="E1863">
        <v>3086</v>
      </c>
      <c r="F1863" t="s">
        <v>36</v>
      </c>
    </row>
    <row r="1864" spans="1:6" x14ac:dyDescent="0.35">
      <c r="A1864" s="1">
        <v>45575</v>
      </c>
      <c r="B1864" s="2">
        <v>45575.410928368059</v>
      </c>
      <c r="C1864" t="s">
        <v>8</v>
      </c>
      <c r="D1864" t="s">
        <v>790</v>
      </c>
      <c r="E1864">
        <v>3576</v>
      </c>
      <c r="F1864" t="s">
        <v>15</v>
      </c>
    </row>
    <row r="1865" spans="1:6" x14ac:dyDescent="0.35">
      <c r="A1865" s="1">
        <v>45575</v>
      </c>
      <c r="B1865" s="2">
        <v>45575.420248773145</v>
      </c>
      <c r="C1865" t="s">
        <v>8</v>
      </c>
      <c r="D1865" t="s">
        <v>428</v>
      </c>
      <c r="E1865">
        <v>3576</v>
      </c>
      <c r="F1865" t="s">
        <v>32</v>
      </c>
    </row>
    <row r="1866" spans="1:6" x14ac:dyDescent="0.35">
      <c r="A1866" s="1">
        <v>45575</v>
      </c>
      <c r="B1866" s="2">
        <v>45575.446331539351</v>
      </c>
      <c r="C1866" t="s">
        <v>8</v>
      </c>
      <c r="D1866" t="s">
        <v>40</v>
      </c>
      <c r="E1866">
        <v>2596</v>
      </c>
      <c r="F1866" t="s">
        <v>20</v>
      </c>
    </row>
    <row r="1867" spans="1:6" x14ac:dyDescent="0.35">
      <c r="A1867" s="1">
        <v>45575</v>
      </c>
      <c r="B1867" s="2">
        <v>45575.446875300928</v>
      </c>
      <c r="C1867" t="s">
        <v>8</v>
      </c>
      <c r="D1867" t="s">
        <v>40</v>
      </c>
      <c r="E1867">
        <v>2596</v>
      </c>
      <c r="F1867" t="s">
        <v>20</v>
      </c>
    </row>
    <row r="1868" spans="1:6" x14ac:dyDescent="0.35">
      <c r="A1868" s="1">
        <v>45575</v>
      </c>
      <c r="B1868" s="2">
        <v>45575.45523861111</v>
      </c>
      <c r="C1868" t="s">
        <v>8</v>
      </c>
      <c r="D1868" t="s">
        <v>791</v>
      </c>
      <c r="E1868">
        <v>3576</v>
      </c>
      <c r="F1868" t="s">
        <v>32</v>
      </c>
    </row>
    <row r="1869" spans="1:6" x14ac:dyDescent="0.35">
      <c r="A1869" s="1">
        <v>45575</v>
      </c>
      <c r="B1869" s="2">
        <v>45575.461335057873</v>
      </c>
      <c r="C1869" t="s">
        <v>8</v>
      </c>
      <c r="D1869" t="s">
        <v>792</v>
      </c>
      <c r="E1869">
        <v>3576</v>
      </c>
      <c r="F1869" t="s">
        <v>32</v>
      </c>
    </row>
    <row r="1870" spans="1:6" x14ac:dyDescent="0.35">
      <c r="A1870" s="1">
        <v>45575</v>
      </c>
      <c r="B1870" s="2">
        <v>45575.628968726851</v>
      </c>
      <c r="C1870" t="s">
        <v>8</v>
      </c>
      <c r="D1870" t="s">
        <v>562</v>
      </c>
      <c r="E1870">
        <v>3576</v>
      </c>
      <c r="F1870" t="s">
        <v>24</v>
      </c>
    </row>
    <row r="1871" spans="1:6" x14ac:dyDescent="0.35">
      <c r="A1871" s="1">
        <v>45575</v>
      </c>
      <c r="B1871" s="2">
        <v>45575.736624814817</v>
      </c>
      <c r="C1871" t="s">
        <v>8</v>
      </c>
      <c r="D1871" t="s">
        <v>793</v>
      </c>
      <c r="E1871">
        <v>3576</v>
      </c>
      <c r="F1871" t="s">
        <v>32</v>
      </c>
    </row>
    <row r="1872" spans="1:6" x14ac:dyDescent="0.35">
      <c r="A1872" s="1">
        <v>45575</v>
      </c>
      <c r="B1872" s="2">
        <v>45575.76287859954</v>
      </c>
      <c r="C1872" t="s">
        <v>8</v>
      </c>
      <c r="D1872" t="s">
        <v>794</v>
      </c>
      <c r="E1872">
        <v>2596</v>
      </c>
      <c r="F1872" t="s">
        <v>28</v>
      </c>
    </row>
    <row r="1873" spans="1:6" x14ac:dyDescent="0.35">
      <c r="A1873" s="1">
        <v>45575</v>
      </c>
      <c r="B1873" s="2">
        <v>45575.789244189815</v>
      </c>
      <c r="C1873" t="s">
        <v>8</v>
      </c>
      <c r="D1873" t="s">
        <v>765</v>
      </c>
      <c r="E1873">
        <v>3086</v>
      </c>
      <c r="F1873" t="s">
        <v>36</v>
      </c>
    </row>
    <row r="1874" spans="1:6" x14ac:dyDescent="0.35">
      <c r="A1874" s="1">
        <v>45575</v>
      </c>
      <c r="B1874" s="2">
        <v>45575.789991307873</v>
      </c>
      <c r="C1874" t="s">
        <v>8</v>
      </c>
      <c r="D1874" t="s">
        <v>765</v>
      </c>
      <c r="E1874">
        <v>3576</v>
      </c>
      <c r="F1874" t="s">
        <v>32</v>
      </c>
    </row>
    <row r="1875" spans="1:6" x14ac:dyDescent="0.35">
      <c r="A1875" s="1">
        <v>45575</v>
      </c>
      <c r="B1875" s="2">
        <v>45575.939779814813</v>
      </c>
      <c r="C1875" t="s">
        <v>8</v>
      </c>
      <c r="D1875" t="s">
        <v>689</v>
      </c>
      <c r="E1875">
        <v>3576</v>
      </c>
      <c r="F1875" t="s">
        <v>15</v>
      </c>
    </row>
    <row r="1876" spans="1:6" x14ac:dyDescent="0.35">
      <c r="A1876" s="1">
        <v>45575</v>
      </c>
      <c r="B1876" s="2">
        <v>45575.940274641202</v>
      </c>
      <c r="C1876" t="s">
        <v>8</v>
      </c>
      <c r="D1876" t="s">
        <v>689</v>
      </c>
      <c r="E1876">
        <v>3576</v>
      </c>
      <c r="F1876" t="s">
        <v>15</v>
      </c>
    </row>
    <row r="1877" spans="1:6" x14ac:dyDescent="0.35">
      <c r="A1877" s="1">
        <v>45576</v>
      </c>
      <c r="B1877" s="2">
        <v>45576.329763657406</v>
      </c>
      <c r="C1877" t="s">
        <v>8</v>
      </c>
      <c r="D1877" t="s">
        <v>29</v>
      </c>
      <c r="E1877">
        <v>3086</v>
      </c>
      <c r="F1877" t="s">
        <v>36</v>
      </c>
    </row>
    <row r="1878" spans="1:6" x14ac:dyDescent="0.35">
      <c r="A1878" s="1">
        <v>45576</v>
      </c>
      <c r="B1878" s="2">
        <v>45576.333922893522</v>
      </c>
      <c r="C1878" t="s">
        <v>8</v>
      </c>
      <c r="D1878" t="s">
        <v>755</v>
      </c>
      <c r="E1878">
        <v>3576</v>
      </c>
      <c r="F1878" t="s">
        <v>32</v>
      </c>
    </row>
    <row r="1879" spans="1:6" x14ac:dyDescent="0.35">
      <c r="A1879" s="1">
        <v>45576</v>
      </c>
      <c r="B1879" s="2">
        <v>45576.341901087966</v>
      </c>
      <c r="C1879" t="s">
        <v>8</v>
      </c>
      <c r="D1879" t="s">
        <v>40</v>
      </c>
      <c r="E1879">
        <v>2596</v>
      </c>
      <c r="F1879" t="s">
        <v>20</v>
      </c>
    </row>
    <row r="1880" spans="1:6" x14ac:dyDescent="0.35">
      <c r="A1880" s="1">
        <v>45576</v>
      </c>
      <c r="B1880" s="2">
        <v>45576.352996250003</v>
      </c>
      <c r="C1880" t="s">
        <v>8</v>
      </c>
      <c r="D1880" t="s">
        <v>622</v>
      </c>
      <c r="E1880">
        <v>3576</v>
      </c>
      <c r="F1880" t="s">
        <v>32</v>
      </c>
    </row>
    <row r="1881" spans="1:6" x14ac:dyDescent="0.35">
      <c r="A1881" s="1">
        <v>45576</v>
      </c>
      <c r="B1881" s="2">
        <v>45576.353731365743</v>
      </c>
      <c r="C1881" t="s">
        <v>8</v>
      </c>
      <c r="D1881" t="s">
        <v>622</v>
      </c>
      <c r="E1881">
        <v>3576</v>
      </c>
      <c r="F1881" t="s">
        <v>10</v>
      </c>
    </row>
    <row r="1882" spans="1:6" x14ac:dyDescent="0.35">
      <c r="A1882" s="1">
        <v>45576</v>
      </c>
      <c r="B1882" s="2">
        <v>45576.372034571759</v>
      </c>
      <c r="C1882" t="s">
        <v>8</v>
      </c>
      <c r="D1882" t="s">
        <v>777</v>
      </c>
      <c r="E1882">
        <v>3576</v>
      </c>
      <c r="F1882" t="s">
        <v>10</v>
      </c>
    </row>
    <row r="1883" spans="1:6" x14ac:dyDescent="0.35">
      <c r="A1883" s="1">
        <v>45576</v>
      </c>
      <c r="B1883" s="2">
        <v>45576.372902523151</v>
      </c>
      <c r="C1883" t="s">
        <v>8</v>
      </c>
      <c r="D1883" t="s">
        <v>778</v>
      </c>
      <c r="E1883">
        <v>3086</v>
      </c>
      <c r="F1883" t="s">
        <v>36</v>
      </c>
    </row>
    <row r="1884" spans="1:6" x14ac:dyDescent="0.35">
      <c r="A1884" s="1">
        <v>45576</v>
      </c>
      <c r="B1884" s="2">
        <v>45576.373716458336</v>
      </c>
      <c r="C1884" t="s">
        <v>8</v>
      </c>
      <c r="D1884" t="s">
        <v>795</v>
      </c>
      <c r="E1884">
        <v>3576</v>
      </c>
      <c r="F1884" t="s">
        <v>15</v>
      </c>
    </row>
    <row r="1885" spans="1:6" x14ac:dyDescent="0.35">
      <c r="A1885" s="1">
        <v>45576</v>
      </c>
      <c r="B1885" s="2">
        <v>45576.397017800926</v>
      </c>
      <c r="C1885" t="s">
        <v>8</v>
      </c>
      <c r="D1885" t="s">
        <v>796</v>
      </c>
      <c r="E1885">
        <v>3086</v>
      </c>
      <c r="F1885" t="s">
        <v>36</v>
      </c>
    </row>
    <row r="1886" spans="1:6" x14ac:dyDescent="0.35">
      <c r="A1886" s="1">
        <v>45576</v>
      </c>
      <c r="B1886" s="2">
        <v>45576.401932025467</v>
      </c>
      <c r="C1886" t="s">
        <v>8</v>
      </c>
      <c r="D1886" t="s">
        <v>455</v>
      </c>
      <c r="E1886">
        <v>2596</v>
      </c>
      <c r="F1886" t="s">
        <v>20</v>
      </c>
    </row>
    <row r="1887" spans="1:6" x14ac:dyDescent="0.35">
      <c r="A1887" s="1">
        <v>45576</v>
      </c>
      <c r="B1887" s="2">
        <v>45576.41713396991</v>
      </c>
      <c r="C1887" t="s">
        <v>8</v>
      </c>
      <c r="D1887" t="s">
        <v>428</v>
      </c>
      <c r="E1887">
        <v>2596</v>
      </c>
      <c r="F1887" t="s">
        <v>28</v>
      </c>
    </row>
    <row r="1888" spans="1:6" x14ac:dyDescent="0.35">
      <c r="A1888" s="1">
        <v>45576</v>
      </c>
      <c r="B1888" s="2">
        <v>45576.417996215278</v>
      </c>
      <c r="C1888" t="s">
        <v>8</v>
      </c>
      <c r="D1888" t="s">
        <v>428</v>
      </c>
      <c r="E1888">
        <v>2596</v>
      </c>
      <c r="F1888" t="s">
        <v>28</v>
      </c>
    </row>
    <row r="1889" spans="1:6" x14ac:dyDescent="0.35">
      <c r="A1889" s="1">
        <v>45576</v>
      </c>
      <c r="B1889" s="2">
        <v>45576.437916331015</v>
      </c>
      <c r="C1889" t="s">
        <v>8</v>
      </c>
      <c r="D1889" t="s">
        <v>296</v>
      </c>
      <c r="E1889">
        <v>3086</v>
      </c>
      <c r="F1889" t="s">
        <v>36</v>
      </c>
    </row>
    <row r="1890" spans="1:6" x14ac:dyDescent="0.35">
      <c r="A1890" s="1">
        <v>45576</v>
      </c>
      <c r="B1890" s="2">
        <v>45576.545155127315</v>
      </c>
      <c r="C1890" t="s">
        <v>8</v>
      </c>
      <c r="D1890" t="s">
        <v>792</v>
      </c>
      <c r="E1890">
        <v>3576</v>
      </c>
      <c r="F1890" t="s">
        <v>32</v>
      </c>
    </row>
    <row r="1891" spans="1:6" x14ac:dyDescent="0.35">
      <c r="A1891" s="1">
        <v>45576</v>
      </c>
      <c r="B1891" s="2">
        <v>45576.561833993059</v>
      </c>
      <c r="C1891" t="s">
        <v>8</v>
      </c>
      <c r="D1891" t="s">
        <v>43</v>
      </c>
      <c r="E1891">
        <v>2596</v>
      </c>
      <c r="F1891" t="s">
        <v>28</v>
      </c>
    </row>
    <row r="1892" spans="1:6" x14ac:dyDescent="0.35">
      <c r="A1892" s="1">
        <v>45576</v>
      </c>
      <c r="B1892" s="2">
        <v>45576.562604409723</v>
      </c>
      <c r="C1892" t="s">
        <v>8</v>
      </c>
      <c r="D1892" t="s">
        <v>43</v>
      </c>
      <c r="E1892">
        <v>2596</v>
      </c>
      <c r="F1892" t="s">
        <v>28</v>
      </c>
    </row>
    <row r="1893" spans="1:6" x14ac:dyDescent="0.35">
      <c r="A1893" s="1">
        <v>45576</v>
      </c>
      <c r="B1893" s="2">
        <v>45576.60671915509</v>
      </c>
      <c r="C1893" t="s">
        <v>8</v>
      </c>
      <c r="D1893" t="s">
        <v>797</v>
      </c>
      <c r="E1893">
        <v>3576</v>
      </c>
      <c r="F1893" t="s">
        <v>10</v>
      </c>
    </row>
    <row r="1894" spans="1:6" x14ac:dyDescent="0.35">
      <c r="A1894" s="1">
        <v>45576</v>
      </c>
      <c r="B1894" s="2">
        <v>45576.607978148146</v>
      </c>
      <c r="C1894" t="s">
        <v>8</v>
      </c>
      <c r="D1894" t="s">
        <v>797</v>
      </c>
      <c r="E1894">
        <v>2596</v>
      </c>
      <c r="F1894" t="s">
        <v>28</v>
      </c>
    </row>
    <row r="1895" spans="1:6" x14ac:dyDescent="0.35">
      <c r="A1895" s="1">
        <v>45576</v>
      </c>
      <c r="B1895" s="2">
        <v>45576.618156956021</v>
      </c>
      <c r="C1895" t="s">
        <v>8</v>
      </c>
      <c r="D1895" t="s">
        <v>766</v>
      </c>
      <c r="E1895">
        <v>3576</v>
      </c>
      <c r="F1895" t="s">
        <v>24</v>
      </c>
    </row>
    <row r="1896" spans="1:6" x14ac:dyDescent="0.35">
      <c r="A1896" s="1">
        <v>45576</v>
      </c>
      <c r="B1896" s="2">
        <v>45576.716751539352</v>
      </c>
      <c r="C1896" t="s">
        <v>8</v>
      </c>
      <c r="D1896" t="s">
        <v>798</v>
      </c>
      <c r="E1896">
        <v>3576</v>
      </c>
      <c r="F1896" t="s">
        <v>32</v>
      </c>
    </row>
    <row r="1897" spans="1:6" x14ac:dyDescent="0.35">
      <c r="A1897" s="1">
        <v>45576</v>
      </c>
      <c r="B1897" s="2">
        <v>45576.71761107639</v>
      </c>
      <c r="C1897" t="s">
        <v>8</v>
      </c>
      <c r="D1897" t="s">
        <v>798</v>
      </c>
      <c r="E1897">
        <v>3576</v>
      </c>
      <c r="F1897" t="s">
        <v>15</v>
      </c>
    </row>
    <row r="1898" spans="1:6" x14ac:dyDescent="0.35">
      <c r="A1898" s="1">
        <v>45576</v>
      </c>
      <c r="B1898" s="2">
        <v>45576.726518124997</v>
      </c>
      <c r="C1898" t="s">
        <v>8</v>
      </c>
      <c r="D1898" t="s">
        <v>799</v>
      </c>
      <c r="E1898">
        <v>3576</v>
      </c>
      <c r="F1898" t="s">
        <v>15</v>
      </c>
    </row>
    <row r="1899" spans="1:6" x14ac:dyDescent="0.35">
      <c r="A1899" s="1">
        <v>45576</v>
      </c>
      <c r="B1899" s="2">
        <v>45576.908769907408</v>
      </c>
      <c r="C1899" t="s">
        <v>8</v>
      </c>
      <c r="D1899" t="s">
        <v>742</v>
      </c>
      <c r="E1899">
        <v>3576</v>
      </c>
      <c r="F1899" t="s">
        <v>32</v>
      </c>
    </row>
    <row r="1900" spans="1:6" x14ac:dyDescent="0.35">
      <c r="A1900" s="1">
        <v>45576</v>
      </c>
      <c r="B1900" s="2">
        <v>45576.912426006944</v>
      </c>
      <c r="C1900" t="s">
        <v>8</v>
      </c>
      <c r="D1900" t="s">
        <v>800</v>
      </c>
      <c r="E1900">
        <v>3086</v>
      </c>
      <c r="F1900" t="s">
        <v>36</v>
      </c>
    </row>
    <row r="1901" spans="1:6" x14ac:dyDescent="0.35">
      <c r="A1901" s="1">
        <v>45576</v>
      </c>
      <c r="B1901" s="2">
        <v>45576.941986493053</v>
      </c>
      <c r="C1901" t="s">
        <v>8</v>
      </c>
      <c r="D1901" t="s">
        <v>801</v>
      </c>
      <c r="E1901">
        <v>3576</v>
      </c>
      <c r="F1901" t="s">
        <v>15</v>
      </c>
    </row>
    <row r="1902" spans="1:6" x14ac:dyDescent="0.35">
      <c r="A1902" s="1">
        <v>45576</v>
      </c>
      <c r="B1902" s="2">
        <v>45576.942670150464</v>
      </c>
      <c r="C1902" t="s">
        <v>8</v>
      </c>
      <c r="D1902" t="s">
        <v>801</v>
      </c>
      <c r="E1902">
        <v>3576</v>
      </c>
      <c r="F1902" t="s">
        <v>15</v>
      </c>
    </row>
    <row r="1903" spans="1:6" x14ac:dyDescent="0.35">
      <c r="A1903" s="1">
        <v>45577</v>
      </c>
      <c r="B1903" s="2">
        <v>45577.352957384261</v>
      </c>
      <c r="C1903" t="s">
        <v>8</v>
      </c>
      <c r="D1903" t="s">
        <v>40</v>
      </c>
      <c r="E1903">
        <v>2596</v>
      </c>
      <c r="F1903" t="s">
        <v>20</v>
      </c>
    </row>
    <row r="1904" spans="1:6" x14ac:dyDescent="0.35">
      <c r="A1904" s="1">
        <v>45577</v>
      </c>
      <c r="B1904" s="2">
        <v>45577.438644664355</v>
      </c>
      <c r="C1904" t="s">
        <v>8</v>
      </c>
      <c r="D1904" t="s">
        <v>702</v>
      </c>
      <c r="E1904">
        <v>2596</v>
      </c>
      <c r="F1904" t="s">
        <v>20</v>
      </c>
    </row>
    <row r="1905" spans="1:6" x14ac:dyDescent="0.35">
      <c r="A1905" s="1">
        <v>45577</v>
      </c>
      <c r="B1905" s="2">
        <v>45577.439531504628</v>
      </c>
      <c r="C1905" t="s">
        <v>8</v>
      </c>
      <c r="D1905" t="s">
        <v>702</v>
      </c>
      <c r="E1905">
        <v>2596</v>
      </c>
      <c r="F1905" t="s">
        <v>20</v>
      </c>
    </row>
    <row r="1906" spans="1:6" x14ac:dyDescent="0.35">
      <c r="A1906" s="1">
        <v>45577</v>
      </c>
      <c r="B1906" s="2">
        <v>45577.494623831015</v>
      </c>
      <c r="C1906" t="s">
        <v>8</v>
      </c>
      <c r="D1906" t="s">
        <v>21</v>
      </c>
      <c r="E1906">
        <v>3576</v>
      </c>
      <c r="F1906" t="s">
        <v>32</v>
      </c>
    </row>
    <row r="1907" spans="1:6" x14ac:dyDescent="0.35">
      <c r="A1907" s="1">
        <v>45577</v>
      </c>
      <c r="B1907" s="2">
        <v>45577.495614502317</v>
      </c>
      <c r="C1907" t="s">
        <v>8</v>
      </c>
      <c r="D1907" t="s">
        <v>802</v>
      </c>
      <c r="E1907">
        <v>3086</v>
      </c>
      <c r="F1907" t="s">
        <v>36</v>
      </c>
    </row>
    <row r="1908" spans="1:6" x14ac:dyDescent="0.35">
      <c r="A1908" s="1">
        <v>45577</v>
      </c>
      <c r="B1908" s="2">
        <v>45577.55471128472</v>
      </c>
      <c r="C1908" t="s">
        <v>8</v>
      </c>
      <c r="D1908" t="s">
        <v>803</v>
      </c>
      <c r="E1908">
        <v>3576</v>
      </c>
      <c r="F1908" t="s">
        <v>24</v>
      </c>
    </row>
    <row r="1909" spans="1:6" x14ac:dyDescent="0.35">
      <c r="A1909" s="1">
        <v>45577</v>
      </c>
      <c r="B1909" s="2">
        <v>45577.840901759257</v>
      </c>
      <c r="C1909" t="s">
        <v>8</v>
      </c>
      <c r="D1909" t="s">
        <v>21</v>
      </c>
      <c r="E1909">
        <v>3576</v>
      </c>
      <c r="F1909" t="s">
        <v>32</v>
      </c>
    </row>
    <row r="1910" spans="1:6" x14ac:dyDescent="0.35">
      <c r="A1910" s="1">
        <v>45578</v>
      </c>
      <c r="B1910" s="2">
        <v>45578.413138738426</v>
      </c>
      <c r="C1910" t="s">
        <v>8</v>
      </c>
      <c r="D1910" t="s">
        <v>40</v>
      </c>
      <c r="E1910">
        <v>2596</v>
      </c>
      <c r="F1910" t="s">
        <v>20</v>
      </c>
    </row>
    <row r="1911" spans="1:6" x14ac:dyDescent="0.35">
      <c r="A1911" s="1">
        <v>45578</v>
      </c>
      <c r="B1911" s="2">
        <v>45578.514428182869</v>
      </c>
      <c r="C1911" t="s">
        <v>8</v>
      </c>
      <c r="D1911" t="s">
        <v>804</v>
      </c>
      <c r="E1911">
        <v>3086</v>
      </c>
      <c r="F1911" t="s">
        <v>36</v>
      </c>
    </row>
    <row r="1912" spans="1:6" x14ac:dyDescent="0.35">
      <c r="A1912" s="1">
        <v>45578</v>
      </c>
      <c r="B1912" s="2">
        <v>45578.564230555552</v>
      </c>
      <c r="C1912" t="s">
        <v>8</v>
      </c>
      <c r="D1912" t="s">
        <v>702</v>
      </c>
      <c r="E1912">
        <v>2596</v>
      </c>
      <c r="F1912" t="s">
        <v>20</v>
      </c>
    </row>
    <row r="1913" spans="1:6" x14ac:dyDescent="0.35">
      <c r="A1913" s="1">
        <v>45578</v>
      </c>
      <c r="B1913" s="2">
        <v>45578.564923437501</v>
      </c>
      <c r="C1913" t="s">
        <v>8</v>
      </c>
      <c r="D1913" t="s">
        <v>702</v>
      </c>
      <c r="E1913">
        <v>2106</v>
      </c>
      <c r="F1913" t="s">
        <v>5</v>
      </c>
    </row>
    <row r="1914" spans="1:6" x14ac:dyDescent="0.35">
      <c r="A1914" s="1">
        <v>45578</v>
      </c>
      <c r="B1914" s="2">
        <v>45578.565577627312</v>
      </c>
      <c r="C1914" t="s">
        <v>8</v>
      </c>
      <c r="D1914" t="s">
        <v>702</v>
      </c>
      <c r="E1914">
        <v>2596</v>
      </c>
      <c r="F1914" t="s">
        <v>20</v>
      </c>
    </row>
    <row r="1915" spans="1:6" x14ac:dyDescent="0.35">
      <c r="A1915" s="1">
        <v>45578</v>
      </c>
      <c r="B1915" s="2">
        <v>45578.74537866898</v>
      </c>
      <c r="C1915" t="s">
        <v>8</v>
      </c>
      <c r="D1915" t="s">
        <v>21</v>
      </c>
      <c r="E1915">
        <v>3576</v>
      </c>
      <c r="F1915" t="s">
        <v>32</v>
      </c>
    </row>
    <row r="1916" spans="1:6" x14ac:dyDescent="0.35">
      <c r="A1916" s="1">
        <v>45578</v>
      </c>
      <c r="B1916" s="2">
        <v>45578.746092939815</v>
      </c>
      <c r="C1916" t="s">
        <v>8</v>
      </c>
      <c r="D1916" t="s">
        <v>21</v>
      </c>
      <c r="E1916">
        <v>3576</v>
      </c>
      <c r="F1916" t="s">
        <v>32</v>
      </c>
    </row>
    <row r="1917" spans="1:6" x14ac:dyDescent="0.35">
      <c r="A1917" s="1">
        <v>45578</v>
      </c>
      <c r="B1917" s="2">
        <v>45578.765958553238</v>
      </c>
      <c r="C1917" t="s">
        <v>8</v>
      </c>
      <c r="D1917" t="s">
        <v>805</v>
      </c>
      <c r="E1917">
        <v>3576</v>
      </c>
      <c r="F1917" t="s">
        <v>24</v>
      </c>
    </row>
    <row r="1918" spans="1:6" x14ac:dyDescent="0.35">
      <c r="A1918" s="1">
        <v>45578</v>
      </c>
      <c r="B1918" s="2">
        <v>45578.863251481482</v>
      </c>
      <c r="C1918" t="s">
        <v>8</v>
      </c>
      <c r="D1918" t="s">
        <v>311</v>
      </c>
      <c r="E1918">
        <v>3576</v>
      </c>
      <c r="F1918" t="s">
        <v>24</v>
      </c>
    </row>
    <row r="1919" spans="1:6" x14ac:dyDescent="0.35">
      <c r="A1919" s="1">
        <v>45579</v>
      </c>
      <c r="B1919" s="2">
        <v>45579.352021284722</v>
      </c>
      <c r="C1919" t="s">
        <v>8</v>
      </c>
      <c r="D1919" t="s">
        <v>29</v>
      </c>
      <c r="E1919">
        <v>3086</v>
      </c>
      <c r="F1919" t="s">
        <v>36</v>
      </c>
    </row>
    <row r="1920" spans="1:6" x14ac:dyDescent="0.35">
      <c r="A1920" s="1">
        <v>45579</v>
      </c>
      <c r="B1920" s="2">
        <v>45579.409659155092</v>
      </c>
      <c r="C1920" t="s">
        <v>8</v>
      </c>
      <c r="D1920" t="s">
        <v>806</v>
      </c>
      <c r="E1920">
        <v>3576</v>
      </c>
      <c r="F1920" t="s">
        <v>10</v>
      </c>
    </row>
    <row r="1921" spans="1:6" x14ac:dyDescent="0.35">
      <c r="A1921" s="1">
        <v>45579</v>
      </c>
      <c r="B1921" s="2">
        <v>45579.436008171295</v>
      </c>
      <c r="C1921" t="s">
        <v>8</v>
      </c>
      <c r="D1921" t="s">
        <v>40</v>
      </c>
      <c r="E1921">
        <v>2596</v>
      </c>
      <c r="F1921" t="s">
        <v>20</v>
      </c>
    </row>
    <row r="1922" spans="1:6" x14ac:dyDescent="0.35">
      <c r="A1922" s="1">
        <v>45579</v>
      </c>
      <c r="B1922" s="2">
        <v>45579.443133773151</v>
      </c>
      <c r="C1922" t="s">
        <v>8</v>
      </c>
      <c r="D1922" t="s">
        <v>493</v>
      </c>
      <c r="E1922">
        <v>3576</v>
      </c>
      <c r="F1922" t="s">
        <v>32</v>
      </c>
    </row>
    <row r="1923" spans="1:6" x14ac:dyDescent="0.35">
      <c r="A1923" s="1">
        <v>45579</v>
      </c>
      <c r="B1923" s="2">
        <v>45579.44390875</v>
      </c>
      <c r="C1923" t="s">
        <v>8</v>
      </c>
      <c r="D1923" t="s">
        <v>493</v>
      </c>
      <c r="E1923">
        <v>3576</v>
      </c>
      <c r="F1923" t="s">
        <v>32</v>
      </c>
    </row>
    <row r="1924" spans="1:6" x14ac:dyDescent="0.35">
      <c r="A1924" s="1">
        <v>45579</v>
      </c>
      <c r="B1924" s="2">
        <v>45579.474890925929</v>
      </c>
      <c r="C1924" t="s">
        <v>8</v>
      </c>
      <c r="D1924" t="s">
        <v>807</v>
      </c>
      <c r="E1924">
        <v>3576</v>
      </c>
      <c r="F1924" t="s">
        <v>24</v>
      </c>
    </row>
    <row r="1925" spans="1:6" x14ac:dyDescent="0.35">
      <c r="A1925" s="1">
        <v>45579</v>
      </c>
      <c r="B1925" s="2">
        <v>45579.476126145833</v>
      </c>
      <c r="C1925" t="s">
        <v>8</v>
      </c>
      <c r="D1925" t="s">
        <v>279</v>
      </c>
      <c r="E1925">
        <v>2596</v>
      </c>
      <c r="F1925" t="s">
        <v>28</v>
      </c>
    </row>
    <row r="1926" spans="1:6" x14ac:dyDescent="0.35">
      <c r="A1926" s="1">
        <v>45579</v>
      </c>
      <c r="B1926" s="2">
        <v>45579.476912557868</v>
      </c>
      <c r="C1926" t="s">
        <v>8</v>
      </c>
      <c r="D1926" t="s">
        <v>279</v>
      </c>
      <c r="E1926">
        <v>2596</v>
      </c>
      <c r="F1926" t="s">
        <v>28</v>
      </c>
    </row>
    <row r="1927" spans="1:6" x14ac:dyDescent="0.35">
      <c r="A1927" s="1">
        <v>45579</v>
      </c>
      <c r="B1927" s="2">
        <v>45579.608415925926</v>
      </c>
      <c r="C1927" t="s">
        <v>8</v>
      </c>
      <c r="D1927" t="s">
        <v>808</v>
      </c>
      <c r="E1927">
        <v>3576</v>
      </c>
      <c r="F1927" t="s">
        <v>32</v>
      </c>
    </row>
    <row r="1928" spans="1:6" x14ac:dyDescent="0.35">
      <c r="A1928" s="1">
        <v>45579</v>
      </c>
      <c r="B1928" s="2">
        <v>45579.617956736111</v>
      </c>
      <c r="C1928" t="s">
        <v>8</v>
      </c>
      <c r="D1928" t="s">
        <v>21</v>
      </c>
      <c r="E1928">
        <v>3576</v>
      </c>
      <c r="F1928" t="s">
        <v>32</v>
      </c>
    </row>
    <row r="1929" spans="1:6" x14ac:dyDescent="0.35">
      <c r="A1929" s="1">
        <v>45579</v>
      </c>
      <c r="B1929" s="2">
        <v>45579.692910486112</v>
      </c>
      <c r="C1929" t="s">
        <v>8</v>
      </c>
      <c r="D1929" t="s">
        <v>809</v>
      </c>
      <c r="E1929">
        <v>2596</v>
      </c>
      <c r="F1929" t="s">
        <v>28</v>
      </c>
    </row>
    <row r="1930" spans="1:6" x14ac:dyDescent="0.35">
      <c r="A1930" s="1">
        <v>45579</v>
      </c>
      <c r="B1930" s="2">
        <v>45579.763416562499</v>
      </c>
      <c r="C1930" t="s">
        <v>8</v>
      </c>
      <c r="D1930" t="s">
        <v>810</v>
      </c>
      <c r="E1930">
        <v>3576</v>
      </c>
      <c r="F1930" t="s">
        <v>32</v>
      </c>
    </row>
    <row r="1931" spans="1:6" x14ac:dyDescent="0.35">
      <c r="A1931" s="1">
        <v>45579</v>
      </c>
      <c r="B1931" s="2">
        <v>45579.764127129631</v>
      </c>
      <c r="C1931" t="s">
        <v>8</v>
      </c>
      <c r="D1931" t="s">
        <v>810</v>
      </c>
      <c r="E1931">
        <v>3576</v>
      </c>
      <c r="F1931" t="s">
        <v>24</v>
      </c>
    </row>
    <row r="1932" spans="1:6" x14ac:dyDescent="0.35">
      <c r="A1932" s="1">
        <v>45579</v>
      </c>
      <c r="B1932" s="2">
        <v>45579.922844097222</v>
      </c>
      <c r="C1932" t="s">
        <v>8</v>
      </c>
      <c r="D1932" t="s">
        <v>811</v>
      </c>
      <c r="E1932">
        <v>3576</v>
      </c>
      <c r="F1932" t="s">
        <v>32</v>
      </c>
    </row>
    <row r="1933" spans="1:6" x14ac:dyDescent="0.35">
      <c r="A1933" s="1">
        <v>45579</v>
      </c>
      <c r="B1933" s="2">
        <v>45579.92388509259</v>
      </c>
      <c r="C1933" t="s">
        <v>8</v>
      </c>
      <c r="D1933" t="s">
        <v>812</v>
      </c>
      <c r="E1933">
        <v>3576</v>
      </c>
      <c r="F1933" t="s">
        <v>32</v>
      </c>
    </row>
    <row r="1934" spans="1:6" x14ac:dyDescent="0.35">
      <c r="A1934" s="1">
        <v>45579</v>
      </c>
      <c r="B1934" s="2">
        <v>45579.931873437497</v>
      </c>
      <c r="C1934" t="s">
        <v>8</v>
      </c>
      <c r="D1934" t="s">
        <v>562</v>
      </c>
      <c r="E1934">
        <v>3576</v>
      </c>
      <c r="F1934" t="s">
        <v>32</v>
      </c>
    </row>
    <row r="1935" spans="1:6" x14ac:dyDescent="0.35">
      <c r="A1935" s="1">
        <v>45580</v>
      </c>
      <c r="B1935" s="2">
        <v>45580.343387349538</v>
      </c>
      <c r="C1935" t="s">
        <v>8</v>
      </c>
      <c r="D1935" t="s">
        <v>40</v>
      </c>
      <c r="E1935">
        <v>2596</v>
      </c>
      <c r="F1935" t="s">
        <v>20</v>
      </c>
    </row>
    <row r="1936" spans="1:6" x14ac:dyDescent="0.35">
      <c r="A1936" s="1">
        <v>45580</v>
      </c>
      <c r="B1936" s="2">
        <v>45580.357151238422</v>
      </c>
      <c r="C1936" t="s">
        <v>8</v>
      </c>
      <c r="D1936" t="s">
        <v>813</v>
      </c>
      <c r="E1936">
        <v>2106</v>
      </c>
      <c r="F1936" t="s">
        <v>5</v>
      </c>
    </row>
    <row r="1937" spans="1:6" x14ac:dyDescent="0.35">
      <c r="A1937" s="1">
        <v>45580</v>
      </c>
      <c r="B1937" s="2">
        <v>45580.467615312496</v>
      </c>
      <c r="C1937" t="s">
        <v>8</v>
      </c>
      <c r="D1937" t="s">
        <v>814</v>
      </c>
      <c r="E1937">
        <v>3576</v>
      </c>
      <c r="F1937" t="s">
        <v>15</v>
      </c>
    </row>
    <row r="1938" spans="1:6" x14ac:dyDescent="0.35">
      <c r="A1938" s="1">
        <v>45580</v>
      </c>
      <c r="B1938" s="2">
        <v>45580.468988680557</v>
      </c>
      <c r="C1938" t="s">
        <v>8</v>
      </c>
      <c r="D1938" t="s">
        <v>788</v>
      </c>
      <c r="E1938">
        <v>3576</v>
      </c>
      <c r="F1938" t="s">
        <v>32</v>
      </c>
    </row>
    <row r="1939" spans="1:6" x14ac:dyDescent="0.35">
      <c r="A1939" s="1">
        <v>45580</v>
      </c>
      <c r="B1939" s="2">
        <v>45580.469762372682</v>
      </c>
      <c r="C1939" t="s">
        <v>8</v>
      </c>
      <c r="D1939" t="s">
        <v>788</v>
      </c>
      <c r="E1939">
        <v>3576</v>
      </c>
      <c r="F1939" t="s">
        <v>15</v>
      </c>
    </row>
    <row r="1940" spans="1:6" x14ac:dyDescent="0.35">
      <c r="A1940" s="1">
        <v>45580</v>
      </c>
      <c r="B1940" s="2">
        <v>45580.54216704861</v>
      </c>
      <c r="C1940" t="s">
        <v>8</v>
      </c>
      <c r="D1940" t="s">
        <v>815</v>
      </c>
      <c r="E1940">
        <v>3576</v>
      </c>
      <c r="F1940" t="s">
        <v>32</v>
      </c>
    </row>
    <row r="1941" spans="1:6" x14ac:dyDescent="0.35">
      <c r="A1941" s="1">
        <v>45580</v>
      </c>
      <c r="B1941" s="2">
        <v>45580.552602268515</v>
      </c>
      <c r="C1941" t="s">
        <v>8</v>
      </c>
      <c r="D1941" t="s">
        <v>816</v>
      </c>
      <c r="E1941">
        <v>3086</v>
      </c>
      <c r="F1941" t="s">
        <v>36</v>
      </c>
    </row>
    <row r="1942" spans="1:6" x14ac:dyDescent="0.35">
      <c r="A1942" s="1">
        <v>45580</v>
      </c>
      <c r="B1942" s="2">
        <v>45580.647352754633</v>
      </c>
      <c r="C1942" t="s">
        <v>8</v>
      </c>
      <c r="D1942" t="s">
        <v>735</v>
      </c>
      <c r="E1942">
        <v>3576</v>
      </c>
      <c r="F1942" t="s">
        <v>32</v>
      </c>
    </row>
    <row r="1943" spans="1:6" x14ac:dyDescent="0.35">
      <c r="A1943" s="1">
        <v>45580</v>
      </c>
      <c r="B1943" s="2">
        <v>45580.662691122685</v>
      </c>
      <c r="C1943" t="s">
        <v>8</v>
      </c>
      <c r="D1943" t="s">
        <v>817</v>
      </c>
      <c r="E1943">
        <v>2596</v>
      </c>
      <c r="F1943" t="s">
        <v>28</v>
      </c>
    </row>
    <row r="1944" spans="1:6" x14ac:dyDescent="0.35">
      <c r="A1944" s="1">
        <v>45580</v>
      </c>
      <c r="B1944" s="2">
        <v>45580.663414803239</v>
      </c>
      <c r="C1944" t="s">
        <v>8</v>
      </c>
      <c r="D1944" t="s">
        <v>817</v>
      </c>
      <c r="E1944">
        <v>2106</v>
      </c>
      <c r="F1944" t="s">
        <v>5</v>
      </c>
    </row>
    <row r="1945" spans="1:6" x14ac:dyDescent="0.35">
      <c r="A1945" s="1">
        <v>45580</v>
      </c>
      <c r="B1945" s="2">
        <v>45580.711242303238</v>
      </c>
      <c r="C1945" t="s">
        <v>8</v>
      </c>
      <c r="D1945" t="s">
        <v>818</v>
      </c>
      <c r="E1945">
        <v>3576</v>
      </c>
      <c r="F1945" t="s">
        <v>15</v>
      </c>
    </row>
    <row r="1946" spans="1:6" x14ac:dyDescent="0.35">
      <c r="A1946" s="1">
        <v>45580</v>
      </c>
      <c r="B1946" s="2">
        <v>45580.807191886575</v>
      </c>
      <c r="C1946" t="s">
        <v>8</v>
      </c>
      <c r="D1946" t="s">
        <v>819</v>
      </c>
      <c r="E1946">
        <v>2596</v>
      </c>
      <c r="F1946" t="s">
        <v>28</v>
      </c>
    </row>
    <row r="1947" spans="1:6" x14ac:dyDescent="0.35">
      <c r="A1947" s="1">
        <v>45580</v>
      </c>
      <c r="B1947" s="2">
        <v>45580.807839733796</v>
      </c>
      <c r="C1947" t="s">
        <v>8</v>
      </c>
      <c r="D1947" t="s">
        <v>819</v>
      </c>
      <c r="E1947">
        <v>3576</v>
      </c>
      <c r="F1947" t="s">
        <v>10</v>
      </c>
    </row>
    <row r="1948" spans="1:6" x14ac:dyDescent="0.35">
      <c r="A1948" s="1">
        <v>45580</v>
      </c>
      <c r="B1948" s="2">
        <v>45580.84114449074</v>
      </c>
      <c r="C1948" t="s">
        <v>8</v>
      </c>
      <c r="D1948" t="s">
        <v>21</v>
      </c>
      <c r="E1948">
        <v>3576</v>
      </c>
      <c r="F1948" t="s">
        <v>32</v>
      </c>
    </row>
    <row r="1949" spans="1:6" x14ac:dyDescent="0.35">
      <c r="A1949" s="1">
        <v>45580</v>
      </c>
      <c r="B1949" s="2">
        <v>45580.841998043979</v>
      </c>
      <c r="C1949" t="s">
        <v>8</v>
      </c>
      <c r="D1949" t="s">
        <v>21</v>
      </c>
      <c r="E1949">
        <v>3576</v>
      </c>
      <c r="F1949" t="s">
        <v>32</v>
      </c>
    </row>
    <row r="1950" spans="1:6" x14ac:dyDescent="0.35">
      <c r="A1950" s="1">
        <v>45580</v>
      </c>
      <c r="B1950" s="2">
        <v>45580.887597326386</v>
      </c>
      <c r="C1950" t="s">
        <v>8</v>
      </c>
      <c r="D1950" t="s">
        <v>16</v>
      </c>
      <c r="E1950">
        <v>3576</v>
      </c>
      <c r="F1950" t="s">
        <v>15</v>
      </c>
    </row>
    <row r="1951" spans="1:6" x14ac:dyDescent="0.35">
      <c r="A1951" s="1">
        <v>45580</v>
      </c>
      <c r="B1951" s="2">
        <v>45580.899536377314</v>
      </c>
      <c r="C1951" t="s">
        <v>8</v>
      </c>
      <c r="D1951" t="s">
        <v>16</v>
      </c>
      <c r="E1951">
        <v>3576</v>
      </c>
      <c r="F1951" t="s">
        <v>15</v>
      </c>
    </row>
    <row r="1952" spans="1:6" x14ac:dyDescent="0.35">
      <c r="A1952" s="1">
        <v>45580</v>
      </c>
      <c r="B1952" s="2">
        <v>45580.927310798608</v>
      </c>
      <c r="C1952" t="s">
        <v>8</v>
      </c>
      <c r="D1952" t="s">
        <v>742</v>
      </c>
      <c r="E1952">
        <v>3576</v>
      </c>
      <c r="F1952" t="s">
        <v>32</v>
      </c>
    </row>
    <row r="1953" spans="1:6" x14ac:dyDescent="0.35">
      <c r="A1953" s="1">
        <v>45581</v>
      </c>
      <c r="B1953" s="2">
        <v>45581.348217743056</v>
      </c>
      <c r="C1953" t="s">
        <v>8</v>
      </c>
      <c r="D1953" t="s">
        <v>29</v>
      </c>
      <c r="E1953">
        <v>3086</v>
      </c>
      <c r="F1953" t="s">
        <v>36</v>
      </c>
    </row>
    <row r="1954" spans="1:6" x14ac:dyDescent="0.35">
      <c r="A1954" s="1">
        <v>45581</v>
      </c>
      <c r="B1954" s="2">
        <v>45581.35860634259</v>
      </c>
      <c r="C1954" t="s">
        <v>8</v>
      </c>
      <c r="D1954" t="s">
        <v>748</v>
      </c>
      <c r="E1954">
        <v>3576</v>
      </c>
      <c r="F1954" t="s">
        <v>15</v>
      </c>
    </row>
    <row r="1955" spans="1:6" x14ac:dyDescent="0.35">
      <c r="A1955" s="1">
        <v>45581</v>
      </c>
      <c r="B1955" s="2">
        <v>45581.392953414354</v>
      </c>
      <c r="C1955" t="s">
        <v>8</v>
      </c>
      <c r="D1955" t="s">
        <v>622</v>
      </c>
      <c r="E1955">
        <v>3576</v>
      </c>
      <c r="F1955" t="s">
        <v>32</v>
      </c>
    </row>
    <row r="1956" spans="1:6" x14ac:dyDescent="0.35">
      <c r="A1956" s="1">
        <v>45581</v>
      </c>
      <c r="B1956" s="2">
        <v>45581.427638240741</v>
      </c>
      <c r="C1956" t="s">
        <v>8</v>
      </c>
      <c r="D1956" t="s">
        <v>623</v>
      </c>
      <c r="E1956">
        <v>3086</v>
      </c>
      <c r="F1956" t="s">
        <v>36</v>
      </c>
    </row>
    <row r="1957" spans="1:6" x14ac:dyDescent="0.35">
      <c r="A1957" s="1">
        <v>45581</v>
      </c>
      <c r="B1957" s="2">
        <v>45581.428399756944</v>
      </c>
      <c r="C1957" t="s">
        <v>8</v>
      </c>
      <c r="D1957" t="s">
        <v>623</v>
      </c>
      <c r="E1957">
        <v>3086</v>
      </c>
      <c r="F1957" t="s">
        <v>36</v>
      </c>
    </row>
    <row r="1958" spans="1:6" x14ac:dyDescent="0.35">
      <c r="A1958" s="1">
        <v>45581</v>
      </c>
      <c r="B1958" s="2">
        <v>45581.448205590277</v>
      </c>
      <c r="C1958" t="s">
        <v>8</v>
      </c>
      <c r="D1958" t="s">
        <v>386</v>
      </c>
      <c r="E1958">
        <v>3086</v>
      </c>
      <c r="F1958" t="s">
        <v>36</v>
      </c>
    </row>
    <row r="1959" spans="1:6" x14ac:dyDescent="0.35">
      <c r="A1959" s="1">
        <v>45581</v>
      </c>
      <c r="B1959" s="2">
        <v>45581.492877696757</v>
      </c>
      <c r="C1959" t="s">
        <v>8</v>
      </c>
      <c r="D1959" t="s">
        <v>820</v>
      </c>
      <c r="E1959">
        <v>2596</v>
      </c>
      <c r="F1959" t="s">
        <v>28</v>
      </c>
    </row>
    <row r="1960" spans="1:6" x14ac:dyDescent="0.35">
      <c r="A1960" s="1">
        <v>45581</v>
      </c>
      <c r="B1960" s="2">
        <v>45581.520651087965</v>
      </c>
      <c r="C1960" t="s">
        <v>8</v>
      </c>
      <c r="D1960" t="s">
        <v>821</v>
      </c>
      <c r="E1960">
        <v>3086</v>
      </c>
      <c r="F1960" t="s">
        <v>36</v>
      </c>
    </row>
    <row r="1961" spans="1:6" x14ac:dyDescent="0.35">
      <c r="A1961" s="1">
        <v>45581</v>
      </c>
      <c r="B1961" s="2">
        <v>45581.555676736112</v>
      </c>
      <c r="C1961" t="s">
        <v>8</v>
      </c>
      <c r="D1961" t="s">
        <v>816</v>
      </c>
      <c r="E1961">
        <v>2596</v>
      </c>
      <c r="F1961" t="s">
        <v>28</v>
      </c>
    </row>
    <row r="1962" spans="1:6" x14ac:dyDescent="0.35">
      <c r="A1962" s="1">
        <v>45581</v>
      </c>
      <c r="B1962" s="2">
        <v>45581.698258530094</v>
      </c>
      <c r="C1962" t="s">
        <v>8</v>
      </c>
      <c r="D1962" t="s">
        <v>822</v>
      </c>
      <c r="E1962">
        <v>3576</v>
      </c>
      <c r="F1962" t="s">
        <v>32</v>
      </c>
    </row>
    <row r="1963" spans="1:6" x14ac:dyDescent="0.35">
      <c r="A1963" s="1">
        <v>45581</v>
      </c>
      <c r="B1963" s="2">
        <v>45581.738433530096</v>
      </c>
      <c r="C1963" t="s">
        <v>8</v>
      </c>
      <c r="D1963" t="s">
        <v>562</v>
      </c>
      <c r="E1963">
        <v>3086</v>
      </c>
      <c r="F1963" t="s">
        <v>36</v>
      </c>
    </row>
    <row r="1964" spans="1:6" x14ac:dyDescent="0.35">
      <c r="A1964" s="1">
        <v>45581</v>
      </c>
      <c r="B1964" s="2">
        <v>45581.817851979169</v>
      </c>
      <c r="C1964" t="s">
        <v>8</v>
      </c>
      <c r="D1964" t="s">
        <v>823</v>
      </c>
      <c r="E1964">
        <v>3086</v>
      </c>
      <c r="F1964" t="s">
        <v>36</v>
      </c>
    </row>
    <row r="1965" spans="1:6" x14ac:dyDescent="0.35">
      <c r="A1965" s="1">
        <v>45581</v>
      </c>
      <c r="B1965" s="2">
        <v>45581.81847972222</v>
      </c>
      <c r="C1965" t="s">
        <v>8</v>
      </c>
      <c r="D1965" t="s">
        <v>823</v>
      </c>
      <c r="E1965">
        <v>3086</v>
      </c>
      <c r="F1965" t="s">
        <v>36</v>
      </c>
    </row>
    <row r="1966" spans="1:6" x14ac:dyDescent="0.35">
      <c r="A1966" s="1">
        <v>45581</v>
      </c>
      <c r="B1966" s="2">
        <v>45581.889219131946</v>
      </c>
      <c r="C1966" t="s">
        <v>8</v>
      </c>
      <c r="D1966" t="s">
        <v>824</v>
      </c>
      <c r="E1966">
        <v>3576</v>
      </c>
      <c r="F1966" t="s">
        <v>15</v>
      </c>
    </row>
    <row r="1967" spans="1:6" x14ac:dyDescent="0.35">
      <c r="A1967" s="1">
        <v>45582</v>
      </c>
      <c r="B1967" s="2">
        <v>45582.324316215279</v>
      </c>
      <c r="C1967" t="s">
        <v>8</v>
      </c>
      <c r="D1967" t="s">
        <v>748</v>
      </c>
      <c r="E1967">
        <v>3576</v>
      </c>
      <c r="F1967" t="s">
        <v>32</v>
      </c>
    </row>
    <row r="1968" spans="1:6" x14ac:dyDescent="0.35">
      <c r="A1968" s="1">
        <v>45582</v>
      </c>
      <c r="B1968" s="2">
        <v>45582.332022719907</v>
      </c>
      <c r="C1968" t="s">
        <v>8</v>
      </c>
      <c r="D1968" t="s">
        <v>622</v>
      </c>
      <c r="E1968">
        <v>3576</v>
      </c>
      <c r="F1968" t="s">
        <v>32</v>
      </c>
    </row>
    <row r="1969" spans="1:6" x14ac:dyDescent="0.35">
      <c r="A1969" s="1">
        <v>45582</v>
      </c>
      <c r="B1969" s="2">
        <v>45582.39198104167</v>
      </c>
      <c r="C1969" t="s">
        <v>8</v>
      </c>
      <c r="D1969" t="s">
        <v>825</v>
      </c>
      <c r="E1969">
        <v>3086</v>
      </c>
      <c r="F1969" t="s">
        <v>36</v>
      </c>
    </row>
    <row r="1970" spans="1:6" x14ac:dyDescent="0.35">
      <c r="A1970" s="1">
        <v>45582</v>
      </c>
      <c r="B1970" s="2">
        <v>45582.435159606481</v>
      </c>
      <c r="C1970" t="s">
        <v>8</v>
      </c>
      <c r="D1970" t="s">
        <v>562</v>
      </c>
      <c r="E1970">
        <v>3576</v>
      </c>
      <c r="F1970" t="s">
        <v>32</v>
      </c>
    </row>
    <row r="1971" spans="1:6" x14ac:dyDescent="0.35">
      <c r="A1971" s="1">
        <v>45582</v>
      </c>
      <c r="B1971" s="2">
        <v>45582.44784990741</v>
      </c>
      <c r="C1971" t="s">
        <v>8</v>
      </c>
      <c r="D1971" t="s">
        <v>366</v>
      </c>
      <c r="E1971">
        <v>3576</v>
      </c>
      <c r="F1971" t="s">
        <v>15</v>
      </c>
    </row>
    <row r="1972" spans="1:6" x14ac:dyDescent="0.35">
      <c r="A1972" s="1">
        <v>45582</v>
      </c>
      <c r="B1972" s="2">
        <v>45582.499616354165</v>
      </c>
      <c r="C1972" t="s">
        <v>8</v>
      </c>
      <c r="D1972" t="s">
        <v>826</v>
      </c>
      <c r="E1972">
        <v>3086</v>
      </c>
      <c r="F1972" t="s">
        <v>36</v>
      </c>
    </row>
    <row r="1973" spans="1:6" x14ac:dyDescent="0.35">
      <c r="A1973" s="1">
        <v>45582</v>
      </c>
      <c r="B1973" s="2">
        <v>45582.581538136576</v>
      </c>
      <c r="C1973" t="s">
        <v>8</v>
      </c>
      <c r="D1973" t="s">
        <v>827</v>
      </c>
      <c r="E1973">
        <v>3576</v>
      </c>
      <c r="F1973" t="s">
        <v>32</v>
      </c>
    </row>
    <row r="1974" spans="1:6" x14ac:dyDescent="0.35">
      <c r="A1974" s="1">
        <v>45582</v>
      </c>
      <c r="B1974" s="2">
        <v>45582.60743747685</v>
      </c>
      <c r="C1974" t="s">
        <v>8</v>
      </c>
      <c r="D1974" t="s">
        <v>828</v>
      </c>
      <c r="E1974">
        <v>2596</v>
      </c>
      <c r="F1974" t="s">
        <v>28</v>
      </c>
    </row>
    <row r="1975" spans="1:6" x14ac:dyDescent="0.35">
      <c r="A1975" s="1">
        <v>45582</v>
      </c>
      <c r="B1975" s="2">
        <v>45582.692506782405</v>
      </c>
      <c r="C1975" t="s">
        <v>8</v>
      </c>
      <c r="D1975" t="s">
        <v>754</v>
      </c>
      <c r="E1975">
        <v>3576</v>
      </c>
      <c r="F1975" t="s">
        <v>15</v>
      </c>
    </row>
    <row r="1976" spans="1:6" x14ac:dyDescent="0.35">
      <c r="A1976" s="1">
        <v>45582</v>
      </c>
      <c r="B1976" s="2">
        <v>45582.693263530091</v>
      </c>
      <c r="C1976" t="s">
        <v>8</v>
      </c>
      <c r="D1976" t="s">
        <v>754</v>
      </c>
      <c r="E1976">
        <v>3576</v>
      </c>
      <c r="F1976" t="s">
        <v>15</v>
      </c>
    </row>
    <row r="1977" spans="1:6" x14ac:dyDescent="0.35">
      <c r="A1977" s="1">
        <v>45582</v>
      </c>
      <c r="B1977" s="2">
        <v>45582.693861180553</v>
      </c>
      <c r="C1977" t="s">
        <v>8</v>
      </c>
      <c r="D1977" t="s">
        <v>754</v>
      </c>
      <c r="E1977">
        <v>3576</v>
      </c>
      <c r="F1977" t="s">
        <v>32</v>
      </c>
    </row>
    <row r="1978" spans="1:6" x14ac:dyDescent="0.35">
      <c r="A1978" s="1">
        <v>45582</v>
      </c>
      <c r="B1978" s="2">
        <v>45582.700415011575</v>
      </c>
      <c r="C1978" t="s">
        <v>8</v>
      </c>
      <c r="D1978" t="s">
        <v>829</v>
      </c>
      <c r="E1978">
        <v>3576</v>
      </c>
      <c r="F1978" t="s">
        <v>15</v>
      </c>
    </row>
    <row r="1979" spans="1:6" x14ac:dyDescent="0.35">
      <c r="A1979" s="1">
        <v>45582</v>
      </c>
      <c r="B1979" s="2">
        <v>45582.701078194441</v>
      </c>
      <c r="C1979" t="s">
        <v>8</v>
      </c>
      <c r="D1979" t="s">
        <v>829</v>
      </c>
      <c r="E1979">
        <v>3576</v>
      </c>
      <c r="F1979" t="s">
        <v>15</v>
      </c>
    </row>
    <row r="1980" spans="1:6" x14ac:dyDescent="0.35">
      <c r="A1980" s="1">
        <v>45582</v>
      </c>
      <c r="B1980" s="2">
        <v>45582.714210081016</v>
      </c>
      <c r="C1980" t="s">
        <v>8</v>
      </c>
      <c r="D1980" t="s">
        <v>312</v>
      </c>
      <c r="E1980">
        <v>3576</v>
      </c>
      <c r="F1980" t="s">
        <v>24</v>
      </c>
    </row>
    <row r="1981" spans="1:6" x14ac:dyDescent="0.35">
      <c r="A1981" s="1">
        <v>45582</v>
      </c>
      <c r="B1981" s="2">
        <v>45582.714934062496</v>
      </c>
      <c r="C1981" t="s">
        <v>8</v>
      </c>
      <c r="D1981" t="s">
        <v>312</v>
      </c>
      <c r="E1981">
        <v>3576</v>
      </c>
      <c r="F1981" t="s">
        <v>15</v>
      </c>
    </row>
    <row r="1982" spans="1:6" x14ac:dyDescent="0.35">
      <c r="A1982" s="1">
        <v>45582</v>
      </c>
      <c r="B1982" s="2">
        <v>45582.821668599536</v>
      </c>
      <c r="C1982" t="s">
        <v>8</v>
      </c>
      <c r="D1982" t="s">
        <v>21</v>
      </c>
      <c r="E1982">
        <v>3576</v>
      </c>
      <c r="F1982" t="s">
        <v>32</v>
      </c>
    </row>
    <row r="1983" spans="1:6" x14ac:dyDescent="0.35">
      <c r="A1983" s="1">
        <v>45582</v>
      </c>
      <c r="B1983" s="2">
        <v>45582.841393564813</v>
      </c>
      <c r="C1983" t="s">
        <v>8</v>
      </c>
      <c r="D1983" t="s">
        <v>830</v>
      </c>
      <c r="E1983">
        <v>3086</v>
      </c>
      <c r="F1983" t="s">
        <v>36</v>
      </c>
    </row>
    <row r="1984" spans="1:6" x14ac:dyDescent="0.35">
      <c r="A1984" s="1">
        <v>45582</v>
      </c>
      <c r="B1984" s="2">
        <v>45582.907094270835</v>
      </c>
      <c r="C1984" t="s">
        <v>8</v>
      </c>
      <c r="D1984" t="s">
        <v>831</v>
      </c>
      <c r="E1984">
        <v>3576</v>
      </c>
      <c r="F1984" t="s">
        <v>32</v>
      </c>
    </row>
    <row r="1985" spans="1:6" x14ac:dyDescent="0.35">
      <c r="A1985" s="1">
        <v>45582</v>
      </c>
      <c r="B1985" s="2">
        <v>45582.90787570602</v>
      </c>
      <c r="C1985" t="s">
        <v>8</v>
      </c>
      <c r="D1985" t="s">
        <v>831</v>
      </c>
      <c r="E1985">
        <v>3576</v>
      </c>
      <c r="F1985" t="s">
        <v>32</v>
      </c>
    </row>
    <row r="1986" spans="1:6" x14ac:dyDescent="0.35">
      <c r="A1986" s="1">
        <v>45582</v>
      </c>
      <c r="B1986" s="2">
        <v>45582.908700219908</v>
      </c>
      <c r="C1986" t="s">
        <v>8</v>
      </c>
      <c r="D1986" t="s">
        <v>831</v>
      </c>
      <c r="E1986">
        <v>3576</v>
      </c>
      <c r="F1986" t="s">
        <v>32</v>
      </c>
    </row>
    <row r="1987" spans="1:6" x14ac:dyDescent="0.35">
      <c r="A1987" s="1">
        <v>45582</v>
      </c>
      <c r="B1987" s="2">
        <v>45582.909659942132</v>
      </c>
      <c r="C1987" t="s">
        <v>8</v>
      </c>
      <c r="D1987" t="s">
        <v>831</v>
      </c>
      <c r="E1987">
        <v>3576</v>
      </c>
      <c r="F1987" t="s">
        <v>15</v>
      </c>
    </row>
    <row r="1988" spans="1:6" x14ac:dyDescent="0.35">
      <c r="A1988" s="1">
        <v>45583</v>
      </c>
      <c r="B1988" s="2">
        <v>45583.362494085646</v>
      </c>
      <c r="C1988" t="s">
        <v>8</v>
      </c>
      <c r="D1988" t="s">
        <v>43</v>
      </c>
      <c r="E1988">
        <v>3576</v>
      </c>
      <c r="F1988" t="s">
        <v>10</v>
      </c>
    </row>
    <row r="1989" spans="1:6" x14ac:dyDescent="0.35">
      <c r="A1989" s="1">
        <v>45583</v>
      </c>
      <c r="B1989" s="2">
        <v>45583.363184907408</v>
      </c>
      <c r="C1989" t="s">
        <v>8</v>
      </c>
      <c r="D1989" t="s">
        <v>110</v>
      </c>
      <c r="E1989">
        <v>3576</v>
      </c>
      <c r="F1989" t="s">
        <v>10</v>
      </c>
    </row>
    <row r="1990" spans="1:6" x14ac:dyDescent="0.35">
      <c r="A1990" s="1">
        <v>45583</v>
      </c>
      <c r="B1990" s="2">
        <v>45583.397702557872</v>
      </c>
      <c r="C1990" t="s">
        <v>8</v>
      </c>
      <c r="D1990" t="s">
        <v>62</v>
      </c>
      <c r="E1990">
        <v>3576</v>
      </c>
      <c r="F1990" t="s">
        <v>10</v>
      </c>
    </row>
    <row r="1991" spans="1:6" x14ac:dyDescent="0.35">
      <c r="A1991" s="1">
        <v>45583</v>
      </c>
      <c r="B1991" s="2">
        <v>45583.398703946761</v>
      </c>
      <c r="C1991" t="s">
        <v>8</v>
      </c>
      <c r="D1991" t="s">
        <v>62</v>
      </c>
      <c r="E1991">
        <v>3576</v>
      </c>
      <c r="F1991" t="s">
        <v>10</v>
      </c>
    </row>
    <row r="1992" spans="1:6" x14ac:dyDescent="0.35">
      <c r="A1992" s="1">
        <v>45583</v>
      </c>
      <c r="B1992" s="2">
        <v>45583.413428576387</v>
      </c>
      <c r="C1992" t="s">
        <v>8</v>
      </c>
      <c r="D1992" t="s">
        <v>832</v>
      </c>
      <c r="E1992">
        <v>3576</v>
      </c>
      <c r="F1992" t="s">
        <v>24</v>
      </c>
    </row>
    <row r="1993" spans="1:6" x14ac:dyDescent="0.35">
      <c r="A1993" s="1">
        <v>45583</v>
      </c>
      <c r="B1993" s="2">
        <v>45583.496514074075</v>
      </c>
      <c r="C1993" t="s">
        <v>8</v>
      </c>
      <c r="D1993" t="s">
        <v>832</v>
      </c>
      <c r="E1993">
        <v>3576</v>
      </c>
      <c r="F1993" t="s">
        <v>24</v>
      </c>
    </row>
    <row r="1994" spans="1:6" x14ac:dyDescent="0.35">
      <c r="A1994" s="1">
        <v>45583</v>
      </c>
      <c r="B1994" s="2">
        <v>45583.618797650466</v>
      </c>
      <c r="C1994" t="s">
        <v>8</v>
      </c>
      <c r="D1994" t="s">
        <v>833</v>
      </c>
      <c r="E1994">
        <v>3576</v>
      </c>
      <c r="F1994" t="s">
        <v>32</v>
      </c>
    </row>
    <row r="1995" spans="1:6" x14ac:dyDescent="0.35">
      <c r="A1995" s="1">
        <v>45583</v>
      </c>
      <c r="B1995" s="2">
        <v>45583.619621817132</v>
      </c>
      <c r="C1995" t="s">
        <v>8</v>
      </c>
      <c r="D1995" t="s">
        <v>833</v>
      </c>
      <c r="E1995">
        <v>3576</v>
      </c>
      <c r="F1995" t="s">
        <v>24</v>
      </c>
    </row>
    <row r="1996" spans="1:6" x14ac:dyDescent="0.35">
      <c r="A1996" s="1">
        <v>45583</v>
      </c>
      <c r="B1996" s="2">
        <v>45583.652314467596</v>
      </c>
      <c r="C1996" t="s">
        <v>8</v>
      </c>
      <c r="D1996" t="s">
        <v>735</v>
      </c>
      <c r="E1996">
        <v>2596</v>
      </c>
      <c r="F1996" t="s">
        <v>28</v>
      </c>
    </row>
    <row r="1997" spans="1:6" x14ac:dyDescent="0.35">
      <c r="A1997" s="1">
        <v>45583</v>
      </c>
      <c r="B1997" s="2">
        <v>45583.673586527781</v>
      </c>
      <c r="C1997" t="s">
        <v>8</v>
      </c>
      <c r="D1997" t="s">
        <v>834</v>
      </c>
      <c r="E1997">
        <v>3576</v>
      </c>
      <c r="F1997" t="s">
        <v>32</v>
      </c>
    </row>
    <row r="1998" spans="1:6" x14ac:dyDescent="0.35">
      <c r="A1998" s="1">
        <v>45583</v>
      </c>
      <c r="B1998" s="2">
        <v>45583.740034467592</v>
      </c>
      <c r="C1998" t="s">
        <v>8</v>
      </c>
      <c r="D1998" t="s">
        <v>835</v>
      </c>
      <c r="E1998">
        <v>3576</v>
      </c>
      <c r="F1998" t="s">
        <v>15</v>
      </c>
    </row>
    <row r="1999" spans="1:6" x14ac:dyDescent="0.35">
      <c r="A1999" s="1">
        <v>45583</v>
      </c>
      <c r="B1999" s="2">
        <v>45583.885187997686</v>
      </c>
      <c r="C1999" t="s">
        <v>8</v>
      </c>
      <c r="D1999" t="s">
        <v>43</v>
      </c>
      <c r="E1999">
        <v>3576</v>
      </c>
      <c r="F1999" t="s">
        <v>10</v>
      </c>
    </row>
    <row r="2000" spans="1:6" x14ac:dyDescent="0.35">
      <c r="A2000" s="1">
        <v>45583</v>
      </c>
      <c r="B2000" s="2">
        <v>45583.885677233797</v>
      </c>
      <c r="C2000" t="s">
        <v>8</v>
      </c>
      <c r="D2000" t="s">
        <v>43</v>
      </c>
      <c r="E2000">
        <v>3576</v>
      </c>
      <c r="F2000" t="s">
        <v>10</v>
      </c>
    </row>
    <row r="2001" spans="1:6" x14ac:dyDescent="0.35">
      <c r="A2001" s="1">
        <v>45583</v>
      </c>
      <c r="B2001" s="2">
        <v>45583.91138203704</v>
      </c>
      <c r="C2001" t="s">
        <v>8</v>
      </c>
      <c r="D2001" t="s">
        <v>836</v>
      </c>
      <c r="E2001">
        <v>3086</v>
      </c>
      <c r="F2001" t="s">
        <v>36</v>
      </c>
    </row>
    <row r="2002" spans="1:6" x14ac:dyDescent="0.35">
      <c r="A2002" s="1">
        <v>45583</v>
      </c>
      <c r="B2002" s="2">
        <v>45583.919062083332</v>
      </c>
      <c r="C2002" t="s">
        <v>8</v>
      </c>
      <c r="D2002" t="s">
        <v>742</v>
      </c>
      <c r="E2002">
        <v>3576</v>
      </c>
      <c r="F2002" t="s">
        <v>32</v>
      </c>
    </row>
    <row r="2003" spans="1:6" x14ac:dyDescent="0.35">
      <c r="A2003" s="1">
        <v>45584</v>
      </c>
      <c r="B2003" s="2">
        <v>45584.357102476853</v>
      </c>
      <c r="C2003" t="s">
        <v>8</v>
      </c>
      <c r="D2003" t="s">
        <v>837</v>
      </c>
      <c r="E2003">
        <v>3086</v>
      </c>
      <c r="F2003" t="s">
        <v>36</v>
      </c>
    </row>
    <row r="2004" spans="1:6" x14ac:dyDescent="0.35">
      <c r="A2004" s="1">
        <v>45584</v>
      </c>
      <c r="B2004" s="2">
        <v>45584.557014907405</v>
      </c>
      <c r="C2004" t="s">
        <v>8</v>
      </c>
      <c r="D2004" t="s">
        <v>76</v>
      </c>
      <c r="E2004">
        <v>3576</v>
      </c>
      <c r="F2004" t="s">
        <v>32</v>
      </c>
    </row>
    <row r="2005" spans="1:6" x14ac:dyDescent="0.35">
      <c r="A2005" s="1">
        <v>45584</v>
      </c>
      <c r="B2005" s="2">
        <v>45584.590655196756</v>
      </c>
      <c r="C2005" t="s">
        <v>8</v>
      </c>
      <c r="D2005" t="s">
        <v>408</v>
      </c>
      <c r="E2005">
        <v>3576</v>
      </c>
      <c r="F2005" t="s">
        <v>24</v>
      </c>
    </row>
    <row r="2006" spans="1:6" x14ac:dyDescent="0.35">
      <c r="A2006" s="1">
        <v>45584</v>
      </c>
      <c r="B2006" s="2">
        <v>45584.664527986111</v>
      </c>
      <c r="C2006" t="s">
        <v>8</v>
      </c>
      <c r="D2006" t="s">
        <v>21</v>
      </c>
      <c r="E2006">
        <v>3576</v>
      </c>
      <c r="F2006" t="s">
        <v>15</v>
      </c>
    </row>
    <row r="2007" spans="1:6" x14ac:dyDescent="0.35">
      <c r="A2007" s="1">
        <v>45584</v>
      </c>
      <c r="B2007" s="2">
        <v>45584.666250879629</v>
      </c>
      <c r="C2007" t="s">
        <v>8</v>
      </c>
      <c r="D2007" t="s">
        <v>21</v>
      </c>
      <c r="E2007">
        <v>3576</v>
      </c>
      <c r="F2007" t="s">
        <v>32</v>
      </c>
    </row>
    <row r="2008" spans="1:6" x14ac:dyDescent="0.35">
      <c r="A2008" s="1">
        <v>45584</v>
      </c>
      <c r="B2008" s="2">
        <v>45584.668586006941</v>
      </c>
      <c r="C2008" t="s">
        <v>8</v>
      </c>
      <c r="D2008" t="s">
        <v>547</v>
      </c>
      <c r="E2008">
        <v>3576</v>
      </c>
      <c r="F2008" t="s">
        <v>32</v>
      </c>
    </row>
    <row r="2009" spans="1:6" x14ac:dyDescent="0.35">
      <c r="A2009" s="1">
        <v>45584</v>
      </c>
      <c r="B2009" s="2">
        <v>45584.678964293984</v>
      </c>
      <c r="C2009" t="s">
        <v>8</v>
      </c>
      <c r="D2009" t="s">
        <v>748</v>
      </c>
      <c r="E2009">
        <v>3576</v>
      </c>
      <c r="F2009" t="s">
        <v>32</v>
      </c>
    </row>
    <row r="2010" spans="1:6" x14ac:dyDescent="0.35">
      <c r="A2010" s="1">
        <v>45584</v>
      </c>
      <c r="B2010" s="2">
        <v>45584.907471261577</v>
      </c>
      <c r="C2010" t="s">
        <v>8</v>
      </c>
      <c r="D2010" t="s">
        <v>742</v>
      </c>
      <c r="E2010">
        <v>3576</v>
      </c>
      <c r="F2010" t="s">
        <v>10</v>
      </c>
    </row>
    <row r="2011" spans="1:6" x14ac:dyDescent="0.35">
      <c r="A2011" s="1">
        <v>45584</v>
      </c>
      <c r="B2011" s="2">
        <v>45584.949047418981</v>
      </c>
      <c r="C2011" t="s">
        <v>8</v>
      </c>
      <c r="D2011" t="s">
        <v>838</v>
      </c>
      <c r="E2011">
        <v>3576</v>
      </c>
      <c r="F2011" t="s">
        <v>24</v>
      </c>
    </row>
    <row r="2012" spans="1:6" x14ac:dyDescent="0.35">
      <c r="A2012" s="1">
        <v>45585</v>
      </c>
      <c r="B2012" s="2">
        <v>45585.361619976851</v>
      </c>
      <c r="C2012" t="s">
        <v>8</v>
      </c>
      <c r="D2012" t="s">
        <v>622</v>
      </c>
      <c r="E2012">
        <v>3576</v>
      </c>
      <c r="F2012" t="s">
        <v>32</v>
      </c>
    </row>
    <row r="2013" spans="1:6" x14ac:dyDescent="0.35">
      <c r="A2013" s="1">
        <v>45585</v>
      </c>
      <c r="B2013" s="2">
        <v>45585.362389710652</v>
      </c>
      <c r="C2013" t="s">
        <v>8</v>
      </c>
      <c r="D2013" t="s">
        <v>622</v>
      </c>
      <c r="E2013">
        <v>3576</v>
      </c>
      <c r="F2013" t="s">
        <v>10</v>
      </c>
    </row>
    <row r="2014" spans="1:6" x14ac:dyDescent="0.35">
      <c r="A2014" s="1">
        <v>45585</v>
      </c>
      <c r="B2014" s="2">
        <v>45585.470044456022</v>
      </c>
      <c r="C2014" t="s">
        <v>8</v>
      </c>
      <c r="D2014" t="s">
        <v>839</v>
      </c>
      <c r="E2014">
        <v>3576</v>
      </c>
      <c r="F2014" t="s">
        <v>32</v>
      </c>
    </row>
    <row r="2015" spans="1:6" x14ac:dyDescent="0.35">
      <c r="A2015" s="1">
        <v>45585</v>
      </c>
      <c r="B2015" s="2">
        <v>45585.603310694445</v>
      </c>
      <c r="C2015" t="s">
        <v>8</v>
      </c>
      <c r="D2015" t="s">
        <v>702</v>
      </c>
      <c r="E2015">
        <v>3576</v>
      </c>
      <c r="F2015" t="s">
        <v>15</v>
      </c>
    </row>
    <row r="2016" spans="1:6" x14ac:dyDescent="0.35">
      <c r="A2016" s="1">
        <v>45585</v>
      </c>
      <c r="B2016" s="2">
        <v>45585.60397621528</v>
      </c>
      <c r="C2016" t="s">
        <v>8</v>
      </c>
      <c r="D2016" t="s">
        <v>702</v>
      </c>
      <c r="E2016">
        <v>2596</v>
      </c>
      <c r="F2016" t="s">
        <v>20</v>
      </c>
    </row>
    <row r="2017" spans="1:6" x14ac:dyDescent="0.35">
      <c r="A2017" s="1">
        <v>45585</v>
      </c>
      <c r="B2017" s="2">
        <v>45585.661632581017</v>
      </c>
      <c r="C2017" t="s">
        <v>8</v>
      </c>
      <c r="D2017" t="s">
        <v>508</v>
      </c>
      <c r="E2017">
        <v>3086</v>
      </c>
      <c r="F2017" t="s">
        <v>36</v>
      </c>
    </row>
    <row r="2018" spans="1:6" x14ac:dyDescent="0.35">
      <c r="A2018" s="1">
        <v>45585</v>
      </c>
      <c r="B2018" s="2">
        <v>45585.698029895837</v>
      </c>
      <c r="C2018" t="s">
        <v>8</v>
      </c>
      <c r="D2018" t="s">
        <v>840</v>
      </c>
      <c r="E2018">
        <v>3576</v>
      </c>
      <c r="F2018" t="s">
        <v>32</v>
      </c>
    </row>
    <row r="2019" spans="1:6" x14ac:dyDescent="0.35">
      <c r="A2019" s="1">
        <v>45585</v>
      </c>
      <c r="B2019" s="2">
        <v>45585.698666840275</v>
      </c>
      <c r="C2019" t="s">
        <v>8</v>
      </c>
      <c r="D2019" t="s">
        <v>840</v>
      </c>
      <c r="E2019">
        <v>3576</v>
      </c>
      <c r="F2019" t="s">
        <v>32</v>
      </c>
    </row>
    <row r="2020" spans="1:6" x14ac:dyDescent="0.35">
      <c r="A2020" s="1">
        <v>45585</v>
      </c>
      <c r="B2020" s="2">
        <v>45585.727150775463</v>
      </c>
      <c r="C2020" t="s">
        <v>8</v>
      </c>
      <c r="D2020" t="s">
        <v>21</v>
      </c>
      <c r="E2020">
        <v>3576</v>
      </c>
      <c r="F2020" t="s">
        <v>32</v>
      </c>
    </row>
    <row r="2021" spans="1:6" x14ac:dyDescent="0.35">
      <c r="A2021" s="1">
        <v>45585</v>
      </c>
      <c r="B2021" s="2">
        <v>45585.77380077546</v>
      </c>
      <c r="C2021" t="s">
        <v>8</v>
      </c>
      <c r="D2021" t="s">
        <v>43</v>
      </c>
      <c r="E2021">
        <v>3576</v>
      </c>
      <c r="F2021" t="s">
        <v>10</v>
      </c>
    </row>
    <row r="2022" spans="1:6" x14ac:dyDescent="0.35">
      <c r="A2022" s="1">
        <v>45585</v>
      </c>
      <c r="B2022" s="2">
        <v>45585.774400023147</v>
      </c>
      <c r="C2022" t="s">
        <v>8</v>
      </c>
      <c r="D2022" t="s">
        <v>43</v>
      </c>
      <c r="E2022">
        <v>3576</v>
      </c>
      <c r="F2022" t="s">
        <v>10</v>
      </c>
    </row>
    <row r="2023" spans="1:6" x14ac:dyDescent="0.35">
      <c r="A2023" s="1">
        <v>45585</v>
      </c>
      <c r="B2023" s="2">
        <v>45585.884931076391</v>
      </c>
      <c r="C2023" t="s">
        <v>8</v>
      </c>
      <c r="D2023" t="s">
        <v>841</v>
      </c>
      <c r="E2023">
        <v>3576</v>
      </c>
      <c r="F2023" t="s">
        <v>15</v>
      </c>
    </row>
    <row r="2024" spans="1:6" x14ac:dyDescent="0.35">
      <c r="A2024" s="1">
        <v>45585</v>
      </c>
      <c r="B2024" s="2">
        <v>45585.885622453701</v>
      </c>
      <c r="C2024" t="s">
        <v>8</v>
      </c>
      <c r="D2024" t="s">
        <v>842</v>
      </c>
      <c r="E2024">
        <v>2596</v>
      </c>
      <c r="F2024" t="s">
        <v>20</v>
      </c>
    </row>
    <row r="2025" spans="1:6" x14ac:dyDescent="0.35">
      <c r="A2025" s="1">
        <v>45585</v>
      </c>
      <c r="B2025" s="2">
        <v>45585.887116493053</v>
      </c>
      <c r="C2025" t="s">
        <v>8</v>
      </c>
      <c r="D2025" t="s">
        <v>843</v>
      </c>
      <c r="E2025">
        <v>3576</v>
      </c>
      <c r="F2025" t="s">
        <v>10</v>
      </c>
    </row>
    <row r="2026" spans="1:6" x14ac:dyDescent="0.35">
      <c r="A2026" s="1">
        <v>45585</v>
      </c>
      <c r="B2026" s="2">
        <v>45585.892362094906</v>
      </c>
      <c r="C2026" t="s">
        <v>8</v>
      </c>
      <c r="D2026" t="s">
        <v>844</v>
      </c>
      <c r="E2026">
        <v>3576</v>
      </c>
      <c r="F2026" t="s">
        <v>32</v>
      </c>
    </row>
    <row r="2027" spans="1:6" x14ac:dyDescent="0.35">
      <c r="A2027" s="1">
        <v>45585</v>
      </c>
      <c r="B2027" s="2">
        <v>45585.928808344906</v>
      </c>
      <c r="C2027" t="s">
        <v>8</v>
      </c>
      <c r="D2027" t="s">
        <v>602</v>
      </c>
      <c r="E2027">
        <v>3576</v>
      </c>
      <c r="F2027" t="s">
        <v>24</v>
      </c>
    </row>
    <row r="2028" spans="1:6" x14ac:dyDescent="0.35">
      <c r="A2028" s="1">
        <v>45586</v>
      </c>
      <c r="B2028" s="2">
        <v>45586.325498692131</v>
      </c>
      <c r="C2028" t="s">
        <v>8</v>
      </c>
      <c r="D2028" t="s">
        <v>748</v>
      </c>
      <c r="E2028">
        <v>3576</v>
      </c>
      <c r="F2028" t="s">
        <v>32</v>
      </c>
    </row>
    <row r="2029" spans="1:6" x14ac:dyDescent="0.35">
      <c r="A2029" s="1">
        <v>45586</v>
      </c>
      <c r="B2029" s="2">
        <v>45586.347180358796</v>
      </c>
      <c r="C2029" t="s">
        <v>8</v>
      </c>
      <c r="D2029" t="s">
        <v>11</v>
      </c>
      <c r="E2029">
        <v>3576</v>
      </c>
      <c r="F2029" t="s">
        <v>32</v>
      </c>
    </row>
    <row r="2030" spans="1:6" x14ac:dyDescent="0.35">
      <c r="A2030" s="1">
        <v>45586</v>
      </c>
      <c r="B2030" s="2">
        <v>45586.378407800927</v>
      </c>
      <c r="C2030" t="s">
        <v>8</v>
      </c>
      <c r="D2030" t="s">
        <v>438</v>
      </c>
      <c r="E2030">
        <v>3086</v>
      </c>
      <c r="F2030" t="s">
        <v>36</v>
      </c>
    </row>
    <row r="2031" spans="1:6" x14ac:dyDescent="0.35">
      <c r="A2031" s="1">
        <v>45586</v>
      </c>
      <c r="B2031" s="2">
        <v>45586.398906793984</v>
      </c>
      <c r="C2031" t="s">
        <v>8</v>
      </c>
      <c r="D2031" t="s">
        <v>845</v>
      </c>
      <c r="E2031">
        <v>3576</v>
      </c>
      <c r="F2031" t="s">
        <v>32</v>
      </c>
    </row>
    <row r="2032" spans="1:6" x14ac:dyDescent="0.35">
      <c r="A2032" s="1">
        <v>45586</v>
      </c>
      <c r="B2032" s="2">
        <v>45586.434135925927</v>
      </c>
      <c r="C2032" t="s">
        <v>8</v>
      </c>
      <c r="D2032" t="s">
        <v>752</v>
      </c>
      <c r="E2032">
        <v>2596</v>
      </c>
      <c r="F2032" t="s">
        <v>28</v>
      </c>
    </row>
    <row r="2033" spans="1:6" x14ac:dyDescent="0.35">
      <c r="A2033" s="1">
        <v>45586</v>
      </c>
      <c r="B2033" s="2">
        <v>45586.445656539348</v>
      </c>
      <c r="C2033" t="s">
        <v>8</v>
      </c>
      <c r="D2033" t="s">
        <v>40</v>
      </c>
      <c r="E2033">
        <v>2596</v>
      </c>
      <c r="F2033" t="s">
        <v>20</v>
      </c>
    </row>
    <row r="2034" spans="1:6" x14ac:dyDescent="0.35">
      <c r="A2034" s="1">
        <v>45586</v>
      </c>
      <c r="B2034" s="2">
        <v>45586.44624484954</v>
      </c>
      <c r="C2034" t="s">
        <v>8</v>
      </c>
      <c r="D2034" t="s">
        <v>40</v>
      </c>
      <c r="E2034">
        <v>2596</v>
      </c>
      <c r="F2034" t="s">
        <v>20</v>
      </c>
    </row>
    <row r="2035" spans="1:6" x14ac:dyDescent="0.35">
      <c r="A2035" s="1">
        <v>45586</v>
      </c>
      <c r="B2035" s="2">
        <v>45586.477565439818</v>
      </c>
      <c r="C2035" t="s">
        <v>8</v>
      </c>
      <c r="D2035" t="s">
        <v>328</v>
      </c>
      <c r="E2035">
        <v>2106</v>
      </c>
      <c r="F2035" t="s">
        <v>5</v>
      </c>
    </row>
    <row r="2036" spans="1:6" x14ac:dyDescent="0.35">
      <c r="A2036" s="1">
        <v>45586</v>
      </c>
      <c r="B2036" s="2">
        <v>45586.528058958334</v>
      </c>
      <c r="C2036" t="s">
        <v>8</v>
      </c>
      <c r="D2036" t="s">
        <v>803</v>
      </c>
      <c r="E2036">
        <v>3576</v>
      </c>
      <c r="F2036" t="s">
        <v>24</v>
      </c>
    </row>
    <row r="2037" spans="1:6" x14ac:dyDescent="0.35">
      <c r="A2037" s="1">
        <v>45586</v>
      </c>
      <c r="B2037" s="2">
        <v>45586.613148715274</v>
      </c>
      <c r="C2037" t="s">
        <v>8</v>
      </c>
      <c r="D2037" t="s">
        <v>846</v>
      </c>
      <c r="E2037">
        <v>3576</v>
      </c>
      <c r="F2037" t="s">
        <v>32</v>
      </c>
    </row>
    <row r="2038" spans="1:6" x14ac:dyDescent="0.35">
      <c r="A2038" s="1">
        <v>45586</v>
      </c>
      <c r="B2038" s="2">
        <v>45586.613866284722</v>
      </c>
      <c r="C2038" t="s">
        <v>8</v>
      </c>
      <c r="D2038" t="s">
        <v>778</v>
      </c>
      <c r="E2038">
        <v>3576</v>
      </c>
      <c r="F2038" t="s">
        <v>32</v>
      </c>
    </row>
    <row r="2039" spans="1:6" x14ac:dyDescent="0.35">
      <c r="A2039" s="1">
        <v>45586</v>
      </c>
      <c r="B2039" s="2">
        <v>45586.643778252313</v>
      </c>
      <c r="C2039" t="s">
        <v>8</v>
      </c>
      <c r="D2039" t="s">
        <v>847</v>
      </c>
      <c r="E2039">
        <v>3086</v>
      </c>
      <c r="F2039" t="s">
        <v>36</v>
      </c>
    </row>
    <row r="2040" spans="1:6" x14ac:dyDescent="0.35">
      <c r="A2040" s="1">
        <v>45586</v>
      </c>
      <c r="B2040" s="2">
        <v>45586.652137569443</v>
      </c>
      <c r="C2040" t="s">
        <v>8</v>
      </c>
      <c r="D2040" t="s">
        <v>848</v>
      </c>
      <c r="E2040">
        <v>2596</v>
      </c>
      <c r="F2040" t="s">
        <v>20</v>
      </c>
    </row>
    <row r="2041" spans="1:6" x14ac:dyDescent="0.35">
      <c r="A2041" s="1">
        <v>45586</v>
      </c>
      <c r="B2041" s="2">
        <v>45586.696498472222</v>
      </c>
      <c r="C2041" t="s">
        <v>8</v>
      </c>
      <c r="D2041" t="s">
        <v>279</v>
      </c>
      <c r="E2041">
        <v>3576</v>
      </c>
      <c r="F2041" t="s">
        <v>10</v>
      </c>
    </row>
    <row r="2042" spans="1:6" x14ac:dyDescent="0.35">
      <c r="A2042" s="1">
        <v>45586</v>
      </c>
      <c r="B2042" s="2">
        <v>45586.705122094907</v>
      </c>
      <c r="C2042" t="s">
        <v>8</v>
      </c>
      <c r="D2042" t="s">
        <v>849</v>
      </c>
      <c r="E2042">
        <v>3576</v>
      </c>
      <c r="F2042" t="s">
        <v>32</v>
      </c>
    </row>
    <row r="2043" spans="1:6" x14ac:dyDescent="0.35">
      <c r="A2043" s="1">
        <v>45586</v>
      </c>
      <c r="B2043" s="2">
        <v>45586.806404537034</v>
      </c>
      <c r="C2043" t="s">
        <v>8</v>
      </c>
      <c r="D2043" t="s">
        <v>850</v>
      </c>
      <c r="E2043">
        <v>3576</v>
      </c>
      <c r="F2043" t="s">
        <v>15</v>
      </c>
    </row>
    <row r="2044" spans="1:6" x14ac:dyDescent="0.35">
      <c r="A2044" s="1">
        <v>45586</v>
      </c>
      <c r="B2044" s="2">
        <v>45586.878890115739</v>
      </c>
      <c r="C2044" t="s">
        <v>8</v>
      </c>
      <c r="D2044" t="s">
        <v>851</v>
      </c>
      <c r="E2044">
        <v>3576</v>
      </c>
      <c r="F2044" t="s">
        <v>32</v>
      </c>
    </row>
    <row r="2045" spans="1:6" x14ac:dyDescent="0.35">
      <c r="A2045" s="1">
        <v>45586</v>
      </c>
      <c r="B2045" s="2">
        <v>45586.938014467596</v>
      </c>
      <c r="C2045" t="s">
        <v>8</v>
      </c>
      <c r="D2045" t="s">
        <v>841</v>
      </c>
      <c r="E2045">
        <v>3576</v>
      </c>
      <c r="F2045" t="s">
        <v>10</v>
      </c>
    </row>
    <row r="2046" spans="1:6" x14ac:dyDescent="0.35">
      <c r="A2046" s="1">
        <v>45586</v>
      </c>
      <c r="B2046" s="2">
        <v>45586.938587569442</v>
      </c>
      <c r="C2046" t="s">
        <v>8</v>
      </c>
      <c r="D2046" t="s">
        <v>843</v>
      </c>
      <c r="E2046">
        <v>3576</v>
      </c>
      <c r="F2046" t="s">
        <v>15</v>
      </c>
    </row>
    <row r="2047" spans="1:6" x14ac:dyDescent="0.35">
      <c r="A2047" s="1">
        <v>45587</v>
      </c>
      <c r="B2047" s="2">
        <v>45587.314577893521</v>
      </c>
      <c r="C2047" t="s">
        <v>8</v>
      </c>
      <c r="D2047" t="s">
        <v>748</v>
      </c>
      <c r="E2047">
        <v>3576</v>
      </c>
      <c r="F2047" t="s">
        <v>32</v>
      </c>
    </row>
    <row r="2048" spans="1:6" x14ac:dyDescent="0.35">
      <c r="A2048" s="1">
        <v>45587</v>
      </c>
      <c r="B2048" s="2">
        <v>45587.315278287038</v>
      </c>
      <c r="C2048" t="s">
        <v>8</v>
      </c>
      <c r="D2048" t="s">
        <v>748</v>
      </c>
      <c r="E2048">
        <v>3576</v>
      </c>
      <c r="F2048" t="s">
        <v>24</v>
      </c>
    </row>
    <row r="2049" spans="1:6" x14ac:dyDescent="0.35">
      <c r="A2049" s="1">
        <v>45587</v>
      </c>
      <c r="B2049" s="2">
        <v>45587.351067361109</v>
      </c>
      <c r="C2049" t="s">
        <v>8</v>
      </c>
      <c r="D2049" t="s">
        <v>29</v>
      </c>
      <c r="E2049">
        <v>3086</v>
      </c>
      <c r="F2049" t="s">
        <v>36</v>
      </c>
    </row>
    <row r="2050" spans="1:6" x14ac:dyDescent="0.35">
      <c r="A2050" s="1">
        <v>45587</v>
      </c>
      <c r="B2050" s="2">
        <v>45587.38738896991</v>
      </c>
      <c r="C2050" t="s">
        <v>8</v>
      </c>
      <c r="D2050" t="s">
        <v>852</v>
      </c>
      <c r="E2050">
        <v>2596</v>
      </c>
      <c r="F2050" t="s">
        <v>20</v>
      </c>
    </row>
    <row r="2051" spans="1:6" x14ac:dyDescent="0.35">
      <c r="A2051" s="1">
        <v>45587</v>
      </c>
      <c r="B2051" s="2">
        <v>45587.452457013889</v>
      </c>
      <c r="C2051" t="s">
        <v>8</v>
      </c>
      <c r="D2051" t="s">
        <v>455</v>
      </c>
      <c r="E2051">
        <v>2106</v>
      </c>
      <c r="F2051" t="s">
        <v>5</v>
      </c>
    </row>
    <row r="2052" spans="1:6" x14ac:dyDescent="0.35">
      <c r="A2052" s="1">
        <v>45587</v>
      </c>
      <c r="B2052" s="2">
        <v>45587.452975706015</v>
      </c>
      <c r="C2052" t="s">
        <v>8</v>
      </c>
      <c r="D2052" t="s">
        <v>455</v>
      </c>
      <c r="E2052">
        <v>2596</v>
      </c>
      <c r="F2052" t="s">
        <v>20</v>
      </c>
    </row>
    <row r="2053" spans="1:6" x14ac:dyDescent="0.35">
      <c r="A2053" s="1">
        <v>45587</v>
      </c>
      <c r="B2053" s="2">
        <v>45587.754890902776</v>
      </c>
      <c r="C2053" t="s">
        <v>8</v>
      </c>
      <c r="D2053" t="s">
        <v>853</v>
      </c>
      <c r="E2053">
        <v>2596</v>
      </c>
      <c r="F2053" t="s">
        <v>28</v>
      </c>
    </row>
    <row r="2054" spans="1:6" x14ac:dyDescent="0.35">
      <c r="A2054" s="1">
        <v>45587</v>
      </c>
      <c r="B2054" s="2">
        <v>45587.82406496528</v>
      </c>
      <c r="C2054" t="s">
        <v>8</v>
      </c>
      <c r="D2054" t="s">
        <v>21</v>
      </c>
      <c r="E2054">
        <v>3576</v>
      </c>
      <c r="F2054" t="s">
        <v>15</v>
      </c>
    </row>
    <row r="2055" spans="1:6" x14ac:dyDescent="0.35">
      <c r="A2055" s="1">
        <v>45587</v>
      </c>
      <c r="B2055" s="2">
        <v>45587.82488965278</v>
      </c>
      <c r="C2055" t="s">
        <v>8</v>
      </c>
      <c r="D2055" t="s">
        <v>21</v>
      </c>
      <c r="E2055">
        <v>3576</v>
      </c>
      <c r="F2055" t="s">
        <v>32</v>
      </c>
    </row>
    <row r="2056" spans="1:6" x14ac:dyDescent="0.35">
      <c r="A2056" s="1">
        <v>45588</v>
      </c>
      <c r="B2056" s="2">
        <v>45588.332022766204</v>
      </c>
      <c r="C2056" t="s">
        <v>8</v>
      </c>
      <c r="D2056" t="s">
        <v>748</v>
      </c>
      <c r="E2056">
        <v>3576</v>
      </c>
      <c r="F2056" t="s">
        <v>32</v>
      </c>
    </row>
    <row r="2057" spans="1:6" x14ac:dyDescent="0.35">
      <c r="A2057" s="1">
        <v>45588</v>
      </c>
      <c r="B2057" s="2">
        <v>45588.364754606482</v>
      </c>
      <c r="C2057" t="s">
        <v>8</v>
      </c>
      <c r="D2057" t="s">
        <v>29</v>
      </c>
      <c r="E2057">
        <v>3086</v>
      </c>
      <c r="F2057" t="s">
        <v>36</v>
      </c>
    </row>
    <row r="2058" spans="1:6" x14ac:dyDescent="0.35">
      <c r="A2058" s="1">
        <v>45588</v>
      </c>
      <c r="B2058" s="2">
        <v>45588.434002187503</v>
      </c>
      <c r="C2058" t="s">
        <v>8</v>
      </c>
      <c r="D2058" t="s">
        <v>40</v>
      </c>
      <c r="E2058">
        <v>2596</v>
      </c>
      <c r="F2058" t="s">
        <v>20</v>
      </c>
    </row>
    <row r="2059" spans="1:6" x14ac:dyDescent="0.35">
      <c r="A2059" s="1">
        <v>45588</v>
      </c>
      <c r="B2059" s="2">
        <v>45588.521590567128</v>
      </c>
      <c r="C2059" t="s">
        <v>8</v>
      </c>
      <c r="D2059" t="s">
        <v>854</v>
      </c>
      <c r="E2059">
        <v>3086</v>
      </c>
      <c r="F2059" t="s">
        <v>36</v>
      </c>
    </row>
    <row r="2060" spans="1:6" x14ac:dyDescent="0.35">
      <c r="A2060" s="1">
        <v>45588</v>
      </c>
      <c r="B2060" s="2">
        <v>45588.680581736109</v>
      </c>
      <c r="C2060" t="s">
        <v>8</v>
      </c>
      <c r="D2060" t="s">
        <v>855</v>
      </c>
      <c r="E2060">
        <v>3086</v>
      </c>
      <c r="F2060" t="s">
        <v>36</v>
      </c>
    </row>
    <row r="2061" spans="1:6" x14ac:dyDescent="0.35">
      <c r="A2061" s="1">
        <v>45588</v>
      </c>
      <c r="B2061" s="2">
        <v>45588.68135457176</v>
      </c>
      <c r="C2061" t="s">
        <v>8</v>
      </c>
      <c r="D2061" t="s">
        <v>855</v>
      </c>
      <c r="E2061">
        <v>3086</v>
      </c>
      <c r="F2061" t="s">
        <v>36</v>
      </c>
    </row>
    <row r="2062" spans="1:6" x14ac:dyDescent="0.35">
      <c r="A2062" s="1">
        <v>45588</v>
      </c>
      <c r="B2062" s="2">
        <v>45588.696183101849</v>
      </c>
      <c r="C2062" t="s">
        <v>8</v>
      </c>
      <c r="D2062" t="s">
        <v>856</v>
      </c>
      <c r="E2062">
        <v>3576</v>
      </c>
      <c r="F2062" t="s">
        <v>24</v>
      </c>
    </row>
    <row r="2063" spans="1:6" x14ac:dyDescent="0.35">
      <c r="A2063" s="1">
        <v>45588</v>
      </c>
      <c r="B2063" s="2">
        <v>45588.710258437502</v>
      </c>
      <c r="C2063" t="s">
        <v>8</v>
      </c>
      <c r="D2063" t="s">
        <v>857</v>
      </c>
      <c r="E2063">
        <v>2106</v>
      </c>
      <c r="F2063" t="s">
        <v>5</v>
      </c>
    </row>
    <row r="2064" spans="1:6" x14ac:dyDescent="0.35">
      <c r="A2064" s="1">
        <v>45588</v>
      </c>
      <c r="B2064" s="2">
        <v>45588.790954988428</v>
      </c>
      <c r="C2064" t="s">
        <v>8</v>
      </c>
      <c r="D2064" t="s">
        <v>16</v>
      </c>
      <c r="E2064">
        <v>3576</v>
      </c>
      <c r="F2064" t="s">
        <v>10</v>
      </c>
    </row>
    <row r="2065" spans="1:6" x14ac:dyDescent="0.35">
      <c r="A2065" s="1">
        <v>45588</v>
      </c>
      <c r="B2065" s="2">
        <v>45588.792164687497</v>
      </c>
      <c r="C2065" t="s">
        <v>8</v>
      </c>
      <c r="D2065" t="s">
        <v>16</v>
      </c>
      <c r="E2065">
        <v>3576</v>
      </c>
      <c r="F2065" t="s">
        <v>24</v>
      </c>
    </row>
    <row r="2066" spans="1:6" x14ac:dyDescent="0.35">
      <c r="A2066" s="1">
        <v>45588</v>
      </c>
      <c r="B2066" s="2">
        <v>45588.914823437502</v>
      </c>
      <c r="C2066" t="s">
        <v>8</v>
      </c>
      <c r="D2066" t="s">
        <v>570</v>
      </c>
      <c r="E2066">
        <v>3086</v>
      </c>
      <c r="F2066" t="s">
        <v>36</v>
      </c>
    </row>
    <row r="2067" spans="1:6" x14ac:dyDescent="0.35">
      <c r="A2067" s="1">
        <v>45588</v>
      </c>
      <c r="B2067" s="2">
        <v>45588.915552627317</v>
      </c>
      <c r="C2067" t="s">
        <v>8</v>
      </c>
      <c r="D2067" t="s">
        <v>858</v>
      </c>
      <c r="E2067">
        <v>3576</v>
      </c>
      <c r="F2067" t="s">
        <v>15</v>
      </c>
    </row>
    <row r="2068" spans="1:6" x14ac:dyDescent="0.35">
      <c r="A2068" s="1">
        <v>45588</v>
      </c>
      <c r="B2068" s="2">
        <v>45588.933082291667</v>
      </c>
      <c r="C2068" t="s">
        <v>8</v>
      </c>
      <c r="D2068" t="s">
        <v>859</v>
      </c>
      <c r="E2068">
        <v>3576</v>
      </c>
      <c r="F2068" t="s">
        <v>32</v>
      </c>
    </row>
    <row r="2069" spans="1:6" x14ac:dyDescent="0.35">
      <c r="A2069" s="1">
        <v>45589</v>
      </c>
      <c r="B2069" s="2">
        <v>45589.505400023147</v>
      </c>
      <c r="C2069" t="s">
        <v>8</v>
      </c>
      <c r="D2069" t="s">
        <v>860</v>
      </c>
      <c r="E2069">
        <v>2596</v>
      </c>
      <c r="F2069" t="s">
        <v>28</v>
      </c>
    </row>
    <row r="2070" spans="1:6" x14ac:dyDescent="0.35">
      <c r="A2070" s="1">
        <v>45589</v>
      </c>
      <c r="B2070" s="2">
        <v>45589.558328483799</v>
      </c>
      <c r="C2070" t="s">
        <v>8</v>
      </c>
      <c r="D2070" t="s">
        <v>861</v>
      </c>
      <c r="E2070">
        <v>3576</v>
      </c>
      <c r="F2070" t="s">
        <v>24</v>
      </c>
    </row>
    <row r="2071" spans="1:6" x14ac:dyDescent="0.35">
      <c r="A2071" s="1">
        <v>45589</v>
      </c>
      <c r="B2071" s="2">
        <v>45589.590123969909</v>
      </c>
      <c r="C2071" t="s">
        <v>8</v>
      </c>
      <c r="D2071" t="s">
        <v>856</v>
      </c>
      <c r="E2071">
        <v>3576</v>
      </c>
      <c r="F2071" t="s">
        <v>24</v>
      </c>
    </row>
    <row r="2072" spans="1:6" x14ac:dyDescent="0.35">
      <c r="A2072" s="1">
        <v>45589</v>
      </c>
      <c r="B2072" s="2">
        <v>45589.617382627315</v>
      </c>
      <c r="C2072" t="s">
        <v>8</v>
      </c>
      <c r="D2072" t="s">
        <v>862</v>
      </c>
      <c r="E2072">
        <v>3576</v>
      </c>
      <c r="F2072" t="s">
        <v>15</v>
      </c>
    </row>
    <row r="2073" spans="1:6" x14ac:dyDescent="0.35">
      <c r="A2073" s="1">
        <v>45589</v>
      </c>
      <c r="B2073" s="2">
        <v>45589.617932175926</v>
      </c>
      <c r="C2073" t="s">
        <v>8</v>
      </c>
      <c r="D2073" t="s">
        <v>862</v>
      </c>
      <c r="E2073">
        <v>3576</v>
      </c>
      <c r="F2073" t="s">
        <v>32</v>
      </c>
    </row>
    <row r="2074" spans="1:6" x14ac:dyDescent="0.35">
      <c r="A2074" s="1">
        <v>45589</v>
      </c>
      <c r="B2074" s="2">
        <v>45589.658018425929</v>
      </c>
      <c r="C2074" t="s">
        <v>8</v>
      </c>
      <c r="D2074" t="s">
        <v>840</v>
      </c>
      <c r="E2074">
        <v>3576</v>
      </c>
      <c r="F2074" t="s">
        <v>32</v>
      </c>
    </row>
    <row r="2075" spans="1:6" x14ac:dyDescent="0.35">
      <c r="A2075" s="1">
        <v>45589</v>
      </c>
      <c r="B2075" s="2">
        <v>45589.658679826389</v>
      </c>
      <c r="C2075" t="s">
        <v>8</v>
      </c>
      <c r="D2075" t="s">
        <v>840</v>
      </c>
      <c r="E2075">
        <v>3576</v>
      </c>
      <c r="F2075" t="s">
        <v>32</v>
      </c>
    </row>
    <row r="2076" spans="1:6" x14ac:dyDescent="0.35">
      <c r="A2076" s="1">
        <v>45589</v>
      </c>
      <c r="B2076" s="2">
        <v>45589.787353217595</v>
      </c>
      <c r="C2076" t="s">
        <v>8</v>
      </c>
      <c r="D2076" t="s">
        <v>863</v>
      </c>
      <c r="E2076">
        <v>2596</v>
      </c>
      <c r="F2076" t="s">
        <v>28</v>
      </c>
    </row>
    <row r="2077" spans="1:6" x14ac:dyDescent="0.35">
      <c r="A2077" s="1">
        <v>45589</v>
      </c>
      <c r="B2077" s="2">
        <v>45589.788282106485</v>
      </c>
      <c r="C2077" t="s">
        <v>8</v>
      </c>
      <c r="D2077" t="s">
        <v>863</v>
      </c>
      <c r="E2077">
        <v>2596</v>
      </c>
      <c r="F2077" t="s">
        <v>28</v>
      </c>
    </row>
    <row r="2078" spans="1:6" x14ac:dyDescent="0.35">
      <c r="A2078" s="1">
        <v>45589</v>
      </c>
      <c r="B2078" s="2">
        <v>45589.826605740738</v>
      </c>
      <c r="C2078" t="s">
        <v>8</v>
      </c>
      <c r="D2078" t="s">
        <v>21</v>
      </c>
      <c r="E2078">
        <v>3576</v>
      </c>
      <c r="F2078" t="s">
        <v>32</v>
      </c>
    </row>
    <row r="2079" spans="1:6" x14ac:dyDescent="0.35">
      <c r="A2079" s="1">
        <v>45589</v>
      </c>
      <c r="B2079" s="2">
        <v>45589.864021712965</v>
      </c>
      <c r="C2079" t="s">
        <v>8</v>
      </c>
      <c r="D2079" t="s">
        <v>864</v>
      </c>
      <c r="E2079">
        <v>2596</v>
      </c>
      <c r="F2079" t="s">
        <v>28</v>
      </c>
    </row>
    <row r="2080" spans="1:6" x14ac:dyDescent="0.35">
      <c r="A2080" s="1">
        <v>45589</v>
      </c>
      <c r="B2080" s="2">
        <v>45589.885241759257</v>
      </c>
      <c r="C2080" t="s">
        <v>8</v>
      </c>
      <c r="D2080" t="s">
        <v>865</v>
      </c>
      <c r="E2080">
        <v>3576</v>
      </c>
      <c r="F2080" t="s">
        <v>15</v>
      </c>
    </row>
    <row r="2081" spans="1:6" x14ac:dyDescent="0.35">
      <c r="A2081" s="1">
        <v>45589</v>
      </c>
      <c r="B2081" s="2">
        <v>45589.885753773146</v>
      </c>
      <c r="C2081" t="s">
        <v>8</v>
      </c>
      <c r="D2081" t="s">
        <v>865</v>
      </c>
      <c r="E2081">
        <v>3576</v>
      </c>
      <c r="F2081" t="s">
        <v>15</v>
      </c>
    </row>
    <row r="2082" spans="1:6" x14ac:dyDescent="0.35">
      <c r="A2082" s="1">
        <v>45589</v>
      </c>
      <c r="B2082" s="2">
        <v>45589.914121099537</v>
      </c>
      <c r="C2082" t="s">
        <v>8</v>
      </c>
      <c r="D2082" t="s">
        <v>689</v>
      </c>
      <c r="E2082">
        <v>3576</v>
      </c>
      <c r="F2082" t="s">
        <v>15</v>
      </c>
    </row>
    <row r="2083" spans="1:6" x14ac:dyDescent="0.35">
      <c r="A2083" s="1">
        <v>45589</v>
      </c>
      <c r="B2083" s="2">
        <v>45589.914699398149</v>
      </c>
      <c r="C2083" t="s">
        <v>8</v>
      </c>
      <c r="D2083" t="s">
        <v>689</v>
      </c>
      <c r="E2083">
        <v>3576</v>
      </c>
      <c r="F2083" t="s">
        <v>24</v>
      </c>
    </row>
    <row r="2084" spans="1:6" x14ac:dyDescent="0.35">
      <c r="A2084" s="1">
        <v>45590</v>
      </c>
      <c r="B2084" s="2">
        <v>45590.318184548611</v>
      </c>
      <c r="C2084" t="s">
        <v>8</v>
      </c>
      <c r="D2084" t="s">
        <v>748</v>
      </c>
      <c r="E2084">
        <v>3576</v>
      </c>
      <c r="F2084" t="s">
        <v>24</v>
      </c>
    </row>
    <row r="2085" spans="1:6" x14ac:dyDescent="0.35">
      <c r="A2085" s="1">
        <v>45590</v>
      </c>
      <c r="B2085" s="2">
        <v>45590.323181168984</v>
      </c>
      <c r="C2085" t="s">
        <v>8</v>
      </c>
      <c r="D2085" t="s">
        <v>455</v>
      </c>
      <c r="E2085">
        <v>2106</v>
      </c>
      <c r="F2085" t="s">
        <v>5</v>
      </c>
    </row>
    <row r="2086" spans="1:6" x14ac:dyDescent="0.35">
      <c r="A2086" s="1">
        <v>45590</v>
      </c>
      <c r="B2086" s="2">
        <v>45590.340333483793</v>
      </c>
      <c r="C2086" t="s">
        <v>8</v>
      </c>
      <c r="D2086" t="s">
        <v>622</v>
      </c>
      <c r="E2086">
        <v>3576</v>
      </c>
      <c r="F2086" t="s">
        <v>10</v>
      </c>
    </row>
    <row r="2087" spans="1:6" x14ac:dyDescent="0.35">
      <c r="A2087" s="1">
        <v>45590</v>
      </c>
      <c r="B2087" s="2">
        <v>45590.340909340281</v>
      </c>
      <c r="C2087" t="s">
        <v>8</v>
      </c>
      <c r="D2087" t="s">
        <v>622</v>
      </c>
      <c r="E2087">
        <v>3576</v>
      </c>
      <c r="F2087" t="s">
        <v>32</v>
      </c>
    </row>
    <row r="2088" spans="1:6" x14ac:dyDescent="0.35">
      <c r="A2088" s="1">
        <v>45590</v>
      </c>
      <c r="B2088" s="2">
        <v>45590.346409490739</v>
      </c>
      <c r="C2088" t="s">
        <v>8</v>
      </c>
      <c r="D2088" t="s">
        <v>140</v>
      </c>
      <c r="E2088">
        <v>3576</v>
      </c>
      <c r="F2088" t="s">
        <v>10</v>
      </c>
    </row>
    <row r="2089" spans="1:6" x14ac:dyDescent="0.35">
      <c r="A2089" s="1">
        <v>45590</v>
      </c>
      <c r="B2089" s="2">
        <v>45590.419077592589</v>
      </c>
      <c r="C2089" t="s">
        <v>8</v>
      </c>
      <c r="D2089" t="s">
        <v>735</v>
      </c>
      <c r="E2089">
        <v>2596</v>
      </c>
      <c r="F2089" t="s">
        <v>28</v>
      </c>
    </row>
    <row r="2090" spans="1:6" x14ac:dyDescent="0.35">
      <c r="A2090" s="1">
        <v>45590</v>
      </c>
      <c r="B2090" s="2">
        <v>45590.420382083335</v>
      </c>
      <c r="C2090" t="s">
        <v>8</v>
      </c>
      <c r="D2090" t="s">
        <v>735</v>
      </c>
      <c r="E2090">
        <v>2596</v>
      </c>
      <c r="F2090" t="s">
        <v>28</v>
      </c>
    </row>
    <row r="2091" spans="1:6" x14ac:dyDescent="0.35">
      <c r="A2091" s="1">
        <v>45590</v>
      </c>
      <c r="B2091" s="2">
        <v>45590.45209835648</v>
      </c>
      <c r="C2091" t="s">
        <v>8</v>
      </c>
      <c r="D2091" t="s">
        <v>29</v>
      </c>
      <c r="E2091">
        <v>3086</v>
      </c>
      <c r="F2091" t="s">
        <v>36</v>
      </c>
    </row>
    <row r="2092" spans="1:6" x14ac:dyDescent="0.35">
      <c r="A2092" s="1">
        <v>45590</v>
      </c>
      <c r="B2092" s="2">
        <v>45590.492857361111</v>
      </c>
      <c r="C2092" t="s">
        <v>8</v>
      </c>
      <c r="D2092" t="s">
        <v>43</v>
      </c>
      <c r="E2092">
        <v>3576</v>
      </c>
      <c r="F2092" t="s">
        <v>10</v>
      </c>
    </row>
    <row r="2093" spans="1:6" x14ac:dyDescent="0.35">
      <c r="A2093" s="1">
        <v>45590</v>
      </c>
      <c r="B2093" s="2">
        <v>45590.49340738426</v>
      </c>
      <c r="C2093" t="s">
        <v>8</v>
      </c>
      <c r="D2093" t="s">
        <v>43</v>
      </c>
      <c r="E2093">
        <v>3576</v>
      </c>
      <c r="F2093" t="s">
        <v>10</v>
      </c>
    </row>
    <row r="2094" spans="1:6" x14ac:dyDescent="0.35">
      <c r="A2094" s="1">
        <v>45590</v>
      </c>
      <c r="B2094" s="2">
        <v>45590.504747407409</v>
      </c>
      <c r="C2094" t="s">
        <v>8</v>
      </c>
      <c r="D2094" t="s">
        <v>40</v>
      </c>
      <c r="E2094">
        <v>2596</v>
      </c>
      <c r="F2094" t="s">
        <v>20</v>
      </c>
    </row>
    <row r="2095" spans="1:6" x14ac:dyDescent="0.35">
      <c r="A2095" s="1">
        <v>45590</v>
      </c>
      <c r="B2095" s="2">
        <v>45590.528211412035</v>
      </c>
      <c r="C2095" t="s">
        <v>8</v>
      </c>
      <c r="D2095" t="s">
        <v>866</v>
      </c>
      <c r="E2095">
        <v>3576</v>
      </c>
      <c r="F2095" t="s">
        <v>32</v>
      </c>
    </row>
    <row r="2096" spans="1:6" x14ac:dyDescent="0.35">
      <c r="A2096" s="1">
        <v>45590</v>
      </c>
      <c r="B2096" s="2">
        <v>45590.599497314812</v>
      </c>
      <c r="C2096" t="s">
        <v>8</v>
      </c>
      <c r="D2096" t="s">
        <v>192</v>
      </c>
      <c r="E2096">
        <v>3576</v>
      </c>
      <c r="F2096" t="s">
        <v>24</v>
      </c>
    </row>
    <row r="2097" spans="1:6" x14ac:dyDescent="0.35">
      <c r="A2097" s="1">
        <v>45590</v>
      </c>
      <c r="B2097" s="2">
        <v>45590.930138414355</v>
      </c>
      <c r="C2097" t="s">
        <v>8</v>
      </c>
      <c r="D2097" t="s">
        <v>867</v>
      </c>
      <c r="E2097">
        <v>3576</v>
      </c>
      <c r="F2097" t="s">
        <v>15</v>
      </c>
    </row>
    <row r="2098" spans="1:6" x14ac:dyDescent="0.35">
      <c r="A2098" s="1">
        <v>45590</v>
      </c>
      <c r="B2098" s="2">
        <v>45590.932311863427</v>
      </c>
      <c r="C2098" t="s">
        <v>8</v>
      </c>
      <c r="D2098" t="s">
        <v>867</v>
      </c>
      <c r="E2098">
        <v>2106</v>
      </c>
      <c r="F2098" t="s">
        <v>5</v>
      </c>
    </row>
    <row r="2099" spans="1:6" x14ac:dyDescent="0.35">
      <c r="A2099" s="1">
        <v>45591</v>
      </c>
      <c r="B2099" s="2">
        <v>45591.326379930557</v>
      </c>
      <c r="C2099" t="s">
        <v>8</v>
      </c>
      <c r="D2099" t="s">
        <v>734</v>
      </c>
      <c r="E2099">
        <v>3576</v>
      </c>
      <c r="F2099" t="s">
        <v>24</v>
      </c>
    </row>
    <row r="2100" spans="1:6" x14ac:dyDescent="0.35">
      <c r="A2100" s="1">
        <v>45591</v>
      </c>
      <c r="B2100" s="2">
        <v>45591.362320624998</v>
      </c>
      <c r="C2100" t="s">
        <v>8</v>
      </c>
      <c r="D2100" t="s">
        <v>40</v>
      </c>
      <c r="E2100">
        <v>2596</v>
      </c>
      <c r="F2100" t="s">
        <v>20</v>
      </c>
    </row>
    <row r="2101" spans="1:6" x14ac:dyDescent="0.35">
      <c r="A2101" s="1">
        <v>45591</v>
      </c>
      <c r="B2101" s="2">
        <v>45591.370133750002</v>
      </c>
      <c r="C2101" t="s">
        <v>8</v>
      </c>
      <c r="D2101" t="s">
        <v>387</v>
      </c>
      <c r="E2101">
        <v>3576</v>
      </c>
      <c r="F2101" t="s">
        <v>24</v>
      </c>
    </row>
    <row r="2102" spans="1:6" x14ac:dyDescent="0.35">
      <c r="A2102" s="1">
        <v>45591</v>
      </c>
      <c r="B2102" s="2">
        <v>45591.433776631944</v>
      </c>
      <c r="C2102" t="s">
        <v>8</v>
      </c>
      <c r="D2102" t="s">
        <v>868</v>
      </c>
      <c r="E2102">
        <v>2596</v>
      </c>
      <c r="F2102" t="s">
        <v>28</v>
      </c>
    </row>
    <row r="2103" spans="1:6" x14ac:dyDescent="0.35">
      <c r="A2103" s="1">
        <v>45591</v>
      </c>
      <c r="B2103" s="2">
        <v>45591.512608124998</v>
      </c>
      <c r="C2103" t="s">
        <v>8</v>
      </c>
      <c r="D2103" t="s">
        <v>16</v>
      </c>
      <c r="E2103">
        <v>3576</v>
      </c>
      <c r="F2103" t="s">
        <v>10</v>
      </c>
    </row>
    <row r="2104" spans="1:6" x14ac:dyDescent="0.35">
      <c r="A2104" s="1">
        <v>45591</v>
      </c>
      <c r="B2104" s="2">
        <v>45591.544109247683</v>
      </c>
      <c r="C2104" t="s">
        <v>8</v>
      </c>
      <c r="D2104" t="s">
        <v>869</v>
      </c>
      <c r="E2104">
        <v>3576</v>
      </c>
      <c r="F2104" t="s">
        <v>32</v>
      </c>
    </row>
    <row r="2105" spans="1:6" x14ac:dyDescent="0.35">
      <c r="A2105" s="1">
        <v>45591</v>
      </c>
      <c r="B2105" s="2">
        <v>45591.607623310185</v>
      </c>
      <c r="C2105" t="s">
        <v>8</v>
      </c>
      <c r="D2105" t="s">
        <v>29</v>
      </c>
      <c r="E2105">
        <v>3576</v>
      </c>
      <c r="F2105" t="s">
        <v>32</v>
      </c>
    </row>
    <row r="2106" spans="1:6" x14ac:dyDescent="0.35">
      <c r="A2106" s="1">
        <v>45591</v>
      </c>
      <c r="B2106" s="2">
        <v>45591.60850628472</v>
      </c>
      <c r="C2106" t="s">
        <v>8</v>
      </c>
      <c r="D2106" t="s">
        <v>29</v>
      </c>
      <c r="E2106">
        <v>3086</v>
      </c>
      <c r="F2106" t="s">
        <v>36</v>
      </c>
    </row>
    <row r="2107" spans="1:6" x14ac:dyDescent="0.35">
      <c r="A2107" s="1">
        <v>45591</v>
      </c>
      <c r="B2107" s="2">
        <v>45591.628727685187</v>
      </c>
      <c r="C2107" t="s">
        <v>8</v>
      </c>
      <c r="D2107" t="s">
        <v>40</v>
      </c>
      <c r="E2107">
        <v>2596</v>
      </c>
      <c r="F2107" t="s">
        <v>20</v>
      </c>
    </row>
    <row r="2108" spans="1:6" x14ac:dyDescent="0.35">
      <c r="A2108" s="1">
        <v>45591</v>
      </c>
      <c r="B2108" s="2">
        <v>45591.629387430556</v>
      </c>
      <c r="C2108" t="s">
        <v>8</v>
      </c>
      <c r="D2108" t="s">
        <v>40</v>
      </c>
      <c r="E2108">
        <v>2596</v>
      </c>
      <c r="F2108" t="s">
        <v>20</v>
      </c>
    </row>
    <row r="2109" spans="1:6" x14ac:dyDescent="0.35">
      <c r="A2109" s="1">
        <v>45591</v>
      </c>
      <c r="B2109" s="2">
        <v>45591.651721400463</v>
      </c>
      <c r="C2109" t="s">
        <v>8</v>
      </c>
      <c r="D2109" t="s">
        <v>870</v>
      </c>
      <c r="E2109">
        <v>3576</v>
      </c>
      <c r="F2109" t="s">
        <v>32</v>
      </c>
    </row>
    <row r="2110" spans="1:6" x14ac:dyDescent="0.35">
      <c r="A2110" s="1">
        <v>45591</v>
      </c>
      <c r="B2110" s="2">
        <v>45591.652425613429</v>
      </c>
      <c r="C2110" t="s">
        <v>8</v>
      </c>
      <c r="D2110" t="s">
        <v>870</v>
      </c>
      <c r="E2110">
        <v>3576</v>
      </c>
      <c r="F2110" t="s">
        <v>32</v>
      </c>
    </row>
    <row r="2111" spans="1:6" x14ac:dyDescent="0.35">
      <c r="A2111" s="1">
        <v>45591</v>
      </c>
      <c r="B2111" s="2">
        <v>45591.661130324072</v>
      </c>
      <c r="C2111" t="s">
        <v>8</v>
      </c>
      <c r="D2111" t="s">
        <v>871</v>
      </c>
      <c r="E2111">
        <v>3086</v>
      </c>
      <c r="F2111" t="s">
        <v>36</v>
      </c>
    </row>
    <row r="2112" spans="1:6" x14ac:dyDescent="0.35">
      <c r="A2112" s="1">
        <v>45591</v>
      </c>
      <c r="B2112" s="2">
        <v>45591.66205446759</v>
      </c>
      <c r="C2112" t="s">
        <v>8</v>
      </c>
      <c r="D2112" t="s">
        <v>872</v>
      </c>
      <c r="E2112">
        <v>3086</v>
      </c>
      <c r="F2112" t="s">
        <v>36</v>
      </c>
    </row>
    <row r="2113" spans="1:6" x14ac:dyDescent="0.35">
      <c r="A2113" s="1">
        <v>45591</v>
      </c>
      <c r="B2113" s="2">
        <v>45591.80510769676</v>
      </c>
      <c r="C2113" t="s">
        <v>8</v>
      </c>
      <c r="D2113" t="s">
        <v>767</v>
      </c>
      <c r="E2113">
        <v>3576</v>
      </c>
      <c r="F2113" t="s">
        <v>24</v>
      </c>
    </row>
    <row r="2114" spans="1:6" x14ac:dyDescent="0.35">
      <c r="A2114" s="1">
        <v>45591</v>
      </c>
      <c r="B2114" s="2">
        <v>45591.857485162036</v>
      </c>
      <c r="C2114" t="s">
        <v>8</v>
      </c>
      <c r="D2114" t="s">
        <v>873</v>
      </c>
      <c r="E2114">
        <v>3086</v>
      </c>
      <c r="F2114" t="s">
        <v>36</v>
      </c>
    </row>
    <row r="2115" spans="1:6" x14ac:dyDescent="0.35">
      <c r="A2115" s="1">
        <v>45592</v>
      </c>
      <c r="B2115" s="2">
        <v>45592.459686365743</v>
      </c>
      <c r="C2115" t="s">
        <v>8</v>
      </c>
      <c r="D2115" t="s">
        <v>400</v>
      </c>
      <c r="E2115">
        <v>3086</v>
      </c>
      <c r="F2115" t="s">
        <v>36</v>
      </c>
    </row>
    <row r="2116" spans="1:6" x14ac:dyDescent="0.35">
      <c r="A2116" s="1">
        <v>45592</v>
      </c>
      <c r="B2116" s="2">
        <v>45592.537106354168</v>
      </c>
      <c r="C2116" t="s">
        <v>8</v>
      </c>
      <c r="D2116" t="s">
        <v>29</v>
      </c>
      <c r="E2116">
        <v>3576</v>
      </c>
      <c r="F2116" t="s">
        <v>32</v>
      </c>
    </row>
    <row r="2117" spans="1:6" x14ac:dyDescent="0.35">
      <c r="A2117" s="1">
        <v>45592</v>
      </c>
      <c r="B2117" s="2">
        <v>45592.537818414348</v>
      </c>
      <c r="C2117" t="s">
        <v>8</v>
      </c>
      <c r="D2117" t="s">
        <v>29</v>
      </c>
      <c r="E2117">
        <v>3086</v>
      </c>
      <c r="F2117" t="s">
        <v>36</v>
      </c>
    </row>
    <row r="2118" spans="1:6" x14ac:dyDescent="0.35">
      <c r="A2118" s="1">
        <v>45592</v>
      </c>
      <c r="B2118" s="2">
        <v>45592.572067233799</v>
      </c>
      <c r="C2118" t="s">
        <v>8</v>
      </c>
      <c r="D2118" t="s">
        <v>874</v>
      </c>
      <c r="E2118">
        <v>3576</v>
      </c>
      <c r="F2118" t="s">
        <v>24</v>
      </c>
    </row>
    <row r="2119" spans="1:6" x14ac:dyDescent="0.35">
      <c r="A2119" s="1">
        <v>45592</v>
      </c>
      <c r="B2119" s="2">
        <v>45592.678543692127</v>
      </c>
      <c r="C2119" t="s">
        <v>8</v>
      </c>
      <c r="D2119" t="s">
        <v>21</v>
      </c>
      <c r="E2119">
        <v>3576</v>
      </c>
      <c r="F2119" t="s">
        <v>32</v>
      </c>
    </row>
    <row r="2120" spans="1:6" x14ac:dyDescent="0.35">
      <c r="A2120" s="1">
        <v>45593</v>
      </c>
      <c r="B2120" s="2">
        <v>45593.323937349538</v>
      </c>
      <c r="C2120" t="s">
        <v>8</v>
      </c>
      <c r="D2120" t="s">
        <v>748</v>
      </c>
      <c r="E2120">
        <v>3576</v>
      </c>
      <c r="F2120" t="s">
        <v>24</v>
      </c>
    </row>
    <row r="2121" spans="1:6" x14ac:dyDescent="0.35">
      <c r="A2121" s="1">
        <v>45593</v>
      </c>
      <c r="B2121" s="2">
        <v>45593.334170127317</v>
      </c>
      <c r="C2121" t="s">
        <v>8</v>
      </c>
      <c r="D2121" t="s">
        <v>875</v>
      </c>
      <c r="E2121">
        <v>2596</v>
      </c>
      <c r="F2121" t="s">
        <v>28</v>
      </c>
    </row>
    <row r="2122" spans="1:6" x14ac:dyDescent="0.35">
      <c r="A2122" s="1">
        <v>45593</v>
      </c>
      <c r="B2122" s="2">
        <v>45593.357672465281</v>
      </c>
      <c r="C2122" t="s">
        <v>8</v>
      </c>
      <c r="D2122" t="s">
        <v>735</v>
      </c>
      <c r="E2122">
        <v>3576</v>
      </c>
      <c r="F2122" t="s">
        <v>32</v>
      </c>
    </row>
    <row r="2123" spans="1:6" x14ac:dyDescent="0.35">
      <c r="A2123" s="1">
        <v>45593</v>
      </c>
      <c r="B2123" s="2">
        <v>45593.385911817131</v>
      </c>
      <c r="C2123" t="s">
        <v>8</v>
      </c>
      <c r="D2123" t="s">
        <v>296</v>
      </c>
      <c r="E2123">
        <v>3086</v>
      </c>
      <c r="F2123" t="s">
        <v>36</v>
      </c>
    </row>
    <row r="2124" spans="1:6" x14ac:dyDescent="0.35">
      <c r="A2124" s="1">
        <v>45593</v>
      </c>
      <c r="B2124" s="2">
        <v>45593.487922395834</v>
      </c>
      <c r="C2124" t="s">
        <v>8</v>
      </c>
      <c r="D2124" t="s">
        <v>876</v>
      </c>
      <c r="E2124">
        <v>3576</v>
      </c>
      <c r="F2124" t="s">
        <v>32</v>
      </c>
    </row>
    <row r="2125" spans="1:6" x14ac:dyDescent="0.35">
      <c r="A2125" s="1">
        <v>45593</v>
      </c>
      <c r="B2125" s="2">
        <v>45593.488695856482</v>
      </c>
      <c r="C2125" t="s">
        <v>8</v>
      </c>
      <c r="D2125" t="s">
        <v>876</v>
      </c>
      <c r="E2125">
        <v>3576</v>
      </c>
      <c r="F2125" t="s">
        <v>32</v>
      </c>
    </row>
    <row r="2126" spans="1:6" x14ac:dyDescent="0.35">
      <c r="A2126" s="1">
        <v>45593</v>
      </c>
      <c r="B2126" s="2">
        <v>45593.501111736114</v>
      </c>
      <c r="C2126" t="s">
        <v>8</v>
      </c>
      <c r="D2126" t="s">
        <v>759</v>
      </c>
      <c r="E2126">
        <v>3576</v>
      </c>
      <c r="F2126" t="s">
        <v>15</v>
      </c>
    </row>
    <row r="2127" spans="1:6" x14ac:dyDescent="0.35">
      <c r="A2127" s="1">
        <v>45593</v>
      </c>
      <c r="B2127" s="2">
        <v>45593.501791747687</v>
      </c>
      <c r="C2127" t="s">
        <v>8</v>
      </c>
      <c r="D2127" t="s">
        <v>877</v>
      </c>
      <c r="E2127">
        <v>3086</v>
      </c>
      <c r="F2127" t="s">
        <v>36</v>
      </c>
    </row>
    <row r="2128" spans="1:6" x14ac:dyDescent="0.35">
      <c r="A2128" s="1">
        <v>45593</v>
      </c>
      <c r="B2128" s="2">
        <v>45593.514935393519</v>
      </c>
      <c r="C2128" t="s">
        <v>8</v>
      </c>
      <c r="D2128" t="s">
        <v>878</v>
      </c>
      <c r="E2128">
        <v>3576</v>
      </c>
      <c r="F2128" t="s">
        <v>24</v>
      </c>
    </row>
    <row r="2129" spans="1:6" x14ac:dyDescent="0.35">
      <c r="A2129" s="1">
        <v>45593</v>
      </c>
      <c r="B2129" s="2">
        <v>45593.590909849539</v>
      </c>
      <c r="C2129" t="s">
        <v>8</v>
      </c>
      <c r="D2129" t="s">
        <v>871</v>
      </c>
      <c r="E2129">
        <v>3086</v>
      </c>
      <c r="F2129" t="s">
        <v>36</v>
      </c>
    </row>
    <row r="2130" spans="1:6" x14ac:dyDescent="0.35">
      <c r="A2130" s="1">
        <v>45593</v>
      </c>
      <c r="B2130" s="2">
        <v>45593.59162402778</v>
      </c>
      <c r="C2130" t="s">
        <v>8</v>
      </c>
      <c r="D2130" t="s">
        <v>871</v>
      </c>
      <c r="E2130">
        <v>3086</v>
      </c>
      <c r="F2130" t="s">
        <v>36</v>
      </c>
    </row>
    <row r="2131" spans="1:6" x14ac:dyDescent="0.35">
      <c r="A2131" s="1">
        <v>45593</v>
      </c>
      <c r="B2131" s="2">
        <v>45593.604856030091</v>
      </c>
      <c r="C2131" t="s">
        <v>8</v>
      </c>
      <c r="D2131" t="s">
        <v>879</v>
      </c>
      <c r="E2131">
        <v>3086</v>
      </c>
      <c r="F2131" t="s">
        <v>36</v>
      </c>
    </row>
    <row r="2132" spans="1:6" x14ac:dyDescent="0.35">
      <c r="A2132" s="1">
        <v>45593</v>
      </c>
      <c r="B2132" s="2">
        <v>45593.667598460648</v>
      </c>
      <c r="C2132" t="s">
        <v>8</v>
      </c>
      <c r="D2132" t="s">
        <v>213</v>
      </c>
      <c r="E2132">
        <v>3576</v>
      </c>
      <c r="F2132" t="s">
        <v>32</v>
      </c>
    </row>
    <row r="2133" spans="1:6" x14ac:dyDescent="0.35">
      <c r="A2133" s="1">
        <v>45593</v>
      </c>
      <c r="B2133" s="2">
        <v>45593.746737488429</v>
      </c>
      <c r="C2133" t="s">
        <v>8</v>
      </c>
      <c r="D2133" t="s">
        <v>880</v>
      </c>
      <c r="E2133">
        <v>3576</v>
      </c>
      <c r="F2133" t="s">
        <v>10</v>
      </c>
    </row>
    <row r="2134" spans="1:6" x14ac:dyDescent="0.35">
      <c r="A2134" s="1">
        <v>45593</v>
      </c>
      <c r="B2134" s="2">
        <v>45593.747249965279</v>
      </c>
      <c r="C2134" t="s">
        <v>8</v>
      </c>
      <c r="D2134" t="s">
        <v>880</v>
      </c>
      <c r="E2134">
        <v>3576</v>
      </c>
      <c r="F2134" t="s">
        <v>10</v>
      </c>
    </row>
    <row r="2135" spans="1:6" x14ac:dyDescent="0.35">
      <c r="A2135" s="1">
        <v>45593</v>
      </c>
      <c r="B2135" s="2">
        <v>45593.798903414354</v>
      </c>
      <c r="C2135" t="s">
        <v>8</v>
      </c>
      <c r="D2135" t="s">
        <v>311</v>
      </c>
      <c r="E2135">
        <v>3576</v>
      </c>
      <c r="F2135" t="s">
        <v>24</v>
      </c>
    </row>
    <row r="2136" spans="1:6" x14ac:dyDescent="0.35">
      <c r="A2136" s="1">
        <v>45593</v>
      </c>
      <c r="B2136" s="2">
        <v>45593.888930810186</v>
      </c>
      <c r="C2136" t="s">
        <v>8</v>
      </c>
      <c r="D2136" t="s">
        <v>382</v>
      </c>
      <c r="E2136">
        <v>3086</v>
      </c>
      <c r="F2136" t="s">
        <v>36</v>
      </c>
    </row>
    <row r="2137" spans="1:6" x14ac:dyDescent="0.35">
      <c r="A2137" s="1">
        <v>45593</v>
      </c>
      <c r="B2137" s="2">
        <v>45593.92072652778</v>
      </c>
      <c r="C2137" t="s">
        <v>8</v>
      </c>
      <c r="D2137" t="s">
        <v>747</v>
      </c>
      <c r="E2137">
        <v>3086</v>
      </c>
      <c r="F2137" t="s">
        <v>36</v>
      </c>
    </row>
    <row r="2138" spans="1:6" x14ac:dyDescent="0.35">
      <c r="A2138" s="1">
        <v>45594</v>
      </c>
      <c r="B2138" s="2">
        <v>45594.361717071763</v>
      </c>
      <c r="C2138" t="s">
        <v>8</v>
      </c>
      <c r="D2138" t="s">
        <v>856</v>
      </c>
      <c r="E2138">
        <v>3576</v>
      </c>
      <c r="F2138" t="s">
        <v>32</v>
      </c>
    </row>
    <row r="2139" spans="1:6" x14ac:dyDescent="0.35">
      <c r="A2139" s="1">
        <v>45594</v>
      </c>
      <c r="B2139" s="2">
        <v>45594.366037569445</v>
      </c>
      <c r="C2139" t="s">
        <v>8</v>
      </c>
      <c r="D2139" t="s">
        <v>735</v>
      </c>
      <c r="E2139">
        <v>3576</v>
      </c>
      <c r="F2139" t="s">
        <v>32</v>
      </c>
    </row>
    <row r="2140" spans="1:6" x14ac:dyDescent="0.35">
      <c r="A2140" s="1">
        <v>45594</v>
      </c>
      <c r="B2140" s="2">
        <v>45594.397195370373</v>
      </c>
      <c r="C2140" t="s">
        <v>8</v>
      </c>
      <c r="D2140" t="s">
        <v>622</v>
      </c>
      <c r="E2140">
        <v>3576</v>
      </c>
      <c r="F2140" t="s">
        <v>32</v>
      </c>
    </row>
    <row r="2141" spans="1:6" x14ac:dyDescent="0.35">
      <c r="A2141" s="1">
        <v>45594</v>
      </c>
      <c r="B2141" s="2">
        <v>45594.499845833336</v>
      </c>
      <c r="C2141" t="s">
        <v>8</v>
      </c>
      <c r="D2141" t="s">
        <v>881</v>
      </c>
      <c r="E2141">
        <v>3086</v>
      </c>
      <c r="F2141" t="s">
        <v>36</v>
      </c>
    </row>
    <row r="2142" spans="1:6" x14ac:dyDescent="0.35">
      <c r="A2142" s="1">
        <v>45594</v>
      </c>
      <c r="B2142" s="2">
        <v>45594.515009328701</v>
      </c>
      <c r="C2142" t="s">
        <v>8</v>
      </c>
      <c r="D2142" t="s">
        <v>882</v>
      </c>
      <c r="E2142">
        <v>2106</v>
      </c>
      <c r="F2142" t="s">
        <v>5</v>
      </c>
    </row>
    <row r="2143" spans="1:6" x14ac:dyDescent="0.35">
      <c r="A2143" s="1">
        <v>45594</v>
      </c>
      <c r="B2143" s="2">
        <v>45594.594257384262</v>
      </c>
      <c r="C2143" t="s">
        <v>8</v>
      </c>
      <c r="D2143" t="s">
        <v>883</v>
      </c>
      <c r="E2143">
        <v>2596</v>
      </c>
      <c r="F2143" t="s">
        <v>20</v>
      </c>
    </row>
    <row r="2144" spans="1:6" x14ac:dyDescent="0.35">
      <c r="A2144" s="1">
        <v>45594</v>
      </c>
      <c r="B2144" s="2">
        <v>45594.595146956017</v>
      </c>
      <c r="C2144" t="s">
        <v>8</v>
      </c>
      <c r="D2144" t="s">
        <v>883</v>
      </c>
      <c r="E2144">
        <v>2596</v>
      </c>
      <c r="F2144" t="s">
        <v>20</v>
      </c>
    </row>
    <row r="2145" spans="1:6" x14ac:dyDescent="0.35">
      <c r="A2145" s="1">
        <v>45594</v>
      </c>
      <c r="B2145" s="2">
        <v>45594.609443993053</v>
      </c>
      <c r="C2145" t="s">
        <v>8</v>
      </c>
      <c r="D2145" t="s">
        <v>884</v>
      </c>
      <c r="E2145">
        <v>3576</v>
      </c>
      <c r="F2145" t="s">
        <v>24</v>
      </c>
    </row>
    <row r="2146" spans="1:6" x14ac:dyDescent="0.35">
      <c r="A2146" s="1">
        <v>45594</v>
      </c>
      <c r="B2146" s="2">
        <v>45594.673307199075</v>
      </c>
      <c r="C2146" t="s">
        <v>8</v>
      </c>
      <c r="D2146" t="s">
        <v>885</v>
      </c>
      <c r="E2146">
        <v>3576</v>
      </c>
      <c r="F2146" t="s">
        <v>15</v>
      </c>
    </row>
    <row r="2147" spans="1:6" x14ac:dyDescent="0.35">
      <c r="A2147" s="1">
        <v>45594</v>
      </c>
      <c r="B2147" s="2">
        <v>45594.674268692128</v>
      </c>
      <c r="C2147" t="s">
        <v>8</v>
      </c>
      <c r="D2147" t="s">
        <v>886</v>
      </c>
      <c r="E2147">
        <v>3576</v>
      </c>
      <c r="F2147" t="s">
        <v>10</v>
      </c>
    </row>
    <row r="2148" spans="1:6" x14ac:dyDescent="0.35">
      <c r="A2148" s="1">
        <v>45594</v>
      </c>
      <c r="B2148" s="2">
        <v>45594.678859293985</v>
      </c>
      <c r="C2148" t="s">
        <v>8</v>
      </c>
      <c r="D2148" t="s">
        <v>279</v>
      </c>
      <c r="E2148">
        <v>3576</v>
      </c>
      <c r="F2148" t="s">
        <v>10</v>
      </c>
    </row>
    <row r="2149" spans="1:6" x14ac:dyDescent="0.35">
      <c r="A2149" s="1">
        <v>45594</v>
      </c>
      <c r="B2149" s="2">
        <v>45594.751439444444</v>
      </c>
      <c r="C2149" t="s">
        <v>8</v>
      </c>
      <c r="D2149" t="s">
        <v>887</v>
      </c>
      <c r="E2149">
        <v>3086</v>
      </c>
      <c r="F2149" t="s">
        <v>36</v>
      </c>
    </row>
    <row r="2150" spans="1:6" x14ac:dyDescent="0.35">
      <c r="A2150" s="1">
        <v>45594</v>
      </c>
      <c r="B2150" s="2">
        <v>45594.752053611111</v>
      </c>
      <c r="C2150" t="s">
        <v>8</v>
      </c>
      <c r="D2150" t="s">
        <v>887</v>
      </c>
      <c r="E2150">
        <v>3086</v>
      </c>
      <c r="F2150" t="s">
        <v>36</v>
      </c>
    </row>
    <row r="2151" spans="1:6" x14ac:dyDescent="0.35">
      <c r="A2151" s="1">
        <v>45594</v>
      </c>
      <c r="B2151" s="2">
        <v>45594.793117615744</v>
      </c>
      <c r="C2151" t="s">
        <v>8</v>
      </c>
      <c r="D2151" t="s">
        <v>888</v>
      </c>
      <c r="E2151">
        <v>3086</v>
      </c>
      <c r="F2151" t="s">
        <v>36</v>
      </c>
    </row>
    <row r="2152" spans="1:6" x14ac:dyDescent="0.35">
      <c r="A2152" s="1">
        <v>45594</v>
      </c>
      <c r="B2152" s="2">
        <v>45594.795653194444</v>
      </c>
      <c r="C2152" t="s">
        <v>8</v>
      </c>
      <c r="D2152" t="s">
        <v>260</v>
      </c>
      <c r="E2152">
        <v>3576</v>
      </c>
      <c r="F2152" t="s">
        <v>24</v>
      </c>
    </row>
    <row r="2153" spans="1:6" x14ac:dyDescent="0.35">
      <c r="A2153" s="1">
        <v>45594</v>
      </c>
      <c r="B2153" s="2">
        <v>45594.827232939817</v>
      </c>
      <c r="C2153" t="s">
        <v>8</v>
      </c>
      <c r="D2153" t="s">
        <v>21</v>
      </c>
      <c r="E2153">
        <v>3576</v>
      </c>
      <c r="F2153" t="s">
        <v>15</v>
      </c>
    </row>
    <row r="2154" spans="1:6" x14ac:dyDescent="0.35">
      <c r="A2154" s="1">
        <v>45594</v>
      </c>
      <c r="B2154" s="2">
        <v>45594.829194317128</v>
      </c>
      <c r="C2154" t="s">
        <v>8</v>
      </c>
      <c r="D2154" t="s">
        <v>21</v>
      </c>
      <c r="E2154">
        <v>3576</v>
      </c>
      <c r="F2154" t="s">
        <v>32</v>
      </c>
    </row>
    <row r="2155" spans="1:6" x14ac:dyDescent="0.35">
      <c r="A2155" s="1">
        <v>45594</v>
      </c>
      <c r="B2155" s="2">
        <v>45594.838607164354</v>
      </c>
      <c r="C2155" t="s">
        <v>8</v>
      </c>
      <c r="D2155" t="s">
        <v>851</v>
      </c>
      <c r="E2155">
        <v>3576</v>
      </c>
      <c r="F2155" t="s">
        <v>32</v>
      </c>
    </row>
    <row r="2156" spans="1:6" x14ac:dyDescent="0.35">
      <c r="A2156" s="1">
        <v>45595</v>
      </c>
      <c r="B2156" s="2">
        <v>45595.327841307873</v>
      </c>
      <c r="C2156" t="s">
        <v>8</v>
      </c>
      <c r="D2156" t="s">
        <v>755</v>
      </c>
      <c r="E2156">
        <v>3576</v>
      </c>
      <c r="F2156" t="s">
        <v>32</v>
      </c>
    </row>
    <row r="2157" spans="1:6" x14ac:dyDescent="0.35">
      <c r="A2157" s="1">
        <v>45595</v>
      </c>
      <c r="B2157" s="2">
        <v>45595.36558769676</v>
      </c>
      <c r="C2157" t="s">
        <v>8</v>
      </c>
      <c r="D2157" t="s">
        <v>623</v>
      </c>
      <c r="E2157">
        <v>3086</v>
      </c>
      <c r="F2157" t="s">
        <v>36</v>
      </c>
    </row>
    <row r="2158" spans="1:6" x14ac:dyDescent="0.35">
      <c r="A2158" s="1">
        <v>45595</v>
      </c>
      <c r="B2158" s="2">
        <v>45595.366311122685</v>
      </c>
      <c r="C2158" t="s">
        <v>8</v>
      </c>
      <c r="D2158" t="s">
        <v>623</v>
      </c>
      <c r="E2158">
        <v>3086</v>
      </c>
      <c r="F2158" t="s">
        <v>36</v>
      </c>
    </row>
    <row r="2159" spans="1:6" x14ac:dyDescent="0.35">
      <c r="A2159" s="1">
        <v>45595</v>
      </c>
      <c r="B2159" s="2">
        <v>45595.382978692127</v>
      </c>
      <c r="C2159" t="s">
        <v>8</v>
      </c>
      <c r="D2159" t="s">
        <v>889</v>
      </c>
      <c r="E2159">
        <v>3576</v>
      </c>
      <c r="F2159" t="s">
        <v>32</v>
      </c>
    </row>
    <row r="2160" spans="1:6" x14ac:dyDescent="0.35">
      <c r="A2160" s="1">
        <v>45595</v>
      </c>
      <c r="B2160" s="2">
        <v>45595.438809618056</v>
      </c>
      <c r="C2160" t="s">
        <v>8</v>
      </c>
      <c r="D2160" t="s">
        <v>890</v>
      </c>
      <c r="E2160">
        <v>3576</v>
      </c>
      <c r="F2160" t="s">
        <v>32</v>
      </c>
    </row>
    <row r="2161" spans="1:6" x14ac:dyDescent="0.35">
      <c r="A2161" s="1">
        <v>45595</v>
      </c>
      <c r="B2161" s="2">
        <v>45595.439672442131</v>
      </c>
      <c r="C2161" t="s">
        <v>8</v>
      </c>
      <c r="D2161" t="s">
        <v>890</v>
      </c>
      <c r="E2161">
        <v>3576</v>
      </c>
      <c r="F2161" t="s">
        <v>32</v>
      </c>
    </row>
    <row r="2162" spans="1:6" x14ac:dyDescent="0.35">
      <c r="A2162" s="1">
        <v>45595</v>
      </c>
      <c r="B2162" s="2">
        <v>45595.506087187503</v>
      </c>
      <c r="C2162" t="s">
        <v>8</v>
      </c>
      <c r="D2162" t="s">
        <v>428</v>
      </c>
      <c r="E2162">
        <v>3576</v>
      </c>
      <c r="F2162" t="s">
        <v>32</v>
      </c>
    </row>
    <row r="2163" spans="1:6" x14ac:dyDescent="0.35">
      <c r="A2163" s="1">
        <v>45595</v>
      </c>
      <c r="B2163" s="2">
        <v>45595.506791539352</v>
      </c>
      <c r="C2163" t="s">
        <v>8</v>
      </c>
      <c r="D2163" t="s">
        <v>428</v>
      </c>
      <c r="E2163">
        <v>2596</v>
      </c>
      <c r="F2163" t="s">
        <v>28</v>
      </c>
    </row>
    <row r="2164" spans="1:6" x14ac:dyDescent="0.35">
      <c r="A2164" s="1">
        <v>45595</v>
      </c>
      <c r="B2164" s="2">
        <v>45595.507620266202</v>
      </c>
      <c r="C2164" t="s">
        <v>8</v>
      </c>
      <c r="D2164" t="s">
        <v>786</v>
      </c>
      <c r="E2164">
        <v>3086</v>
      </c>
      <c r="F2164" t="s">
        <v>36</v>
      </c>
    </row>
    <row r="2165" spans="1:6" x14ac:dyDescent="0.35">
      <c r="A2165" s="1">
        <v>45595</v>
      </c>
      <c r="B2165" s="2">
        <v>45595.525703298612</v>
      </c>
      <c r="C2165" t="s">
        <v>8</v>
      </c>
      <c r="D2165" t="s">
        <v>891</v>
      </c>
      <c r="E2165">
        <v>2596</v>
      </c>
      <c r="F2165" t="s">
        <v>28</v>
      </c>
    </row>
    <row r="2166" spans="1:6" x14ac:dyDescent="0.35">
      <c r="A2166" s="1">
        <v>45595</v>
      </c>
      <c r="B2166" s="2">
        <v>45595.628648067126</v>
      </c>
      <c r="C2166" t="s">
        <v>8</v>
      </c>
      <c r="D2166" t="s">
        <v>21</v>
      </c>
      <c r="E2166">
        <v>3576</v>
      </c>
      <c r="F2166" t="s">
        <v>32</v>
      </c>
    </row>
    <row r="2167" spans="1:6" x14ac:dyDescent="0.35">
      <c r="A2167" s="1">
        <v>45595</v>
      </c>
      <c r="B2167" s="2">
        <v>45595.629896331018</v>
      </c>
      <c r="C2167" t="s">
        <v>8</v>
      </c>
      <c r="D2167" t="s">
        <v>21</v>
      </c>
      <c r="E2167">
        <v>3576</v>
      </c>
      <c r="F2167" t="s">
        <v>32</v>
      </c>
    </row>
    <row r="2168" spans="1:6" x14ac:dyDescent="0.35">
      <c r="A2168" s="1">
        <v>45595</v>
      </c>
      <c r="B2168" s="2">
        <v>45595.670004340274</v>
      </c>
      <c r="C2168" t="s">
        <v>8</v>
      </c>
      <c r="D2168" t="s">
        <v>892</v>
      </c>
      <c r="E2168">
        <v>3086</v>
      </c>
      <c r="F2168" t="s">
        <v>36</v>
      </c>
    </row>
    <row r="2169" spans="1:6" x14ac:dyDescent="0.35">
      <c r="A2169" s="1">
        <v>45595</v>
      </c>
      <c r="B2169" s="2">
        <v>45595.755700150461</v>
      </c>
      <c r="C2169" t="s">
        <v>8</v>
      </c>
      <c r="D2169" t="s">
        <v>893</v>
      </c>
      <c r="E2169">
        <v>3576</v>
      </c>
      <c r="F2169" t="s">
        <v>15</v>
      </c>
    </row>
    <row r="2170" spans="1:6" x14ac:dyDescent="0.35">
      <c r="A2170" s="1">
        <v>45595</v>
      </c>
      <c r="B2170" s="2">
        <v>45595.804531076392</v>
      </c>
      <c r="C2170" t="s">
        <v>8</v>
      </c>
      <c r="D2170" t="s">
        <v>871</v>
      </c>
      <c r="E2170">
        <v>3086</v>
      </c>
      <c r="F2170" t="s">
        <v>36</v>
      </c>
    </row>
    <row r="2171" spans="1:6" x14ac:dyDescent="0.35">
      <c r="A2171" s="1">
        <v>45595</v>
      </c>
      <c r="B2171" s="2">
        <v>45595.82177303241</v>
      </c>
      <c r="C2171" t="s">
        <v>8</v>
      </c>
      <c r="D2171" t="s">
        <v>894</v>
      </c>
      <c r="E2171">
        <v>3086</v>
      </c>
      <c r="F2171" t="s">
        <v>36</v>
      </c>
    </row>
    <row r="2172" spans="1:6" x14ac:dyDescent="0.35">
      <c r="A2172" s="1">
        <v>45596</v>
      </c>
      <c r="B2172" s="2">
        <v>45596.329367256942</v>
      </c>
      <c r="C2172" t="s">
        <v>8</v>
      </c>
      <c r="D2172" t="s">
        <v>755</v>
      </c>
      <c r="E2172">
        <v>3576</v>
      </c>
      <c r="F2172" t="s">
        <v>32</v>
      </c>
    </row>
    <row r="2173" spans="1:6" x14ac:dyDescent="0.35">
      <c r="A2173" s="1">
        <v>45596</v>
      </c>
      <c r="B2173" s="2">
        <v>45596.360346041663</v>
      </c>
      <c r="C2173" t="s">
        <v>8</v>
      </c>
      <c r="D2173" t="s">
        <v>735</v>
      </c>
      <c r="E2173">
        <v>3576</v>
      </c>
      <c r="F2173" t="s">
        <v>32</v>
      </c>
    </row>
    <row r="2174" spans="1:6" x14ac:dyDescent="0.35">
      <c r="A2174" s="1">
        <v>45596</v>
      </c>
      <c r="B2174" s="2">
        <v>45596.387721064813</v>
      </c>
      <c r="C2174" t="s">
        <v>8</v>
      </c>
      <c r="D2174" t="s">
        <v>29</v>
      </c>
      <c r="E2174">
        <v>3086</v>
      </c>
      <c r="F2174" t="s">
        <v>36</v>
      </c>
    </row>
    <row r="2175" spans="1:6" x14ac:dyDescent="0.35">
      <c r="A2175" s="1">
        <v>45596</v>
      </c>
      <c r="B2175" s="2">
        <v>45596.666281111109</v>
      </c>
      <c r="C2175" t="s">
        <v>8</v>
      </c>
      <c r="D2175" t="s">
        <v>895</v>
      </c>
      <c r="E2175">
        <v>3576</v>
      </c>
      <c r="F2175" t="s">
        <v>32</v>
      </c>
    </row>
    <row r="2176" spans="1:6" x14ac:dyDescent="0.35">
      <c r="A2176" s="1">
        <v>45596</v>
      </c>
      <c r="B2176" s="2">
        <v>45596.667025266201</v>
      </c>
      <c r="C2176" t="s">
        <v>8</v>
      </c>
      <c r="D2176" t="s">
        <v>896</v>
      </c>
      <c r="E2176">
        <v>3086</v>
      </c>
      <c r="F2176" t="s">
        <v>36</v>
      </c>
    </row>
    <row r="2177" spans="1:6" x14ac:dyDescent="0.35">
      <c r="A2177" s="1">
        <v>45597</v>
      </c>
      <c r="B2177" s="2">
        <v>45597.350039363424</v>
      </c>
      <c r="C2177" t="s">
        <v>8</v>
      </c>
      <c r="D2177" t="s">
        <v>894</v>
      </c>
      <c r="E2177">
        <v>3576</v>
      </c>
      <c r="F2177" t="s">
        <v>10</v>
      </c>
    </row>
    <row r="2178" spans="1:6" x14ac:dyDescent="0.35">
      <c r="A2178" s="1">
        <v>45597</v>
      </c>
      <c r="B2178" s="2">
        <v>45597.354833819445</v>
      </c>
      <c r="C2178" t="s">
        <v>8</v>
      </c>
      <c r="D2178" t="s">
        <v>357</v>
      </c>
      <c r="E2178">
        <v>2596</v>
      </c>
      <c r="F2178" t="s">
        <v>28</v>
      </c>
    </row>
    <row r="2179" spans="1:6" x14ac:dyDescent="0.35">
      <c r="A2179" s="1">
        <v>45597</v>
      </c>
      <c r="B2179" s="2">
        <v>45597.454749710647</v>
      </c>
      <c r="C2179" t="s">
        <v>8</v>
      </c>
      <c r="D2179" t="s">
        <v>664</v>
      </c>
      <c r="E2179">
        <v>3576</v>
      </c>
      <c r="F2179" t="s">
        <v>32</v>
      </c>
    </row>
    <row r="2180" spans="1:6" x14ac:dyDescent="0.35">
      <c r="A2180" s="1">
        <v>45597</v>
      </c>
      <c r="B2180" s="2">
        <v>45597.528779340275</v>
      </c>
      <c r="C2180" t="s">
        <v>8</v>
      </c>
      <c r="D2180" t="s">
        <v>43</v>
      </c>
      <c r="E2180">
        <v>3576</v>
      </c>
      <c r="F2180" t="s">
        <v>10</v>
      </c>
    </row>
    <row r="2181" spans="1:6" x14ac:dyDescent="0.35">
      <c r="A2181" s="1">
        <v>45597</v>
      </c>
      <c r="B2181" s="2">
        <v>45597.529380069442</v>
      </c>
      <c r="C2181" t="s">
        <v>8</v>
      </c>
      <c r="D2181" t="s">
        <v>43</v>
      </c>
      <c r="E2181">
        <v>3576</v>
      </c>
      <c r="F2181" t="s">
        <v>10</v>
      </c>
    </row>
    <row r="2182" spans="1:6" x14ac:dyDescent="0.35">
      <c r="A2182" s="1">
        <v>45597</v>
      </c>
      <c r="B2182" s="2">
        <v>45597.663685462961</v>
      </c>
      <c r="C2182" t="s">
        <v>8</v>
      </c>
      <c r="D2182" t="s">
        <v>897</v>
      </c>
      <c r="E2182">
        <v>2596</v>
      </c>
      <c r="F2182" t="s">
        <v>20</v>
      </c>
    </row>
    <row r="2183" spans="1:6" x14ac:dyDescent="0.35">
      <c r="A2183" s="1">
        <v>45597</v>
      </c>
      <c r="B2183" s="2">
        <v>45597.945785833334</v>
      </c>
      <c r="C2183" t="s">
        <v>8</v>
      </c>
      <c r="D2183" t="s">
        <v>747</v>
      </c>
      <c r="E2183">
        <v>3086</v>
      </c>
      <c r="F2183" t="s">
        <v>36</v>
      </c>
    </row>
    <row r="2184" spans="1:6" x14ac:dyDescent="0.35">
      <c r="A2184" s="1">
        <v>45598</v>
      </c>
      <c r="B2184" s="2">
        <v>45598.347040787034</v>
      </c>
      <c r="C2184" t="s">
        <v>8</v>
      </c>
      <c r="D2184" t="s">
        <v>40</v>
      </c>
      <c r="E2184">
        <v>2596</v>
      </c>
      <c r="F2184" t="s">
        <v>20</v>
      </c>
    </row>
    <row r="2185" spans="1:6" x14ac:dyDescent="0.35">
      <c r="A2185" s="1">
        <v>45598</v>
      </c>
      <c r="B2185" s="2">
        <v>45598.434559803238</v>
      </c>
      <c r="C2185" t="s">
        <v>8</v>
      </c>
      <c r="D2185" t="s">
        <v>880</v>
      </c>
      <c r="E2185">
        <v>3576</v>
      </c>
      <c r="F2185" t="s">
        <v>10</v>
      </c>
    </row>
    <row r="2186" spans="1:6" x14ac:dyDescent="0.35">
      <c r="A2186" s="1">
        <v>45598</v>
      </c>
      <c r="B2186" s="2">
        <v>45598.439694004628</v>
      </c>
      <c r="C2186" t="s">
        <v>8</v>
      </c>
      <c r="D2186" t="s">
        <v>11</v>
      </c>
      <c r="E2186">
        <v>3086</v>
      </c>
      <c r="F2186" t="s">
        <v>36</v>
      </c>
    </row>
    <row r="2187" spans="1:6" x14ac:dyDescent="0.35">
      <c r="A2187" s="1">
        <v>45598</v>
      </c>
      <c r="B2187" s="2">
        <v>45598.621002870372</v>
      </c>
      <c r="C2187" t="s">
        <v>8</v>
      </c>
      <c r="D2187" t="s">
        <v>898</v>
      </c>
      <c r="E2187">
        <v>3086</v>
      </c>
      <c r="F2187" t="s">
        <v>36</v>
      </c>
    </row>
    <row r="2188" spans="1:6" x14ac:dyDescent="0.35">
      <c r="A2188" s="1">
        <v>45598</v>
      </c>
      <c r="B2188" s="2">
        <v>45598.683516840276</v>
      </c>
      <c r="C2188" t="s">
        <v>8</v>
      </c>
      <c r="D2188" t="s">
        <v>21</v>
      </c>
      <c r="E2188">
        <v>3576</v>
      </c>
      <c r="F2188" t="s">
        <v>15</v>
      </c>
    </row>
    <row r="2189" spans="1:6" x14ac:dyDescent="0.35">
      <c r="A2189" s="1">
        <v>45598</v>
      </c>
      <c r="B2189" s="2">
        <v>45598.684687638888</v>
      </c>
      <c r="C2189" t="s">
        <v>8</v>
      </c>
      <c r="D2189" t="s">
        <v>21</v>
      </c>
      <c r="E2189">
        <v>3576</v>
      </c>
      <c r="F2189" t="s">
        <v>32</v>
      </c>
    </row>
    <row r="2190" spans="1:6" x14ac:dyDescent="0.35">
      <c r="A2190" s="1">
        <v>45598</v>
      </c>
      <c r="B2190" s="2">
        <v>45598.692419039355</v>
      </c>
      <c r="C2190" t="s">
        <v>8</v>
      </c>
      <c r="D2190" t="s">
        <v>899</v>
      </c>
      <c r="E2190">
        <v>3576</v>
      </c>
      <c r="F2190" t="s">
        <v>32</v>
      </c>
    </row>
    <row r="2191" spans="1:6" x14ac:dyDescent="0.35">
      <c r="A2191" s="1">
        <v>45598</v>
      </c>
      <c r="B2191" s="2">
        <v>45598.762814583337</v>
      </c>
      <c r="C2191" t="s">
        <v>8</v>
      </c>
      <c r="D2191" t="s">
        <v>672</v>
      </c>
      <c r="E2191">
        <v>3086</v>
      </c>
      <c r="F2191" t="s">
        <v>36</v>
      </c>
    </row>
    <row r="2192" spans="1:6" x14ac:dyDescent="0.35">
      <c r="A2192" s="1">
        <v>45598</v>
      </c>
      <c r="B2192" s="2">
        <v>45598.79055002315</v>
      </c>
      <c r="C2192" t="s">
        <v>8</v>
      </c>
      <c r="D2192" t="s">
        <v>900</v>
      </c>
      <c r="E2192">
        <v>2596</v>
      </c>
      <c r="F2192" t="s">
        <v>28</v>
      </c>
    </row>
    <row r="2193" spans="1:6" x14ac:dyDescent="0.35">
      <c r="A2193" s="1">
        <v>45599</v>
      </c>
      <c r="B2193" s="2">
        <v>45599.349309745368</v>
      </c>
      <c r="C2193" t="s">
        <v>8</v>
      </c>
      <c r="D2193" t="s">
        <v>40</v>
      </c>
      <c r="E2193">
        <v>2596</v>
      </c>
      <c r="F2193" t="s">
        <v>20</v>
      </c>
    </row>
    <row r="2194" spans="1:6" x14ac:dyDescent="0.35">
      <c r="A2194" s="1">
        <v>45599</v>
      </c>
      <c r="B2194" s="2">
        <v>45599.407708622683</v>
      </c>
      <c r="C2194" t="s">
        <v>8</v>
      </c>
      <c r="D2194" t="s">
        <v>16</v>
      </c>
      <c r="E2194">
        <v>3086</v>
      </c>
      <c r="F2194" t="s">
        <v>36</v>
      </c>
    </row>
    <row r="2195" spans="1:6" x14ac:dyDescent="0.35">
      <c r="A2195" s="1">
        <v>45599</v>
      </c>
      <c r="B2195" s="2">
        <v>45599.408472418982</v>
      </c>
      <c r="C2195" t="s">
        <v>8</v>
      </c>
      <c r="D2195" t="s">
        <v>16</v>
      </c>
      <c r="E2195">
        <v>3086</v>
      </c>
      <c r="F2195" t="s">
        <v>36</v>
      </c>
    </row>
    <row r="2196" spans="1:6" x14ac:dyDescent="0.35">
      <c r="A2196" s="1">
        <v>45599</v>
      </c>
      <c r="B2196" s="2">
        <v>45599.55128939815</v>
      </c>
      <c r="C2196" t="s">
        <v>8</v>
      </c>
      <c r="D2196" t="s">
        <v>901</v>
      </c>
      <c r="E2196">
        <v>3576</v>
      </c>
      <c r="F2196" t="s">
        <v>32</v>
      </c>
    </row>
    <row r="2197" spans="1:6" x14ac:dyDescent="0.35">
      <c r="A2197" s="1">
        <v>45599</v>
      </c>
      <c r="B2197" s="2">
        <v>45599.552044826392</v>
      </c>
      <c r="C2197" t="s">
        <v>8</v>
      </c>
      <c r="D2197" t="s">
        <v>901</v>
      </c>
      <c r="E2197">
        <v>3086</v>
      </c>
      <c r="F2197" t="s">
        <v>36</v>
      </c>
    </row>
    <row r="2198" spans="1:6" x14ac:dyDescent="0.35">
      <c r="A2198" s="1">
        <v>45599</v>
      </c>
      <c r="B2198" s="2">
        <v>45599.554453032404</v>
      </c>
      <c r="C2198" t="s">
        <v>8</v>
      </c>
      <c r="D2198" t="s">
        <v>282</v>
      </c>
      <c r="E2198">
        <v>3576</v>
      </c>
      <c r="F2198" t="s">
        <v>10</v>
      </c>
    </row>
    <row r="2199" spans="1:6" x14ac:dyDescent="0.35">
      <c r="A2199" s="1">
        <v>45599</v>
      </c>
      <c r="B2199" s="2">
        <v>45599.572436527778</v>
      </c>
      <c r="C2199" t="s">
        <v>8</v>
      </c>
      <c r="D2199" t="s">
        <v>902</v>
      </c>
      <c r="E2199">
        <v>2596</v>
      </c>
      <c r="F2199" t="s">
        <v>28</v>
      </c>
    </row>
    <row r="2200" spans="1:6" x14ac:dyDescent="0.35">
      <c r="A2200" s="1">
        <v>45599</v>
      </c>
      <c r="B2200" s="2">
        <v>45599.582651354169</v>
      </c>
      <c r="C2200" t="s">
        <v>8</v>
      </c>
      <c r="D2200" t="s">
        <v>903</v>
      </c>
      <c r="E2200">
        <v>3086</v>
      </c>
      <c r="F2200" t="s">
        <v>36</v>
      </c>
    </row>
    <row r="2201" spans="1:6" x14ac:dyDescent="0.35">
      <c r="A2201" s="1">
        <v>45599</v>
      </c>
      <c r="B2201" s="2">
        <v>45599.677288252315</v>
      </c>
      <c r="C2201" t="s">
        <v>8</v>
      </c>
      <c r="D2201" t="s">
        <v>674</v>
      </c>
      <c r="E2201">
        <v>3576</v>
      </c>
      <c r="F2201" t="s">
        <v>15</v>
      </c>
    </row>
    <row r="2202" spans="1:6" x14ac:dyDescent="0.35">
      <c r="A2202" s="1">
        <v>45599</v>
      </c>
      <c r="B2202" s="2">
        <v>45599.678281793982</v>
      </c>
      <c r="C2202" t="s">
        <v>8</v>
      </c>
      <c r="D2202" t="s">
        <v>674</v>
      </c>
      <c r="E2202">
        <v>3576</v>
      </c>
      <c r="F2202" t="s">
        <v>15</v>
      </c>
    </row>
    <row r="2203" spans="1:6" x14ac:dyDescent="0.35">
      <c r="A2203" s="1">
        <v>45599</v>
      </c>
      <c r="B2203" s="2">
        <v>45599.68098513889</v>
      </c>
      <c r="C2203" t="s">
        <v>8</v>
      </c>
      <c r="D2203" t="s">
        <v>904</v>
      </c>
      <c r="E2203">
        <v>2596</v>
      </c>
      <c r="F2203" t="s">
        <v>28</v>
      </c>
    </row>
    <row r="2204" spans="1:6" x14ac:dyDescent="0.35">
      <c r="A2204" s="1">
        <v>45599</v>
      </c>
      <c r="B2204" s="2">
        <v>45599.681783043983</v>
      </c>
      <c r="C2204" t="s">
        <v>8</v>
      </c>
      <c r="D2204" t="s">
        <v>904</v>
      </c>
      <c r="E2204">
        <v>2596</v>
      </c>
      <c r="F2204" t="s">
        <v>28</v>
      </c>
    </row>
    <row r="2205" spans="1:6" x14ac:dyDescent="0.35">
      <c r="A2205" s="1">
        <v>45599</v>
      </c>
      <c r="B2205" s="2">
        <v>45599.851558229166</v>
      </c>
      <c r="C2205" t="s">
        <v>8</v>
      </c>
      <c r="D2205" t="s">
        <v>279</v>
      </c>
      <c r="E2205">
        <v>3576</v>
      </c>
      <c r="F2205" t="s">
        <v>10</v>
      </c>
    </row>
    <row r="2206" spans="1:6" x14ac:dyDescent="0.35">
      <c r="A2206" s="1">
        <v>45600</v>
      </c>
      <c r="B2206" s="2">
        <v>45600.321954618055</v>
      </c>
      <c r="C2206" t="s">
        <v>8</v>
      </c>
      <c r="D2206" t="s">
        <v>748</v>
      </c>
      <c r="E2206">
        <v>3576</v>
      </c>
      <c r="F2206" t="s">
        <v>32</v>
      </c>
    </row>
    <row r="2207" spans="1:6" x14ac:dyDescent="0.35">
      <c r="A2207" s="1">
        <v>45600</v>
      </c>
      <c r="B2207" s="2">
        <v>45600.35941365741</v>
      </c>
      <c r="C2207" t="s">
        <v>8</v>
      </c>
      <c r="D2207" t="s">
        <v>29</v>
      </c>
      <c r="E2207">
        <v>3576</v>
      </c>
      <c r="F2207" t="s">
        <v>32</v>
      </c>
    </row>
    <row r="2208" spans="1:6" x14ac:dyDescent="0.35">
      <c r="A2208" s="1">
        <v>45600</v>
      </c>
      <c r="B2208" s="2">
        <v>45600.36040351852</v>
      </c>
      <c r="C2208" t="s">
        <v>8</v>
      </c>
      <c r="D2208" t="s">
        <v>29</v>
      </c>
      <c r="E2208">
        <v>3086</v>
      </c>
      <c r="F2208" t="s">
        <v>36</v>
      </c>
    </row>
    <row r="2209" spans="1:6" x14ac:dyDescent="0.35">
      <c r="A2209" s="1">
        <v>45600</v>
      </c>
      <c r="B2209" s="2">
        <v>45600.523330856478</v>
      </c>
      <c r="C2209" t="s">
        <v>8</v>
      </c>
      <c r="D2209" t="s">
        <v>905</v>
      </c>
      <c r="E2209">
        <v>2596</v>
      </c>
      <c r="F2209" t="s">
        <v>28</v>
      </c>
    </row>
    <row r="2210" spans="1:6" x14ac:dyDescent="0.35">
      <c r="A2210" s="1">
        <v>45600</v>
      </c>
      <c r="B2210" s="2">
        <v>45600.524375706016</v>
      </c>
      <c r="C2210" t="s">
        <v>8</v>
      </c>
      <c r="D2210" t="s">
        <v>906</v>
      </c>
      <c r="E2210">
        <v>3086</v>
      </c>
      <c r="F2210" t="s">
        <v>36</v>
      </c>
    </row>
    <row r="2211" spans="1:6" x14ac:dyDescent="0.35">
      <c r="A2211" s="1">
        <v>45600</v>
      </c>
      <c r="B2211" s="2">
        <v>45600.614329317126</v>
      </c>
      <c r="C2211" t="s">
        <v>8</v>
      </c>
      <c r="D2211" t="s">
        <v>43</v>
      </c>
      <c r="E2211">
        <v>3576</v>
      </c>
      <c r="F2211" t="s">
        <v>10</v>
      </c>
    </row>
    <row r="2212" spans="1:6" x14ac:dyDescent="0.35">
      <c r="A2212" s="1">
        <v>45600</v>
      </c>
      <c r="B2212" s="2">
        <v>45600.614815104163</v>
      </c>
      <c r="C2212" t="s">
        <v>8</v>
      </c>
      <c r="D2212" t="s">
        <v>43</v>
      </c>
      <c r="E2212">
        <v>3576</v>
      </c>
      <c r="F2212" t="s">
        <v>10</v>
      </c>
    </row>
    <row r="2213" spans="1:6" x14ac:dyDescent="0.35">
      <c r="A2213" s="1">
        <v>45601</v>
      </c>
      <c r="B2213" s="2">
        <v>45601.326060347223</v>
      </c>
      <c r="C2213" t="s">
        <v>8</v>
      </c>
      <c r="D2213" t="s">
        <v>748</v>
      </c>
      <c r="E2213">
        <v>3576</v>
      </c>
      <c r="F2213" t="s">
        <v>10</v>
      </c>
    </row>
    <row r="2214" spans="1:6" x14ac:dyDescent="0.35">
      <c r="A2214" s="1">
        <v>45601</v>
      </c>
      <c r="B2214" s="2">
        <v>45601.378956134256</v>
      </c>
      <c r="C2214" t="s">
        <v>8</v>
      </c>
      <c r="D2214" t="s">
        <v>29</v>
      </c>
      <c r="E2214">
        <v>3086</v>
      </c>
      <c r="F2214" t="s">
        <v>36</v>
      </c>
    </row>
    <row r="2215" spans="1:6" x14ac:dyDescent="0.35">
      <c r="A2215" s="1">
        <v>45601</v>
      </c>
      <c r="B2215" s="2">
        <v>45601.383475972223</v>
      </c>
      <c r="C2215" t="s">
        <v>8</v>
      </c>
      <c r="D2215" t="s">
        <v>783</v>
      </c>
      <c r="E2215">
        <v>3576</v>
      </c>
      <c r="F2215" t="s">
        <v>24</v>
      </c>
    </row>
    <row r="2216" spans="1:6" x14ac:dyDescent="0.35">
      <c r="A2216" s="1">
        <v>45601</v>
      </c>
      <c r="B2216" s="2">
        <v>45601.384494861108</v>
      </c>
      <c r="C2216" t="s">
        <v>8</v>
      </c>
      <c r="D2216" t="s">
        <v>783</v>
      </c>
      <c r="E2216">
        <v>3086</v>
      </c>
      <c r="F2216" t="s">
        <v>36</v>
      </c>
    </row>
    <row r="2217" spans="1:6" x14ac:dyDescent="0.35">
      <c r="A2217" s="1">
        <v>45601</v>
      </c>
      <c r="B2217" s="2">
        <v>45601.44565105324</v>
      </c>
      <c r="C2217" t="s">
        <v>8</v>
      </c>
      <c r="D2217" t="s">
        <v>43</v>
      </c>
      <c r="E2217">
        <v>3086</v>
      </c>
      <c r="F2217" t="s">
        <v>36</v>
      </c>
    </row>
    <row r="2218" spans="1:6" x14ac:dyDescent="0.35">
      <c r="A2218" s="1">
        <v>45601</v>
      </c>
      <c r="B2218" s="2">
        <v>45601.491317812499</v>
      </c>
      <c r="C2218" t="s">
        <v>8</v>
      </c>
      <c r="D2218" t="s">
        <v>907</v>
      </c>
      <c r="E2218">
        <v>3576</v>
      </c>
      <c r="F2218" t="s">
        <v>10</v>
      </c>
    </row>
    <row r="2219" spans="1:6" x14ac:dyDescent="0.35">
      <c r="A2219" s="1">
        <v>45601</v>
      </c>
      <c r="B2219" s="2">
        <v>45601.491926898147</v>
      </c>
      <c r="C2219" t="s">
        <v>8</v>
      </c>
      <c r="D2219" t="s">
        <v>908</v>
      </c>
      <c r="E2219">
        <v>3576</v>
      </c>
      <c r="F2219" t="s">
        <v>32</v>
      </c>
    </row>
    <row r="2220" spans="1:6" x14ac:dyDescent="0.35">
      <c r="A2220" s="1">
        <v>45601</v>
      </c>
      <c r="B2220" s="2">
        <v>45601.608771481478</v>
      </c>
      <c r="C2220" t="s">
        <v>8</v>
      </c>
      <c r="D2220" t="s">
        <v>909</v>
      </c>
      <c r="E2220">
        <v>3576</v>
      </c>
      <c r="F2220" t="s">
        <v>32</v>
      </c>
    </row>
    <row r="2221" spans="1:6" x14ac:dyDescent="0.35">
      <c r="A2221" s="1">
        <v>45601</v>
      </c>
      <c r="B2221" s="2">
        <v>45601.612361666666</v>
      </c>
      <c r="C2221" t="s">
        <v>8</v>
      </c>
      <c r="D2221" t="s">
        <v>910</v>
      </c>
      <c r="E2221">
        <v>3576</v>
      </c>
      <c r="F2221" t="s">
        <v>32</v>
      </c>
    </row>
    <row r="2222" spans="1:6" x14ac:dyDescent="0.35">
      <c r="A2222" s="1">
        <v>45601</v>
      </c>
      <c r="B2222" s="2">
        <v>45601.786762430558</v>
      </c>
      <c r="C2222" t="s">
        <v>8</v>
      </c>
      <c r="D2222" t="s">
        <v>508</v>
      </c>
      <c r="E2222">
        <v>3576</v>
      </c>
      <c r="F2222" t="s">
        <v>24</v>
      </c>
    </row>
    <row r="2223" spans="1:6" x14ac:dyDescent="0.35">
      <c r="A2223" s="1">
        <v>45601</v>
      </c>
      <c r="B2223" s="2">
        <v>45601.787624155091</v>
      </c>
      <c r="C2223" t="s">
        <v>8</v>
      </c>
      <c r="D2223" t="s">
        <v>508</v>
      </c>
      <c r="E2223">
        <v>3576</v>
      </c>
      <c r="F2223" t="s">
        <v>24</v>
      </c>
    </row>
    <row r="2224" spans="1:6" x14ac:dyDescent="0.35">
      <c r="A2224" s="1">
        <v>45601</v>
      </c>
      <c r="B2224" s="2">
        <v>45601.788410023146</v>
      </c>
      <c r="C2224" t="s">
        <v>8</v>
      </c>
      <c r="D2224" t="s">
        <v>508</v>
      </c>
      <c r="E2224">
        <v>3576</v>
      </c>
      <c r="F2224" t="s">
        <v>24</v>
      </c>
    </row>
    <row r="2225" spans="1:6" x14ac:dyDescent="0.35">
      <c r="A2225" s="1">
        <v>45601</v>
      </c>
      <c r="B2225" s="2">
        <v>45601.903295671298</v>
      </c>
      <c r="C2225" t="s">
        <v>8</v>
      </c>
      <c r="D2225" t="s">
        <v>911</v>
      </c>
      <c r="E2225">
        <v>3576</v>
      </c>
      <c r="F2225" t="s">
        <v>10</v>
      </c>
    </row>
    <row r="2226" spans="1:6" x14ac:dyDescent="0.35">
      <c r="A2226" s="1">
        <v>45601</v>
      </c>
      <c r="B2226" s="2">
        <v>45601.904198506942</v>
      </c>
      <c r="C2226" t="s">
        <v>8</v>
      </c>
      <c r="D2226" t="s">
        <v>911</v>
      </c>
      <c r="E2226">
        <v>3576</v>
      </c>
      <c r="F2226" t="s">
        <v>10</v>
      </c>
    </row>
    <row r="2227" spans="1:6" x14ac:dyDescent="0.35">
      <c r="A2227" s="1">
        <v>45601</v>
      </c>
      <c r="B2227" s="2">
        <v>45601.912727395837</v>
      </c>
      <c r="C2227" t="s">
        <v>8</v>
      </c>
      <c r="D2227" t="s">
        <v>774</v>
      </c>
      <c r="E2227">
        <v>3576</v>
      </c>
      <c r="F2227" t="s">
        <v>15</v>
      </c>
    </row>
    <row r="2228" spans="1:6" x14ac:dyDescent="0.35">
      <c r="A2228" s="1">
        <v>45601</v>
      </c>
      <c r="B2228" s="2">
        <v>45601.92072454861</v>
      </c>
      <c r="C2228" t="s">
        <v>8</v>
      </c>
      <c r="D2228" t="s">
        <v>689</v>
      </c>
      <c r="E2228">
        <v>3576</v>
      </c>
      <c r="F2228" t="s">
        <v>15</v>
      </c>
    </row>
    <row r="2229" spans="1:6" x14ac:dyDescent="0.35">
      <c r="A2229" s="1">
        <v>45601</v>
      </c>
      <c r="B2229" s="2">
        <v>45601.92128440972</v>
      </c>
      <c r="C2229" t="s">
        <v>8</v>
      </c>
      <c r="D2229" t="s">
        <v>689</v>
      </c>
      <c r="E2229">
        <v>3086</v>
      </c>
      <c r="F2229" t="s">
        <v>36</v>
      </c>
    </row>
    <row r="2230" spans="1:6" x14ac:dyDescent="0.35">
      <c r="A2230" s="1">
        <v>45602</v>
      </c>
      <c r="B2230" s="2">
        <v>45602.34126296296</v>
      </c>
      <c r="C2230" t="s">
        <v>8</v>
      </c>
      <c r="D2230" t="s">
        <v>622</v>
      </c>
      <c r="E2230">
        <v>3576</v>
      </c>
      <c r="F2230" t="s">
        <v>32</v>
      </c>
    </row>
    <row r="2231" spans="1:6" x14ac:dyDescent="0.35">
      <c r="A2231" s="1">
        <v>45602</v>
      </c>
      <c r="B2231" s="2">
        <v>45602.489944131943</v>
      </c>
      <c r="C2231" t="s">
        <v>8</v>
      </c>
      <c r="D2231" t="s">
        <v>912</v>
      </c>
      <c r="E2231">
        <v>2106</v>
      </c>
      <c r="F2231" t="s">
        <v>5</v>
      </c>
    </row>
    <row r="2232" spans="1:6" x14ac:dyDescent="0.35">
      <c r="A2232" s="1">
        <v>45602</v>
      </c>
      <c r="B2232" s="2">
        <v>45602.552463680557</v>
      </c>
      <c r="C2232" t="s">
        <v>8</v>
      </c>
      <c r="D2232" t="s">
        <v>794</v>
      </c>
      <c r="E2232">
        <v>2596</v>
      </c>
      <c r="F2232" t="s">
        <v>28</v>
      </c>
    </row>
    <row r="2233" spans="1:6" x14ac:dyDescent="0.35">
      <c r="A2233" s="1">
        <v>45602</v>
      </c>
      <c r="B2233" s="2">
        <v>45602.655746469907</v>
      </c>
      <c r="C2233" t="s">
        <v>8</v>
      </c>
      <c r="D2233" t="s">
        <v>674</v>
      </c>
      <c r="E2233">
        <v>3576</v>
      </c>
      <c r="F2233" t="s">
        <v>24</v>
      </c>
    </row>
    <row r="2234" spans="1:6" x14ac:dyDescent="0.35">
      <c r="A2234" s="1">
        <v>45602</v>
      </c>
      <c r="B2234" s="2">
        <v>45602.667173761576</v>
      </c>
      <c r="C2234" t="s">
        <v>8</v>
      </c>
      <c r="D2234" t="s">
        <v>913</v>
      </c>
      <c r="E2234">
        <v>3576</v>
      </c>
      <c r="F2234" t="s">
        <v>32</v>
      </c>
    </row>
    <row r="2235" spans="1:6" x14ac:dyDescent="0.35">
      <c r="A2235" s="1">
        <v>45602</v>
      </c>
      <c r="B2235" s="2">
        <v>45602.668114733795</v>
      </c>
      <c r="C2235" t="s">
        <v>8</v>
      </c>
      <c r="D2235" t="s">
        <v>914</v>
      </c>
      <c r="E2235">
        <v>3576</v>
      </c>
      <c r="F2235" t="s">
        <v>24</v>
      </c>
    </row>
    <row r="2236" spans="1:6" x14ac:dyDescent="0.35">
      <c r="A2236" s="1">
        <v>45602</v>
      </c>
      <c r="B2236" s="2">
        <v>45602.778273784723</v>
      </c>
      <c r="C2236" t="s">
        <v>8</v>
      </c>
      <c r="D2236" t="s">
        <v>915</v>
      </c>
      <c r="E2236">
        <v>3576</v>
      </c>
      <c r="F2236" t="s">
        <v>15</v>
      </c>
    </row>
    <row r="2237" spans="1:6" x14ac:dyDescent="0.35">
      <c r="A2237" s="1">
        <v>45602</v>
      </c>
      <c r="B2237" s="2">
        <v>45602.778827002316</v>
      </c>
      <c r="C2237" t="s">
        <v>8</v>
      </c>
      <c r="D2237" t="s">
        <v>915</v>
      </c>
      <c r="E2237">
        <v>3576</v>
      </c>
      <c r="F2237" t="s">
        <v>15</v>
      </c>
    </row>
    <row r="2238" spans="1:6" x14ac:dyDescent="0.35">
      <c r="A2238" s="1">
        <v>45603</v>
      </c>
      <c r="B2238" s="2">
        <v>45603.511990659725</v>
      </c>
      <c r="C2238" t="s">
        <v>8</v>
      </c>
      <c r="D2238" t="s">
        <v>916</v>
      </c>
      <c r="E2238">
        <v>3576</v>
      </c>
      <c r="F2238" t="s">
        <v>32</v>
      </c>
    </row>
    <row r="2239" spans="1:6" x14ac:dyDescent="0.35">
      <c r="A2239" s="1">
        <v>45603</v>
      </c>
      <c r="B2239" s="2">
        <v>45603.659844421294</v>
      </c>
      <c r="C2239" t="s">
        <v>8</v>
      </c>
      <c r="D2239" t="s">
        <v>917</v>
      </c>
      <c r="E2239">
        <v>2596</v>
      </c>
      <c r="F2239" t="s">
        <v>28</v>
      </c>
    </row>
    <row r="2240" spans="1:6" x14ac:dyDescent="0.35">
      <c r="A2240" s="1">
        <v>45603</v>
      </c>
      <c r="B2240" s="2">
        <v>45603.694206099535</v>
      </c>
      <c r="C2240" t="s">
        <v>8</v>
      </c>
      <c r="D2240" t="s">
        <v>918</v>
      </c>
      <c r="E2240">
        <v>2596</v>
      </c>
      <c r="F2240" t="s">
        <v>28</v>
      </c>
    </row>
    <row r="2241" spans="1:6" x14ac:dyDescent="0.35">
      <c r="A2241" s="1">
        <v>45603</v>
      </c>
      <c r="B2241" s="2">
        <v>45603.762195995369</v>
      </c>
      <c r="C2241" t="s">
        <v>8</v>
      </c>
      <c r="D2241" t="s">
        <v>880</v>
      </c>
      <c r="E2241">
        <v>3576</v>
      </c>
      <c r="F2241" t="s">
        <v>10</v>
      </c>
    </row>
    <row r="2242" spans="1:6" x14ac:dyDescent="0.35">
      <c r="A2242" s="1">
        <v>45603</v>
      </c>
      <c r="B2242" s="2">
        <v>45603.805726296298</v>
      </c>
      <c r="C2242" t="s">
        <v>8</v>
      </c>
      <c r="D2242" t="s">
        <v>919</v>
      </c>
      <c r="E2242">
        <v>3576</v>
      </c>
      <c r="F2242" t="s">
        <v>15</v>
      </c>
    </row>
    <row r="2243" spans="1:6" x14ac:dyDescent="0.35">
      <c r="A2243" s="1">
        <v>45603</v>
      </c>
      <c r="B2243" s="2">
        <v>45603.806690081015</v>
      </c>
      <c r="C2243" t="s">
        <v>8</v>
      </c>
      <c r="D2243" t="s">
        <v>919</v>
      </c>
      <c r="E2243">
        <v>3576</v>
      </c>
      <c r="F2243" t="s">
        <v>32</v>
      </c>
    </row>
    <row r="2244" spans="1:6" x14ac:dyDescent="0.35">
      <c r="A2244" s="1">
        <v>45603</v>
      </c>
      <c r="B2244" s="2">
        <v>45603.835077222226</v>
      </c>
      <c r="C2244" t="s">
        <v>8</v>
      </c>
      <c r="D2244" t="s">
        <v>21</v>
      </c>
      <c r="E2244">
        <v>3576</v>
      </c>
      <c r="F2244" t="s">
        <v>32</v>
      </c>
    </row>
    <row r="2245" spans="1:6" x14ac:dyDescent="0.35">
      <c r="A2245" s="1">
        <v>45604</v>
      </c>
      <c r="B2245" s="2">
        <v>45604.378959652779</v>
      </c>
      <c r="C2245" t="s">
        <v>8</v>
      </c>
      <c r="D2245" t="s">
        <v>29</v>
      </c>
      <c r="E2245">
        <v>3086</v>
      </c>
      <c r="F2245" t="s">
        <v>36</v>
      </c>
    </row>
    <row r="2246" spans="1:6" x14ac:dyDescent="0.35">
      <c r="A2246" s="1">
        <v>45604</v>
      </c>
      <c r="B2246" s="2">
        <v>45604.407996527778</v>
      </c>
      <c r="C2246" t="s">
        <v>8</v>
      </c>
      <c r="D2246" t="s">
        <v>428</v>
      </c>
      <c r="E2246">
        <v>2596</v>
      </c>
      <c r="F2246" t="s">
        <v>28</v>
      </c>
    </row>
    <row r="2247" spans="1:6" x14ac:dyDescent="0.35">
      <c r="A2247" s="1">
        <v>45604</v>
      </c>
      <c r="B2247" s="2">
        <v>45604.409024687498</v>
      </c>
      <c r="C2247" t="s">
        <v>8</v>
      </c>
      <c r="D2247" t="s">
        <v>428</v>
      </c>
      <c r="E2247">
        <v>2596</v>
      </c>
      <c r="F2247" t="s">
        <v>28</v>
      </c>
    </row>
    <row r="2248" spans="1:6" x14ac:dyDescent="0.35">
      <c r="A2248" s="1">
        <v>45604</v>
      </c>
      <c r="B2248" s="2">
        <v>45604.491104050925</v>
      </c>
      <c r="C2248" t="s">
        <v>8</v>
      </c>
      <c r="D2248" t="s">
        <v>547</v>
      </c>
      <c r="E2248">
        <v>3576</v>
      </c>
      <c r="F2248" t="s">
        <v>24</v>
      </c>
    </row>
    <row r="2249" spans="1:6" x14ac:dyDescent="0.35">
      <c r="A2249" s="1">
        <v>45604</v>
      </c>
      <c r="B2249" s="2">
        <v>45604.559183414349</v>
      </c>
      <c r="C2249" t="s">
        <v>8</v>
      </c>
      <c r="D2249" t="s">
        <v>920</v>
      </c>
      <c r="E2249">
        <v>3576</v>
      </c>
      <c r="F2249" t="s">
        <v>32</v>
      </c>
    </row>
    <row r="2250" spans="1:6" x14ac:dyDescent="0.35">
      <c r="A2250" s="1">
        <v>45604</v>
      </c>
      <c r="B2250" s="2">
        <v>45604.559926064816</v>
      </c>
      <c r="C2250" t="s">
        <v>8</v>
      </c>
      <c r="D2250" t="s">
        <v>920</v>
      </c>
      <c r="E2250">
        <v>3576</v>
      </c>
      <c r="F2250" t="s">
        <v>32</v>
      </c>
    </row>
    <row r="2251" spans="1:6" x14ac:dyDescent="0.35">
      <c r="A2251" s="1">
        <v>45604</v>
      </c>
      <c r="B2251" s="2">
        <v>45604.68961671296</v>
      </c>
      <c r="C2251" t="s">
        <v>8</v>
      </c>
      <c r="D2251" t="s">
        <v>921</v>
      </c>
      <c r="E2251">
        <v>3086</v>
      </c>
      <c r="F2251" t="s">
        <v>36</v>
      </c>
    </row>
    <row r="2252" spans="1:6" x14ac:dyDescent="0.35">
      <c r="A2252" s="1">
        <v>45604</v>
      </c>
      <c r="B2252" s="2">
        <v>45604.705185682869</v>
      </c>
      <c r="C2252" t="s">
        <v>8</v>
      </c>
      <c r="D2252" t="s">
        <v>922</v>
      </c>
      <c r="E2252">
        <v>3086</v>
      </c>
      <c r="F2252" t="s">
        <v>36</v>
      </c>
    </row>
    <row r="2253" spans="1:6" x14ac:dyDescent="0.35">
      <c r="A2253" s="1">
        <v>45604</v>
      </c>
      <c r="B2253" s="2">
        <v>45604.842733414349</v>
      </c>
      <c r="C2253" t="s">
        <v>8</v>
      </c>
      <c r="D2253" t="s">
        <v>923</v>
      </c>
      <c r="E2253">
        <v>3576</v>
      </c>
      <c r="F2253" t="s">
        <v>15</v>
      </c>
    </row>
    <row r="2254" spans="1:6" x14ac:dyDescent="0.35">
      <c r="A2254" s="1">
        <v>45604</v>
      </c>
      <c r="B2254" s="2">
        <v>45604.843336689817</v>
      </c>
      <c r="C2254" t="s">
        <v>8</v>
      </c>
      <c r="D2254" t="s">
        <v>924</v>
      </c>
      <c r="E2254">
        <v>3576</v>
      </c>
      <c r="F2254" t="s">
        <v>15</v>
      </c>
    </row>
    <row r="2255" spans="1:6" x14ac:dyDescent="0.35">
      <c r="A2255" s="1">
        <v>45604</v>
      </c>
      <c r="B2255" s="2">
        <v>45604.843981481485</v>
      </c>
      <c r="C2255" t="s">
        <v>8</v>
      </c>
      <c r="D2255" t="s">
        <v>924</v>
      </c>
      <c r="E2255">
        <v>3576</v>
      </c>
      <c r="F2255" t="s">
        <v>15</v>
      </c>
    </row>
    <row r="2256" spans="1:6" x14ac:dyDescent="0.35">
      <c r="A2256" s="1">
        <v>45604</v>
      </c>
      <c r="B2256" s="2">
        <v>45604.935528553244</v>
      </c>
      <c r="C2256" t="s">
        <v>8</v>
      </c>
      <c r="D2256" t="s">
        <v>742</v>
      </c>
      <c r="E2256">
        <v>3576</v>
      </c>
      <c r="F2256" t="s">
        <v>32</v>
      </c>
    </row>
    <row r="2257" spans="1:6" x14ac:dyDescent="0.35">
      <c r="A2257" s="1">
        <v>45605</v>
      </c>
      <c r="B2257" s="2">
        <v>45605.422440231479</v>
      </c>
      <c r="C2257" t="s">
        <v>8</v>
      </c>
      <c r="D2257" t="s">
        <v>29</v>
      </c>
      <c r="E2257">
        <v>3086</v>
      </c>
      <c r="F2257" t="s">
        <v>36</v>
      </c>
    </row>
    <row r="2258" spans="1:6" x14ac:dyDescent="0.35">
      <c r="A2258" s="1">
        <v>45605</v>
      </c>
      <c r="B2258" s="2">
        <v>45605.45981482639</v>
      </c>
      <c r="C2258" t="s">
        <v>8</v>
      </c>
      <c r="D2258" t="s">
        <v>40</v>
      </c>
      <c r="E2258">
        <v>2596</v>
      </c>
      <c r="F2258" t="s">
        <v>20</v>
      </c>
    </row>
    <row r="2259" spans="1:6" x14ac:dyDescent="0.35">
      <c r="A2259" s="1">
        <v>45605</v>
      </c>
      <c r="B2259" s="2">
        <v>45605.460423425924</v>
      </c>
      <c r="C2259" t="s">
        <v>8</v>
      </c>
      <c r="D2259" t="s">
        <v>40</v>
      </c>
      <c r="E2259">
        <v>2596</v>
      </c>
      <c r="F2259" t="s">
        <v>20</v>
      </c>
    </row>
    <row r="2260" spans="1:6" x14ac:dyDescent="0.35">
      <c r="A2260" s="1">
        <v>45605</v>
      </c>
      <c r="B2260" s="2">
        <v>45605.464400682868</v>
      </c>
      <c r="C2260" t="s">
        <v>8</v>
      </c>
      <c r="D2260" t="s">
        <v>925</v>
      </c>
      <c r="E2260">
        <v>3576</v>
      </c>
      <c r="F2260" t="s">
        <v>32</v>
      </c>
    </row>
    <row r="2261" spans="1:6" x14ac:dyDescent="0.35">
      <c r="A2261" s="1">
        <v>45605</v>
      </c>
      <c r="B2261" s="2">
        <v>45605.57655878472</v>
      </c>
      <c r="C2261" t="s">
        <v>8</v>
      </c>
      <c r="D2261" t="s">
        <v>923</v>
      </c>
      <c r="E2261">
        <v>3576</v>
      </c>
      <c r="F2261" t="s">
        <v>15</v>
      </c>
    </row>
    <row r="2262" spans="1:6" x14ac:dyDescent="0.35">
      <c r="A2262" s="1">
        <v>45605</v>
      </c>
      <c r="B2262" s="2">
        <v>45605.577027245374</v>
      </c>
      <c r="C2262" t="s">
        <v>8</v>
      </c>
      <c r="D2262" t="s">
        <v>923</v>
      </c>
      <c r="E2262">
        <v>3576</v>
      </c>
      <c r="F2262" t="s">
        <v>15</v>
      </c>
    </row>
    <row r="2263" spans="1:6" x14ac:dyDescent="0.35">
      <c r="A2263" s="1">
        <v>45605</v>
      </c>
      <c r="B2263" s="2">
        <v>45605.598513935183</v>
      </c>
      <c r="C2263" t="s">
        <v>8</v>
      </c>
      <c r="D2263" t="s">
        <v>926</v>
      </c>
      <c r="E2263">
        <v>3576</v>
      </c>
      <c r="F2263" t="s">
        <v>15</v>
      </c>
    </row>
    <row r="2264" spans="1:6" x14ac:dyDescent="0.35">
      <c r="A2264" s="1">
        <v>45605</v>
      </c>
      <c r="B2264" s="2">
        <v>45605.599194907409</v>
      </c>
      <c r="C2264" t="s">
        <v>8</v>
      </c>
      <c r="D2264" t="s">
        <v>926</v>
      </c>
      <c r="E2264">
        <v>3576</v>
      </c>
      <c r="F2264" t="s">
        <v>15</v>
      </c>
    </row>
    <row r="2265" spans="1:6" x14ac:dyDescent="0.35">
      <c r="A2265" s="1">
        <v>45605</v>
      </c>
      <c r="B2265" s="2">
        <v>45605.609411469908</v>
      </c>
      <c r="C2265" t="s">
        <v>8</v>
      </c>
      <c r="D2265" t="s">
        <v>927</v>
      </c>
      <c r="E2265">
        <v>2596</v>
      </c>
      <c r="F2265" t="s">
        <v>28</v>
      </c>
    </row>
    <row r="2266" spans="1:6" x14ac:dyDescent="0.35">
      <c r="A2266" s="1">
        <v>45605</v>
      </c>
      <c r="B2266" s="2">
        <v>45605.645728518517</v>
      </c>
      <c r="C2266" t="s">
        <v>8</v>
      </c>
      <c r="D2266" t="s">
        <v>29</v>
      </c>
      <c r="E2266">
        <v>3086</v>
      </c>
      <c r="F2266" t="s">
        <v>36</v>
      </c>
    </row>
    <row r="2267" spans="1:6" x14ac:dyDescent="0.35">
      <c r="A2267" s="1">
        <v>45605</v>
      </c>
      <c r="B2267" s="2">
        <v>45605.677637060187</v>
      </c>
      <c r="C2267" t="s">
        <v>8</v>
      </c>
      <c r="D2267" t="s">
        <v>622</v>
      </c>
      <c r="E2267">
        <v>3576</v>
      </c>
      <c r="F2267" t="s">
        <v>32</v>
      </c>
    </row>
    <row r="2268" spans="1:6" x14ac:dyDescent="0.35">
      <c r="A2268" s="1">
        <v>45605</v>
      </c>
      <c r="B2268" s="2">
        <v>45605.678384537037</v>
      </c>
      <c r="C2268" t="s">
        <v>8</v>
      </c>
      <c r="D2268" t="s">
        <v>622</v>
      </c>
      <c r="E2268">
        <v>3576</v>
      </c>
      <c r="F2268" t="s">
        <v>10</v>
      </c>
    </row>
    <row r="2269" spans="1:6" x14ac:dyDescent="0.35">
      <c r="A2269" s="1">
        <v>45605</v>
      </c>
      <c r="B2269" s="2">
        <v>45605.862552349536</v>
      </c>
      <c r="C2269" t="s">
        <v>8</v>
      </c>
      <c r="D2269" t="s">
        <v>928</v>
      </c>
      <c r="E2269">
        <v>2596</v>
      </c>
      <c r="F2269" t="s">
        <v>28</v>
      </c>
    </row>
    <row r="2270" spans="1:6" x14ac:dyDescent="0.35">
      <c r="A2270" s="1">
        <v>45605</v>
      </c>
      <c r="B2270" s="2">
        <v>45605.863513159726</v>
      </c>
      <c r="C2270" t="s">
        <v>8</v>
      </c>
      <c r="D2270" t="s">
        <v>928</v>
      </c>
      <c r="E2270">
        <v>3576</v>
      </c>
      <c r="F2270" t="s">
        <v>32</v>
      </c>
    </row>
    <row r="2271" spans="1:6" x14ac:dyDescent="0.35">
      <c r="A2271" s="1">
        <v>45605</v>
      </c>
      <c r="B2271" s="2">
        <v>45605.926014502315</v>
      </c>
      <c r="C2271" t="s">
        <v>8</v>
      </c>
      <c r="D2271" t="s">
        <v>929</v>
      </c>
      <c r="E2271">
        <v>3576</v>
      </c>
      <c r="F2271" t="s">
        <v>10</v>
      </c>
    </row>
    <row r="2272" spans="1:6" x14ac:dyDescent="0.35">
      <c r="A2272" s="1">
        <v>45605</v>
      </c>
      <c r="B2272" s="2">
        <v>45605.953450104163</v>
      </c>
      <c r="C2272" t="s">
        <v>8</v>
      </c>
      <c r="D2272" t="s">
        <v>930</v>
      </c>
      <c r="E2272">
        <v>2596</v>
      </c>
      <c r="F2272" t="s">
        <v>28</v>
      </c>
    </row>
    <row r="2273" spans="1:6" x14ac:dyDescent="0.35">
      <c r="A2273" s="1">
        <v>45605</v>
      </c>
      <c r="B2273" s="2">
        <v>45605.954387812497</v>
      </c>
      <c r="C2273" t="s">
        <v>8</v>
      </c>
      <c r="D2273" t="s">
        <v>931</v>
      </c>
      <c r="E2273">
        <v>2596</v>
      </c>
      <c r="F2273" t="s">
        <v>28</v>
      </c>
    </row>
    <row r="2274" spans="1:6" x14ac:dyDescent="0.35">
      <c r="A2274" s="1">
        <v>45606</v>
      </c>
      <c r="B2274" s="2">
        <v>45606.407196759261</v>
      </c>
      <c r="C2274" t="s">
        <v>8</v>
      </c>
      <c r="D2274" t="s">
        <v>932</v>
      </c>
      <c r="E2274">
        <v>2596</v>
      </c>
      <c r="F2274" t="s">
        <v>28</v>
      </c>
    </row>
    <row r="2275" spans="1:6" x14ac:dyDescent="0.35">
      <c r="A2275" s="1">
        <v>45606</v>
      </c>
      <c r="B2275" s="2">
        <v>45606.744998692127</v>
      </c>
      <c r="C2275" t="s">
        <v>8</v>
      </c>
      <c r="D2275" t="s">
        <v>933</v>
      </c>
      <c r="E2275">
        <v>3576</v>
      </c>
      <c r="F2275" t="s">
        <v>10</v>
      </c>
    </row>
    <row r="2276" spans="1:6" x14ac:dyDescent="0.35">
      <c r="A2276" s="1">
        <v>45606</v>
      </c>
      <c r="B2276" s="2">
        <v>45606.758950914351</v>
      </c>
      <c r="C2276" t="s">
        <v>8</v>
      </c>
      <c r="D2276" t="s">
        <v>934</v>
      </c>
      <c r="E2276">
        <v>3576</v>
      </c>
      <c r="F2276" t="s">
        <v>15</v>
      </c>
    </row>
    <row r="2277" spans="1:6" x14ac:dyDescent="0.35">
      <c r="A2277" s="1">
        <v>45606</v>
      </c>
      <c r="B2277" s="2">
        <v>45606.75976439815</v>
      </c>
      <c r="C2277" t="s">
        <v>8</v>
      </c>
      <c r="D2277" t="s">
        <v>935</v>
      </c>
      <c r="E2277">
        <v>3576</v>
      </c>
      <c r="F2277" t="s">
        <v>15</v>
      </c>
    </row>
    <row r="2278" spans="1:6" x14ac:dyDescent="0.35">
      <c r="A2278" s="1">
        <v>45606</v>
      </c>
      <c r="B2278" s="2">
        <v>45606.859816284719</v>
      </c>
      <c r="C2278" t="s">
        <v>8</v>
      </c>
      <c r="D2278" t="s">
        <v>936</v>
      </c>
      <c r="E2278">
        <v>3576</v>
      </c>
      <c r="F2278" t="s">
        <v>24</v>
      </c>
    </row>
    <row r="2279" spans="1:6" x14ac:dyDescent="0.35">
      <c r="A2279" s="1">
        <v>45606</v>
      </c>
      <c r="B2279" s="2">
        <v>45606.86049590278</v>
      </c>
      <c r="C2279" t="s">
        <v>8</v>
      </c>
      <c r="D2279" t="s">
        <v>936</v>
      </c>
      <c r="E2279">
        <v>3576</v>
      </c>
      <c r="F2279" t="s">
        <v>24</v>
      </c>
    </row>
    <row r="2280" spans="1:6" x14ac:dyDescent="0.35">
      <c r="A2280" s="1">
        <v>45607</v>
      </c>
      <c r="B2280" s="2">
        <v>45607.325310231485</v>
      </c>
      <c r="C2280" t="s">
        <v>8</v>
      </c>
      <c r="D2280" t="s">
        <v>748</v>
      </c>
      <c r="E2280">
        <v>3576</v>
      </c>
      <c r="F2280" t="s">
        <v>24</v>
      </c>
    </row>
    <row r="2281" spans="1:6" x14ac:dyDescent="0.35">
      <c r="A2281" s="1">
        <v>45607</v>
      </c>
      <c r="B2281" s="2">
        <v>45607.411409525463</v>
      </c>
      <c r="C2281" t="s">
        <v>8</v>
      </c>
      <c r="D2281" t="s">
        <v>29</v>
      </c>
      <c r="E2281">
        <v>3086</v>
      </c>
      <c r="F2281" t="s">
        <v>36</v>
      </c>
    </row>
    <row r="2282" spans="1:6" x14ac:dyDescent="0.35">
      <c r="A2282" s="1">
        <v>45607</v>
      </c>
      <c r="B2282" s="2">
        <v>45607.429971064812</v>
      </c>
      <c r="C2282" t="s">
        <v>8</v>
      </c>
      <c r="D2282" t="s">
        <v>40</v>
      </c>
      <c r="E2282">
        <v>2596</v>
      </c>
      <c r="F2282" t="s">
        <v>20</v>
      </c>
    </row>
    <row r="2283" spans="1:6" x14ac:dyDescent="0.35">
      <c r="A2283" s="1">
        <v>45607</v>
      </c>
      <c r="B2283" s="2">
        <v>45607.679675925923</v>
      </c>
      <c r="C2283" t="s">
        <v>8</v>
      </c>
      <c r="D2283" t="s">
        <v>260</v>
      </c>
      <c r="E2283">
        <v>3576</v>
      </c>
      <c r="F2283" t="s">
        <v>24</v>
      </c>
    </row>
    <row r="2284" spans="1:6" x14ac:dyDescent="0.35">
      <c r="A2284" s="1">
        <v>45607</v>
      </c>
      <c r="B2284" s="2">
        <v>45607.68047068287</v>
      </c>
      <c r="C2284" t="s">
        <v>8</v>
      </c>
      <c r="D2284" t="s">
        <v>260</v>
      </c>
      <c r="E2284">
        <v>3576</v>
      </c>
      <c r="F2284" t="s">
        <v>15</v>
      </c>
    </row>
    <row r="2285" spans="1:6" x14ac:dyDescent="0.35">
      <c r="A2285" s="1">
        <v>45607</v>
      </c>
      <c r="B2285" s="2">
        <v>45607.731620983795</v>
      </c>
      <c r="C2285" t="s">
        <v>8</v>
      </c>
      <c r="D2285" t="s">
        <v>937</v>
      </c>
      <c r="E2285">
        <v>3576</v>
      </c>
      <c r="F2285" t="s">
        <v>24</v>
      </c>
    </row>
    <row r="2286" spans="1:6" x14ac:dyDescent="0.35">
      <c r="A2286" s="1">
        <v>45607</v>
      </c>
      <c r="B2286" s="2">
        <v>45607.792209606479</v>
      </c>
      <c r="C2286" t="s">
        <v>8</v>
      </c>
      <c r="D2286" t="s">
        <v>938</v>
      </c>
      <c r="E2286">
        <v>3576</v>
      </c>
      <c r="F2286" t="s">
        <v>32</v>
      </c>
    </row>
    <row r="2287" spans="1:6" x14ac:dyDescent="0.35">
      <c r="A2287" s="1">
        <v>45607</v>
      </c>
      <c r="B2287" s="2">
        <v>45607.794624166665</v>
      </c>
      <c r="C2287" t="s">
        <v>8</v>
      </c>
      <c r="D2287" t="s">
        <v>939</v>
      </c>
      <c r="E2287">
        <v>3576</v>
      </c>
      <c r="F2287" t="s">
        <v>15</v>
      </c>
    </row>
    <row r="2288" spans="1:6" x14ac:dyDescent="0.35">
      <c r="A2288" s="1">
        <v>45607</v>
      </c>
      <c r="B2288" s="2">
        <v>45607.880922233795</v>
      </c>
      <c r="C2288" t="s">
        <v>8</v>
      </c>
      <c r="D2288" t="s">
        <v>940</v>
      </c>
      <c r="E2288">
        <v>3576</v>
      </c>
      <c r="F2288" t="s">
        <v>32</v>
      </c>
    </row>
    <row r="2289" spans="1:6" x14ac:dyDescent="0.35">
      <c r="A2289" s="1">
        <v>45607</v>
      </c>
      <c r="B2289" s="2">
        <v>45607.881793437497</v>
      </c>
      <c r="C2289" t="s">
        <v>8</v>
      </c>
      <c r="D2289" t="s">
        <v>940</v>
      </c>
      <c r="E2289">
        <v>3576</v>
      </c>
      <c r="F2289" t="s">
        <v>32</v>
      </c>
    </row>
    <row r="2290" spans="1:6" x14ac:dyDescent="0.35">
      <c r="A2290" s="1">
        <v>45608</v>
      </c>
      <c r="B2290" s="2">
        <v>45608.418849212962</v>
      </c>
      <c r="C2290" t="s">
        <v>8</v>
      </c>
      <c r="D2290" t="s">
        <v>941</v>
      </c>
      <c r="E2290">
        <v>3576</v>
      </c>
      <c r="F2290" t="s">
        <v>32</v>
      </c>
    </row>
    <row r="2291" spans="1:6" x14ac:dyDescent="0.35">
      <c r="A2291" s="1">
        <v>45608</v>
      </c>
      <c r="B2291" s="2">
        <v>45608.552608726852</v>
      </c>
      <c r="C2291" t="s">
        <v>8</v>
      </c>
      <c r="D2291" t="s">
        <v>942</v>
      </c>
      <c r="E2291">
        <v>3576</v>
      </c>
      <c r="F2291" t="s">
        <v>32</v>
      </c>
    </row>
    <row r="2292" spans="1:6" x14ac:dyDescent="0.35">
      <c r="A2292" s="1">
        <v>45608</v>
      </c>
      <c r="B2292" s="2">
        <v>45608.610588981479</v>
      </c>
      <c r="C2292" t="s">
        <v>8</v>
      </c>
      <c r="D2292" t="s">
        <v>743</v>
      </c>
      <c r="E2292">
        <v>3576</v>
      </c>
      <c r="F2292" t="s">
        <v>32</v>
      </c>
    </row>
    <row r="2293" spans="1:6" x14ac:dyDescent="0.35">
      <c r="A2293" s="1">
        <v>45608</v>
      </c>
      <c r="B2293" s="2">
        <v>45608.699471805558</v>
      </c>
      <c r="C2293" t="s">
        <v>8</v>
      </c>
      <c r="D2293" t="s">
        <v>943</v>
      </c>
      <c r="E2293">
        <v>3576</v>
      </c>
      <c r="F2293" t="s">
        <v>15</v>
      </c>
    </row>
    <row r="2294" spans="1:6" x14ac:dyDescent="0.35">
      <c r="A2294" s="1">
        <v>45608</v>
      </c>
      <c r="B2294" s="2">
        <v>45608.700056689813</v>
      </c>
      <c r="C2294" t="s">
        <v>8</v>
      </c>
      <c r="D2294" t="s">
        <v>943</v>
      </c>
      <c r="E2294">
        <v>3576</v>
      </c>
      <c r="F2294" t="s">
        <v>15</v>
      </c>
    </row>
    <row r="2295" spans="1:6" x14ac:dyDescent="0.35">
      <c r="A2295" s="1">
        <v>45608</v>
      </c>
      <c r="B2295" s="2">
        <v>45608.700739861109</v>
      </c>
      <c r="C2295" t="s">
        <v>8</v>
      </c>
      <c r="D2295" t="s">
        <v>943</v>
      </c>
      <c r="E2295">
        <v>3576</v>
      </c>
      <c r="F2295" t="s">
        <v>10</v>
      </c>
    </row>
    <row r="2296" spans="1:6" x14ac:dyDescent="0.35">
      <c r="A2296" s="1">
        <v>45608</v>
      </c>
      <c r="B2296" s="2">
        <v>45608.781416006947</v>
      </c>
      <c r="C2296" t="s">
        <v>8</v>
      </c>
      <c r="D2296" t="s">
        <v>748</v>
      </c>
      <c r="E2296">
        <v>3576</v>
      </c>
      <c r="F2296" t="s">
        <v>24</v>
      </c>
    </row>
    <row r="2297" spans="1:6" x14ac:dyDescent="0.35">
      <c r="A2297" s="1">
        <v>45608</v>
      </c>
      <c r="B2297" s="2">
        <v>45608.838863611112</v>
      </c>
      <c r="C2297" t="s">
        <v>8</v>
      </c>
      <c r="D2297" t="s">
        <v>944</v>
      </c>
      <c r="E2297">
        <v>3576</v>
      </c>
      <c r="F2297" t="s">
        <v>32</v>
      </c>
    </row>
    <row r="2298" spans="1:6" x14ac:dyDescent="0.35">
      <c r="A2298" s="1">
        <v>45608</v>
      </c>
      <c r="B2298" s="2">
        <v>45608.839835682869</v>
      </c>
      <c r="C2298" t="s">
        <v>8</v>
      </c>
      <c r="D2298" t="s">
        <v>945</v>
      </c>
      <c r="E2298">
        <v>3576</v>
      </c>
      <c r="F2298" t="s">
        <v>10</v>
      </c>
    </row>
    <row r="2299" spans="1:6" x14ac:dyDescent="0.35">
      <c r="A2299" s="1">
        <v>45609</v>
      </c>
      <c r="B2299" s="2">
        <v>45609.339708935186</v>
      </c>
      <c r="C2299" t="s">
        <v>8</v>
      </c>
      <c r="D2299" t="s">
        <v>946</v>
      </c>
      <c r="E2299">
        <v>3086</v>
      </c>
      <c r="F2299" t="s">
        <v>36</v>
      </c>
    </row>
    <row r="2300" spans="1:6" x14ac:dyDescent="0.35">
      <c r="A2300" s="1">
        <v>45609</v>
      </c>
      <c r="B2300" s="2">
        <v>45609.44286171296</v>
      </c>
      <c r="C2300" t="s">
        <v>8</v>
      </c>
      <c r="D2300" t="s">
        <v>944</v>
      </c>
      <c r="E2300">
        <v>3576</v>
      </c>
      <c r="F2300" t="s">
        <v>32</v>
      </c>
    </row>
    <row r="2301" spans="1:6" x14ac:dyDescent="0.35">
      <c r="A2301" s="1">
        <v>45609</v>
      </c>
      <c r="B2301" s="2">
        <v>45609.555492708336</v>
      </c>
      <c r="C2301" t="s">
        <v>8</v>
      </c>
      <c r="D2301" t="s">
        <v>947</v>
      </c>
      <c r="E2301">
        <v>3086</v>
      </c>
      <c r="F2301" t="s">
        <v>36</v>
      </c>
    </row>
    <row r="2302" spans="1:6" x14ac:dyDescent="0.35">
      <c r="A2302" s="1">
        <v>45609</v>
      </c>
      <c r="B2302" s="2">
        <v>45609.556232372684</v>
      </c>
      <c r="C2302" t="s">
        <v>8</v>
      </c>
      <c r="D2302" t="s">
        <v>947</v>
      </c>
      <c r="E2302">
        <v>3086</v>
      </c>
      <c r="F2302" t="s">
        <v>36</v>
      </c>
    </row>
    <row r="2303" spans="1:6" x14ac:dyDescent="0.35">
      <c r="A2303" s="1">
        <v>45609</v>
      </c>
      <c r="B2303" s="2">
        <v>45609.595488888888</v>
      </c>
      <c r="C2303" t="s">
        <v>8</v>
      </c>
      <c r="D2303" t="s">
        <v>948</v>
      </c>
      <c r="E2303">
        <v>3086</v>
      </c>
      <c r="F2303" t="s">
        <v>36</v>
      </c>
    </row>
    <row r="2304" spans="1:6" x14ac:dyDescent="0.35">
      <c r="A2304" s="1">
        <v>45609</v>
      </c>
      <c r="B2304" s="2">
        <v>45609.615953483793</v>
      </c>
      <c r="C2304" t="s">
        <v>8</v>
      </c>
      <c r="D2304" t="s">
        <v>944</v>
      </c>
      <c r="E2304">
        <v>3576</v>
      </c>
      <c r="F2304" t="s">
        <v>32</v>
      </c>
    </row>
    <row r="2305" spans="1:6" x14ac:dyDescent="0.35">
      <c r="A2305" s="1">
        <v>45610</v>
      </c>
      <c r="B2305" s="2">
        <v>45610.400321504632</v>
      </c>
      <c r="C2305" t="s">
        <v>8</v>
      </c>
      <c r="D2305" t="s">
        <v>944</v>
      </c>
      <c r="E2305">
        <v>3576</v>
      </c>
      <c r="F2305" t="s">
        <v>32</v>
      </c>
    </row>
    <row r="2306" spans="1:6" x14ac:dyDescent="0.35">
      <c r="A2306" s="1">
        <v>45610</v>
      </c>
      <c r="B2306" s="2">
        <v>45610.421327314813</v>
      </c>
      <c r="C2306" t="s">
        <v>8</v>
      </c>
      <c r="D2306" t="s">
        <v>949</v>
      </c>
      <c r="E2306">
        <v>2596</v>
      </c>
      <c r="F2306" t="s">
        <v>28</v>
      </c>
    </row>
    <row r="2307" spans="1:6" x14ac:dyDescent="0.35">
      <c r="A2307" s="1">
        <v>45610</v>
      </c>
      <c r="B2307" s="2">
        <v>45610.533917581015</v>
      </c>
      <c r="C2307" t="s">
        <v>8</v>
      </c>
      <c r="D2307" t="s">
        <v>950</v>
      </c>
      <c r="E2307">
        <v>2106</v>
      </c>
      <c r="F2307" t="s">
        <v>5</v>
      </c>
    </row>
    <row r="2308" spans="1:6" x14ac:dyDescent="0.35">
      <c r="A2308" s="1">
        <v>45610</v>
      </c>
      <c r="B2308" s="2">
        <v>45610.627608946757</v>
      </c>
      <c r="C2308" t="s">
        <v>8</v>
      </c>
      <c r="D2308" t="s">
        <v>951</v>
      </c>
      <c r="E2308">
        <v>3576</v>
      </c>
      <c r="F2308" t="s">
        <v>24</v>
      </c>
    </row>
    <row r="2309" spans="1:6" x14ac:dyDescent="0.35">
      <c r="A2309" s="1">
        <v>45610</v>
      </c>
      <c r="B2309" s="2">
        <v>45610.62843459491</v>
      </c>
      <c r="C2309" t="s">
        <v>8</v>
      </c>
      <c r="D2309" t="s">
        <v>952</v>
      </c>
      <c r="E2309">
        <v>3576</v>
      </c>
      <c r="F2309" t="s">
        <v>32</v>
      </c>
    </row>
    <row r="2310" spans="1:6" x14ac:dyDescent="0.35">
      <c r="A2310" s="1">
        <v>45610</v>
      </c>
      <c r="B2310" s="2">
        <v>45610.629048530092</v>
      </c>
      <c r="C2310" t="s">
        <v>8</v>
      </c>
      <c r="D2310" t="s">
        <v>952</v>
      </c>
      <c r="E2310">
        <v>3576</v>
      </c>
      <c r="F2310" t="s">
        <v>24</v>
      </c>
    </row>
    <row r="2311" spans="1:6" x14ac:dyDescent="0.35">
      <c r="A2311" s="1">
        <v>45610</v>
      </c>
      <c r="B2311" s="2">
        <v>45610.675790613423</v>
      </c>
      <c r="C2311" t="s">
        <v>8</v>
      </c>
      <c r="D2311" t="s">
        <v>871</v>
      </c>
      <c r="E2311">
        <v>3086</v>
      </c>
      <c r="F2311" t="s">
        <v>36</v>
      </c>
    </row>
    <row r="2312" spans="1:6" x14ac:dyDescent="0.35">
      <c r="A2312" s="1">
        <v>45610</v>
      </c>
      <c r="B2312" s="2">
        <v>45610.676638379628</v>
      </c>
      <c r="C2312" t="s">
        <v>8</v>
      </c>
      <c r="D2312" t="s">
        <v>871</v>
      </c>
      <c r="E2312">
        <v>3576</v>
      </c>
      <c r="F2312" t="s">
        <v>24</v>
      </c>
    </row>
    <row r="2313" spans="1:6" x14ac:dyDescent="0.35">
      <c r="A2313" s="1">
        <v>45610</v>
      </c>
      <c r="B2313" s="2">
        <v>45610.821834421295</v>
      </c>
      <c r="C2313" t="s">
        <v>8</v>
      </c>
      <c r="D2313" t="s">
        <v>21</v>
      </c>
      <c r="E2313">
        <v>3576</v>
      </c>
      <c r="F2313" t="s">
        <v>15</v>
      </c>
    </row>
    <row r="2314" spans="1:6" x14ac:dyDescent="0.35">
      <c r="A2314" s="1">
        <v>45610</v>
      </c>
      <c r="B2314" s="2">
        <v>45610.824040960651</v>
      </c>
      <c r="C2314" t="s">
        <v>8</v>
      </c>
      <c r="D2314" t="s">
        <v>21</v>
      </c>
      <c r="E2314">
        <v>3576</v>
      </c>
      <c r="F2314" t="s">
        <v>15</v>
      </c>
    </row>
    <row r="2315" spans="1:6" x14ac:dyDescent="0.35">
      <c r="A2315" s="1">
        <v>45610</v>
      </c>
      <c r="B2315" s="2">
        <v>45610.855208645837</v>
      </c>
      <c r="C2315" t="s">
        <v>8</v>
      </c>
      <c r="D2315" t="s">
        <v>929</v>
      </c>
      <c r="E2315">
        <v>3576</v>
      </c>
      <c r="F2315" t="s">
        <v>10</v>
      </c>
    </row>
    <row r="2316" spans="1:6" x14ac:dyDescent="0.35">
      <c r="A2316" s="1">
        <v>45610</v>
      </c>
      <c r="B2316" s="2">
        <v>45610.855909143516</v>
      </c>
      <c r="C2316" t="s">
        <v>8</v>
      </c>
      <c r="D2316" t="s">
        <v>929</v>
      </c>
      <c r="E2316">
        <v>3576</v>
      </c>
      <c r="F2316" t="s">
        <v>15</v>
      </c>
    </row>
    <row r="2317" spans="1:6" x14ac:dyDescent="0.35">
      <c r="A2317" s="1">
        <v>45610</v>
      </c>
      <c r="B2317" s="2">
        <v>45610.892032245371</v>
      </c>
      <c r="C2317" t="s">
        <v>8</v>
      </c>
      <c r="D2317" t="s">
        <v>76</v>
      </c>
      <c r="E2317">
        <v>3576</v>
      </c>
      <c r="F2317" t="s">
        <v>32</v>
      </c>
    </row>
    <row r="2318" spans="1:6" x14ac:dyDescent="0.35">
      <c r="A2318" s="1">
        <v>45610</v>
      </c>
      <c r="B2318" s="2">
        <v>45610.944934571758</v>
      </c>
      <c r="C2318" t="s">
        <v>8</v>
      </c>
      <c r="D2318" t="s">
        <v>953</v>
      </c>
      <c r="E2318">
        <v>3576</v>
      </c>
      <c r="F2318" t="s">
        <v>32</v>
      </c>
    </row>
    <row r="2319" spans="1:6" x14ac:dyDescent="0.35">
      <c r="A2319" s="1">
        <v>45611</v>
      </c>
      <c r="B2319" s="2">
        <v>45611.365175219908</v>
      </c>
      <c r="C2319" t="s">
        <v>8</v>
      </c>
      <c r="D2319" t="s">
        <v>954</v>
      </c>
      <c r="E2319">
        <v>3086</v>
      </c>
      <c r="F2319" t="s">
        <v>36</v>
      </c>
    </row>
    <row r="2320" spans="1:6" x14ac:dyDescent="0.35">
      <c r="A2320" s="1">
        <v>45611</v>
      </c>
      <c r="B2320" s="2">
        <v>45611.462419386575</v>
      </c>
      <c r="C2320" t="s">
        <v>8</v>
      </c>
      <c r="D2320" t="s">
        <v>821</v>
      </c>
      <c r="E2320">
        <v>3086</v>
      </c>
      <c r="F2320" t="s">
        <v>36</v>
      </c>
    </row>
    <row r="2321" spans="1:6" x14ac:dyDescent="0.35">
      <c r="A2321" s="1">
        <v>45611</v>
      </c>
      <c r="B2321" s="2">
        <v>45611.506255324071</v>
      </c>
      <c r="C2321" t="s">
        <v>8</v>
      </c>
      <c r="D2321" t="s">
        <v>955</v>
      </c>
      <c r="E2321">
        <v>3576</v>
      </c>
      <c r="F2321" t="s">
        <v>10</v>
      </c>
    </row>
    <row r="2322" spans="1:6" x14ac:dyDescent="0.35">
      <c r="A2322" s="1">
        <v>45611</v>
      </c>
      <c r="B2322" s="2">
        <v>45611.509936932867</v>
      </c>
      <c r="C2322" t="s">
        <v>8</v>
      </c>
      <c r="D2322" t="s">
        <v>956</v>
      </c>
      <c r="E2322">
        <v>3576</v>
      </c>
      <c r="F2322" t="s">
        <v>10</v>
      </c>
    </row>
    <row r="2323" spans="1:6" x14ac:dyDescent="0.35">
      <c r="A2323" s="1">
        <v>45611</v>
      </c>
      <c r="B2323" s="2">
        <v>45611.581642291669</v>
      </c>
      <c r="C2323" t="s">
        <v>8</v>
      </c>
      <c r="D2323" t="s">
        <v>547</v>
      </c>
      <c r="E2323">
        <v>3576</v>
      </c>
      <c r="F2323" t="s">
        <v>32</v>
      </c>
    </row>
    <row r="2324" spans="1:6" x14ac:dyDescent="0.35">
      <c r="A2324" s="1">
        <v>45611</v>
      </c>
      <c r="B2324" s="2">
        <v>45611.638780462963</v>
      </c>
      <c r="C2324" t="s">
        <v>8</v>
      </c>
      <c r="D2324" t="s">
        <v>957</v>
      </c>
      <c r="E2324">
        <v>2596</v>
      </c>
      <c r="F2324" t="s">
        <v>28</v>
      </c>
    </row>
    <row r="2325" spans="1:6" x14ac:dyDescent="0.35">
      <c r="A2325" s="1">
        <v>45611</v>
      </c>
      <c r="B2325" s="2">
        <v>45611.733114039351</v>
      </c>
      <c r="C2325" t="s">
        <v>8</v>
      </c>
      <c r="D2325" t="s">
        <v>903</v>
      </c>
      <c r="E2325">
        <v>3086</v>
      </c>
      <c r="F2325" t="s">
        <v>36</v>
      </c>
    </row>
    <row r="2326" spans="1:6" x14ac:dyDescent="0.35">
      <c r="A2326" s="1">
        <v>45611</v>
      </c>
      <c r="B2326" s="2">
        <v>45611.746544988426</v>
      </c>
      <c r="C2326" t="s">
        <v>8</v>
      </c>
      <c r="D2326" t="s">
        <v>958</v>
      </c>
      <c r="E2326">
        <v>3576</v>
      </c>
      <c r="F2326" t="s">
        <v>32</v>
      </c>
    </row>
    <row r="2327" spans="1:6" x14ac:dyDescent="0.35">
      <c r="A2327" s="1">
        <v>45611</v>
      </c>
      <c r="B2327" s="2">
        <v>45611.758853368054</v>
      </c>
      <c r="C2327" t="s">
        <v>8</v>
      </c>
      <c r="D2327" t="s">
        <v>959</v>
      </c>
      <c r="E2327">
        <v>3576</v>
      </c>
      <c r="F2327" t="s">
        <v>15</v>
      </c>
    </row>
    <row r="2328" spans="1:6" x14ac:dyDescent="0.35">
      <c r="A2328" s="1">
        <v>45611</v>
      </c>
      <c r="B2328" s="2">
        <v>45611.779420486113</v>
      </c>
      <c r="C2328" t="s">
        <v>8</v>
      </c>
      <c r="D2328" t="s">
        <v>340</v>
      </c>
      <c r="E2328">
        <v>3086</v>
      </c>
      <c r="F2328" t="s">
        <v>36</v>
      </c>
    </row>
    <row r="2329" spans="1:6" x14ac:dyDescent="0.35">
      <c r="A2329" s="1">
        <v>45611</v>
      </c>
      <c r="B2329" s="2">
        <v>45611.780106018516</v>
      </c>
      <c r="C2329" t="s">
        <v>8</v>
      </c>
      <c r="D2329" t="s">
        <v>340</v>
      </c>
      <c r="E2329">
        <v>3086</v>
      </c>
      <c r="F2329" t="s">
        <v>36</v>
      </c>
    </row>
    <row r="2330" spans="1:6" x14ac:dyDescent="0.35">
      <c r="A2330" s="1">
        <v>45612</v>
      </c>
      <c r="B2330" s="2">
        <v>45612.431653587963</v>
      </c>
      <c r="C2330" t="s">
        <v>8</v>
      </c>
      <c r="D2330" t="s">
        <v>40</v>
      </c>
      <c r="E2330">
        <v>2596</v>
      </c>
      <c r="F2330" t="s">
        <v>20</v>
      </c>
    </row>
    <row r="2331" spans="1:6" x14ac:dyDescent="0.35">
      <c r="A2331" s="1">
        <v>45612</v>
      </c>
      <c r="B2331" s="2">
        <v>45612.448511342591</v>
      </c>
      <c r="C2331" t="s">
        <v>8</v>
      </c>
      <c r="D2331" t="s">
        <v>960</v>
      </c>
      <c r="E2331">
        <v>2596</v>
      </c>
      <c r="F2331" t="s">
        <v>20</v>
      </c>
    </row>
    <row r="2332" spans="1:6" x14ac:dyDescent="0.35">
      <c r="A2332" s="1">
        <v>45612</v>
      </c>
      <c r="B2332" s="2">
        <v>45612.459730856484</v>
      </c>
      <c r="C2332" t="s">
        <v>8</v>
      </c>
      <c r="D2332" t="s">
        <v>961</v>
      </c>
      <c r="E2332">
        <v>3576</v>
      </c>
      <c r="F2332" t="s">
        <v>15</v>
      </c>
    </row>
    <row r="2333" spans="1:6" x14ac:dyDescent="0.35">
      <c r="A2333" s="1">
        <v>45612</v>
      </c>
      <c r="B2333" s="2">
        <v>45612.4604927662</v>
      </c>
      <c r="C2333" t="s">
        <v>8</v>
      </c>
      <c r="D2333" t="s">
        <v>962</v>
      </c>
      <c r="E2333">
        <v>3576</v>
      </c>
      <c r="F2333" t="s">
        <v>32</v>
      </c>
    </row>
    <row r="2334" spans="1:6" x14ac:dyDescent="0.35">
      <c r="A2334" s="1">
        <v>45612</v>
      </c>
      <c r="B2334" s="2">
        <v>45612.485705706022</v>
      </c>
      <c r="C2334" t="s">
        <v>8</v>
      </c>
      <c r="D2334" t="s">
        <v>355</v>
      </c>
      <c r="E2334">
        <v>2596</v>
      </c>
      <c r="F2334" t="s">
        <v>28</v>
      </c>
    </row>
    <row r="2335" spans="1:6" x14ac:dyDescent="0.35">
      <c r="A2335" s="1">
        <v>45612</v>
      </c>
      <c r="B2335" s="2">
        <v>45612.521006759256</v>
      </c>
      <c r="C2335" t="s">
        <v>8</v>
      </c>
      <c r="D2335" t="s">
        <v>963</v>
      </c>
      <c r="E2335">
        <v>3576</v>
      </c>
      <c r="F2335" t="s">
        <v>24</v>
      </c>
    </row>
    <row r="2336" spans="1:6" x14ac:dyDescent="0.35">
      <c r="A2336" s="1">
        <v>45612</v>
      </c>
      <c r="B2336" s="2">
        <v>45612.522112916668</v>
      </c>
      <c r="C2336" t="s">
        <v>8</v>
      </c>
      <c r="D2336" t="s">
        <v>964</v>
      </c>
      <c r="E2336">
        <v>3086</v>
      </c>
      <c r="F2336" t="s">
        <v>36</v>
      </c>
    </row>
    <row r="2337" spans="1:6" x14ac:dyDescent="0.35">
      <c r="A2337" s="1">
        <v>45612</v>
      </c>
      <c r="B2337" s="2">
        <v>45612.533748217589</v>
      </c>
      <c r="C2337" t="s">
        <v>8</v>
      </c>
      <c r="D2337" t="s">
        <v>965</v>
      </c>
      <c r="E2337">
        <v>3576</v>
      </c>
      <c r="F2337" t="s">
        <v>32</v>
      </c>
    </row>
    <row r="2338" spans="1:6" x14ac:dyDescent="0.35">
      <c r="A2338" s="1">
        <v>45612</v>
      </c>
      <c r="B2338" s="2">
        <v>45612.534434340276</v>
      </c>
      <c r="C2338" t="s">
        <v>8</v>
      </c>
      <c r="D2338" t="s">
        <v>965</v>
      </c>
      <c r="E2338">
        <v>3576</v>
      </c>
      <c r="F2338" t="s">
        <v>32</v>
      </c>
    </row>
    <row r="2339" spans="1:6" x14ac:dyDescent="0.35">
      <c r="A2339" s="1">
        <v>45612</v>
      </c>
      <c r="B2339" s="2">
        <v>45612.553419895834</v>
      </c>
      <c r="C2339" t="s">
        <v>8</v>
      </c>
      <c r="D2339" t="s">
        <v>871</v>
      </c>
      <c r="E2339">
        <v>3086</v>
      </c>
      <c r="F2339" t="s">
        <v>36</v>
      </c>
    </row>
    <row r="2340" spans="1:6" x14ac:dyDescent="0.35">
      <c r="A2340" s="1">
        <v>45612</v>
      </c>
      <c r="B2340" s="2">
        <v>45612.554172175929</v>
      </c>
      <c r="C2340" t="s">
        <v>8</v>
      </c>
      <c r="D2340" t="s">
        <v>966</v>
      </c>
      <c r="E2340">
        <v>3576</v>
      </c>
      <c r="F2340" t="s">
        <v>32</v>
      </c>
    </row>
    <row r="2341" spans="1:6" x14ac:dyDescent="0.35">
      <c r="A2341" s="1">
        <v>45612</v>
      </c>
      <c r="B2341" s="2">
        <v>45612.554965601848</v>
      </c>
      <c r="C2341" t="s">
        <v>8</v>
      </c>
      <c r="D2341" t="s">
        <v>966</v>
      </c>
      <c r="E2341">
        <v>3576</v>
      </c>
      <c r="F2341" t="s">
        <v>32</v>
      </c>
    </row>
    <row r="2342" spans="1:6" x14ac:dyDescent="0.35">
      <c r="A2342" s="1">
        <v>45612</v>
      </c>
      <c r="B2342" s="2">
        <v>45612.601242916666</v>
      </c>
      <c r="C2342" t="s">
        <v>8</v>
      </c>
      <c r="D2342" t="s">
        <v>967</v>
      </c>
      <c r="E2342">
        <v>3086</v>
      </c>
      <c r="F2342" t="s">
        <v>36</v>
      </c>
    </row>
    <row r="2343" spans="1:6" x14ac:dyDescent="0.35">
      <c r="A2343" s="1">
        <v>45613</v>
      </c>
      <c r="B2343" s="2">
        <v>45613.437233599536</v>
      </c>
      <c r="C2343" t="s">
        <v>8</v>
      </c>
      <c r="D2343" t="s">
        <v>968</v>
      </c>
      <c r="E2343">
        <v>3086</v>
      </c>
      <c r="F2343" t="s">
        <v>36</v>
      </c>
    </row>
    <row r="2344" spans="1:6" x14ac:dyDescent="0.35">
      <c r="A2344" s="1">
        <v>45613</v>
      </c>
      <c r="B2344" s="2">
        <v>45613.566200173613</v>
      </c>
      <c r="C2344" t="s">
        <v>8</v>
      </c>
      <c r="D2344" t="s">
        <v>969</v>
      </c>
      <c r="E2344">
        <v>3086</v>
      </c>
      <c r="F2344" t="s">
        <v>36</v>
      </c>
    </row>
    <row r="2345" spans="1:6" x14ac:dyDescent="0.35">
      <c r="A2345" s="1">
        <v>45613</v>
      </c>
      <c r="B2345" s="2">
        <v>45613.596317094911</v>
      </c>
      <c r="C2345" t="s">
        <v>8</v>
      </c>
      <c r="D2345" t="s">
        <v>970</v>
      </c>
      <c r="E2345">
        <v>2596</v>
      </c>
      <c r="F2345" t="s">
        <v>28</v>
      </c>
    </row>
    <row r="2346" spans="1:6" x14ac:dyDescent="0.35">
      <c r="A2346" s="1">
        <v>45613</v>
      </c>
      <c r="B2346" s="2">
        <v>45613.606715821756</v>
      </c>
      <c r="C2346" t="s">
        <v>8</v>
      </c>
      <c r="D2346" t="s">
        <v>971</v>
      </c>
      <c r="E2346">
        <v>3086</v>
      </c>
      <c r="F2346" t="s">
        <v>36</v>
      </c>
    </row>
    <row r="2347" spans="1:6" x14ac:dyDescent="0.35">
      <c r="A2347" s="1">
        <v>45613</v>
      </c>
      <c r="B2347" s="2">
        <v>45613.68571972222</v>
      </c>
      <c r="C2347" t="s">
        <v>8</v>
      </c>
      <c r="D2347" t="s">
        <v>972</v>
      </c>
      <c r="E2347">
        <v>3576</v>
      </c>
      <c r="F2347" t="s">
        <v>32</v>
      </c>
    </row>
    <row r="2348" spans="1:6" x14ac:dyDescent="0.35">
      <c r="A2348" s="1">
        <v>45613</v>
      </c>
      <c r="B2348" s="2">
        <v>45613.686525219906</v>
      </c>
      <c r="C2348" t="s">
        <v>8</v>
      </c>
      <c r="D2348" t="s">
        <v>972</v>
      </c>
      <c r="E2348">
        <v>3576</v>
      </c>
      <c r="F2348" t="s">
        <v>32</v>
      </c>
    </row>
    <row r="2349" spans="1:6" x14ac:dyDescent="0.35">
      <c r="A2349" s="1">
        <v>45613</v>
      </c>
      <c r="B2349" s="2">
        <v>45613.757021307872</v>
      </c>
      <c r="C2349" t="s">
        <v>8</v>
      </c>
      <c r="D2349" t="s">
        <v>973</v>
      </c>
      <c r="E2349">
        <v>3576</v>
      </c>
      <c r="F2349" t="s">
        <v>15</v>
      </c>
    </row>
    <row r="2350" spans="1:6" x14ac:dyDescent="0.35">
      <c r="A2350" s="1">
        <v>45613</v>
      </c>
      <c r="B2350" s="2">
        <v>45613.803869085648</v>
      </c>
      <c r="C2350" t="s">
        <v>8</v>
      </c>
      <c r="D2350" t="s">
        <v>974</v>
      </c>
      <c r="E2350">
        <v>3576</v>
      </c>
      <c r="F2350" t="s">
        <v>15</v>
      </c>
    </row>
    <row r="2351" spans="1:6" x14ac:dyDescent="0.35">
      <c r="A2351" s="1">
        <v>45613</v>
      </c>
      <c r="B2351" s="2">
        <v>45613.804485185188</v>
      </c>
      <c r="C2351" t="s">
        <v>8</v>
      </c>
      <c r="D2351" t="s">
        <v>974</v>
      </c>
      <c r="E2351">
        <v>3576</v>
      </c>
      <c r="F2351" t="s">
        <v>15</v>
      </c>
    </row>
    <row r="2352" spans="1:6" x14ac:dyDescent="0.35">
      <c r="A2352" s="1">
        <v>45614</v>
      </c>
      <c r="B2352" s="2">
        <v>45614.328004849536</v>
      </c>
      <c r="C2352" t="s">
        <v>8</v>
      </c>
      <c r="D2352" t="s">
        <v>821</v>
      </c>
      <c r="E2352">
        <v>3086</v>
      </c>
      <c r="F2352" t="s">
        <v>36</v>
      </c>
    </row>
    <row r="2353" spans="1:6" x14ac:dyDescent="0.35">
      <c r="A2353" s="1">
        <v>45614</v>
      </c>
      <c r="B2353" s="2">
        <v>45614.32866146991</v>
      </c>
      <c r="C2353" t="s">
        <v>8</v>
      </c>
      <c r="D2353" t="s">
        <v>975</v>
      </c>
      <c r="E2353">
        <v>3086</v>
      </c>
      <c r="F2353" t="s">
        <v>36</v>
      </c>
    </row>
    <row r="2354" spans="1:6" x14ac:dyDescent="0.35">
      <c r="A2354" s="1">
        <v>45614</v>
      </c>
      <c r="B2354" s="2">
        <v>45614.331506921299</v>
      </c>
      <c r="C2354" t="s">
        <v>8</v>
      </c>
      <c r="D2354" t="s">
        <v>622</v>
      </c>
      <c r="E2354">
        <v>3576</v>
      </c>
      <c r="F2354" t="s">
        <v>32</v>
      </c>
    </row>
    <row r="2355" spans="1:6" x14ac:dyDescent="0.35">
      <c r="A2355" s="1">
        <v>45614</v>
      </c>
      <c r="B2355" s="2">
        <v>45614.697790208331</v>
      </c>
      <c r="C2355" t="s">
        <v>8</v>
      </c>
      <c r="D2355" t="s">
        <v>976</v>
      </c>
      <c r="E2355">
        <v>3576</v>
      </c>
      <c r="F2355" t="s">
        <v>32</v>
      </c>
    </row>
    <row r="2356" spans="1:6" x14ac:dyDescent="0.35">
      <c r="A2356" s="1">
        <v>45614</v>
      </c>
      <c r="B2356" s="2">
        <v>45614.699223310185</v>
      </c>
      <c r="C2356" t="s">
        <v>8</v>
      </c>
      <c r="D2356" t="s">
        <v>958</v>
      </c>
      <c r="E2356">
        <v>3576</v>
      </c>
      <c r="F2356" t="s">
        <v>32</v>
      </c>
    </row>
    <row r="2357" spans="1:6" x14ac:dyDescent="0.35">
      <c r="A2357" s="1">
        <v>45614</v>
      </c>
      <c r="B2357" s="2">
        <v>45614.785348807869</v>
      </c>
      <c r="C2357" t="s">
        <v>8</v>
      </c>
      <c r="D2357" t="s">
        <v>977</v>
      </c>
      <c r="E2357">
        <v>3576</v>
      </c>
      <c r="F2357" t="s">
        <v>32</v>
      </c>
    </row>
    <row r="2358" spans="1:6" x14ac:dyDescent="0.35">
      <c r="A2358" s="1">
        <v>45615</v>
      </c>
      <c r="B2358" s="2">
        <v>45615.325701712965</v>
      </c>
      <c r="C2358" t="s">
        <v>8</v>
      </c>
      <c r="D2358" t="s">
        <v>748</v>
      </c>
      <c r="E2358">
        <v>3576</v>
      </c>
      <c r="F2358" t="s">
        <v>10</v>
      </c>
    </row>
    <row r="2359" spans="1:6" x14ac:dyDescent="0.35">
      <c r="A2359" s="1">
        <v>45615</v>
      </c>
      <c r="B2359" s="2">
        <v>45615.327241643521</v>
      </c>
      <c r="C2359" t="s">
        <v>8</v>
      </c>
      <c r="D2359" t="s">
        <v>975</v>
      </c>
      <c r="E2359">
        <v>3086</v>
      </c>
      <c r="F2359" t="s">
        <v>36</v>
      </c>
    </row>
    <row r="2360" spans="1:6" x14ac:dyDescent="0.35">
      <c r="A2360" s="1">
        <v>45615</v>
      </c>
      <c r="B2360" s="2">
        <v>45615.327933032408</v>
      </c>
      <c r="C2360" t="s">
        <v>8</v>
      </c>
      <c r="D2360" t="s">
        <v>975</v>
      </c>
      <c r="E2360">
        <v>3576</v>
      </c>
      <c r="F2360" t="s">
        <v>32</v>
      </c>
    </row>
    <row r="2361" spans="1:6" x14ac:dyDescent="0.35">
      <c r="A2361" s="1">
        <v>45615</v>
      </c>
      <c r="B2361" s="2">
        <v>45615.328916585648</v>
      </c>
      <c r="C2361" t="s">
        <v>8</v>
      </c>
      <c r="D2361" t="s">
        <v>978</v>
      </c>
      <c r="E2361">
        <v>2106</v>
      </c>
      <c r="F2361" t="s">
        <v>5</v>
      </c>
    </row>
    <row r="2362" spans="1:6" x14ac:dyDescent="0.35">
      <c r="A2362" s="1">
        <v>45615</v>
      </c>
      <c r="B2362" s="2">
        <v>45615.329709409722</v>
      </c>
      <c r="C2362" t="s">
        <v>8</v>
      </c>
      <c r="D2362" t="s">
        <v>979</v>
      </c>
      <c r="E2362">
        <v>3576</v>
      </c>
      <c r="F2362" t="s">
        <v>32</v>
      </c>
    </row>
    <row r="2363" spans="1:6" x14ac:dyDescent="0.35">
      <c r="A2363" s="1">
        <v>45615</v>
      </c>
      <c r="B2363" s="2">
        <v>45615.437076030095</v>
      </c>
      <c r="C2363" t="s">
        <v>8</v>
      </c>
      <c r="D2363" t="s">
        <v>29</v>
      </c>
      <c r="E2363">
        <v>3086</v>
      </c>
      <c r="F2363" t="s">
        <v>36</v>
      </c>
    </row>
    <row r="2364" spans="1:6" x14ac:dyDescent="0.35">
      <c r="A2364" s="1">
        <v>45615</v>
      </c>
      <c r="B2364" s="2">
        <v>45615.463298807874</v>
      </c>
      <c r="C2364" t="s">
        <v>8</v>
      </c>
      <c r="D2364" t="s">
        <v>980</v>
      </c>
      <c r="E2364">
        <v>3576</v>
      </c>
      <c r="F2364" t="s">
        <v>32</v>
      </c>
    </row>
    <row r="2365" spans="1:6" x14ac:dyDescent="0.35">
      <c r="A2365" s="1">
        <v>45615</v>
      </c>
      <c r="B2365" s="2">
        <v>45615.682412974536</v>
      </c>
      <c r="C2365" t="s">
        <v>8</v>
      </c>
      <c r="D2365" t="s">
        <v>43</v>
      </c>
      <c r="E2365">
        <v>3576</v>
      </c>
      <c r="F2365" t="s">
        <v>10</v>
      </c>
    </row>
    <row r="2366" spans="1:6" x14ac:dyDescent="0.35">
      <c r="A2366" s="1">
        <v>45615</v>
      </c>
      <c r="B2366" s="2">
        <v>45615.683326828701</v>
      </c>
      <c r="C2366" t="s">
        <v>8</v>
      </c>
      <c r="D2366" t="s">
        <v>43</v>
      </c>
      <c r="E2366">
        <v>3576</v>
      </c>
      <c r="F2366" t="s">
        <v>10</v>
      </c>
    </row>
    <row r="2367" spans="1:6" x14ac:dyDescent="0.35">
      <c r="A2367" s="1">
        <v>45615</v>
      </c>
      <c r="B2367" s="2">
        <v>45615.695181377312</v>
      </c>
      <c r="C2367" t="s">
        <v>8</v>
      </c>
      <c r="D2367" t="s">
        <v>260</v>
      </c>
      <c r="E2367">
        <v>3576</v>
      </c>
      <c r="F2367" t="s">
        <v>24</v>
      </c>
    </row>
    <row r="2368" spans="1:6" x14ac:dyDescent="0.35">
      <c r="A2368" s="1">
        <v>45615</v>
      </c>
      <c r="B2368" s="2">
        <v>45615.699782800926</v>
      </c>
      <c r="C2368" t="s">
        <v>8</v>
      </c>
      <c r="D2368" t="s">
        <v>981</v>
      </c>
      <c r="E2368">
        <v>3576</v>
      </c>
      <c r="F2368" t="s">
        <v>24</v>
      </c>
    </row>
    <row r="2369" spans="1:6" x14ac:dyDescent="0.35">
      <c r="A2369" s="1">
        <v>45616</v>
      </c>
      <c r="B2369" s="2">
        <v>45616.562253900462</v>
      </c>
      <c r="C2369" t="s">
        <v>8</v>
      </c>
      <c r="D2369" t="s">
        <v>982</v>
      </c>
      <c r="E2369">
        <v>3086</v>
      </c>
      <c r="F2369" t="s">
        <v>36</v>
      </c>
    </row>
    <row r="2370" spans="1:6" x14ac:dyDescent="0.35">
      <c r="A2370" s="1">
        <v>45616</v>
      </c>
      <c r="B2370" s="2">
        <v>45616.690858182868</v>
      </c>
      <c r="C2370" t="s">
        <v>8</v>
      </c>
      <c r="D2370" t="s">
        <v>958</v>
      </c>
      <c r="E2370">
        <v>3576</v>
      </c>
      <c r="F2370" t="s">
        <v>32</v>
      </c>
    </row>
    <row r="2371" spans="1:6" x14ac:dyDescent="0.35">
      <c r="A2371" s="1">
        <v>45616</v>
      </c>
      <c r="B2371" s="2">
        <v>45616.742959733798</v>
      </c>
      <c r="C2371" t="s">
        <v>8</v>
      </c>
      <c r="D2371" t="s">
        <v>983</v>
      </c>
      <c r="E2371">
        <v>3576</v>
      </c>
      <c r="F2371" t="s">
        <v>24</v>
      </c>
    </row>
    <row r="2372" spans="1:6" x14ac:dyDescent="0.35">
      <c r="A2372" s="1">
        <v>45616</v>
      </c>
      <c r="B2372" s="2">
        <v>45616.743631481484</v>
      </c>
      <c r="C2372" t="s">
        <v>8</v>
      </c>
      <c r="D2372" t="s">
        <v>983</v>
      </c>
      <c r="E2372">
        <v>3576</v>
      </c>
      <c r="F2372" t="s">
        <v>15</v>
      </c>
    </row>
    <row r="2373" spans="1:6" x14ac:dyDescent="0.35">
      <c r="A2373" s="1">
        <v>45617</v>
      </c>
      <c r="B2373" s="2">
        <v>45617.462627638888</v>
      </c>
      <c r="C2373" t="s">
        <v>8</v>
      </c>
      <c r="D2373" t="s">
        <v>40</v>
      </c>
      <c r="E2373">
        <v>2596</v>
      </c>
      <c r="F2373" t="s">
        <v>20</v>
      </c>
    </row>
    <row r="2374" spans="1:6" x14ac:dyDescent="0.35">
      <c r="A2374" s="1">
        <v>45617</v>
      </c>
      <c r="B2374" s="2">
        <v>45617.523334282407</v>
      </c>
      <c r="C2374" t="s">
        <v>8</v>
      </c>
      <c r="D2374" t="s">
        <v>958</v>
      </c>
      <c r="E2374">
        <v>3576</v>
      </c>
      <c r="F2374" t="s">
        <v>32</v>
      </c>
    </row>
    <row r="2375" spans="1:6" x14ac:dyDescent="0.35">
      <c r="A2375" s="1">
        <v>45617</v>
      </c>
      <c r="B2375" s="2">
        <v>45617.541497013888</v>
      </c>
      <c r="C2375" t="s">
        <v>8</v>
      </c>
      <c r="D2375" t="s">
        <v>955</v>
      </c>
      <c r="E2375">
        <v>3576</v>
      </c>
      <c r="F2375" t="s">
        <v>10</v>
      </c>
    </row>
    <row r="2376" spans="1:6" x14ac:dyDescent="0.35">
      <c r="A2376" s="1">
        <v>45617</v>
      </c>
      <c r="B2376" s="2">
        <v>45617.542215162037</v>
      </c>
      <c r="C2376" t="s">
        <v>8</v>
      </c>
      <c r="D2376" t="s">
        <v>984</v>
      </c>
      <c r="E2376">
        <v>3576</v>
      </c>
      <c r="F2376" t="s">
        <v>10</v>
      </c>
    </row>
    <row r="2377" spans="1:6" x14ac:dyDescent="0.35">
      <c r="A2377" s="1">
        <v>45617</v>
      </c>
      <c r="B2377" s="2">
        <v>45617.67654591435</v>
      </c>
      <c r="C2377" t="s">
        <v>8</v>
      </c>
      <c r="D2377" t="s">
        <v>958</v>
      </c>
      <c r="E2377">
        <v>3576</v>
      </c>
      <c r="F2377" t="s">
        <v>32</v>
      </c>
    </row>
    <row r="2378" spans="1:6" x14ac:dyDescent="0.35">
      <c r="A2378" s="1">
        <v>45617</v>
      </c>
      <c r="B2378" s="2">
        <v>45617.732955451385</v>
      </c>
      <c r="C2378" t="s">
        <v>8</v>
      </c>
      <c r="D2378" t="s">
        <v>985</v>
      </c>
      <c r="E2378">
        <v>3086</v>
      </c>
      <c r="F2378" t="s">
        <v>36</v>
      </c>
    </row>
    <row r="2379" spans="1:6" x14ac:dyDescent="0.35">
      <c r="A2379" s="1">
        <v>45617</v>
      </c>
      <c r="B2379" s="2">
        <v>45617.735682546299</v>
      </c>
      <c r="C2379" t="s">
        <v>8</v>
      </c>
      <c r="D2379" t="s">
        <v>986</v>
      </c>
      <c r="E2379">
        <v>2596</v>
      </c>
      <c r="F2379" t="s">
        <v>20</v>
      </c>
    </row>
    <row r="2380" spans="1:6" x14ac:dyDescent="0.35">
      <c r="A2380" s="1">
        <v>45617</v>
      </c>
      <c r="B2380" s="2">
        <v>45617.792395219905</v>
      </c>
      <c r="C2380" t="s">
        <v>8</v>
      </c>
      <c r="D2380" t="s">
        <v>987</v>
      </c>
      <c r="E2380">
        <v>3576</v>
      </c>
      <c r="F2380" t="s">
        <v>15</v>
      </c>
    </row>
    <row r="2381" spans="1:6" x14ac:dyDescent="0.35">
      <c r="A2381" s="1">
        <v>45618</v>
      </c>
      <c r="B2381" s="2">
        <v>45618.326809282407</v>
      </c>
      <c r="C2381" t="s">
        <v>8</v>
      </c>
      <c r="D2381" t="s">
        <v>958</v>
      </c>
      <c r="E2381">
        <v>3576</v>
      </c>
      <c r="F2381" t="s">
        <v>32</v>
      </c>
    </row>
    <row r="2382" spans="1:6" x14ac:dyDescent="0.35">
      <c r="A2382" s="1">
        <v>45618</v>
      </c>
      <c r="B2382" s="2">
        <v>45618.419241944444</v>
      </c>
      <c r="C2382" t="s">
        <v>8</v>
      </c>
      <c r="D2382" t="s">
        <v>748</v>
      </c>
      <c r="E2382">
        <v>3576</v>
      </c>
      <c r="F2382" t="s">
        <v>24</v>
      </c>
    </row>
    <row r="2383" spans="1:6" x14ac:dyDescent="0.35">
      <c r="A2383" s="1">
        <v>45618</v>
      </c>
      <c r="B2383" s="2">
        <v>45618.460097233794</v>
      </c>
      <c r="C2383" t="s">
        <v>8</v>
      </c>
      <c r="D2383" t="s">
        <v>988</v>
      </c>
      <c r="E2383">
        <v>3576</v>
      </c>
      <c r="F2383" t="s">
        <v>32</v>
      </c>
    </row>
    <row r="2384" spans="1:6" x14ac:dyDescent="0.35">
      <c r="A2384" s="1">
        <v>45618</v>
      </c>
      <c r="B2384" s="2">
        <v>45618.475305914355</v>
      </c>
      <c r="C2384" t="s">
        <v>8</v>
      </c>
      <c r="D2384" t="s">
        <v>989</v>
      </c>
      <c r="E2384">
        <v>3576</v>
      </c>
      <c r="F2384" t="s">
        <v>10</v>
      </c>
    </row>
    <row r="2385" spans="1:6" x14ac:dyDescent="0.35">
      <c r="A2385" s="1">
        <v>45618</v>
      </c>
      <c r="B2385" s="2">
        <v>45618.689644953702</v>
      </c>
      <c r="C2385" t="s">
        <v>8</v>
      </c>
      <c r="D2385" t="s">
        <v>990</v>
      </c>
      <c r="E2385">
        <v>3576</v>
      </c>
      <c r="F2385" t="s">
        <v>15</v>
      </c>
    </row>
    <row r="2386" spans="1:6" x14ac:dyDescent="0.35">
      <c r="A2386" s="1">
        <v>45618</v>
      </c>
      <c r="B2386" s="2">
        <v>45618.69016085648</v>
      </c>
      <c r="C2386" t="s">
        <v>8</v>
      </c>
      <c r="D2386" t="s">
        <v>990</v>
      </c>
      <c r="E2386">
        <v>3576</v>
      </c>
      <c r="F2386" t="s">
        <v>32</v>
      </c>
    </row>
    <row r="2387" spans="1:6" x14ac:dyDescent="0.35">
      <c r="A2387" s="1">
        <v>45619</v>
      </c>
      <c r="B2387" s="2">
        <v>45619.382479918982</v>
      </c>
      <c r="C2387" t="s">
        <v>8</v>
      </c>
      <c r="D2387" t="s">
        <v>595</v>
      </c>
      <c r="E2387">
        <v>2596</v>
      </c>
      <c r="F2387" t="s">
        <v>20</v>
      </c>
    </row>
    <row r="2388" spans="1:6" x14ac:dyDescent="0.35">
      <c r="A2388" s="1">
        <v>45619</v>
      </c>
      <c r="B2388" s="2">
        <v>45619.383205775463</v>
      </c>
      <c r="C2388" t="s">
        <v>8</v>
      </c>
      <c r="D2388" t="s">
        <v>595</v>
      </c>
      <c r="E2388">
        <v>2596</v>
      </c>
      <c r="F2388" t="s">
        <v>20</v>
      </c>
    </row>
    <row r="2389" spans="1:6" x14ac:dyDescent="0.35">
      <c r="A2389" s="1">
        <v>45619</v>
      </c>
      <c r="B2389" s="2">
        <v>45619.420321226855</v>
      </c>
      <c r="C2389" t="s">
        <v>8</v>
      </c>
      <c r="D2389" t="s">
        <v>735</v>
      </c>
      <c r="E2389">
        <v>3576</v>
      </c>
      <c r="F2389" t="s">
        <v>32</v>
      </c>
    </row>
    <row r="2390" spans="1:6" x14ac:dyDescent="0.35">
      <c r="A2390" s="1">
        <v>45619</v>
      </c>
      <c r="B2390" s="2">
        <v>45619.460412523149</v>
      </c>
      <c r="C2390" t="s">
        <v>8</v>
      </c>
      <c r="D2390" t="s">
        <v>226</v>
      </c>
      <c r="E2390">
        <v>3576</v>
      </c>
      <c r="F2390" t="s">
        <v>24</v>
      </c>
    </row>
    <row r="2391" spans="1:6" x14ac:dyDescent="0.35">
      <c r="A2391" s="1">
        <v>45619</v>
      </c>
      <c r="B2391" s="2">
        <v>45619.464907685186</v>
      </c>
      <c r="C2391" t="s">
        <v>8</v>
      </c>
      <c r="D2391" t="s">
        <v>991</v>
      </c>
      <c r="E2391">
        <v>2596</v>
      </c>
      <c r="F2391" t="s">
        <v>28</v>
      </c>
    </row>
    <row r="2392" spans="1:6" x14ac:dyDescent="0.35">
      <c r="A2392" s="1">
        <v>45619</v>
      </c>
      <c r="B2392" s="2">
        <v>45619.465576921299</v>
      </c>
      <c r="C2392" t="s">
        <v>8</v>
      </c>
      <c r="D2392" t="s">
        <v>991</v>
      </c>
      <c r="E2392">
        <v>2596</v>
      </c>
      <c r="F2392" t="s">
        <v>28</v>
      </c>
    </row>
    <row r="2393" spans="1:6" x14ac:dyDescent="0.35">
      <c r="A2393" s="1">
        <v>45619</v>
      </c>
      <c r="B2393" s="2">
        <v>45619.487123460647</v>
      </c>
      <c r="C2393" t="s">
        <v>8</v>
      </c>
      <c r="D2393" t="s">
        <v>547</v>
      </c>
      <c r="E2393">
        <v>3576</v>
      </c>
      <c r="F2393" t="s">
        <v>15</v>
      </c>
    </row>
    <row r="2394" spans="1:6" x14ac:dyDescent="0.35">
      <c r="A2394" s="1">
        <v>45619</v>
      </c>
      <c r="B2394" s="2">
        <v>45619.942409513889</v>
      </c>
      <c r="C2394" t="s">
        <v>8</v>
      </c>
      <c r="D2394" t="s">
        <v>992</v>
      </c>
      <c r="E2394">
        <v>3576</v>
      </c>
      <c r="F2394" t="s">
        <v>32</v>
      </c>
    </row>
    <row r="2395" spans="1:6" x14ac:dyDescent="0.35">
      <c r="A2395" s="1">
        <v>45620</v>
      </c>
      <c r="B2395" s="2">
        <v>45620.34522560185</v>
      </c>
      <c r="C2395" t="s">
        <v>8</v>
      </c>
      <c r="D2395" t="s">
        <v>622</v>
      </c>
      <c r="E2395">
        <v>3576</v>
      </c>
      <c r="F2395" t="s">
        <v>32</v>
      </c>
    </row>
    <row r="2396" spans="1:6" x14ac:dyDescent="0.35">
      <c r="A2396" s="1">
        <v>45621</v>
      </c>
      <c r="B2396" s="2">
        <v>45621.325902245371</v>
      </c>
      <c r="C2396" t="s">
        <v>8</v>
      </c>
      <c r="D2396" t="s">
        <v>748</v>
      </c>
      <c r="E2396">
        <v>3576</v>
      </c>
      <c r="F2396" t="s">
        <v>24</v>
      </c>
    </row>
    <row r="2397" spans="1:6" x14ac:dyDescent="0.35">
      <c r="A2397" s="1">
        <v>45621</v>
      </c>
      <c r="B2397" s="2">
        <v>45621.329438703702</v>
      </c>
      <c r="C2397" t="s">
        <v>8</v>
      </c>
      <c r="D2397" t="s">
        <v>993</v>
      </c>
      <c r="E2397">
        <v>3576</v>
      </c>
      <c r="F2397" t="s">
        <v>32</v>
      </c>
    </row>
    <row r="2398" spans="1:6" x14ac:dyDescent="0.35">
      <c r="A2398" s="1">
        <v>45621</v>
      </c>
      <c r="B2398" s="2">
        <v>45621.383576250002</v>
      </c>
      <c r="C2398" t="s">
        <v>8</v>
      </c>
      <c r="D2398" t="s">
        <v>29</v>
      </c>
      <c r="E2398">
        <v>3086</v>
      </c>
      <c r="F2398" t="s">
        <v>36</v>
      </c>
    </row>
    <row r="2399" spans="1:6" x14ac:dyDescent="0.35">
      <c r="A2399" s="1">
        <v>45621</v>
      </c>
      <c r="B2399" s="2">
        <v>45621.443148622682</v>
      </c>
      <c r="C2399" t="s">
        <v>8</v>
      </c>
      <c r="D2399" t="s">
        <v>40</v>
      </c>
      <c r="E2399">
        <v>2596</v>
      </c>
      <c r="F2399" t="s">
        <v>20</v>
      </c>
    </row>
    <row r="2400" spans="1:6" x14ac:dyDescent="0.35">
      <c r="A2400" s="1">
        <v>45621</v>
      </c>
      <c r="B2400" s="2">
        <v>45621.53539582176</v>
      </c>
      <c r="C2400" t="s">
        <v>8</v>
      </c>
      <c r="D2400" t="s">
        <v>994</v>
      </c>
      <c r="E2400">
        <v>3576</v>
      </c>
      <c r="F2400" t="s">
        <v>32</v>
      </c>
    </row>
    <row r="2401" spans="1:6" x14ac:dyDescent="0.35">
      <c r="A2401" s="1">
        <v>45621</v>
      </c>
      <c r="B2401" s="2">
        <v>45621.536586261573</v>
      </c>
      <c r="C2401" t="s">
        <v>8</v>
      </c>
      <c r="D2401" t="s">
        <v>995</v>
      </c>
      <c r="E2401">
        <v>3576</v>
      </c>
      <c r="F2401" t="s">
        <v>32</v>
      </c>
    </row>
    <row r="2402" spans="1:6" x14ac:dyDescent="0.35">
      <c r="A2402" s="1">
        <v>45621</v>
      </c>
      <c r="B2402" s="2">
        <v>45621.688153587966</v>
      </c>
      <c r="C2402" t="s">
        <v>8</v>
      </c>
      <c r="D2402" t="s">
        <v>923</v>
      </c>
      <c r="E2402">
        <v>3576</v>
      </c>
      <c r="F2402" t="s">
        <v>15</v>
      </c>
    </row>
    <row r="2403" spans="1:6" x14ac:dyDescent="0.35">
      <c r="A2403" s="1">
        <v>45621</v>
      </c>
      <c r="B2403" s="2">
        <v>45621.793045104168</v>
      </c>
      <c r="C2403" t="s">
        <v>8</v>
      </c>
      <c r="D2403" t="s">
        <v>996</v>
      </c>
      <c r="E2403">
        <v>3086</v>
      </c>
      <c r="F2403" t="s">
        <v>36</v>
      </c>
    </row>
    <row r="2404" spans="1:6" x14ac:dyDescent="0.35">
      <c r="A2404" s="1">
        <v>45621</v>
      </c>
      <c r="B2404" s="2">
        <v>45621.818038067133</v>
      </c>
      <c r="C2404" t="s">
        <v>8</v>
      </c>
      <c r="D2404" t="s">
        <v>997</v>
      </c>
      <c r="E2404">
        <v>3576</v>
      </c>
      <c r="F2404" t="s">
        <v>15</v>
      </c>
    </row>
    <row r="2405" spans="1:6" x14ac:dyDescent="0.35">
      <c r="A2405" s="1">
        <v>45621</v>
      </c>
      <c r="B2405" s="2">
        <v>45621.904342766204</v>
      </c>
      <c r="C2405" t="s">
        <v>8</v>
      </c>
      <c r="D2405" t="s">
        <v>689</v>
      </c>
      <c r="E2405">
        <v>3576</v>
      </c>
      <c r="F2405" t="s">
        <v>15</v>
      </c>
    </row>
    <row r="2406" spans="1:6" x14ac:dyDescent="0.35">
      <c r="A2406" s="1">
        <v>45621</v>
      </c>
      <c r="B2406" s="2">
        <v>45621.904866319448</v>
      </c>
      <c r="C2406" t="s">
        <v>8</v>
      </c>
      <c r="D2406" t="s">
        <v>689</v>
      </c>
      <c r="E2406">
        <v>3576</v>
      </c>
      <c r="F2406" t="s">
        <v>24</v>
      </c>
    </row>
    <row r="2407" spans="1:6" x14ac:dyDescent="0.35">
      <c r="A2407" s="1">
        <v>45622</v>
      </c>
      <c r="B2407" s="2">
        <v>45622.329605856481</v>
      </c>
      <c r="C2407" t="s">
        <v>8</v>
      </c>
      <c r="D2407" t="s">
        <v>622</v>
      </c>
      <c r="E2407">
        <v>3576</v>
      </c>
      <c r="F2407" t="s">
        <v>32</v>
      </c>
    </row>
    <row r="2408" spans="1:6" x14ac:dyDescent="0.35">
      <c r="A2408" s="1">
        <v>45622</v>
      </c>
      <c r="B2408" s="2">
        <v>45622.460373483795</v>
      </c>
      <c r="C2408" t="s">
        <v>8</v>
      </c>
      <c r="D2408" t="s">
        <v>955</v>
      </c>
      <c r="E2408">
        <v>3576</v>
      </c>
      <c r="F2408" t="s">
        <v>10</v>
      </c>
    </row>
    <row r="2409" spans="1:6" x14ac:dyDescent="0.35">
      <c r="A2409" s="1">
        <v>45622</v>
      </c>
      <c r="B2409" s="2">
        <v>45622.460963831021</v>
      </c>
      <c r="C2409" t="s">
        <v>8</v>
      </c>
      <c r="D2409" t="s">
        <v>998</v>
      </c>
      <c r="E2409">
        <v>2596</v>
      </c>
      <c r="F2409" t="s">
        <v>28</v>
      </c>
    </row>
    <row r="2410" spans="1:6" x14ac:dyDescent="0.35">
      <c r="A2410" s="1">
        <v>45622</v>
      </c>
      <c r="B2410" s="2">
        <v>45622.462605185188</v>
      </c>
      <c r="C2410" t="s">
        <v>8</v>
      </c>
      <c r="D2410" t="s">
        <v>999</v>
      </c>
      <c r="E2410">
        <v>3576</v>
      </c>
      <c r="F2410" t="s">
        <v>10</v>
      </c>
    </row>
    <row r="2411" spans="1:6" x14ac:dyDescent="0.35">
      <c r="A2411" s="1">
        <v>45622</v>
      </c>
      <c r="B2411" s="2">
        <v>45622.463309791667</v>
      </c>
      <c r="C2411" t="s">
        <v>8</v>
      </c>
      <c r="D2411" t="s">
        <v>999</v>
      </c>
      <c r="E2411">
        <v>3576</v>
      </c>
      <c r="F2411" t="s">
        <v>10</v>
      </c>
    </row>
    <row r="2412" spans="1:6" x14ac:dyDescent="0.35">
      <c r="A2412" s="1">
        <v>45622</v>
      </c>
      <c r="B2412" s="2">
        <v>45622.66937851852</v>
      </c>
      <c r="C2412" t="s">
        <v>8</v>
      </c>
      <c r="D2412" t="s">
        <v>1000</v>
      </c>
      <c r="E2412">
        <v>3576</v>
      </c>
      <c r="F2412" t="s">
        <v>32</v>
      </c>
    </row>
    <row r="2413" spans="1:6" x14ac:dyDescent="0.35">
      <c r="A2413" s="1">
        <v>45622</v>
      </c>
      <c r="B2413" s="2">
        <v>45622.670145312499</v>
      </c>
      <c r="C2413" t="s">
        <v>8</v>
      </c>
      <c r="D2413" t="s">
        <v>1001</v>
      </c>
      <c r="E2413">
        <v>3576</v>
      </c>
      <c r="F2413" t="s">
        <v>32</v>
      </c>
    </row>
    <row r="2414" spans="1:6" x14ac:dyDescent="0.35">
      <c r="A2414" s="1">
        <v>45622</v>
      </c>
      <c r="B2414" s="2">
        <v>45622.716408865737</v>
      </c>
      <c r="C2414" t="s">
        <v>8</v>
      </c>
      <c r="D2414" t="s">
        <v>1002</v>
      </c>
      <c r="E2414">
        <v>2596</v>
      </c>
      <c r="F2414" t="s">
        <v>28</v>
      </c>
    </row>
    <row r="2415" spans="1:6" x14ac:dyDescent="0.35">
      <c r="A2415" s="1">
        <v>45622</v>
      </c>
      <c r="B2415" s="2">
        <v>45622.717065243058</v>
      </c>
      <c r="C2415" t="s">
        <v>8</v>
      </c>
      <c r="D2415" t="s">
        <v>1002</v>
      </c>
      <c r="E2415">
        <v>3086</v>
      </c>
      <c r="F2415" t="s">
        <v>36</v>
      </c>
    </row>
    <row r="2416" spans="1:6" x14ac:dyDescent="0.35">
      <c r="A2416" s="1">
        <v>45622</v>
      </c>
      <c r="B2416" s="2">
        <v>45622.82459103009</v>
      </c>
      <c r="C2416" t="s">
        <v>8</v>
      </c>
      <c r="D2416" t="s">
        <v>1003</v>
      </c>
      <c r="E2416">
        <v>3576</v>
      </c>
      <c r="F2416" t="s">
        <v>10</v>
      </c>
    </row>
    <row r="2417" spans="1:6" x14ac:dyDescent="0.35">
      <c r="A2417" s="1">
        <v>45624</v>
      </c>
      <c r="B2417" s="2">
        <v>45624.36200144676</v>
      </c>
      <c r="C2417" t="s">
        <v>8</v>
      </c>
      <c r="D2417" t="s">
        <v>1004</v>
      </c>
      <c r="E2417">
        <v>3576</v>
      </c>
      <c r="F2417" t="s">
        <v>24</v>
      </c>
    </row>
    <row r="2418" spans="1:6" x14ac:dyDescent="0.35">
      <c r="A2418" s="1">
        <v>45624</v>
      </c>
      <c r="B2418" s="2">
        <v>45624.384732708335</v>
      </c>
      <c r="C2418" t="s">
        <v>8</v>
      </c>
      <c r="D2418" t="s">
        <v>29</v>
      </c>
      <c r="E2418">
        <v>3086</v>
      </c>
      <c r="F2418" t="s">
        <v>36</v>
      </c>
    </row>
    <row r="2419" spans="1:6" x14ac:dyDescent="0.35">
      <c r="A2419" s="1">
        <v>45624</v>
      </c>
      <c r="B2419" s="2">
        <v>45624.85048645833</v>
      </c>
      <c r="C2419" t="s">
        <v>8</v>
      </c>
      <c r="D2419" t="s">
        <v>43</v>
      </c>
      <c r="E2419">
        <v>3086</v>
      </c>
      <c r="F2419" t="s">
        <v>36</v>
      </c>
    </row>
    <row r="2420" spans="1:6" x14ac:dyDescent="0.35">
      <c r="A2420" s="1">
        <v>45624</v>
      </c>
      <c r="B2420" s="2">
        <v>45624.851221331017</v>
      </c>
      <c r="C2420" t="s">
        <v>8</v>
      </c>
      <c r="D2420" t="s">
        <v>76</v>
      </c>
      <c r="E2420">
        <v>3576</v>
      </c>
      <c r="F2420" t="s">
        <v>32</v>
      </c>
    </row>
    <row r="2421" spans="1:6" x14ac:dyDescent="0.35">
      <c r="A2421" s="1">
        <v>45624</v>
      </c>
      <c r="B2421" s="2">
        <v>45624.871523935188</v>
      </c>
      <c r="C2421" t="s">
        <v>8</v>
      </c>
      <c r="D2421" t="s">
        <v>21</v>
      </c>
      <c r="E2421">
        <v>3576</v>
      </c>
      <c r="F2421" t="s">
        <v>32</v>
      </c>
    </row>
    <row r="2422" spans="1:6" x14ac:dyDescent="0.35">
      <c r="A2422" s="1">
        <v>45624</v>
      </c>
      <c r="B2422" s="2">
        <v>45624.916848310182</v>
      </c>
      <c r="C2422" t="s">
        <v>8</v>
      </c>
      <c r="D2422" t="s">
        <v>800</v>
      </c>
      <c r="E2422">
        <v>3576</v>
      </c>
      <c r="F2422" t="s">
        <v>24</v>
      </c>
    </row>
    <row r="2423" spans="1:6" x14ac:dyDescent="0.35">
      <c r="A2423" s="1">
        <v>45625</v>
      </c>
      <c r="B2423" s="2">
        <v>45625.328655532408</v>
      </c>
      <c r="C2423" t="s">
        <v>8</v>
      </c>
      <c r="D2423" t="s">
        <v>748</v>
      </c>
      <c r="E2423">
        <v>3576</v>
      </c>
      <c r="F2423" t="s">
        <v>10</v>
      </c>
    </row>
    <row r="2424" spans="1:6" x14ac:dyDescent="0.35">
      <c r="A2424" s="1">
        <v>45625</v>
      </c>
      <c r="B2424" s="2">
        <v>45625.331737858796</v>
      </c>
      <c r="C2424" t="s">
        <v>8</v>
      </c>
      <c r="D2424" t="s">
        <v>622</v>
      </c>
      <c r="E2424">
        <v>3576</v>
      </c>
      <c r="F2424" t="s">
        <v>32</v>
      </c>
    </row>
    <row r="2425" spans="1:6" x14ac:dyDescent="0.35">
      <c r="A2425" s="1">
        <v>45625</v>
      </c>
      <c r="B2425" s="2">
        <v>45625.380225752313</v>
      </c>
      <c r="C2425" t="s">
        <v>8</v>
      </c>
      <c r="D2425" t="s">
        <v>438</v>
      </c>
      <c r="E2425">
        <v>3086</v>
      </c>
      <c r="F2425" t="s">
        <v>36</v>
      </c>
    </row>
    <row r="2426" spans="1:6" x14ac:dyDescent="0.35">
      <c r="A2426" s="1">
        <v>45625</v>
      </c>
      <c r="B2426" s="2">
        <v>45625.380905613427</v>
      </c>
      <c r="C2426" t="s">
        <v>8</v>
      </c>
      <c r="D2426" t="s">
        <v>438</v>
      </c>
      <c r="E2426">
        <v>3086</v>
      </c>
      <c r="F2426" t="s">
        <v>36</v>
      </c>
    </row>
    <row r="2427" spans="1:6" x14ac:dyDescent="0.35">
      <c r="A2427" s="1">
        <v>45625</v>
      </c>
      <c r="B2427" s="2">
        <v>45625.63757939815</v>
      </c>
      <c r="C2427" t="s">
        <v>8</v>
      </c>
      <c r="D2427" t="s">
        <v>1005</v>
      </c>
      <c r="E2427">
        <v>3086</v>
      </c>
      <c r="F2427" t="s">
        <v>36</v>
      </c>
    </row>
    <row r="2428" spans="1:6" x14ac:dyDescent="0.35">
      <c r="A2428" s="1">
        <v>45625</v>
      </c>
      <c r="B2428" s="2">
        <v>45625.638429953702</v>
      </c>
      <c r="C2428" t="s">
        <v>8</v>
      </c>
      <c r="D2428" t="s">
        <v>1006</v>
      </c>
      <c r="E2428">
        <v>3576</v>
      </c>
      <c r="F2428" t="s">
        <v>32</v>
      </c>
    </row>
    <row r="2429" spans="1:6" x14ac:dyDescent="0.35">
      <c r="A2429" s="1">
        <v>45625</v>
      </c>
      <c r="B2429" s="2">
        <v>45625.873549386575</v>
      </c>
      <c r="C2429" t="s">
        <v>8</v>
      </c>
      <c r="D2429" t="s">
        <v>1007</v>
      </c>
      <c r="E2429">
        <v>3576</v>
      </c>
      <c r="F2429" t="s">
        <v>10</v>
      </c>
    </row>
    <row r="2430" spans="1:6" x14ac:dyDescent="0.35">
      <c r="A2430" s="1">
        <v>45626</v>
      </c>
      <c r="B2430" s="2">
        <v>45626.540418310185</v>
      </c>
      <c r="C2430" t="s">
        <v>8</v>
      </c>
      <c r="D2430" t="s">
        <v>622</v>
      </c>
      <c r="E2430">
        <v>3576</v>
      </c>
      <c r="F2430" t="s">
        <v>10</v>
      </c>
    </row>
    <row r="2431" spans="1:6" x14ac:dyDescent="0.35">
      <c r="A2431" s="1">
        <v>45626</v>
      </c>
      <c r="B2431" s="2">
        <v>45626.586757106481</v>
      </c>
      <c r="C2431" t="s">
        <v>8</v>
      </c>
      <c r="D2431" t="s">
        <v>1008</v>
      </c>
      <c r="E2431">
        <v>2596</v>
      </c>
      <c r="F2431" t="s">
        <v>28</v>
      </c>
    </row>
    <row r="2432" spans="1:6" x14ac:dyDescent="0.35">
      <c r="A2432" s="1">
        <v>45626</v>
      </c>
      <c r="B2432" s="2">
        <v>45626.587477754627</v>
      </c>
      <c r="C2432" t="s">
        <v>8</v>
      </c>
      <c r="D2432" t="s">
        <v>1008</v>
      </c>
      <c r="E2432">
        <v>3576</v>
      </c>
      <c r="F2432" t="s">
        <v>15</v>
      </c>
    </row>
    <row r="2433" spans="1:6" x14ac:dyDescent="0.35">
      <c r="A2433" s="1">
        <v>45626</v>
      </c>
      <c r="B2433" s="2">
        <v>45626.595046516202</v>
      </c>
      <c r="C2433" t="s">
        <v>8</v>
      </c>
      <c r="D2433" t="s">
        <v>547</v>
      </c>
      <c r="E2433">
        <v>3576</v>
      </c>
      <c r="F2433" t="s">
        <v>10</v>
      </c>
    </row>
    <row r="2434" spans="1:6" x14ac:dyDescent="0.35">
      <c r="A2434" s="1">
        <v>45626</v>
      </c>
      <c r="B2434" s="2">
        <v>45626.648429351852</v>
      </c>
      <c r="C2434" t="s">
        <v>8</v>
      </c>
      <c r="D2434" t="s">
        <v>11</v>
      </c>
      <c r="E2434">
        <v>3086</v>
      </c>
      <c r="F2434" t="s">
        <v>36</v>
      </c>
    </row>
    <row r="2435" spans="1:6" x14ac:dyDescent="0.35">
      <c r="A2435" s="1">
        <v>45626</v>
      </c>
      <c r="B2435" s="2">
        <v>45626.919311157406</v>
      </c>
      <c r="C2435" t="s">
        <v>8</v>
      </c>
      <c r="D2435" t="s">
        <v>1009</v>
      </c>
      <c r="E2435">
        <v>3086</v>
      </c>
      <c r="F2435" t="s">
        <v>36</v>
      </c>
    </row>
    <row r="2436" spans="1:6" x14ac:dyDescent="0.35">
      <c r="A2436" s="1">
        <v>45627</v>
      </c>
      <c r="B2436" s="2">
        <v>45627.427450196759</v>
      </c>
      <c r="C2436" t="s">
        <v>8</v>
      </c>
      <c r="D2436" t="s">
        <v>16</v>
      </c>
      <c r="E2436">
        <v>3086</v>
      </c>
      <c r="F2436" t="s">
        <v>36</v>
      </c>
    </row>
    <row r="2437" spans="1:6" x14ac:dyDescent="0.35">
      <c r="A2437" s="1">
        <v>45627</v>
      </c>
      <c r="B2437" s="2">
        <v>45627.428147268518</v>
      </c>
      <c r="C2437" t="s">
        <v>8</v>
      </c>
      <c r="D2437" t="s">
        <v>16</v>
      </c>
      <c r="E2437">
        <v>3086</v>
      </c>
      <c r="F2437" t="s">
        <v>36</v>
      </c>
    </row>
    <row r="2438" spans="1:6" x14ac:dyDescent="0.35">
      <c r="A2438" s="1">
        <v>45627</v>
      </c>
      <c r="B2438" s="2">
        <v>45627.432483657409</v>
      </c>
      <c r="C2438" t="s">
        <v>8</v>
      </c>
      <c r="D2438" t="s">
        <v>438</v>
      </c>
      <c r="E2438">
        <v>3086</v>
      </c>
      <c r="F2438" t="s">
        <v>36</v>
      </c>
    </row>
    <row r="2439" spans="1:6" x14ac:dyDescent="0.35">
      <c r="A2439" s="1">
        <v>45627</v>
      </c>
      <c r="B2439" s="2">
        <v>45627.60720914352</v>
      </c>
      <c r="C2439" t="s">
        <v>8</v>
      </c>
      <c r="D2439" t="s">
        <v>1010</v>
      </c>
      <c r="E2439">
        <v>3086</v>
      </c>
      <c r="F2439" t="s">
        <v>36</v>
      </c>
    </row>
    <row r="2440" spans="1:6" x14ac:dyDescent="0.35">
      <c r="A2440" s="1">
        <v>45627</v>
      </c>
      <c r="B2440" s="2">
        <v>45627.631396446763</v>
      </c>
      <c r="C2440" t="s">
        <v>8</v>
      </c>
      <c r="D2440" t="s">
        <v>1011</v>
      </c>
      <c r="E2440">
        <v>3576</v>
      </c>
      <c r="F2440" t="s">
        <v>10</v>
      </c>
    </row>
    <row r="2441" spans="1:6" x14ac:dyDescent="0.35">
      <c r="A2441" s="1">
        <v>45627</v>
      </c>
      <c r="B2441" s="2">
        <v>45627.631909270836</v>
      </c>
      <c r="C2441" t="s">
        <v>8</v>
      </c>
      <c r="D2441" t="s">
        <v>1011</v>
      </c>
      <c r="E2441">
        <v>3576</v>
      </c>
      <c r="F2441" t="s">
        <v>10</v>
      </c>
    </row>
    <row r="2442" spans="1:6" x14ac:dyDescent="0.35">
      <c r="A2442" s="1">
        <v>45627</v>
      </c>
      <c r="B2442" s="2">
        <v>45627.65488765046</v>
      </c>
      <c r="C2442" t="s">
        <v>8</v>
      </c>
      <c r="D2442" t="s">
        <v>1012</v>
      </c>
      <c r="E2442">
        <v>3576</v>
      </c>
      <c r="F2442" t="s">
        <v>24</v>
      </c>
    </row>
    <row r="2443" spans="1:6" x14ac:dyDescent="0.35">
      <c r="A2443" s="1">
        <v>45627</v>
      </c>
      <c r="B2443" s="2">
        <v>45627.664250173613</v>
      </c>
      <c r="C2443" t="s">
        <v>8</v>
      </c>
      <c r="D2443" t="s">
        <v>1013</v>
      </c>
      <c r="E2443">
        <v>3576</v>
      </c>
      <c r="F2443" t="s">
        <v>32</v>
      </c>
    </row>
    <row r="2444" spans="1:6" x14ac:dyDescent="0.35">
      <c r="A2444" s="1">
        <v>45627</v>
      </c>
      <c r="B2444" s="2">
        <v>45627.665154699076</v>
      </c>
      <c r="C2444" t="s">
        <v>8</v>
      </c>
      <c r="D2444" t="s">
        <v>1014</v>
      </c>
      <c r="E2444">
        <v>3576</v>
      </c>
      <c r="F2444" t="s">
        <v>32</v>
      </c>
    </row>
    <row r="2445" spans="1:6" x14ac:dyDescent="0.35">
      <c r="A2445" s="1">
        <v>45627</v>
      </c>
      <c r="B2445" s="2">
        <v>45627.68957732639</v>
      </c>
      <c r="C2445" t="s">
        <v>8</v>
      </c>
      <c r="D2445" t="s">
        <v>1015</v>
      </c>
      <c r="E2445">
        <v>3576</v>
      </c>
      <c r="F2445" t="s">
        <v>32</v>
      </c>
    </row>
    <row r="2446" spans="1:6" x14ac:dyDescent="0.35">
      <c r="A2446" s="1">
        <v>45627</v>
      </c>
      <c r="B2446" s="2">
        <v>45627.690625543983</v>
      </c>
      <c r="C2446" t="s">
        <v>8</v>
      </c>
      <c r="D2446" t="s">
        <v>1016</v>
      </c>
      <c r="E2446">
        <v>3576</v>
      </c>
      <c r="F2446" t="s">
        <v>32</v>
      </c>
    </row>
    <row r="2447" spans="1:6" x14ac:dyDescent="0.35">
      <c r="A2447" s="1">
        <v>45627</v>
      </c>
      <c r="B2447" s="2">
        <v>45627.71555064815</v>
      </c>
      <c r="C2447" t="s">
        <v>8</v>
      </c>
      <c r="D2447" t="s">
        <v>1017</v>
      </c>
      <c r="E2447">
        <v>3086</v>
      </c>
      <c r="F2447" t="s">
        <v>36</v>
      </c>
    </row>
    <row r="2448" spans="1:6" x14ac:dyDescent="0.35">
      <c r="A2448" s="1">
        <v>45627</v>
      </c>
      <c r="B2448" s="2">
        <v>45627.716342812499</v>
      </c>
      <c r="C2448" t="s">
        <v>8</v>
      </c>
      <c r="D2448" t="s">
        <v>1017</v>
      </c>
      <c r="E2448">
        <v>3086</v>
      </c>
      <c r="F2448" t="s">
        <v>36</v>
      </c>
    </row>
    <row r="2449" spans="1:6" x14ac:dyDescent="0.35">
      <c r="A2449" s="1">
        <v>45627</v>
      </c>
      <c r="B2449" s="2">
        <v>45627.776720891205</v>
      </c>
      <c r="C2449" t="s">
        <v>8</v>
      </c>
      <c r="D2449" t="s">
        <v>1018</v>
      </c>
      <c r="E2449">
        <v>3086</v>
      </c>
      <c r="F2449" t="s">
        <v>36</v>
      </c>
    </row>
    <row r="2450" spans="1:6" x14ac:dyDescent="0.35">
      <c r="A2450" s="1">
        <v>45628</v>
      </c>
      <c r="B2450" s="2">
        <v>45628.326812175925</v>
      </c>
      <c r="C2450" t="s">
        <v>8</v>
      </c>
      <c r="D2450" t="s">
        <v>748</v>
      </c>
      <c r="E2450">
        <v>3576</v>
      </c>
      <c r="F2450" t="s">
        <v>32</v>
      </c>
    </row>
    <row r="2451" spans="1:6" x14ac:dyDescent="0.35">
      <c r="A2451" s="1">
        <v>45628</v>
      </c>
      <c r="B2451" s="2">
        <v>45628.327770520831</v>
      </c>
      <c r="C2451" t="s">
        <v>8</v>
      </c>
      <c r="D2451" t="s">
        <v>1019</v>
      </c>
      <c r="E2451">
        <v>2596</v>
      </c>
      <c r="F2451" t="s">
        <v>28</v>
      </c>
    </row>
    <row r="2452" spans="1:6" x14ac:dyDescent="0.35">
      <c r="A2452" s="1">
        <v>45628</v>
      </c>
      <c r="B2452" s="2">
        <v>45628.348258981481</v>
      </c>
      <c r="C2452" t="s">
        <v>8</v>
      </c>
      <c r="D2452" t="s">
        <v>29</v>
      </c>
      <c r="E2452">
        <v>3086</v>
      </c>
      <c r="F2452" t="s">
        <v>36</v>
      </c>
    </row>
    <row r="2453" spans="1:6" x14ac:dyDescent="0.35">
      <c r="A2453" s="1">
        <v>45628</v>
      </c>
      <c r="B2453" s="2">
        <v>45628.370306180557</v>
      </c>
      <c r="C2453" t="s">
        <v>8</v>
      </c>
      <c r="D2453" t="s">
        <v>1020</v>
      </c>
      <c r="E2453">
        <v>3576</v>
      </c>
      <c r="F2453" t="s">
        <v>10</v>
      </c>
    </row>
    <row r="2454" spans="1:6" x14ac:dyDescent="0.35">
      <c r="A2454" s="1">
        <v>45628</v>
      </c>
      <c r="B2454" s="2">
        <v>45628.461402743058</v>
      </c>
      <c r="C2454" t="s">
        <v>8</v>
      </c>
      <c r="D2454" t="s">
        <v>40</v>
      </c>
      <c r="E2454">
        <v>2596</v>
      </c>
      <c r="F2454" t="s">
        <v>20</v>
      </c>
    </row>
    <row r="2455" spans="1:6" x14ac:dyDescent="0.35">
      <c r="A2455" s="1">
        <v>45628</v>
      </c>
      <c r="B2455" s="2">
        <v>45628.644721597222</v>
      </c>
      <c r="C2455" t="s">
        <v>8</v>
      </c>
      <c r="D2455" t="s">
        <v>1021</v>
      </c>
      <c r="E2455">
        <v>2106</v>
      </c>
      <c r="F2455" t="s">
        <v>5</v>
      </c>
    </row>
    <row r="2456" spans="1:6" x14ac:dyDescent="0.35">
      <c r="A2456" s="1">
        <v>45628</v>
      </c>
      <c r="B2456" s="2">
        <v>45628.675276851849</v>
      </c>
      <c r="C2456" t="s">
        <v>8</v>
      </c>
      <c r="D2456" t="s">
        <v>1022</v>
      </c>
      <c r="E2456">
        <v>3576</v>
      </c>
      <c r="F2456" t="s">
        <v>24</v>
      </c>
    </row>
    <row r="2457" spans="1:6" x14ac:dyDescent="0.35">
      <c r="A2457" s="1">
        <v>45628</v>
      </c>
      <c r="B2457" s="2">
        <v>45628.732195543984</v>
      </c>
      <c r="C2457" t="s">
        <v>8</v>
      </c>
      <c r="D2457" t="s">
        <v>1023</v>
      </c>
      <c r="E2457">
        <v>2596</v>
      </c>
      <c r="F2457" t="s">
        <v>28</v>
      </c>
    </row>
    <row r="2458" spans="1:6" x14ac:dyDescent="0.35">
      <c r="A2458" s="1">
        <v>45628</v>
      </c>
      <c r="B2458" s="2">
        <v>45628.750373842595</v>
      </c>
      <c r="C2458" t="s">
        <v>8</v>
      </c>
      <c r="D2458" t="s">
        <v>1024</v>
      </c>
      <c r="E2458">
        <v>3576</v>
      </c>
      <c r="F2458" t="s">
        <v>24</v>
      </c>
    </row>
    <row r="2459" spans="1:6" x14ac:dyDescent="0.35">
      <c r="A2459" s="1">
        <v>45629</v>
      </c>
      <c r="B2459" s="2">
        <v>45629.341193738423</v>
      </c>
      <c r="C2459" t="s">
        <v>8</v>
      </c>
      <c r="D2459" t="s">
        <v>622</v>
      </c>
      <c r="E2459">
        <v>3576</v>
      </c>
      <c r="F2459" t="s">
        <v>32</v>
      </c>
    </row>
    <row r="2460" spans="1:6" x14ac:dyDescent="0.35">
      <c r="A2460" s="1">
        <v>45629</v>
      </c>
      <c r="B2460" s="2">
        <v>45629.391325879631</v>
      </c>
      <c r="C2460" t="s">
        <v>8</v>
      </c>
      <c r="D2460" t="s">
        <v>29</v>
      </c>
      <c r="E2460">
        <v>3086</v>
      </c>
      <c r="F2460" t="s">
        <v>36</v>
      </c>
    </row>
    <row r="2461" spans="1:6" x14ac:dyDescent="0.35">
      <c r="A2461" s="1">
        <v>45629</v>
      </c>
      <c r="B2461" s="2">
        <v>45629.391979988424</v>
      </c>
      <c r="C2461" t="s">
        <v>8</v>
      </c>
      <c r="D2461" t="s">
        <v>29</v>
      </c>
      <c r="E2461">
        <v>3086</v>
      </c>
      <c r="F2461" t="s">
        <v>36</v>
      </c>
    </row>
    <row r="2462" spans="1:6" x14ac:dyDescent="0.35">
      <c r="A2462" s="1">
        <v>45629</v>
      </c>
      <c r="B2462" s="2">
        <v>45629.470815000001</v>
      </c>
      <c r="C2462" t="s">
        <v>8</v>
      </c>
      <c r="D2462" t="s">
        <v>1025</v>
      </c>
      <c r="E2462">
        <v>2596</v>
      </c>
      <c r="F2462" t="s">
        <v>28</v>
      </c>
    </row>
    <row r="2463" spans="1:6" x14ac:dyDescent="0.35">
      <c r="A2463" s="1">
        <v>45629</v>
      </c>
      <c r="B2463" s="2">
        <v>45629.487587731484</v>
      </c>
      <c r="C2463" t="s">
        <v>8</v>
      </c>
      <c r="D2463" t="s">
        <v>1026</v>
      </c>
      <c r="E2463">
        <v>3086</v>
      </c>
      <c r="F2463" t="s">
        <v>36</v>
      </c>
    </row>
    <row r="2464" spans="1:6" x14ac:dyDescent="0.35">
      <c r="A2464" s="1">
        <v>45629</v>
      </c>
      <c r="B2464" s="2">
        <v>45629.488375393521</v>
      </c>
      <c r="C2464" t="s">
        <v>8</v>
      </c>
      <c r="D2464" t="s">
        <v>871</v>
      </c>
      <c r="E2464">
        <v>3086</v>
      </c>
      <c r="F2464" t="s">
        <v>36</v>
      </c>
    </row>
    <row r="2465" spans="1:6" x14ac:dyDescent="0.35">
      <c r="A2465" s="1">
        <v>45629</v>
      </c>
      <c r="B2465" s="2">
        <v>45629.490213344907</v>
      </c>
      <c r="C2465" t="s">
        <v>8</v>
      </c>
      <c r="D2465" t="s">
        <v>871</v>
      </c>
      <c r="E2465">
        <v>3086</v>
      </c>
      <c r="F2465" t="s">
        <v>36</v>
      </c>
    </row>
    <row r="2466" spans="1:6" x14ac:dyDescent="0.35">
      <c r="A2466" s="1">
        <v>45629</v>
      </c>
      <c r="B2466" s="2">
        <v>45629.868700833336</v>
      </c>
      <c r="C2466" t="s">
        <v>8</v>
      </c>
      <c r="D2466" t="s">
        <v>1027</v>
      </c>
      <c r="E2466">
        <v>3576</v>
      </c>
      <c r="F2466" t="s">
        <v>10</v>
      </c>
    </row>
    <row r="2467" spans="1:6" x14ac:dyDescent="0.35">
      <c r="A2467" s="1">
        <v>45629</v>
      </c>
      <c r="B2467" s="2">
        <v>45629.898111886578</v>
      </c>
      <c r="C2467" t="s">
        <v>8</v>
      </c>
      <c r="D2467" t="s">
        <v>737</v>
      </c>
      <c r="E2467">
        <v>3576</v>
      </c>
      <c r="F2467" t="s">
        <v>32</v>
      </c>
    </row>
    <row r="2468" spans="1:6" x14ac:dyDescent="0.35">
      <c r="A2468" s="1">
        <v>45629</v>
      </c>
      <c r="B2468" s="2">
        <v>45629.898763020836</v>
      </c>
      <c r="C2468" t="s">
        <v>8</v>
      </c>
      <c r="D2468" t="s">
        <v>737</v>
      </c>
      <c r="E2468">
        <v>3576</v>
      </c>
      <c r="F2468" t="s">
        <v>24</v>
      </c>
    </row>
    <row r="2469" spans="1:6" x14ac:dyDescent="0.35">
      <c r="A2469" s="1">
        <v>45629</v>
      </c>
      <c r="B2469" s="2">
        <v>45629.899523761575</v>
      </c>
      <c r="C2469" t="s">
        <v>8</v>
      </c>
      <c r="D2469" t="s">
        <v>737</v>
      </c>
      <c r="E2469">
        <v>3576</v>
      </c>
      <c r="F2469" t="s">
        <v>15</v>
      </c>
    </row>
    <row r="2470" spans="1:6" x14ac:dyDescent="0.35">
      <c r="A2470" s="1">
        <v>45629</v>
      </c>
      <c r="B2470" s="2">
        <v>45629.930020520835</v>
      </c>
      <c r="C2470" t="s">
        <v>8</v>
      </c>
      <c r="D2470" t="s">
        <v>1028</v>
      </c>
      <c r="E2470">
        <v>3086</v>
      </c>
      <c r="F2470" t="s">
        <v>36</v>
      </c>
    </row>
    <row r="2471" spans="1:6" x14ac:dyDescent="0.35">
      <c r="A2471" s="1">
        <v>45629</v>
      </c>
      <c r="B2471" s="2">
        <v>45629.931737083331</v>
      </c>
      <c r="C2471" t="s">
        <v>8</v>
      </c>
      <c r="D2471" t="s">
        <v>260</v>
      </c>
      <c r="E2471">
        <v>3576</v>
      </c>
      <c r="F2471" t="s">
        <v>24</v>
      </c>
    </row>
    <row r="2472" spans="1:6" x14ac:dyDescent="0.35">
      <c r="A2472" s="1">
        <v>45630</v>
      </c>
      <c r="B2472" s="2">
        <v>45630.356110185188</v>
      </c>
      <c r="C2472" t="s">
        <v>8</v>
      </c>
      <c r="D2472" t="s">
        <v>40</v>
      </c>
      <c r="E2472">
        <v>2596</v>
      </c>
      <c r="F2472" t="s">
        <v>20</v>
      </c>
    </row>
    <row r="2473" spans="1:6" x14ac:dyDescent="0.35">
      <c r="A2473" s="1">
        <v>45630</v>
      </c>
      <c r="B2473" s="2">
        <v>45630.368405833331</v>
      </c>
      <c r="C2473" t="s">
        <v>8</v>
      </c>
      <c r="D2473" t="s">
        <v>1029</v>
      </c>
      <c r="E2473">
        <v>3576</v>
      </c>
      <c r="F2473" t="s">
        <v>32</v>
      </c>
    </row>
    <row r="2474" spans="1:6" x14ac:dyDescent="0.35">
      <c r="A2474" s="1">
        <v>45630</v>
      </c>
      <c r="B2474" s="2">
        <v>45630.36961814815</v>
      </c>
      <c r="C2474" t="s">
        <v>8</v>
      </c>
      <c r="D2474" t="s">
        <v>1030</v>
      </c>
      <c r="E2474">
        <v>3576</v>
      </c>
      <c r="F2474" t="s">
        <v>32</v>
      </c>
    </row>
    <row r="2475" spans="1:6" x14ac:dyDescent="0.35">
      <c r="A2475" s="1">
        <v>45630</v>
      </c>
      <c r="B2475" s="2">
        <v>45630.377941493054</v>
      </c>
      <c r="C2475" t="s">
        <v>8</v>
      </c>
      <c r="D2475" t="s">
        <v>1031</v>
      </c>
      <c r="E2475">
        <v>2596</v>
      </c>
      <c r="F2475" t="s">
        <v>28</v>
      </c>
    </row>
    <row r="2476" spans="1:6" x14ac:dyDescent="0.35">
      <c r="A2476" s="1">
        <v>45630</v>
      </c>
      <c r="B2476" s="2">
        <v>45630.432654953707</v>
      </c>
      <c r="C2476" t="s">
        <v>8</v>
      </c>
      <c r="D2476" t="s">
        <v>29</v>
      </c>
      <c r="E2476">
        <v>3086</v>
      </c>
      <c r="F2476" t="s">
        <v>36</v>
      </c>
    </row>
    <row r="2477" spans="1:6" x14ac:dyDescent="0.35">
      <c r="A2477" s="1">
        <v>45630</v>
      </c>
      <c r="B2477" s="2">
        <v>45630.433425810188</v>
      </c>
      <c r="C2477" t="s">
        <v>8</v>
      </c>
      <c r="D2477" t="s">
        <v>29</v>
      </c>
      <c r="E2477">
        <v>3086</v>
      </c>
      <c r="F2477" t="s">
        <v>36</v>
      </c>
    </row>
    <row r="2478" spans="1:6" x14ac:dyDescent="0.35">
      <c r="A2478" s="1">
        <v>45630</v>
      </c>
      <c r="B2478" s="2">
        <v>45630.435390636572</v>
      </c>
      <c r="C2478" t="s">
        <v>8</v>
      </c>
      <c r="D2478" t="s">
        <v>1032</v>
      </c>
      <c r="E2478">
        <v>3086</v>
      </c>
      <c r="F2478" t="s">
        <v>36</v>
      </c>
    </row>
    <row r="2479" spans="1:6" x14ac:dyDescent="0.35">
      <c r="A2479" s="1">
        <v>45630</v>
      </c>
      <c r="B2479" s="2">
        <v>45630.437356446761</v>
      </c>
      <c r="C2479" t="s">
        <v>8</v>
      </c>
      <c r="D2479" t="s">
        <v>835</v>
      </c>
      <c r="E2479">
        <v>3576</v>
      </c>
      <c r="F2479" t="s">
        <v>15</v>
      </c>
    </row>
    <row r="2480" spans="1:6" x14ac:dyDescent="0.35">
      <c r="A2480" s="1">
        <v>45630</v>
      </c>
      <c r="B2480" s="2">
        <v>45630.490251423609</v>
      </c>
      <c r="C2480" t="s">
        <v>8</v>
      </c>
      <c r="D2480" t="s">
        <v>1033</v>
      </c>
      <c r="E2480">
        <v>3086</v>
      </c>
      <c r="F2480" t="s">
        <v>36</v>
      </c>
    </row>
    <row r="2481" spans="1:6" x14ac:dyDescent="0.35">
      <c r="A2481" s="1">
        <v>45630</v>
      </c>
      <c r="B2481" s="2">
        <v>45630.606883182867</v>
      </c>
      <c r="C2481" t="s">
        <v>8</v>
      </c>
      <c r="D2481" t="s">
        <v>1034</v>
      </c>
      <c r="E2481">
        <v>3576</v>
      </c>
      <c r="F2481" t="s">
        <v>15</v>
      </c>
    </row>
    <row r="2482" spans="1:6" x14ac:dyDescent="0.35">
      <c r="A2482" s="1">
        <v>45631</v>
      </c>
      <c r="B2482" s="2">
        <v>45631.3706977662</v>
      </c>
      <c r="C2482" t="s">
        <v>8</v>
      </c>
      <c r="D2482" t="s">
        <v>1035</v>
      </c>
      <c r="E2482">
        <v>2596</v>
      </c>
      <c r="F2482" t="s">
        <v>28</v>
      </c>
    </row>
    <row r="2483" spans="1:6" x14ac:dyDescent="0.35">
      <c r="A2483" s="1">
        <v>45631</v>
      </c>
      <c r="B2483" s="2">
        <v>45631.389222627316</v>
      </c>
      <c r="C2483" t="s">
        <v>8</v>
      </c>
      <c r="D2483" t="s">
        <v>40</v>
      </c>
      <c r="E2483">
        <v>2596</v>
      </c>
      <c r="F2483" t="s">
        <v>20</v>
      </c>
    </row>
    <row r="2484" spans="1:6" x14ac:dyDescent="0.35">
      <c r="A2484" s="1">
        <v>45631</v>
      </c>
      <c r="B2484" s="2">
        <v>45631.418648761573</v>
      </c>
      <c r="C2484" t="s">
        <v>8</v>
      </c>
      <c r="D2484" t="s">
        <v>29</v>
      </c>
      <c r="E2484">
        <v>3086</v>
      </c>
      <c r="F2484" t="s">
        <v>36</v>
      </c>
    </row>
    <row r="2485" spans="1:6" x14ac:dyDescent="0.35">
      <c r="A2485" s="1">
        <v>45631</v>
      </c>
      <c r="B2485" s="2">
        <v>45631.420202986112</v>
      </c>
      <c r="C2485" t="s">
        <v>8</v>
      </c>
      <c r="D2485" t="s">
        <v>29</v>
      </c>
      <c r="E2485">
        <v>3086</v>
      </c>
      <c r="F2485" t="s">
        <v>36</v>
      </c>
    </row>
    <row r="2486" spans="1:6" x14ac:dyDescent="0.35">
      <c r="A2486" s="1">
        <v>45631</v>
      </c>
      <c r="B2486" s="2">
        <v>45631.480535405091</v>
      </c>
      <c r="C2486" t="s">
        <v>8</v>
      </c>
      <c r="D2486" t="s">
        <v>631</v>
      </c>
      <c r="E2486">
        <v>3576</v>
      </c>
      <c r="F2486" t="s">
        <v>32</v>
      </c>
    </row>
    <row r="2487" spans="1:6" x14ac:dyDescent="0.35">
      <c r="A2487" s="1">
        <v>45631</v>
      </c>
      <c r="B2487" s="2">
        <v>45631.493571261577</v>
      </c>
      <c r="C2487" t="s">
        <v>8</v>
      </c>
      <c r="D2487" t="s">
        <v>1036</v>
      </c>
      <c r="E2487">
        <v>2596</v>
      </c>
      <c r="F2487" t="s">
        <v>28</v>
      </c>
    </row>
    <row r="2488" spans="1:6" x14ac:dyDescent="0.35">
      <c r="A2488" s="1">
        <v>45631</v>
      </c>
      <c r="B2488" s="2">
        <v>45631.604841921297</v>
      </c>
      <c r="C2488" t="s">
        <v>8</v>
      </c>
      <c r="D2488" t="s">
        <v>1037</v>
      </c>
      <c r="E2488">
        <v>3576</v>
      </c>
      <c r="F2488" t="s">
        <v>24</v>
      </c>
    </row>
    <row r="2489" spans="1:6" x14ac:dyDescent="0.35">
      <c r="A2489" s="1">
        <v>45631</v>
      </c>
      <c r="B2489" s="2">
        <v>45631.63980863426</v>
      </c>
      <c r="C2489" t="s">
        <v>8</v>
      </c>
      <c r="D2489" t="s">
        <v>958</v>
      </c>
      <c r="E2489">
        <v>3576</v>
      </c>
      <c r="F2489" t="s">
        <v>32</v>
      </c>
    </row>
    <row r="2490" spans="1:6" x14ac:dyDescent="0.35">
      <c r="A2490" s="1">
        <v>45631</v>
      </c>
      <c r="B2490" s="2">
        <v>45631.668171469908</v>
      </c>
      <c r="C2490" t="s">
        <v>8</v>
      </c>
      <c r="D2490" t="s">
        <v>823</v>
      </c>
      <c r="E2490">
        <v>3576</v>
      </c>
      <c r="F2490" t="s">
        <v>32</v>
      </c>
    </row>
    <row r="2491" spans="1:6" x14ac:dyDescent="0.35">
      <c r="A2491" s="1">
        <v>45632</v>
      </c>
      <c r="B2491" s="2">
        <v>45632.487714097224</v>
      </c>
      <c r="C2491" t="s">
        <v>8</v>
      </c>
      <c r="D2491" t="s">
        <v>958</v>
      </c>
      <c r="E2491">
        <v>3576</v>
      </c>
      <c r="F2491" t="s">
        <v>32</v>
      </c>
    </row>
    <row r="2492" spans="1:6" x14ac:dyDescent="0.35">
      <c r="A2492" s="1">
        <v>45632</v>
      </c>
      <c r="B2492" s="2">
        <v>45632.68886603009</v>
      </c>
      <c r="C2492" t="s">
        <v>8</v>
      </c>
      <c r="D2492" t="s">
        <v>990</v>
      </c>
      <c r="E2492">
        <v>3576</v>
      </c>
      <c r="F2492" t="s">
        <v>15</v>
      </c>
    </row>
    <row r="2493" spans="1:6" x14ac:dyDescent="0.35">
      <c r="A2493" s="1">
        <v>45632</v>
      </c>
      <c r="B2493" s="2">
        <v>45632.93788513889</v>
      </c>
      <c r="C2493" t="s">
        <v>8</v>
      </c>
      <c r="D2493" t="s">
        <v>783</v>
      </c>
      <c r="E2493">
        <v>3576</v>
      </c>
      <c r="F2493" t="s">
        <v>32</v>
      </c>
    </row>
    <row r="2494" spans="1:6" x14ac:dyDescent="0.35">
      <c r="A2494" s="1">
        <v>45632</v>
      </c>
      <c r="B2494" s="2">
        <v>45632.938541689815</v>
      </c>
      <c r="C2494" t="s">
        <v>8</v>
      </c>
      <c r="D2494" t="s">
        <v>783</v>
      </c>
      <c r="E2494">
        <v>3576</v>
      </c>
      <c r="F2494" t="s">
        <v>15</v>
      </c>
    </row>
    <row r="2495" spans="1:6" x14ac:dyDescent="0.35">
      <c r="A2495" s="1">
        <v>45633</v>
      </c>
      <c r="B2495" s="2">
        <v>45633.470256284723</v>
      </c>
      <c r="C2495" t="s">
        <v>8</v>
      </c>
      <c r="D2495" t="s">
        <v>1038</v>
      </c>
      <c r="E2495">
        <v>3086</v>
      </c>
      <c r="F2495" t="s">
        <v>36</v>
      </c>
    </row>
    <row r="2496" spans="1:6" x14ac:dyDescent="0.35">
      <c r="A2496" s="1">
        <v>45633</v>
      </c>
      <c r="B2496" s="2">
        <v>45633.594940891206</v>
      </c>
      <c r="C2496" t="s">
        <v>8</v>
      </c>
      <c r="D2496" t="s">
        <v>1039</v>
      </c>
      <c r="E2496">
        <v>2596</v>
      </c>
      <c r="F2496" t="s">
        <v>28</v>
      </c>
    </row>
    <row r="2497" spans="1:6" x14ac:dyDescent="0.35">
      <c r="A2497" s="1">
        <v>45633</v>
      </c>
      <c r="B2497" s="2">
        <v>45633.655611817128</v>
      </c>
      <c r="C2497" t="s">
        <v>8</v>
      </c>
      <c r="D2497" t="s">
        <v>462</v>
      </c>
      <c r="E2497">
        <v>3576</v>
      </c>
      <c r="F2497" t="s">
        <v>32</v>
      </c>
    </row>
    <row r="2498" spans="1:6" x14ac:dyDescent="0.35">
      <c r="A2498" s="1">
        <v>45633</v>
      </c>
      <c r="B2498" s="2">
        <v>45633.799461712966</v>
      </c>
      <c r="C2498" t="s">
        <v>8</v>
      </c>
      <c r="D2498" t="s">
        <v>260</v>
      </c>
      <c r="E2498">
        <v>3576</v>
      </c>
      <c r="F2498" t="s">
        <v>24</v>
      </c>
    </row>
    <row r="2499" spans="1:6" x14ac:dyDescent="0.35">
      <c r="A2499" s="1">
        <v>45633</v>
      </c>
      <c r="B2499" s="2">
        <v>45633.916782337961</v>
      </c>
      <c r="C2499" t="s">
        <v>8</v>
      </c>
      <c r="D2499" t="s">
        <v>1040</v>
      </c>
      <c r="E2499">
        <v>3086</v>
      </c>
      <c r="F2499" t="s">
        <v>36</v>
      </c>
    </row>
    <row r="2500" spans="1:6" x14ac:dyDescent="0.35">
      <c r="A2500" s="1">
        <v>45633</v>
      </c>
      <c r="B2500" s="2">
        <v>45633.936308888886</v>
      </c>
      <c r="C2500" t="s">
        <v>8</v>
      </c>
      <c r="D2500" t="s">
        <v>1041</v>
      </c>
      <c r="E2500">
        <v>2596</v>
      </c>
      <c r="F2500" t="s">
        <v>28</v>
      </c>
    </row>
    <row r="2501" spans="1:6" x14ac:dyDescent="0.35">
      <c r="A2501" s="1">
        <v>45634</v>
      </c>
      <c r="B2501" s="2">
        <v>45634.353764733794</v>
      </c>
      <c r="C2501" t="s">
        <v>8</v>
      </c>
      <c r="D2501" t="s">
        <v>40</v>
      </c>
      <c r="E2501">
        <v>2596</v>
      </c>
      <c r="F2501" t="s">
        <v>20</v>
      </c>
    </row>
    <row r="2502" spans="1:6" x14ac:dyDescent="0.35">
      <c r="A2502" s="1">
        <v>45634</v>
      </c>
      <c r="B2502" s="2">
        <v>45634.446275000002</v>
      </c>
      <c r="C2502" t="s">
        <v>8</v>
      </c>
      <c r="D2502" t="s">
        <v>839</v>
      </c>
      <c r="E2502">
        <v>3576</v>
      </c>
      <c r="F2502" t="s">
        <v>32</v>
      </c>
    </row>
    <row r="2503" spans="1:6" x14ac:dyDescent="0.35">
      <c r="A2503" s="1">
        <v>45634</v>
      </c>
      <c r="B2503" s="2">
        <v>45634.447022291664</v>
      </c>
      <c r="C2503" t="s">
        <v>8</v>
      </c>
      <c r="D2503" t="s">
        <v>839</v>
      </c>
      <c r="E2503">
        <v>3576</v>
      </c>
      <c r="F2503" t="s">
        <v>24</v>
      </c>
    </row>
    <row r="2504" spans="1:6" x14ac:dyDescent="0.35">
      <c r="A2504" s="1">
        <v>45634</v>
      </c>
      <c r="B2504" s="2">
        <v>45634.535889756946</v>
      </c>
      <c r="C2504" t="s">
        <v>8</v>
      </c>
      <c r="D2504" t="s">
        <v>1042</v>
      </c>
      <c r="E2504">
        <v>2596</v>
      </c>
      <c r="F2504" t="s">
        <v>20</v>
      </c>
    </row>
    <row r="2505" spans="1:6" x14ac:dyDescent="0.35">
      <c r="A2505" s="1">
        <v>45634</v>
      </c>
      <c r="B2505" s="2">
        <v>45634.543474560189</v>
      </c>
      <c r="C2505" t="s">
        <v>8</v>
      </c>
      <c r="D2505" t="s">
        <v>1043</v>
      </c>
      <c r="E2505">
        <v>3086</v>
      </c>
      <c r="F2505" t="s">
        <v>36</v>
      </c>
    </row>
    <row r="2506" spans="1:6" x14ac:dyDescent="0.35">
      <c r="A2506" s="1">
        <v>45634</v>
      </c>
      <c r="B2506" s="2">
        <v>45634.544198148149</v>
      </c>
      <c r="C2506" t="s">
        <v>8</v>
      </c>
      <c r="D2506" t="s">
        <v>1043</v>
      </c>
      <c r="E2506">
        <v>3086</v>
      </c>
      <c r="F2506" t="s">
        <v>36</v>
      </c>
    </row>
    <row r="2507" spans="1:6" x14ac:dyDescent="0.35">
      <c r="A2507" s="1">
        <v>45634</v>
      </c>
      <c r="B2507" s="2">
        <v>45634.72672791667</v>
      </c>
      <c r="C2507" t="s">
        <v>8</v>
      </c>
      <c r="D2507" t="s">
        <v>260</v>
      </c>
      <c r="E2507">
        <v>3576</v>
      </c>
      <c r="F2507" t="s">
        <v>24</v>
      </c>
    </row>
    <row r="2508" spans="1:6" x14ac:dyDescent="0.35">
      <c r="A2508" s="1">
        <v>45634</v>
      </c>
      <c r="B2508" s="2">
        <v>45634.779036493055</v>
      </c>
      <c r="C2508" t="s">
        <v>8</v>
      </c>
      <c r="D2508" t="s">
        <v>1044</v>
      </c>
      <c r="E2508">
        <v>2106</v>
      </c>
      <c r="F2508" t="s">
        <v>5</v>
      </c>
    </row>
    <row r="2509" spans="1:6" x14ac:dyDescent="0.35">
      <c r="A2509" s="1">
        <v>45634</v>
      </c>
      <c r="B2509" s="2">
        <v>45634.866191377318</v>
      </c>
      <c r="C2509" t="s">
        <v>8</v>
      </c>
      <c r="D2509" t="s">
        <v>11</v>
      </c>
      <c r="E2509">
        <v>3576</v>
      </c>
      <c r="F2509" t="s">
        <v>24</v>
      </c>
    </row>
    <row r="2510" spans="1:6" x14ac:dyDescent="0.35">
      <c r="A2510" s="1">
        <v>45634</v>
      </c>
      <c r="B2510" s="2">
        <v>45634.894792581021</v>
      </c>
      <c r="C2510" t="s">
        <v>8</v>
      </c>
      <c r="D2510" t="s">
        <v>1045</v>
      </c>
      <c r="E2510">
        <v>3086</v>
      </c>
      <c r="F2510" t="s">
        <v>36</v>
      </c>
    </row>
    <row r="2511" spans="1:6" x14ac:dyDescent="0.35">
      <c r="A2511" s="1">
        <v>45634</v>
      </c>
      <c r="B2511" s="2">
        <v>45634.903744479168</v>
      </c>
      <c r="C2511" t="s">
        <v>8</v>
      </c>
      <c r="D2511" t="s">
        <v>1028</v>
      </c>
      <c r="E2511">
        <v>3086</v>
      </c>
      <c r="F2511" t="s">
        <v>36</v>
      </c>
    </row>
    <row r="2512" spans="1:6" x14ac:dyDescent="0.35">
      <c r="A2512" s="1">
        <v>45635</v>
      </c>
      <c r="B2512" s="2">
        <v>45635.356027893518</v>
      </c>
      <c r="C2512" t="s">
        <v>8</v>
      </c>
      <c r="D2512" t="s">
        <v>1046</v>
      </c>
      <c r="E2512">
        <v>3576</v>
      </c>
      <c r="F2512" t="s">
        <v>24</v>
      </c>
    </row>
    <row r="2513" spans="1:6" x14ac:dyDescent="0.35">
      <c r="A2513" s="1">
        <v>45635</v>
      </c>
      <c r="B2513" s="2">
        <v>45635.383624675924</v>
      </c>
      <c r="C2513" t="s">
        <v>8</v>
      </c>
      <c r="D2513" t="s">
        <v>1047</v>
      </c>
      <c r="E2513">
        <v>2596</v>
      </c>
      <c r="F2513" t="s">
        <v>28</v>
      </c>
    </row>
    <row r="2514" spans="1:6" x14ac:dyDescent="0.35">
      <c r="A2514" s="1">
        <v>45635</v>
      </c>
      <c r="B2514" s="2">
        <v>45635.398581215275</v>
      </c>
      <c r="C2514" t="s">
        <v>8</v>
      </c>
      <c r="D2514" t="s">
        <v>29</v>
      </c>
      <c r="E2514">
        <v>3086</v>
      </c>
      <c r="F2514" t="s">
        <v>36</v>
      </c>
    </row>
    <row r="2515" spans="1:6" x14ac:dyDescent="0.35">
      <c r="A2515" s="1">
        <v>45635</v>
      </c>
      <c r="B2515" s="2">
        <v>45635.542302233793</v>
      </c>
      <c r="C2515" t="s">
        <v>8</v>
      </c>
      <c r="D2515" t="s">
        <v>854</v>
      </c>
      <c r="E2515">
        <v>2596</v>
      </c>
      <c r="F2515" t="s">
        <v>20</v>
      </c>
    </row>
    <row r="2516" spans="1:6" x14ac:dyDescent="0.35">
      <c r="A2516" s="1">
        <v>45635</v>
      </c>
      <c r="B2516" s="2">
        <v>45635.890176724541</v>
      </c>
      <c r="C2516" t="s">
        <v>8</v>
      </c>
      <c r="D2516" t="s">
        <v>1048</v>
      </c>
      <c r="E2516">
        <v>3576</v>
      </c>
      <c r="F2516" t="s">
        <v>10</v>
      </c>
    </row>
    <row r="2517" spans="1:6" x14ac:dyDescent="0.35">
      <c r="A2517" s="1">
        <v>45636</v>
      </c>
      <c r="B2517" s="2">
        <v>45636.517936979166</v>
      </c>
      <c r="C2517" t="s">
        <v>8</v>
      </c>
      <c r="D2517" t="s">
        <v>40</v>
      </c>
      <c r="E2517">
        <v>2596</v>
      </c>
      <c r="F2517" t="s">
        <v>20</v>
      </c>
    </row>
    <row r="2518" spans="1:6" x14ac:dyDescent="0.35">
      <c r="A2518" s="1">
        <v>45636</v>
      </c>
      <c r="B2518" s="2">
        <v>45636.765252789352</v>
      </c>
      <c r="C2518" t="s">
        <v>8</v>
      </c>
      <c r="D2518" t="s">
        <v>990</v>
      </c>
      <c r="E2518">
        <v>3576</v>
      </c>
      <c r="F2518" t="s">
        <v>15</v>
      </c>
    </row>
    <row r="2519" spans="1:6" x14ac:dyDescent="0.35">
      <c r="A2519" s="1">
        <v>45637</v>
      </c>
      <c r="B2519" s="2">
        <v>45637.326226724537</v>
      </c>
      <c r="C2519" t="s">
        <v>8</v>
      </c>
      <c r="D2519" t="s">
        <v>622</v>
      </c>
      <c r="E2519">
        <v>3576</v>
      </c>
      <c r="F2519" t="s">
        <v>32</v>
      </c>
    </row>
    <row r="2520" spans="1:6" x14ac:dyDescent="0.35">
      <c r="A2520" s="1">
        <v>45637</v>
      </c>
      <c r="B2520" s="2">
        <v>45637.448471284719</v>
      </c>
      <c r="C2520" t="s">
        <v>8</v>
      </c>
      <c r="D2520" t="s">
        <v>40</v>
      </c>
      <c r="E2520">
        <v>2596</v>
      </c>
      <c r="F2520" t="s">
        <v>20</v>
      </c>
    </row>
    <row r="2521" spans="1:6" x14ac:dyDescent="0.35">
      <c r="A2521" s="1">
        <v>45637</v>
      </c>
      <c r="B2521" s="2">
        <v>45637.509100381947</v>
      </c>
      <c r="C2521" t="s">
        <v>8</v>
      </c>
      <c r="D2521" t="s">
        <v>1049</v>
      </c>
      <c r="E2521">
        <v>3576</v>
      </c>
      <c r="F2521" t="s">
        <v>15</v>
      </c>
    </row>
    <row r="2522" spans="1:6" x14ac:dyDescent="0.35">
      <c r="A2522" s="1">
        <v>45637</v>
      </c>
      <c r="B2522" s="2">
        <v>45637.539441724541</v>
      </c>
      <c r="C2522" t="s">
        <v>8</v>
      </c>
      <c r="D2522" t="s">
        <v>1050</v>
      </c>
      <c r="E2522">
        <v>2106</v>
      </c>
      <c r="F2522" t="s">
        <v>5</v>
      </c>
    </row>
    <row r="2523" spans="1:6" x14ac:dyDescent="0.35">
      <c r="A2523" s="1">
        <v>45637</v>
      </c>
      <c r="B2523" s="2">
        <v>45637.749600173614</v>
      </c>
      <c r="C2523" t="s">
        <v>8</v>
      </c>
      <c r="D2523" t="s">
        <v>1051</v>
      </c>
      <c r="E2523">
        <v>3576</v>
      </c>
      <c r="F2523" t="s">
        <v>10</v>
      </c>
    </row>
    <row r="2524" spans="1:6" x14ac:dyDescent="0.35">
      <c r="A2524" s="1">
        <v>45637</v>
      </c>
      <c r="B2524" s="2">
        <v>45637.875782164352</v>
      </c>
      <c r="C2524" t="s">
        <v>8</v>
      </c>
      <c r="D2524" t="s">
        <v>742</v>
      </c>
      <c r="E2524">
        <v>3576</v>
      </c>
      <c r="F2524" t="s">
        <v>32</v>
      </c>
    </row>
    <row r="2525" spans="1:6" x14ac:dyDescent="0.35">
      <c r="A2525" s="1">
        <v>45637</v>
      </c>
      <c r="B2525" s="2">
        <v>45637.887698981482</v>
      </c>
      <c r="C2525" t="s">
        <v>8</v>
      </c>
      <c r="D2525" t="s">
        <v>1052</v>
      </c>
      <c r="E2525">
        <v>3576</v>
      </c>
      <c r="F2525" t="s">
        <v>32</v>
      </c>
    </row>
    <row r="2526" spans="1:6" x14ac:dyDescent="0.35">
      <c r="A2526" s="1">
        <v>45638</v>
      </c>
      <c r="B2526" s="2">
        <v>45638.332305393516</v>
      </c>
      <c r="C2526" t="s">
        <v>8</v>
      </c>
      <c r="D2526" t="s">
        <v>1053</v>
      </c>
      <c r="E2526">
        <v>3086</v>
      </c>
      <c r="F2526" t="s">
        <v>36</v>
      </c>
    </row>
    <row r="2527" spans="1:6" x14ac:dyDescent="0.35">
      <c r="A2527" s="1">
        <v>45638</v>
      </c>
      <c r="B2527" s="2">
        <v>45638.53430175926</v>
      </c>
      <c r="C2527" t="s">
        <v>8</v>
      </c>
      <c r="D2527" t="s">
        <v>1054</v>
      </c>
      <c r="E2527">
        <v>2596</v>
      </c>
      <c r="F2527" t="s">
        <v>28</v>
      </c>
    </row>
    <row r="2528" spans="1:6" x14ac:dyDescent="0.35">
      <c r="A2528" s="1">
        <v>45638</v>
      </c>
      <c r="B2528" s="2">
        <v>45638.704885509258</v>
      </c>
      <c r="C2528" t="s">
        <v>8</v>
      </c>
      <c r="D2528" t="s">
        <v>1055</v>
      </c>
      <c r="E2528">
        <v>2106</v>
      </c>
      <c r="F2528" t="s">
        <v>5</v>
      </c>
    </row>
    <row r="2529" spans="1:6" x14ac:dyDescent="0.35">
      <c r="A2529" s="1">
        <v>45638</v>
      </c>
      <c r="B2529" s="2">
        <v>45638.705429733796</v>
      </c>
      <c r="C2529" t="s">
        <v>8</v>
      </c>
      <c r="D2529" t="s">
        <v>1055</v>
      </c>
      <c r="E2529">
        <v>2106</v>
      </c>
      <c r="F2529" t="s">
        <v>5</v>
      </c>
    </row>
    <row r="2530" spans="1:6" x14ac:dyDescent="0.35">
      <c r="A2530" s="1">
        <v>45638</v>
      </c>
      <c r="B2530" s="2">
        <v>45638.706262916668</v>
      </c>
      <c r="C2530" t="s">
        <v>8</v>
      </c>
      <c r="D2530" t="s">
        <v>1055</v>
      </c>
      <c r="E2530">
        <v>2596</v>
      </c>
      <c r="F2530" t="s">
        <v>28</v>
      </c>
    </row>
    <row r="2531" spans="1:6" x14ac:dyDescent="0.35">
      <c r="A2531" s="1">
        <v>45638</v>
      </c>
      <c r="B2531" s="2">
        <v>45638.826399699072</v>
      </c>
      <c r="C2531" t="s">
        <v>8</v>
      </c>
      <c r="D2531" t="s">
        <v>974</v>
      </c>
      <c r="E2531">
        <v>3576</v>
      </c>
      <c r="F2531" t="s">
        <v>10</v>
      </c>
    </row>
    <row r="2532" spans="1:6" x14ac:dyDescent="0.35">
      <c r="A2532" s="1">
        <v>45638</v>
      </c>
      <c r="B2532" s="2">
        <v>45638.827057106479</v>
      </c>
      <c r="C2532" t="s">
        <v>8</v>
      </c>
      <c r="D2532" t="s">
        <v>974</v>
      </c>
      <c r="E2532">
        <v>3576</v>
      </c>
      <c r="F2532" t="s">
        <v>10</v>
      </c>
    </row>
    <row r="2533" spans="1:6" x14ac:dyDescent="0.35">
      <c r="A2533" s="1">
        <v>45639</v>
      </c>
      <c r="B2533" s="2">
        <v>45639.519044594905</v>
      </c>
      <c r="C2533" t="s">
        <v>8</v>
      </c>
      <c r="D2533" t="s">
        <v>1056</v>
      </c>
      <c r="E2533">
        <v>2596</v>
      </c>
      <c r="F2533" t="s">
        <v>28</v>
      </c>
    </row>
    <row r="2534" spans="1:6" x14ac:dyDescent="0.35">
      <c r="A2534" s="1">
        <v>45639</v>
      </c>
      <c r="B2534" s="2">
        <v>45639.536870046293</v>
      </c>
      <c r="C2534" t="s">
        <v>8</v>
      </c>
      <c r="D2534" t="s">
        <v>1055</v>
      </c>
      <c r="E2534">
        <v>2596</v>
      </c>
      <c r="F2534" t="s">
        <v>28</v>
      </c>
    </row>
    <row r="2535" spans="1:6" x14ac:dyDescent="0.35">
      <c r="A2535" s="1">
        <v>45639</v>
      </c>
      <c r="B2535" s="2">
        <v>45639.537964884257</v>
      </c>
      <c r="C2535" t="s">
        <v>8</v>
      </c>
      <c r="D2535" t="s">
        <v>1055</v>
      </c>
      <c r="E2535">
        <v>3576</v>
      </c>
      <c r="F2535" t="s">
        <v>15</v>
      </c>
    </row>
    <row r="2536" spans="1:6" x14ac:dyDescent="0.35">
      <c r="A2536" s="1">
        <v>45639</v>
      </c>
      <c r="B2536" s="2">
        <v>45639.584699803243</v>
      </c>
      <c r="C2536" t="s">
        <v>8</v>
      </c>
      <c r="D2536" t="s">
        <v>1057</v>
      </c>
      <c r="E2536">
        <v>3576</v>
      </c>
      <c r="F2536" t="s">
        <v>15</v>
      </c>
    </row>
    <row r="2537" spans="1:6" x14ac:dyDescent="0.35">
      <c r="A2537" s="1">
        <v>45639</v>
      </c>
      <c r="B2537" s="2">
        <v>45639.682915486112</v>
      </c>
      <c r="C2537" t="s">
        <v>8</v>
      </c>
      <c r="D2537" t="s">
        <v>547</v>
      </c>
      <c r="E2537">
        <v>3576</v>
      </c>
      <c r="F2537" t="s">
        <v>10</v>
      </c>
    </row>
    <row r="2538" spans="1:6" x14ac:dyDescent="0.35">
      <c r="A2538" s="1">
        <v>45639</v>
      </c>
      <c r="B2538" s="2">
        <v>45639.804905219906</v>
      </c>
      <c r="C2538" t="s">
        <v>8</v>
      </c>
      <c r="D2538" t="s">
        <v>928</v>
      </c>
      <c r="E2538">
        <v>3576</v>
      </c>
      <c r="F2538" t="s">
        <v>24</v>
      </c>
    </row>
    <row r="2539" spans="1:6" x14ac:dyDescent="0.35">
      <c r="A2539" s="1">
        <v>45639</v>
      </c>
      <c r="B2539" s="2">
        <v>45639.80567267361</v>
      </c>
      <c r="C2539" t="s">
        <v>8</v>
      </c>
      <c r="D2539" t="s">
        <v>928</v>
      </c>
      <c r="E2539">
        <v>3576</v>
      </c>
      <c r="F2539" t="s">
        <v>24</v>
      </c>
    </row>
    <row r="2540" spans="1:6" x14ac:dyDescent="0.35">
      <c r="A2540" s="1">
        <v>45639</v>
      </c>
      <c r="B2540" s="2">
        <v>45639.899791145835</v>
      </c>
      <c r="C2540" t="s">
        <v>8</v>
      </c>
      <c r="D2540" t="s">
        <v>800</v>
      </c>
      <c r="E2540">
        <v>3576</v>
      </c>
      <c r="F2540" t="s">
        <v>32</v>
      </c>
    </row>
    <row r="2541" spans="1:6" x14ac:dyDescent="0.35">
      <c r="A2541" s="1">
        <v>45640</v>
      </c>
      <c r="B2541" s="2">
        <v>45640.352454328706</v>
      </c>
      <c r="C2541" t="s">
        <v>8</v>
      </c>
      <c r="D2541" t="s">
        <v>1058</v>
      </c>
      <c r="E2541">
        <v>3086</v>
      </c>
      <c r="F2541" t="s">
        <v>36</v>
      </c>
    </row>
    <row r="2542" spans="1:6" x14ac:dyDescent="0.35">
      <c r="A2542" s="1">
        <v>45640</v>
      </c>
      <c r="B2542" s="2">
        <v>45640.377147824074</v>
      </c>
      <c r="C2542" t="s">
        <v>8</v>
      </c>
      <c r="D2542" t="s">
        <v>1059</v>
      </c>
      <c r="E2542">
        <v>3576</v>
      </c>
      <c r="F2542" t="s">
        <v>10</v>
      </c>
    </row>
    <row r="2543" spans="1:6" x14ac:dyDescent="0.35">
      <c r="A2543" s="1">
        <v>45640</v>
      </c>
      <c r="B2543" s="2">
        <v>45640.487474768517</v>
      </c>
      <c r="C2543" t="s">
        <v>8</v>
      </c>
      <c r="D2543" t="s">
        <v>716</v>
      </c>
      <c r="E2543">
        <v>3576</v>
      </c>
      <c r="F2543" t="s">
        <v>24</v>
      </c>
    </row>
    <row r="2544" spans="1:6" x14ac:dyDescent="0.35">
      <c r="A2544" s="1">
        <v>45640</v>
      </c>
      <c r="B2544" s="2">
        <v>45640.554942511575</v>
      </c>
      <c r="C2544" t="s">
        <v>8</v>
      </c>
      <c r="D2544" t="s">
        <v>1060</v>
      </c>
      <c r="E2544">
        <v>2596</v>
      </c>
      <c r="F2544" t="s">
        <v>28</v>
      </c>
    </row>
    <row r="2545" spans="1:6" x14ac:dyDescent="0.35">
      <c r="A2545" s="1">
        <v>45640</v>
      </c>
      <c r="B2545" s="2">
        <v>45640.555655127311</v>
      </c>
      <c r="C2545" t="s">
        <v>8</v>
      </c>
      <c r="D2545" t="s">
        <v>1060</v>
      </c>
      <c r="E2545">
        <v>3576</v>
      </c>
      <c r="F2545" t="s">
        <v>32</v>
      </c>
    </row>
    <row r="2546" spans="1:6" x14ac:dyDescent="0.35">
      <c r="A2546" s="1">
        <v>45640</v>
      </c>
      <c r="B2546" s="2">
        <v>45640.673958136576</v>
      </c>
      <c r="C2546" t="s">
        <v>8</v>
      </c>
      <c r="D2546" t="s">
        <v>664</v>
      </c>
      <c r="E2546">
        <v>3576</v>
      </c>
      <c r="F2546" t="s">
        <v>10</v>
      </c>
    </row>
    <row r="2547" spans="1:6" x14ac:dyDescent="0.35">
      <c r="A2547" s="1">
        <v>45640</v>
      </c>
      <c r="B2547" s="2">
        <v>45640.687487673611</v>
      </c>
      <c r="C2547" t="s">
        <v>8</v>
      </c>
      <c r="D2547" t="s">
        <v>16</v>
      </c>
      <c r="E2547">
        <v>2596</v>
      </c>
      <c r="F2547" t="s">
        <v>28</v>
      </c>
    </row>
    <row r="2548" spans="1:6" x14ac:dyDescent="0.35">
      <c r="A2548" s="1">
        <v>45640</v>
      </c>
      <c r="B2548" s="2">
        <v>45640.688076157407</v>
      </c>
      <c r="C2548" t="s">
        <v>8</v>
      </c>
      <c r="D2548" t="s">
        <v>16</v>
      </c>
      <c r="E2548">
        <v>2596</v>
      </c>
      <c r="F2548" t="s">
        <v>28</v>
      </c>
    </row>
    <row r="2549" spans="1:6" x14ac:dyDescent="0.35">
      <c r="A2549" s="1">
        <v>45640</v>
      </c>
      <c r="B2549" s="2">
        <v>45640.708517349536</v>
      </c>
      <c r="C2549" t="s">
        <v>8</v>
      </c>
      <c r="D2549" t="s">
        <v>1055</v>
      </c>
      <c r="E2549">
        <v>2596</v>
      </c>
      <c r="F2549" t="s">
        <v>28</v>
      </c>
    </row>
    <row r="2550" spans="1:6" x14ac:dyDescent="0.35">
      <c r="A2550" s="1">
        <v>45640</v>
      </c>
      <c r="B2550" s="2">
        <v>45640.709365567127</v>
      </c>
      <c r="C2550" t="s">
        <v>8</v>
      </c>
      <c r="D2550" t="s">
        <v>1055</v>
      </c>
      <c r="E2550">
        <v>2596</v>
      </c>
      <c r="F2550" t="s">
        <v>28</v>
      </c>
    </row>
    <row r="2551" spans="1:6" x14ac:dyDescent="0.35">
      <c r="A2551" s="1">
        <v>45640</v>
      </c>
      <c r="B2551" s="2">
        <v>45640.766483287036</v>
      </c>
      <c r="C2551" t="s">
        <v>8</v>
      </c>
      <c r="D2551" t="s">
        <v>1061</v>
      </c>
      <c r="E2551">
        <v>3086</v>
      </c>
      <c r="F2551" t="s">
        <v>36</v>
      </c>
    </row>
    <row r="2552" spans="1:6" x14ac:dyDescent="0.35">
      <c r="A2552" s="1">
        <v>45641</v>
      </c>
      <c r="B2552" s="2">
        <v>45641.464870451389</v>
      </c>
      <c r="C2552" t="s">
        <v>8</v>
      </c>
      <c r="D2552" t="s">
        <v>622</v>
      </c>
      <c r="E2552">
        <v>3576</v>
      </c>
      <c r="F2552" t="s">
        <v>32</v>
      </c>
    </row>
    <row r="2553" spans="1:6" x14ac:dyDescent="0.35">
      <c r="A2553" s="1">
        <v>45641</v>
      </c>
      <c r="B2553" s="2">
        <v>45641.465575150462</v>
      </c>
      <c r="C2553" t="s">
        <v>8</v>
      </c>
      <c r="D2553" t="s">
        <v>622</v>
      </c>
      <c r="E2553">
        <v>3576</v>
      </c>
      <c r="F2553" t="s">
        <v>10</v>
      </c>
    </row>
    <row r="2554" spans="1:6" x14ac:dyDescent="0.35">
      <c r="A2554" s="1">
        <v>45641</v>
      </c>
      <c r="B2554" s="2">
        <v>45641.748673449074</v>
      </c>
      <c r="C2554" t="s">
        <v>8</v>
      </c>
      <c r="D2554" t="s">
        <v>850</v>
      </c>
      <c r="E2554">
        <v>3576</v>
      </c>
      <c r="F2554" t="s">
        <v>15</v>
      </c>
    </row>
    <row r="2555" spans="1:6" x14ac:dyDescent="0.35">
      <c r="A2555" s="1">
        <v>45642</v>
      </c>
      <c r="B2555" s="2">
        <v>45642.327990497688</v>
      </c>
      <c r="C2555" t="s">
        <v>8</v>
      </c>
      <c r="D2555" t="s">
        <v>622</v>
      </c>
      <c r="E2555">
        <v>3576</v>
      </c>
      <c r="F2555" t="s">
        <v>32</v>
      </c>
    </row>
    <row r="2556" spans="1:6" x14ac:dyDescent="0.35">
      <c r="A2556" s="1">
        <v>45642</v>
      </c>
      <c r="B2556" s="2">
        <v>45642.335776608794</v>
      </c>
      <c r="C2556" t="s">
        <v>8</v>
      </c>
      <c r="D2556" t="s">
        <v>1062</v>
      </c>
      <c r="E2556">
        <v>3576</v>
      </c>
      <c r="F2556" t="s">
        <v>15</v>
      </c>
    </row>
    <row r="2557" spans="1:6" x14ac:dyDescent="0.35">
      <c r="A2557" s="1">
        <v>45642</v>
      </c>
      <c r="B2557" s="2">
        <v>45642.365900763885</v>
      </c>
      <c r="C2557" t="s">
        <v>8</v>
      </c>
      <c r="D2557" t="s">
        <v>766</v>
      </c>
      <c r="E2557">
        <v>3576</v>
      </c>
      <c r="F2557" t="s">
        <v>10</v>
      </c>
    </row>
    <row r="2558" spans="1:6" x14ac:dyDescent="0.35">
      <c r="A2558" s="1">
        <v>45642</v>
      </c>
      <c r="B2558" s="2">
        <v>45642.513288553244</v>
      </c>
      <c r="C2558" t="s">
        <v>8</v>
      </c>
      <c r="D2558" t="s">
        <v>1063</v>
      </c>
      <c r="E2558">
        <v>3086</v>
      </c>
      <c r="F2558" t="s">
        <v>36</v>
      </c>
    </row>
    <row r="2559" spans="1:6" x14ac:dyDescent="0.35">
      <c r="A2559" s="1">
        <v>45642</v>
      </c>
      <c r="B2559" s="2">
        <v>45642.547830752315</v>
      </c>
      <c r="C2559" t="s">
        <v>8</v>
      </c>
      <c r="D2559" t="s">
        <v>938</v>
      </c>
      <c r="E2559">
        <v>3576</v>
      </c>
      <c r="F2559" t="s">
        <v>32</v>
      </c>
    </row>
    <row r="2560" spans="1:6" x14ac:dyDescent="0.35">
      <c r="A2560" s="1">
        <v>45642</v>
      </c>
      <c r="B2560" s="2">
        <v>45642.592571168978</v>
      </c>
      <c r="C2560" t="s">
        <v>8</v>
      </c>
      <c r="D2560" t="s">
        <v>948</v>
      </c>
      <c r="E2560">
        <v>3576</v>
      </c>
      <c r="F2560" t="s">
        <v>15</v>
      </c>
    </row>
    <row r="2561" spans="1:6" x14ac:dyDescent="0.35">
      <c r="A2561" s="1">
        <v>45642</v>
      </c>
      <c r="B2561" s="2">
        <v>45642.766053761574</v>
      </c>
      <c r="C2561" t="s">
        <v>8</v>
      </c>
      <c r="D2561" t="s">
        <v>43</v>
      </c>
      <c r="E2561">
        <v>3576</v>
      </c>
      <c r="F2561" t="s">
        <v>32</v>
      </c>
    </row>
    <row r="2562" spans="1:6" x14ac:dyDescent="0.35">
      <c r="A2562" s="1">
        <v>45642</v>
      </c>
      <c r="B2562" s="2">
        <v>45642.766683032409</v>
      </c>
      <c r="C2562" t="s">
        <v>8</v>
      </c>
      <c r="D2562" t="s">
        <v>43</v>
      </c>
      <c r="E2562">
        <v>3086</v>
      </c>
      <c r="F2562" t="s">
        <v>36</v>
      </c>
    </row>
    <row r="2563" spans="1:6" x14ac:dyDescent="0.35">
      <c r="A2563" s="1">
        <v>45643</v>
      </c>
      <c r="B2563" s="2">
        <v>45643.366876828703</v>
      </c>
      <c r="C2563" t="s">
        <v>8</v>
      </c>
      <c r="D2563" t="s">
        <v>1064</v>
      </c>
      <c r="E2563">
        <v>2596</v>
      </c>
      <c r="F2563" t="s">
        <v>20</v>
      </c>
    </row>
    <row r="2564" spans="1:6" x14ac:dyDescent="0.35">
      <c r="A2564" s="1">
        <v>45643</v>
      </c>
      <c r="B2564" s="2">
        <v>45643.369822118053</v>
      </c>
      <c r="C2564" t="s">
        <v>8</v>
      </c>
      <c r="D2564" t="s">
        <v>1065</v>
      </c>
      <c r="E2564">
        <v>3576</v>
      </c>
      <c r="F2564" t="s">
        <v>24</v>
      </c>
    </row>
    <row r="2565" spans="1:6" x14ac:dyDescent="0.35">
      <c r="A2565" s="1">
        <v>45643</v>
      </c>
      <c r="B2565" s="2">
        <v>45643.450758506944</v>
      </c>
      <c r="C2565" t="s">
        <v>8</v>
      </c>
      <c r="D2565" t="s">
        <v>29</v>
      </c>
      <c r="E2565">
        <v>3086</v>
      </c>
      <c r="F2565" t="s">
        <v>36</v>
      </c>
    </row>
    <row r="2566" spans="1:6" x14ac:dyDescent="0.35">
      <c r="A2566" s="1">
        <v>45643</v>
      </c>
      <c r="B2566" s="2">
        <v>45643.682350219904</v>
      </c>
      <c r="C2566" t="s">
        <v>8</v>
      </c>
      <c r="D2566" t="s">
        <v>1066</v>
      </c>
      <c r="E2566">
        <v>2596</v>
      </c>
      <c r="F2566" t="s">
        <v>28</v>
      </c>
    </row>
    <row r="2567" spans="1:6" x14ac:dyDescent="0.35">
      <c r="A2567" s="1">
        <v>45643</v>
      </c>
      <c r="B2567" s="2">
        <v>45643.683062557873</v>
      </c>
      <c r="C2567" t="s">
        <v>8</v>
      </c>
      <c r="D2567" t="s">
        <v>1066</v>
      </c>
      <c r="E2567">
        <v>3576</v>
      </c>
      <c r="F2567" t="s">
        <v>10</v>
      </c>
    </row>
    <row r="2568" spans="1:6" x14ac:dyDescent="0.35">
      <c r="A2568" s="1">
        <v>45643</v>
      </c>
      <c r="B2568" s="2">
        <v>45643.718310937496</v>
      </c>
      <c r="C2568" t="s">
        <v>8</v>
      </c>
      <c r="D2568" t="s">
        <v>716</v>
      </c>
      <c r="E2568">
        <v>3576</v>
      </c>
      <c r="F2568" t="s">
        <v>24</v>
      </c>
    </row>
    <row r="2569" spans="1:6" x14ac:dyDescent="0.35">
      <c r="A2569" s="1">
        <v>45643</v>
      </c>
      <c r="B2569" s="2">
        <v>45643.788163217592</v>
      </c>
      <c r="C2569" t="s">
        <v>8</v>
      </c>
      <c r="D2569" t="s">
        <v>959</v>
      </c>
      <c r="E2569">
        <v>3576</v>
      </c>
      <c r="F2569" t="s">
        <v>10</v>
      </c>
    </row>
    <row r="2570" spans="1:6" x14ac:dyDescent="0.35">
      <c r="A2570" s="1">
        <v>45644</v>
      </c>
      <c r="B2570" s="2">
        <v>45644.396160706019</v>
      </c>
      <c r="C2570" t="s">
        <v>8</v>
      </c>
      <c r="D2570" t="s">
        <v>1067</v>
      </c>
      <c r="E2570">
        <v>3576</v>
      </c>
      <c r="F2570" t="s">
        <v>32</v>
      </c>
    </row>
    <row r="2571" spans="1:6" x14ac:dyDescent="0.35">
      <c r="A2571" s="1">
        <v>45644</v>
      </c>
      <c r="B2571" s="2">
        <v>45644.417609849537</v>
      </c>
      <c r="C2571" t="s">
        <v>8</v>
      </c>
      <c r="D2571" t="s">
        <v>1068</v>
      </c>
      <c r="E2571">
        <v>3086</v>
      </c>
      <c r="F2571" t="s">
        <v>36</v>
      </c>
    </row>
    <row r="2572" spans="1:6" x14ac:dyDescent="0.35">
      <c r="A2572" s="1">
        <v>45644</v>
      </c>
      <c r="B2572" s="2">
        <v>45644.418773935184</v>
      </c>
      <c r="C2572" t="s">
        <v>8</v>
      </c>
      <c r="D2572" t="s">
        <v>1068</v>
      </c>
      <c r="E2572">
        <v>3576</v>
      </c>
      <c r="F2572" t="s">
        <v>32</v>
      </c>
    </row>
    <row r="2573" spans="1:6" x14ac:dyDescent="0.35">
      <c r="A2573" s="1">
        <v>45644</v>
      </c>
      <c r="B2573" s="2">
        <v>45644.419483564816</v>
      </c>
      <c r="C2573" t="s">
        <v>8</v>
      </c>
      <c r="D2573" t="s">
        <v>1068</v>
      </c>
      <c r="E2573">
        <v>3576</v>
      </c>
      <c r="F2573" t="s">
        <v>24</v>
      </c>
    </row>
    <row r="2574" spans="1:6" x14ac:dyDescent="0.35">
      <c r="A2574" s="1">
        <v>45645</v>
      </c>
      <c r="B2574" s="2">
        <v>45645.425129456016</v>
      </c>
      <c r="C2574" t="s">
        <v>8</v>
      </c>
      <c r="D2574" t="s">
        <v>1069</v>
      </c>
      <c r="E2574">
        <v>3576</v>
      </c>
      <c r="F2574" t="s">
        <v>15</v>
      </c>
    </row>
    <row r="2575" spans="1:6" x14ac:dyDescent="0.35">
      <c r="A2575" s="1">
        <v>45645</v>
      </c>
      <c r="B2575" s="2">
        <v>45645.476203032405</v>
      </c>
      <c r="C2575" t="s">
        <v>8</v>
      </c>
      <c r="D2575" t="s">
        <v>29</v>
      </c>
      <c r="E2575">
        <v>3086</v>
      </c>
      <c r="F2575" t="s">
        <v>36</v>
      </c>
    </row>
    <row r="2576" spans="1:6" x14ac:dyDescent="0.35">
      <c r="A2576" s="1">
        <v>45645</v>
      </c>
      <c r="B2576" s="2">
        <v>45645.507550104165</v>
      </c>
      <c r="C2576" t="s">
        <v>8</v>
      </c>
      <c r="D2576" t="s">
        <v>1070</v>
      </c>
      <c r="E2576">
        <v>2106</v>
      </c>
      <c r="F2576" t="s">
        <v>5</v>
      </c>
    </row>
    <row r="2577" spans="1:6" x14ac:dyDescent="0.35">
      <c r="A2577" s="1">
        <v>45645</v>
      </c>
      <c r="B2577" s="2">
        <v>45645.568712812499</v>
      </c>
      <c r="C2577" t="s">
        <v>8</v>
      </c>
      <c r="D2577" t="s">
        <v>1071</v>
      </c>
      <c r="E2577">
        <v>3576</v>
      </c>
      <c r="F2577" t="s">
        <v>15</v>
      </c>
    </row>
    <row r="2578" spans="1:6" x14ac:dyDescent="0.35">
      <c r="A2578" s="1">
        <v>45645</v>
      </c>
      <c r="B2578" s="2">
        <v>45645.792317858795</v>
      </c>
      <c r="C2578" t="s">
        <v>8</v>
      </c>
      <c r="D2578" t="s">
        <v>260</v>
      </c>
      <c r="E2578">
        <v>3576</v>
      </c>
      <c r="F2578" t="s">
        <v>24</v>
      </c>
    </row>
    <row r="2579" spans="1:6" x14ac:dyDescent="0.35">
      <c r="A2579" s="1">
        <v>45645</v>
      </c>
      <c r="B2579" s="2">
        <v>45645.799080567129</v>
      </c>
      <c r="C2579" t="s">
        <v>8</v>
      </c>
      <c r="D2579" t="s">
        <v>16</v>
      </c>
      <c r="E2579">
        <v>3576</v>
      </c>
      <c r="F2579" t="s">
        <v>24</v>
      </c>
    </row>
    <row r="2580" spans="1:6" x14ac:dyDescent="0.35">
      <c r="A2580" s="1">
        <v>45645</v>
      </c>
      <c r="B2580" s="2">
        <v>45645.825208587965</v>
      </c>
      <c r="C2580" t="s">
        <v>8</v>
      </c>
      <c r="D2580" t="s">
        <v>1072</v>
      </c>
      <c r="E2580">
        <v>3086</v>
      </c>
      <c r="F2580" t="s">
        <v>36</v>
      </c>
    </row>
    <row r="2581" spans="1:6" x14ac:dyDescent="0.35">
      <c r="A2581" s="1">
        <v>45645</v>
      </c>
      <c r="B2581" s="2">
        <v>45645.826187199076</v>
      </c>
      <c r="C2581" t="s">
        <v>8</v>
      </c>
      <c r="D2581" t="s">
        <v>1072</v>
      </c>
      <c r="E2581">
        <v>3576</v>
      </c>
      <c r="F2581" t="s">
        <v>15</v>
      </c>
    </row>
    <row r="2582" spans="1:6" x14ac:dyDescent="0.35">
      <c r="A2582" s="1">
        <v>45645</v>
      </c>
      <c r="B2582" s="2">
        <v>45645.880692256942</v>
      </c>
      <c r="C2582" t="s">
        <v>8</v>
      </c>
      <c r="D2582" t="s">
        <v>1073</v>
      </c>
      <c r="E2582">
        <v>3576</v>
      </c>
      <c r="F2582" t="s">
        <v>32</v>
      </c>
    </row>
    <row r="2583" spans="1:6" x14ac:dyDescent="0.35">
      <c r="A2583" s="1">
        <v>45645</v>
      </c>
      <c r="B2583" s="2">
        <v>45645.881431932874</v>
      </c>
      <c r="C2583" t="s">
        <v>8</v>
      </c>
      <c r="D2583" t="s">
        <v>1073</v>
      </c>
      <c r="E2583">
        <v>3576</v>
      </c>
      <c r="F2583" t="s">
        <v>24</v>
      </c>
    </row>
    <row r="2584" spans="1:6" x14ac:dyDescent="0.35">
      <c r="A2584" s="1">
        <v>45646</v>
      </c>
      <c r="B2584" s="2">
        <v>45646.343656886573</v>
      </c>
      <c r="C2584" t="s">
        <v>8</v>
      </c>
      <c r="D2584" t="s">
        <v>40</v>
      </c>
      <c r="E2584">
        <v>2596</v>
      </c>
      <c r="F2584" t="s">
        <v>20</v>
      </c>
    </row>
    <row r="2585" spans="1:6" x14ac:dyDescent="0.35">
      <c r="A2585" s="1">
        <v>45646</v>
      </c>
      <c r="B2585" s="2">
        <v>45646.402428958332</v>
      </c>
      <c r="C2585" t="s">
        <v>8</v>
      </c>
      <c r="D2585" t="s">
        <v>29</v>
      </c>
      <c r="E2585">
        <v>3086</v>
      </c>
      <c r="F2585" t="s">
        <v>36</v>
      </c>
    </row>
    <row r="2586" spans="1:6" x14ac:dyDescent="0.35">
      <c r="A2586" s="1">
        <v>45646</v>
      </c>
      <c r="B2586" s="2">
        <v>45646.425495729163</v>
      </c>
      <c r="C2586" t="s">
        <v>8</v>
      </c>
      <c r="D2586" t="s">
        <v>1074</v>
      </c>
      <c r="E2586">
        <v>3576</v>
      </c>
      <c r="F2586" t="s">
        <v>24</v>
      </c>
    </row>
    <row r="2587" spans="1:6" x14ac:dyDescent="0.35">
      <c r="A2587" s="1">
        <v>45646</v>
      </c>
      <c r="B2587" s="2">
        <v>45646.455198229167</v>
      </c>
      <c r="C2587" t="s">
        <v>8</v>
      </c>
      <c r="D2587" t="s">
        <v>40</v>
      </c>
      <c r="E2587">
        <v>2596</v>
      </c>
      <c r="F2587" t="s">
        <v>20</v>
      </c>
    </row>
    <row r="2588" spans="1:6" x14ac:dyDescent="0.35">
      <c r="A2588" s="1">
        <v>45646</v>
      </c>
      <c r="B2588" s="2">
        <v>45646.514782789352</v>
      </c>
      <c r="C2588" t="s">
        <v>8</v>
      </c>
      <c r="D2588" t="s">
        <v>871</v>
      </c>
      <c r="E2588">
        <v>2106</v>
      </c>
      <c r="F2588" t="s">
        <v>5</v>
      </c>
    </row>
    <row r="2589" spans="1:6" x14ac:dyDescent="0.35">
      <c r="A2589" s="1">
        <v>45646</v>
      </c>
      <c r="B2589" s="2">
        <v>45646.515849212963</v>
      </c>
      <c r="C2589" t="s">
        <v>8</v>
      </c>
      <c r="D2589" t="s">
        <v>871</v>
      </c>
      <c r="E2589">
        <v>3086</v>
      </c>
      <c r="F2589" t="s">
        <v>36</v>
      </c>
    </row>
    <row r="2590" spans="1:6" x14ac:dyDescent="0.35">
      <c r="A2590" s="1">
        <v>45646</v>
      </c>
      <c r="B2590" s="2">
        <v>45646.623846631941</v>
      </c>
      <c r="C2590" t="s">
        <v>8</v>
      </c>
      <c r="D2590" t="s">
        <v>1075</v>
      </c>
      <c r="E2590">
        <v>2596</v>
      </c>
      <c r="F2590" t="s">
        <v>20</v>
      </c>
    </row>
    <row r="2591" spans="1:6" x14ac:dyDescent="0.35">
      <c r="A2591" s="1">
        <v>45646</v>
      </c>
      <c r="B2591" s="2">
        <v>45646.769700821758</v>
      </c>
      <c r="C2591" t="s">
        <v>8</v>
      </c>
      <c r="D2591" t="s">
        <v>1076</v>
      </c>
      <c r="E2591">
        <v>3576</v>
      </c>
      <c r="F2591" t="s">
        <v>24</v>
      </c>
    </row>
    <row r="2592" spans="1:6" x14ac:dyDescent="0.35">
      <c r="A2592" s="1">
        <v>45646</v>
      </c>
      <c r="B2592" s="2">
        <v>45646.789737569445</v>
      </c>
      <c r="C2592" t="s">
        <v>8</v>
      </c>
      <c r="D2592" t="s">
        <v>260</v>
      </c>
      <c r="E2592">
        <v>3576</v>
      </c>
      <c r="F2592" t="s">
        <v>24</v>
      </c>
    </row>
    <row r="2593" spans="1:6" x14ac:dyDescent="0.35">
      <c r="A2593" s="1">
        <v>45647</v>
      </c>
      <c r="B2593" s="2">
        <v>45647.430137442127</v>
      </c>
      <c r="C2593" t="s">
        <v>8</v>
      </c>
      <c r="D2593" t="s">
        <v>1077</v>
      </c>
      <c r="E2593">
        <v>3576</v>
      </c>
      <c r="F2593" t="s">
        <v>24</v>
      </c>
    </row>
    <row r="2594" spans="1:6" x14ac:dyDescent="0.35">
      <c r="A2594" s="1">
        <v>45647</v>
      </c>
      <c r="B2594" s="2">
        <v>45647.431031319444</v>
      </c>
      <c r="C2594" t="s">
        <v>8</v>
      </c>
      <c r="D2594" t="s">
        <v>1077</v>
      </c>
      <c r="E2594">
        <v>3576</v>
      </c>
      <c r="F2594" t="s">
        <v>32</v>
      </c>
    </row>
    <row r="2595" spans="1:6" x14ac:dyDescent="0.35">
      <c r="A2595" s="1">
        <v>45647</v>
      </c>
      <c r="B2595" s="2">
        <v>45647.438921250003</v>
      </c>
      <c r="C2595" t="s">
        <v>8</v>
      </c>
      <c r="D2595" t="s">
        <v>1078</v>
      </c>
      <c r="E2595">
        <v>2596</v>
      </c>
      <c r="F2595" t="s">
        <v>28</v>
      </c>
    </row>
    <row r="2596" spans="1:6" x14ac:dyDescent="0.35">
      <c r="A2596" s="1">
        <v>45647</v>
      </c>
      <c r="B2596" s="2">
        <v>45647.647958668982</v>
      </c>
      <c r="C2596" t="s">
        <v>8</v>
      </c>
      <c r="D2596" t="s">
        <v>21</v>
      </c>
      <c r="E2596">
        <v>3576</v>
      </c>
      <c r="F2596" t="s">
        <v>15</v>
      </c>
    </row>
    <row r="2597" spans="1:6" x14ac:dyDescent="0.35">
      <c r="A2597" s="1">
        <v>45647</v>
      </c>
      <c r="B2597" s="2">
        <v>45647.648490902779</v>
      </c>
      <c r="C2597" t="s">
        <v>8</v>
      </c>
      <c r="D2597" t="s">
        <v>21</v>
      </c>
      <c r="E2597">
        <v>3576</v>
      </c>
      <c r="F2597" t="s">
        <v>32</v>
      </c>
    </row>
    <row r="2598" spans="1:6" x14ac:dyDescent="0.35">
      <c r="A2598" s="1">
        <v>45647</v>
      </c>
      <c r="B2598" s="2">
        <v>45647.649645520833</v>
      </c>
      <c r="C2598" t="s">
        <v>8</v>
      </c>
      <c r="D2598" t="s">
        <v>894</v>
      </c>
      <c r="E2598">
        <v>3086</v>
      </c>
      <c r="F2598" t="s">
        <v>36</v>
      </c>
    </row>
    <row r="2599" spans="1:6" x14ac:dyDescent="0.35">
      <c r="A2599" s="1">
        <v>45647</v>
      </c>
      <c r="B2599" s="2">
        <v>45647.665359050923</v>
      </c>
      <c r="C2599" t="s">
        <v>8</v>
      </c>
      <c r="D2599" t="s">
        <v>1079</v>
      </c>
      <c r="E2599">
        <v>3576</v>
      </c>
      <c r="F2599" t="s">
        <v>32</v>
      </c>
    </row>
    <row r="2600" spans="1:6" x14ac:dyDescent="0.35">
      <c r="A2600" s="1">
        <v>45647</v>
      </c>
      <c r="B2600" s="2">
        <v>45647.741294583335</v>
      </c>
      <c r="C2600" t="s">
        <v>8</v>
      </c>
      <c r="D2600" t="s">
        <v>1072</v>
      </c>
      <c r="E2600">
        <v>3576</v>
      </c>
      <c r="F2600" t="s">
        <v>10</v>
      </c>
    </row>
    <row r="2601" spans="1:6" x14ac:dyDescent="0.35">
      <c r="A2601" s="1">
        <v>45647</v>
      </c>
      <c r="B2601" s="2">
        <v>45647.751815613425</v>
      </c>
      <c r="C2601" t="s">
        <v>8</v>
      </c>
      <c r="D2601" t="s">
        <v>1080</v>
      </c>
      <c r="E2601">
        <v>3576</v>
      </c>
      <c r="F2601" t="s">
        <v>15</v>
      </c>
    </row>
    <row r="2602" spans="1:6" x14ac:dyDescent="0.35">
      <c r="A2602" s="1">
        <v>45647</v>
      </c>
      <c r="B2602" s="2">
        <v>45647.755754270831</v>
      </c>
      <c r="C2602" t="s">
        <v>8</v>
      </c>
      <c r="D2602" t="s">
        <v>1081</v>
      </c>
      <c r="E2602">
        <v>2596</v>
      </c>
      <c r="F2602" t="s">
        <v>20</v>
      </c>
    </row>
    <row r="2603" spans="1:6" x14ac:dyDescent="0.35">
      <c r="A2603" s="1">
        <v>45647</v>
      </c>
      <c r="B2603" s="2">
        <v>45647.82515571759</v>
      </c>
      <c r="C2603" t="s">
        <v>8</v>
      </c>
      <c r="D2603" t="s">
        <v>1082</v>
      </c>
      <c r="E2603">
        <v>3086</v>
      </c>
      <c r="F2603" t="s">
        <v>36</v>
      </c>
    </row>
    <row r="2604" spans="1:6" x14ac:dyDescent="0.35">
      <c r="A2604" s="1">
        <v>45647</v>
      </c>
      <c r="B2604" s="2">
        <v>45647.826224178243</v>
      </c>
      <c r="C2604" t="s">
        <v>8</v>
      </c>
      <c r="D2604" t="s">
        <v>1082</v>
      </c>
      <c r="E2604">
        <v>2596</v>
      </c>
      <c r="F2604" t="s">
        <v>20</v>
      </c>
    </row>
    <row r="2605" spans="1:6" x14ac:dyDescent="0.35">
      <c r="A2605" s="1">
        <v>45647</v>
      </c>
      <c r="B2605" s="2">
        <v>45647.909575381942</v>
      </c>
      <c r="C2605" t="s">
        <v>8</v>
      </c>
      <c r="D2605" t="s">
        <v>1081</v>
      </c>
      <c r="E2605">
        <v>2596</v>
      </c>
      <c r="F2605" t="s">
        <v>20</v>
      </c>
    </row>
    <row r="2606" spans="1:6" x14ac:dyDescent="0.35">
      <c r="A2606" s="1">
        <v>45647</v>
      </c>
      <c r="B2606" s="2">
        <v>45647.915842060182</v>
      </c>
      <c r="C2606" t="s">
        <v>8</v>
      </c>
      <c r="D2606" t="s">
        <v>1083</v>
      </c>
      <c r="E2606">
        <v>3576</v>
      </c>
      <c r="F2606" t="s">
        <v>32</v>
      </c>
    </row>
    <row r="2607" spans="1:6" x14ac:dyDescent="0.35">
      <c r="A2607" s="1">
        <v>45647</v>
      </c>
      <c r="B2607" s="2">
        <v>45647.927941423608</v>
      </c>
      <c r="C2607" t="s">
        <v>8</v>
      </c>
      <c r="D2607" t="s">
        <v>1081</v>
      </c>
      <c r="E2607">
        <v>2596</v>
      </c>
      <c r="F2607" t="s">
        <v>20</v>
      </c>
    </row>
    <row r="2608" spans="1:6" x14ac:dyDescent="0.35">
      <c r="A2608" s="1">
        <v>45648</v>
      </c>
      <c r="B2608" s="2">
        <v>45648.446482939813</v>
      </c>
      <c r="C2608" t="s">
        <v>8</v>
      </c>
      <c r="D2608" t="s">
        <v>386</v>
      </c>
      <c r="E2608">
        <v>3576</v>
      </c>
      <c r="F2608" t="s">
        <v>24</v>
      </c>
    </row>
    <row r="2609" spans="1:6" x14ac:dyDescent="0.35">
      <c r="A2609" s="1">
        <v>45648</v>
      </c>
      <c r="B2609" s="2">
        <v>45648.788709606481</v>
      </c>
      <c r="C2609" t="s">
        <v>8</v>
      </c>
      <c r="D2609" t="s">
        <v>260</v>
      </c>
      <c r="E2609">
        <v>3576</v>
      </c>
      <c r="F2609" t="s">
        <v>24</v>
      </c>
    </row>
    <row r="2610" spans="1:6" x14ac:dyDescent="0.35">
      <c r="A2610" s="1">
        <v>45648</v>
      </c>
      <c r="B2610" s="2">
        <v>45648.816502870373</v>
      </c>
      <c r="C2610" t="s">
        <v>8</v>
      </c>
      <c r="D2610" t="s">
        <v>1084</v>
      </c>
      <c r="E2610">
        <v>3576</v>
      </c>
      <c r="F2610" t="s">
        <v>15</v>
      </c>
    </row>
    <row r="2611" spans="1:6" x14ac:dyDescent="0.35">
      <c r="A2611" s="1">
        <v>45648</v>
      </c>
      <c r="B2611" s="2">
        <v>45648.81701230324</v>
      </c>
      <c r="C2611" t="s">
        <v>8</v>
      </c>
      <c r="D2611" t="s">
        <v>1084</v>
      </c>
      <c r="E2611">
        <v>3576</v>
      </c>
      <c r="F2611" t="s">
        <v>15</v>
      </c>
    </row>
    <row r="2612" spans="1:6" x14ac:dyDescent="0.35">
      <c r="A2612" s="1">
        <v>45648</v>
      </c>
      <c r="B2612" s="2">
        <v>45648.851814027781</v>
      </c>
      <c r="C2612" t="s">
        <v>8</v>
      </c>
      <c r="D2612" t="s">
        <v>688</v>
      </c>
      <c r="E2612">
        <v>3576</v>
      </c>
      <c r="F2612" t="s">
        <v>15</v>
      </c>
    </row>
    <row r="2613" spans="1:6" x14ac:dyDescent="0.35">
      <c r="A2613" s="1">
        <v>45648</v>
      </c>
      <c r="B2613" s="2">
        <v>45648.913411504633</v>
      </c>
      <c r="C2613" t="s">
        <v>8</v>
      </c>
      <c r="D2613" t="s">
        <v>1085</v>
      </c>
      <c r="E2613">
        <v>3576</v>
      </c>
      <c r="F2613" t="s">
        <v>10</v>
      </c>
    </row>
    <row r="2614" spans="1:6" x14ac:dyDescent="0.35">
      <c r="A2614" s="1">
        <v>45648</v>
      </c>
      <c r="B2614" s="2">
        <v>45648.91454046296</v>
      </c>
      <c r="C2614" t="s">
        <v>8</v>
      </c>
      <c r="D2614" t="s">
        <v>1086</v>
      </c>
      <c r="E2614">
        <v>2596</v>
      </c>
      <c r="F2614" t="s">
        <v>20</v>
      </c>
    </row>
    <row r="2615" spans="1:6" x14ac:dyDescent="0.35">
      <c r="A2615" s="1">
        <v>45649</v>
      </c>
      <c r="B2615" s="2">
        <v>45649.377326678237</v>
      </c>
      <c r="C2615" t="s">
        <v>8</v>
      </c>
      <c r="D2615" t="s">
        <v>1081</v>
      </c>
      <c r="E2615">
        <v>2596</v>
      </c>
      <c r="F2615" t="s">
        <v>20</v>
      </c>
    </row>
    <row r="2616" spans="1:6" x14ac:dyDescent="0.35">
      <c r="A2616" s="1">
        <v>45649</v>
      </c>
      <c r="B2616" s="2">
        <v>45649.390484895834</v>
      </c>
      <c r="C2616" t="s">
        <v>8</v>
      </c>
      <c r="D2616" t="s">
        <v>29</v>
      </c>
      <c r="E2616">
        <v>3086</v>
      </c>
      <c r="F2616" t="s">
        <v>36</v>
      </c>
    </row>
    <row r="2617" spans="1:6" x14ac:dyDescent="0.35">
      <c r="A2617" s="1">
        <v>45649</v>
      </c>
      <c r="B2617" s="2">
        <v>45649.445872870368</v>
      </c>
      <c r="C2617" t="s">
        <v>8</v>
      </c>
      <c r="D2617" t="s">
        <v>98</v>
      </c>
      <c r="E2617">
        <v>3086</v>
      </c>
      <c r="F2617" t="s">
        <v>36</v>
      </c>
    </row>
    <row r="2618" spans="1:6" x14ac:dyDescent="0.35">
      <c r="A2618" s="1">
        <v>45649</v>
      </c>
      <c r="B2618" s="2">
        <v>45649.483268842596</v>
      </c>
      <c r="C2618" t="s">
        <v>8</v>
      </c>
      <c r="D2618" t="s">
        <v>622</v>
      </c>
      <c r="E2618">
        <v>3576</v>
      </c>
      <c r="F2618" t="s">
        <v>24</v>
      </c>
    </row>
    <row r="2619" spans="1:6" x14ac:dyDescent="0.35">
      <c r="A2619" s="1">
        <v>45649</v>
      </c>
      <c r="B2619" s="2">
        <v>45649.587172858795</v>
      </c>
      <c r="C2619" t="s">
        <v>8</v>
      </c>
      <c r="D2619" t="s">
        <v>1087</v>
      </c>
      <c r="E2619">
        <v>3576</v>
      </c>
      <c r="F2619" t="s">
        <v>32</v>
      </c>
    </row>
    <row r="2620" spans="1:6" x14ac:dyDescent="0.35">
      <c r="A2620" s="1">
        <v>45649</v>
      </c>
      <c r="B2620" s="2">
        <v>45649.625274062499</v>
      </c>
      <c r="C2620" t="s">
        <v>8</v>
      </c>
      <c r="D2620" t="s">
        <v>1088</v>
      </c>
      <c r="E2620">
        <v>3086</v>
      </c>
      <c r="F2620" t="s">
        <v>36</v>
      </c>
    </row>
    <row r="2621" spans="1:6" x14ac:dyDescent="0.35">
      <c r="A2621" s="1">
        <v>45649</v>
      </c>
      <c r="B2621" s="2">
        <v>45649.676972719906</v>
      </c>
      <c r="C2621" t="s">
        <v>8</v>
      </c>
      <c r="D2621" t="s">
        <v>958</v>
      </c>
      <c r="E2621">
        <v>3576</v>
      </c>
      <c r="F2621" t="s">
        <v>32</v>
      </c>
    </row>
    <row r="2622" spans="1:6" x14ac:dyDescent="0.35">
      <c r="A2622" s="1">
        <v>45649</v>
      </c>
      <c r="B2622" s="2">
        <v>45649.723153877312</v>
      </c>
      <c r="C2622" t="s">
        <v>8</v>
      </c>
      <c r="D2622" t="s">
        <v>1089</v>
      </c>
      <c r="E2622">
        <v>2596</v>
      </c>
      <c r="F2622" t="s">
        <v>20</v>
      </c>
    </row>
    <row r="2623" spans="1:6" x14ac:dyDescent="0.35">
      <c r="A2623" s="1">
        <v>45649</v>
      </c>
      <c r="B2623" s="2">
        <v>45649.724077511572</v>
      </c>
      <c r="C2623" t="s">
        <v>8</v>
      </c>
      <c r="D2623" t="s">
        <v>1089</v>
      </c>
      <c r="E2623">
        <v>3576</v>
      </c>
      <c r="F2623" t="s">
        <v>32</v>
      </c>
    </row>
    <row r="2624" spans="1:6" x14ac:dyDescent="0.35">
      <c r="A2624" s="1">
        <v>45649</v>
      </c>
      <c r="B2624" s="2">
        <v>45649.865361412034</v>
      </c>
      <c r="C2624" t="s">
        <v>8</v>
      </c>
      <c r="D2624" t="s">
        <v>1081</v>
      </c>
      <c r="E2624">
        <v>2596</v>
      </c>
      <c r="F2624" t="s">
        <v>20</v>
      </c>
    </row>
    <row r="2625" spans="1:6" x14ac:dyDescent="0.35">
      <c r="A2625" s="1">
        <v>45650</v>
      </c>
      <c r="B2625" s="2">
        <v>45650.632447002317</v>
      </c>
      <c r="C2625" t="s">
        <v>8</v>
      </c>
      <c r="D2625" t="s">
        <v>1090</v>
      </c>
      <c r="E2625">
        <v>3086</v>
      </c>
      <c r="F2625" t="s">
        <v>36</v>
      </c>
    </row>
    <row r="2626" spans="1:6" x14ac:dyDescent="0.35">
      <c r="A2626" s="1">
        <v>45650</v>
      </c>
      <c r="B2626" s="2">
        <v>45650.672663541663</v>
      </c>
      <c r="C2626" t="s">
        <v>8</v>
      </c>
      <c r="D2626" t="s">
        <v>1091</v>
      </c>
      <c r="E2626">
        <v>3576</v>
      </c>
      <c r="F2626" t="s">
        <v>15</v>
      </c>
    </row>
    <row r="2627" spans="1:6" x14ac:dyDescent="0.35">
      <c r="A2627" s="1">
        <v>45650</v>
      </c>
      <c r="B2627" s="2">
        <v>45650.746858321756</v>
      </c>
      <c r="C2627" t="s">
        <v>8</v>
      </c>
      <c r="D2627" t="s">
        <v>1081</v>
      </c>
      <c r="E2627">
        <v>2596</v>
      </c>
      <c r="F2627" t="s">
        <v>20</v>
      </c>
    </row>
    <row r="2628" spans="1:6" x14ac:dyDescent="0.35">
      <c r="A2628" s="1">
        <v>45650</v>
      </c>
      <c r="B2628" s="2">
        <v>45650.799030925926</v>
      </c>
      <c r="C2628" t="s">
        <v>8</v>
      </c>
      <c r="D2628" t="s">
        <v>1091</v>
      </c>
      <c r="E2628">
        <v>3576</v>
      </c>
      <c r="F2628" t="s">
        <v>15</v>
      </c>
    </row>
    <row r="2629" spans="1:6" x14ac:dyDescent="0.35">
      <c r="A2629" s="1">
        <v>45650</v>
      </c>
      <c r="B2629" s="2">
        <v>45650.799732222222</v>
      </c>
      <c r="C2629" t="s">
        <v>8</v>
      </c>
      <c r="D2629" t="s">
        <v>1092</v>
      </c>
      <c r="E2629">
        <v>3576</v>
      </c>
      <c r="F2629" t="s">
        <v>32</v>
      </c>
    </row>
    <row r="2630" spans="1:6" x14ac:dyDescent="0.35">
      <c r="A2630" s="1">
        <v>45650</v>
      </c>
      <c r="B2630" s="2">
        <v>45650.800404884256</v>
      </c>
      <c r="C2630" t="s">
        <v>8</v>
      </c>
      <c r="D2630" t="s">
        <v>1091</v>
      </c>
      <c r="E2630">
        <v>2106</v>
      </c>
      <c r="F2630" t="s">
        <v>5</v>
      </c>
    </row>
    <row r="2631" spans="1:6" x14ac:dyDescent="0.35">
      <c r="A2631" s="1">
        <v>45650</v>
      </c>
      <c r="B2631" s="2">
        <v>45650.816693657405</v>
      </c>
      <c r="C2631" t="s">
        <v>8</v>
      </c>
      <c r="D2631" t="s">
        <v>11</v>
      </c>
      <c r="E2631">
        <v>3576</v>
      </c>
      <c r="F2631" t="s">
        <v>24</v>
      </c>
    </row>
    <row r="2632" spans="1:6" x14ac:dyDescent="0.35">
      <c r="A2632" s="1">
        <v>45651</v>
      </c>
      <c r="B2632" s="2">
        <v>45651.447185405093</v>
      </c>
      <c r="C2632" t="s">
        <v>8</v>
      </c>
      <c r="D2632" t="s">
        <v>1093</v>
      </c>
      <c r="E2632">
        <v>3576</v>
      </c>
      <c r="F2632" t="s">
        <v>32</v>
      </c>
    </row>
    <row r="2633" spans="1:6" x14ac:dyDescent="0.35">
      <c r="A2633" s="1">
        <v>45651</v>
      </c>
      <c r="B2633" s="2">
        <v>45651.44794421296</v>
      </c>
      <c r="C2633" t="s">
        <v>8</v>
      </c>
      <c r="D2633" t="s">
        <v>1093</v>
      </c>
      <c r="E2633">
        <v>3576</v>
      </c>
      <c r="F2633" t="s">
        <v>32</v>
      </c>
    </row>
    <row r="2634" spans="1:6" x14ac:dyDescent="0.35">
      <c r="A2634" s="1">
        <v>45651</v>
      </c>
      <c r="B2634" s="2">
        <v>45651.524343576391</v>
      </c>
      <c r="C2634" t="s">
        <v>8</v>
      </c>
      <c r="D2634" t="s">
        <v>1094</v>
      </c>
      <c r="E2634">
        <v>3086</v>
      </c>
      <c r="F2634" t="s">
        <v>36</v>
      </c>
    </row>
    <row r="2635" spans="1:6" x14ac:dyDescent="0.35">
      <c r="A2635" s="1">
        <v>45651</v>
      </c>
      <c r="B2635" s="2">
        <v>45651.525000914349</v>
      </c>
      <c r="C2635" t="s">
        <v>8</v>
      </c>
      <c r="D2635" t="s">
        <v>1094</v>
      </c>
      <c r="E2635">
        <v>2596</v>
      </c>
      <c r="F2635" t="s">
        <v>28</v>
      </c>
    </row>
    <row r="2636" spans="1:6" x14ac:dyDescent="0.35">
      <c r="A2636" s="1">
        <v>45651</v>
      </c>
      <c r="B2636" s="2">
        <v>45651.553604155095</v>
      </c>
      <c r="C2636" t="s">
        <v>8</v>
      </c>
      <c r="D2636" t="s">
        <v>1095</v>
      </c>
      <c r="E2636">
        <v>3086</v>
      </c>
      <c r="F2636" t="s">
        <v>36</v>
      </c>
    </row>
    <row r="2637" spans="1:6" x14ac:dyDescent="0.35">
      <c r="A2637" s="1">
        <v>45651</v>
      </c>
      <c r="B2637" s="2">
        <v>45651.564439178241</v>
      </c>
      <c r="C2637" t="s">
        <v>8</v>
      </c>
      <c r="D2637" t="s">
        <v>1096</v>
      </c>
      <c r="E2637">
        <v>2596</v>
      </c>
      <c r="F2637" t="s">
        <v>28</v>
      </c>
    </row>
    <row r="2638" spans="1:6" x14ac:dyDescent="0.35">
      <c r="A2638" s="1">
        <v>45651</v>
      </c>
      <c r="B2638" s="2">
        <v>45651.835189016201</v>
      </c>
      <c r="C2638" t="s">
        <v>8</v>
      </c>
      <c r="D2638" t="s">
        <v>11</v>
      </c>
      <c r="E2638">
        <v>3576</v>
      </c>
      <c r="F2638" t="s">
        <v>24</v>
      </c>
    </row>
    <row r="2639" spans="1:6" x14ac:dyDescent="0.35">
      <c r="A2639" s="1">
        <v>45651</v>
      </c>
      <c r="B2639" s="2">
        <v>45651.888076898147</v>
      </c>
      <c r="C2639" t="s">
        <v>8</v>
      </c>
      <c r="D2639" t="s">
        <v>1097</v>
      </c>
      <c r="E2639">
        <v>3576</v>
      </c>
      <c r="F2639" t="s">
        <v>10</v>
      </c>
    </row>
    <row r="2640" spans="1:6" x14ac:dyDescent="0.35">
      <c r="A2640" s="1">
        <v>45651</v>
      </c>
      <c r="B2640" s="2">
        <v>45651.888681631943</v>
      </c>
      <c r="C2640" t="s">
        <v>8</v>
      </c>
      <c r="D2640" t="s">
        <v>1097</v>
      </c>
      <c r="E2640">
        <v>3576</v>
      </c>
      <c r="F2640" t="s">
        <v>10</v>
      </c>
    </row>
    <row r="2641" spans="1:6" x14ac:dyDescent="0.35">
      <c r="A2641" s="1">
        <v>45651</v>
      </c>
      <c r="B2641" s="2">
        <v>45651.914933680557</v>
      </c>
      <c r="C2641" t="s">
        <v>8</v>
      </c>
      <c r="D2641" t="s">
        <v>1098</v>
      </c>
      <c r="E2641">
        <v>3576</v>
      </c>
      <c r="F2641" t="s">
        <v>32</v>
      </c>
    </row>
    <row r="2642" spans="1:6" x14ac:dyDescent="0.35">
      <c r="A2642" s="1">
        <v>45651</v>
      </c>
      <c r="B2642" s="2">
        <v>45651.952116909721</v>
      </c>
      <c r="C2642" t="s">
        <v>8</v>
      </c>
      <c r="D2642" t="s">
        <v>208</v>
      </c>
      <c r="E2642">
        <v>3576</v>
      </c>
      <c r="F2642" t="s">
        <v>24</v>
      </c>
    </row>
    <row r="2643" spans="1:6" x14ac:dyDescent="0.35">
      <c r="A2643" s="1">
        <v>45651</v>
      </c>
      <c r="B2643" s="2">
        <v>45651.953546597222</v>
      </c>
      <c r="C2643" t="s">
        <v>8</v>
      </c>
      <c r="D2643" t="s">
        <v>208</v>
      </c>
      <c r="E2643">
        <v>3086</v>
      </c>
      <c r="F2643" t="s">
        <v>36</v>
      </c>
    </row>
    <row r="2644" spans="1:6" x14ac:dyDescent="0.35">
      <c r="A2644" s="1">
        <v>45652</v>
      </c>
      <c r="B2644" s="2">
        <v>45652.550439120372</v>
      </c>
      <c r="C2644" t="s">
        <v>8</v>
      </c>
      <c r="D2644" t="s">
        <v>1099</v>
      </c>
      <c r="E2644">
        <v>3576</v>
      </c>
      <c r="F2644" t="s">
        <v>24</v>
      </c>
    </row>
    <row r="2645" spans="1:6" x14ac:dyDescent="0.35">
      <c r="A2645" s="1">
        <v>45652</v>
      </c>
      <c r="B2645" s="2">
        <v>45652.628176747683</v>
      </c>
      <c r="C2645" t="s">
        <v>8</v>
      </c>
      <c r="D2645" t="s">
        <v>1100</v>
      </c>
      <c r="E2645">
        <v>2106</v>
      </c>
      <c r="F2645" t="s">
        <v>5</v>
      </c>
    </row>
    <row r="2646" spans="1:6" x14ac:dyDescent="0.35">
      <c r="A2646" s="1">
        <v>45653</v>
      </c>
      <c r="B2646" s="2">
        <v>45653.326628599534</v>
      </c>
      <c r="C2646" t="s">
        <v>8</v>
      </c>
      <c r="D2646" t="s">
        <v>1101</v>
      </c>
      <c r="E2646">
        <v>2596</v>
      </c>
      <c r="F2646" t="s">
        <v>28</v>
      </c>
    </row>
    <row r="2647" spans="1:6" x14ac:dyDescent="0.35">
      <c r="A2647" s="1">
        <v>45653</v>
      </c>
      <c r="B2647" s="2">
        <v>45653.373367037035</v>
      </c>
      <c r="C2647" t="s">
        <v>8</v>
      </c>
      <c r="D2647" t="s">
        <v>1081</v>
      </c>
      <c r="E2647">
        <v>2596</v>
      </c>
      <c r="F2647" t="s">
        <v>20</v>
      </c>
    </row>
    <row r="2648" spans="1:6" x14ac:dyDescent="0.35">
      <c r="A2648" s="1">
        <v>45653</v>
      </c>
      <c r="B2648" s="2">
        <v>45653.381889189812</v>
      </c>
      <c r="C2648" t="s">
        <v>8</v>
      </c>
      <c r="D2648" t="s">
        <v>40</v>
      </c>
      <c r="E2648">
        <v>2596</v>
      </c>
      <c r="F2648" t="s">
        <v>20</v>
      </c>
    </row>
    <row r="2649" spans="1:6" x14ac:dyDescent="0.35">
      <c r="A2649" s="1">
        <v>45653</v>
      </c>
      <c r="B2649" s="2">
        <v>45653.425618344911</v>
      </c>
      <c r="C2649" t="s">
        <v>8</v>
      </c>
      <c r="D2649" t="s">
        <v>29</v>
      </c>
      <c r="E2649">
        <v>3086</v>
      </c>
      <c r="F2649" t="s">
        <v>36</v>
      </c>
    </row>
    <row r="2650" spans="1:6" x14ac:dyDescent="0.35">
      <c r="A2650" s="1">
        <v>45653</v>
      </c>
      <c r="B2650" s="2">
        <v>45653.716720381941</v>
      </c>
      <c r="C2650" t="s">
        <v>8</v>
      </c>
      <c r="D2650" t="s">
        <v>1102</v>
      </c>
      <c r="E2650">
        <v>3576</v>
      </c>
      <c r="F2650" t="s">
        <v>32</v>
      </c>
    </row>
    <row r="2651" spans="1:6" x14ac:dyDescent="0.35">
      <c r="A2651" s="1">
        <v>45653</v>
      </c>
      <c r="B2651" s="2">
        <v>45653.824627951391</v>
      </c>
      <c r="C2651" t="s">
        <v>8</v>
      </c>
      <c r="D2651" t="s">
        <v>1103</v>
      </c>
      <c r="E2651">
        <v>2596</v>
      </c>
      <c r="F2651" t="s">
        <v>28</v>
      </c>
    </row>
    <row r="2652" spans="1:6" x14ac:dyDescent="0.35">
      <c r="A2652" s="1">
        <v>45653</v>
      </c>
      <c r="B2652" s="2">
        <v>45653.825250497684</v>
      </c>
      <c r="C2652" t="s">
        <v>8</v>
      </c>
      <c r="D2652" t="s">
        <v>1103</v>
      </c>
      <c r="E2652">
        <v>3086</v>
      </c>
      <c r="F2652" t="s">
        <v>36</v>
      </c>
    </row>
    <row r="2653" spans="1:6" x14ac:dyDescent="0.35">
      <c r="A2653" s="1">
        <v>45653</v>
      </c>
      <c r="B2653" s="2">
        <v>45653.954547372683</v>
      </c>
      <c r="C2653" t="s">
        <v>8</v>
      </c>
      <c r="D2653" t="s">
        <v>753</v>
      </c>
      <c r="E2653">
        <v>3576</v>
      </c>
      <c r="F2653" t="s">
        <v>10</v>
      </c>
    </row>
    <row r="2654" spans="1:6" x14ac:dyDescent="0.35">
      <c r="A2654" s="1">
        <v>45654</v>
      </c>
      <c r="B2654" s="2">
        <v>45654.375271585646</v>
      </c>
      <c r="C2654" t="s">
        <v>8</v>
      </c>
      <c r="D2654" t="s">
        <v>1081</v>
      </c>
      <c r="E2654">
        <v>2596</v>
      </c>
      <c r="F2654" t="s">
        <v>20</v>
      </c>
    </row>
    <row r="2655" spans="1:6" x14ac:dyDescent="0.35">
      <c r="A2655" s="1">
        <v>45654</v>
      </c>
      <c r="B2655" s="2">
        <v>45654.410161446758</v>
      </c>
      <c r="C2655" t="s">
        <v>8</v>
      </c>
      <c r="D2655" t="s">
        <v>40</v>
      </c>
      <c r="E2655">
        <v>2596</v>
      </c>
      <c r="F2655" t="s">
        <v>20</v>
      </c>
    </row>
    <row r="2656" spans="1:6" x14ac:dyDescent="0.35">
      <c r="A2656" s="1">
        <v>45654</v>
      </c>
      <c r="B2656" s="2">
        <v>45654.429678541666</v>
      </c>
      <c r="C2656" t="s">
        <v>8</v>
      </c>
      <c r="D2656" t="s">
        <v>779</v>
      </c>
      <c r="E2656">
        <v>3086</v>
      </c>
      <c r="F2656" t="s">
        <v>36</v>
      </c>
    </row>
    <row r="2657" spans="1:6" x14ac:dyDescent="0.35">
      <c r="A2657" s="1">
        <v>45654</v>
      </c>
      <c r="B2657" s="2">
        <v>45654.452813946758</v>
      </c>
      <c r="C2657" t="s">
        <v>8</v>
      </c>
      <c r="D2657" t="s">
        <v>622</v>
      </c>
      <c r="E2657">
        <v>3576</v>
      </c>
      <c r="F2657" t="s">
        <v>32</v>
      </c>
    </row>
    <row r="2658" spans="1:6" x14ac:dyDescent="0.35">
      <c r="A2658" s="1">
        <v>45654</v>
      </c>
      <c r="B2658" s="2">
        <v>45654.59029266204</v>
      </c>
      <c r="C2658" t="s">
        <v>8</v>
      </c>
      <c r="D2658" t="s">
        <v>1104</v>
      </c>
      <c r="E2658">
        <v>3576</v>
      </c>
      <c r="F2658" t="s">
        <v>24</v>
      </c>
    </row>
    <row r="2659" spans="1:6" x14ac:dyDescent="0.35">
      <c r="A2659" s="1">
        <v>45654</v>
      </c>
      <c r="B2659" s="2">
        <v>45654.592562025464</v>
      </c>
      <c r="C2659" t="s">
        <v>8</v>
      </c>
      <c r="D2659" t="s">
        <v>1105</v>
      </c>
      <c r="E2659">
        <v>3576</v>
      </c>
      <c r="F2659" t="s">
        <v>15</v>
      </c>
    </row>
    <row r="2660" spans="1:6" x14ac:dyDescent="0.35">
      <c r="A2660" s="1">
        <v>45654</v>
      </c>
      <c r="B2660" s="2">
        <v>45654.724771666668</v>
      </c>
      <c r="C2660" t="s">
        <v>8</v>
      </c>
      <c r="D2660" t="s">
        <v>21</v>
      </c>
      <c r="E2660">
        <v>3576</v>
      </c>
      <c r="F2660" t="s">
        <v>32</v>
      </c>
    </row>
    <row r="2661" spans="1:6" x14ac:dyDescent="0.35">
      <c r="A2661" s="1">
        <v>45654</v>
      </c>
      <c r="B2661" s="2">
        <v>45654.924326631946</v>
      </c>
      <c r="C2661" t="s">
        <v>8</v>
      </c>
      <c r="D2661" t="s">
        <v>1106</v>
      </c>
      <c r="E2661">
        <v>3576</v>
      </c>
      <c r="F2661" t="s">
        <v>24</v>
      </c>
    </row>
    <row r="2662" spans="1:6" x14ac:dyDescent="0.35">
      <c r="A2662" s="1">
        <v>45655</v>
      </c>
      <c r="B2662" s="2">
        <v>45655.573801354163</v>
      </c>
      <c r="C2662" t="s">
        <v>8</v>
      </c>
      <c r="D2662" t="s">
        <v>1081</v>
      </c>
      <c r="E2662">
        <v>2596</v>
      </c>
      <c r="F2662" t="s">
        <v>20</v>
      </c>
    </row>
    <row r="2663" spans="1:6" x14ac:dyDescent="0.35">
      <c r="A2663" s="1">
        <v>45655</v>
      </c>
      <c r="B2663" s="2">
        <v>45655.628086018522</v>
      </c>
      <c r="C2663" t="s">
        <v>8</v>
      </c>
      <c r="D2663" t="s">
        <v>1107</v>
      </c>
      <c r="E2663">
        <v>2106</v>
      </c>
      <c r="F2663" t="s">
        <v>5</v>
      </c>
    </row>
    <row r="2664" spans="1:6" x14ac:dyDescent="0.35">
      <c r="A2664" s="1">
        <v>45655</v>
      </c>
      <c r="B2664" s="2">
        <v>45655.628661145834</v>
      </c>
      <c r="C2664" t="s">
        <v>8</v>
      </c>
      <c r="D2664" t="s">
        <v>1107</v>
      </c>
      <c r="E2664">
        <v>2596</v>
      </c>
      <c r="F2664" t="s">
        <v>28</v>
      </c>
    </row>
    <row r="2665" spans="1:6" x14ac:dyDescent="0.35">
      <c r="A2665" s="1">
        <v>45655</v>
      </c>
      <c r="B2665" s="2">
        <v>45655.729218900466</v>
      </c>
      <c r="C2665" t="s">
        <v>8</v>
      </c>
      <c r="D2665" t="s">
        <v>1108</v>
      </c>
      <c r="E2665">
        <v>2596</v>
      </c>
      <c r="F2665" t="s">
        <v>20</v>
      </c>
    </row>
    <row r="2666" spans="1:6" x14ac:dyDescent="0.35">
      <c r="A2666" s="1">
        <v>45655</v>
      </c>
      <c r="B2666" s="2">
        <v>45655.730401643516</v>
      </c>
      <c r="C2666" t="s">
        <v>8</v>
      </c>
      <c r="D2666" t="s">
        <v>1109</v>
      </c>
      <c r="E2666">
        <v>2106</v>
      </c>
      <c r="F2666" t="s">
        <v>5</v>
      </c>
    </row>
    <row r="2667" spans="1:6" x14ac:dyDescent="0.35">
      <c r="A2667" s="1">
        <v>45655</v>
      </c>
      <c r="B2667" s="2">
        <v>45655.824811851853</v>
      </c>
      <c r="C2667" t="s">
        <v>8</v>
      </c>
      <c r="D2667" t="s">
        <v>1081</v>
      </c>
      <c r="E2667">
        <v>2596</v>
      </c>
      <c r="F2667" t="s">
        <v>20</v>
      </c>
    </row>
    <row r="2668" spans="1:6" x14ac:dyDescent="0.35">
      <c r="A2668" s="1">
        <v>45655</v>
      </c>
      <c r="B2668" s="2">
        <v>45655.851322118055</v>
      </c>
      <c r="C2668" t="s">
        <v>8</v>
      </c>
      <c r="D2668" t="s">
        <v>1110</v>
      </c>
      <c r="E2668">
        <v>3576</v>
      </c>
      <c r="F2668" t="s">
        <v>15</v>
      </c>
    </row>
    <row r="2669" spans="1:6" x14ac:dyDescent="0.35">
      <c r="A2669" s="1">
        <v>45655</v>
      </c>
      <c r="B2669" s="2">
        <v>45655.887029282407</v>
      </c>
      <c r="C2669" t="s">
        <v>8</v>
      </c>
      <c r="D2669" t="s">
        <v>781</v>
      </c>
      <c r="E2669">
        <v>3576</v>
      </c>
      <c r="F2669" t="s">
        <v>32</v>
      </c>
    </row>
    <row r="2670" spans="1:6" x14ac:dyDescent="0.35">
      <c r="A2670" s="1">
        <v>45656</v>
      </c>
      <c r="B2670" s="2">
        <v>45656.376901412033</v>
      </c>
      <c r="C2670" t="s">
        <v>8</v>
      </c>
      <c r="D2670" t="s">
        <v>1081</v>
      </c>
      <c r="E2670">
        <v>2596</v>
      </c>
      <c r="F2670" t="s">
        <v>20</v>
      </c>
    </row>
    <row r="2671" spans="1:6" x14ac:dyDescent="0.35">
      <c r="A2671" s="1">
        <v>45656</v>
      </c>
      <c r="B2671" s="2">
        <v>45656.405694016205</v>
      </c>
      <c r="C2671" t="s">
        <v>8</v>
      </c>
      <c r="D2671" t="s">
        <v>29</v>
      </c>
      <c r="E2671">
        <v>3086</v>
      </c>
      <c r="F2671" t="s">
        <v>36</v>
      </c>
    </row>
    <row r="2672" spans="1:6" x14ac:dyDescent="0.35">
      <c r="A2672" s="1">
        <v>45656</v>
      </c>
      <c r="B2672" s="2">
        <v>45656.578140694444</v>
      </c>
      <c r="C2672" t="s">
        <v>8</v>
      </c>
      <c r="D2672" t="s">
        <v>1111</v>
      </c>
      <c r="E2672">
        <v>3576</v>
      </c>
      <c r="F2672" t="s">
        <v>32</v>
      </c>
    </row>
    <row r="2673" spans="1:6" x14ac:dyDescent="0.35">
      <c r="A2673" s="1">
        <v>45656</v>
      </c>
      <c r="B2673" s="2">
        <v>45656.578926539354</v>
      </c>
      <c r="C2673" t="s">
        <v>8</v>
      </c>
      <c r="D2673" t="s">
        <v>1111</v>
      </c>
      <c r="E2673">
        <v>3576</v>
      </c>
      <c r="F2673" t="s">
        <v>15</v>
      </c>
    </row>
    <row r="2674" spans="1:6" x14ac:dyDescent="0.35">
      <c r="A2674" s="1">
        <v>45656</v>
      </c>
      <c r="B2674" s="2">
        <v>45656.633854664353</v>
      </c>
      <c r="C2674" t="s">
        <v>8</v>
      </c>
      <c r="D2674" t="s">
        <v>972</v>
      </c>
      <c r="E2674">
        <v>3576</v>
      </c>
      <c r="F2674" t="s">
        <v>32</v>
      </c>
    </row>
    <row r="2675" spans="1:6" x14ac:dyDescent="0.35">
      <c r="A2675" s="1">
        <v>45656</v>
      </c>
      <c r="B2675" s="2">
        <v>45656.634475590276</v>
      </c>
      <c r="C2675" t="s">
        <v>8</v>
      </c>
      <c r="D2675" t="s">
        <v>972</v>
      </c>
      <c r="E2675">
        <v>3086</v>
      </c>
      <c r="F2675" t="s">
        <v>36</v>
      </c>
    </row>
    <row r="2676" spans="1:6" x14ac:dyDescent="0.35">
      <c r="A2676" s="1">
        <v>45656</v>
      </c>
      <c r="B2676" s="2">
        <v>45656.687429201389</v>
      </c>
      <c r="C2676" t="s">
        <v>8</v>
      </c>
      <c r="D2676" t="s">
        <v>1055</v>
      </c>
      <c r="E2676">
        <v>3086</v>
      </c>
      <c r="F2676" t="s">
        <v>36</v>
      </c>
    </row>
    <row r="2677" spans="1:6" x14ac:dyDescent="0.35">
      <c r="A2677" s="1">
        <v>45656</v>
      </c>
      <c r="B2677" s="2">
        <v>45656.68852693287</v>
      </c>
      <c r="C2677" t="s">
        <v>8</v>
      </c>
      <c r="D2677" t="s">
        <v>1112</v>
      </c>
      <c r="E2677">
        <v>2596</v>
      </c>
      <c r="F2677" t="s">
        <v>28</v>
      </c>
    </row>
    <row r="2678" spans="1:6" x14ac:dyDescent="0.35">
      <c r="A2678" s="1">
        <v>45656</v>
      </c>
      <c r="B2678" s="2">
        <v>45656.692193877316</v>
      </c>
      <c r="C2678" t="s">
        <v>8</v>
      </c>
      <c r="D2678" t="s">
        <v>938</v>
      </c>
      <c r="E2678">
        <v>3576</v>
      </c>
      <c r="F2678" t="s">
        <v>24</v>
      </c>
    </row>
    <row r="2679" spans="1:6" x14ac:dyDescent="0.35">
      <c r="A2679" s="1">
        <v>45657</v>
      </c>
      <c r="B2679" s="2">
        <v>45657.369776400461</v>
      </c>
      <c r="C2679" t="s">
        <v>8</v>
      </c>
      <c r="D2679" t="s">
        <v>1081</v>
      </c>
      <c r="E2679">
        <v>2596</v>
      </c>
      <c r="F2679" t="s">
        <v>20</v>
      </c>
    </row>
    <row r="2680" spans="1:6" x14ac:dyDescent="0.35">
      <c r="A2680" s="1">
        <v>45657</v>
      </c>
      <c r="B2680" s="2">
        <v>45657.400578831017</v>
      </c>
      <c r="C2680" t="s">
        <v>8</v>
      </c>
      <c r="D2680" t="s">
        <v>1086</v>
      </c>
      <c r="E2680">
        <v>3576</v>
      </c>
      <c r="F2680" t="s">
        <v>24</v>
      </c>
    </row>
    <row r="2681" spans="1:6" x14ac:dyDescent="0.35">
      <c r="A2681" s="1">
        <v>45657</v>
      </c>
      <c r="B2681" s="2">
        <v>45657.402563333337</v>
      </c>
      <c r="C2681" t="s">
        <v>8</v>
      </c>
      <c r="D2681" t="s">
        <v>1086</v>
      </c>
      <c r="E2681">
        <v>2596</v>
      </c>
      <c r="F2681" t="s">
        <v>20</v>
      </c>
    </row>
    <row r="2682" spans="1:6" x14ac:dyDescent="0.35">
      <c r="A2682" s="1">
        <v>45657</v>
      </c>
      <c r="B2682" s="2">
        <v>45657.406580150462</v>
      </c>
      <c r="C2682" t="s">
        <v>8</v>
      </c>
      <c r="D2682" t="s">
        <v>1113</v>
      </c>
      <c r="E2682">
        <v>3576</v>
      </c>
      <c r="F2682" t="s">
        <v>10</v>
      </c>
    </row>
    <row r="2683" spans="1:6" x14ac:dyDescent="0.35">
      <c r="A2683" s="1">
        <v>45657</v>
      </c>
      <c r="B2683" s="2">
        <v>45657.435335324073</v>
      </c>
      <c r="C2683" t="s">
        <v>8</v>
      </c>
      <c r="D2683" t="s">
        <v>1114</v>
      </c>
      <c r="E2683">
        <v>3086</v>
      </c>
      <c r="F2683" t="s">
        <v>36</v>
      </c>
    </row>
    <row r="2684" spans="1:6" x14ac:dyDescent="0.35">
      <c r="A2684" s="1">
        <v>45657</v>
      </c>
      <c r="B2684" s="2">
        <v>45657.437132071762</v>
      </c>
      <c r="C2684" t="s">
        <v>8</v>
      </c>
      <c r="D2684" t="s">
        <v>1114</v>
      </c>
      <c r="E2684">
        <v>3086</v>
      </c>
      <c r="F2684" t="s">
        <v>36</v>
      </c>
    </row>
    <row r="2685" spans="1:6" x14ac:dyDescent="0.35">
      <c r="A2685" s="1">
        <v>45657</v>
      </c>
      <c r="B2685" s="2">
        <v>45657.466328333336</v>
      </c>
      <c r="C2685" t="s">
        <v>8</v>
      </c>
      <c r="D2685" t="s">
        <v>249</v>
      </c>
      <c r="E2685">
        <v>3576</v>
      </c>
      <c r="F2685" t="s">
        <v>24</v>
      </c>
    </row>
    <row r="2686" spans="1:6" x14ac:dyDescent="0.35">
      <c r="A2686" s="1">
        <v>45657</v>
      </c>
      <c r="B2686" s="2">
        <v>45657.467153391204</v>
      </c>
      <c r="C2686" t="s">
        <v>8</v>
      </c>
      <c r="D2686" t="s">
        <v>249</v>
      </c>
      <c r="E2686">
        <v>3086</v>
      </c>
      <c r="F2686" t="s">
        <v>36</v>
      </c>
    </row>
    <row r="2687" spans="1:6" x14ac:dyDescent="0.35">
      <c r="A2687" s="1">
        <v>45657</v>
      </c>
      <c r="B2687" s="2">
        <v>45657.654329780089</v>
      </c>
      <c r="C2687" t="s">
        <v>8</v>
      </c>
      <c r="D2687" t="s">
        <v>43</v>
      </c>
      <c r="E2687">
        <v>2106</v>
      </c>
      <c r="F2687" t="s">
        <v>5</v>
      </c>
    </row>
    <row r="2688" spans="1:6" x14ac:dyDescent="0.35">
      <c r="A2688" s="1">
        <v>45657</v>
      </c>
      <c r="B2688" s="2">
        <v>45657.655015046294</v>
      </c>
      <c r="C2688" t="s">
        <v>8</v>
      </c>
      <c r="D2688" t="s">
        <v>43</v>
      </c>
      <c r="E2688">
        <v>2596</v>
      </c>
      <c r="F2688" t="s">
        <v>28</v>
      </c>
    </row>
    <row r="2689" spans="1:6" x14ac:dyDescent="0.35">
      <c r="A2689" s="1">
        <v>45657</v>
      </c>
      <c r="B2689" s="2">
        <v>45657.67174633102</v>
      </c>
      <c r="C2689" t="s">
        <v>8</v>
      </c>
      <c r="D2689" t="s">
        <v>1115</v>
      </c>
      <c r="E2689">
        <v>3576</v>
      </c>
      <c r="F2689" t="s">
        <v>24</v>
      </c>
    </row>
    <row r="2690" spans="1:6" x14ac:dyDescent="0.35">
      <c r="A2690" s="1">
        <v>45657</v>
      </c>
      <c r="B2690" s="2">
        <v>45657.715480752318</v>
      </c>
      <c r="C2690" t="s">
        <v>8</v>
      </c>
      <c r="D2690" t="s">
        <v>577</v>
      </c>
      <c r="E2690">
        <v>3576</v>
      </c>
      <c r="F2690" t="s">
        <v>32</v>
      </c>
    </row>
    <row r="2691" spans="1:6" x14ac:dyDescent="0.35">
      <c r="A2691" s="1">
        <v>45657</v>
      </c>
      <c r="B2691" s="2">
        <v>45657.729777604167</v>
      </c>
      <c r="C2691" t="s">
        <v>8</v>
      </c>
      <c r="D2691" t="s">
        <v>1116</v>
      </c>
      <c r="E2691">
        <v>3086</v>
      </c>
      <c r="F2691" t="s">
        <v>36</v>
      </c>
    </row>
    <row r="2692" spans="1:6" x14ac:dyDescent="0.35">
      <c r="A2692" s="1">
        <v>45657</v>
      </c>
      <c r="B2692" s="2">
        <v>45657.73042295139</v>
      </c>
      <c r="C2692" t="s">
        <v>8</v>
      </c>
      <c r="D2692" t="s">
        <v>1117</v>
      </c>
      <c r="E2692">
        <v>3576</v>
      </c>
      <c r="F2692" t="s">
        <v>24</v>
      </c>
    </row>
    <row r="2693" spans="1:6" x14ac:dyDescent="0.35">
      <c r="A2693" s="1">
        <v>45657</v>
      </c>
      <c r="B2693" s="2">
        <v>45657.796821909724</v>
      </c>
      <c r="C2693" t="s">
        <v>8</v>
      </c>
      <c r="D2693" t="s">
        <v>1118</v>
      </c>
      <c r="E2693">
        <v>3576</v>
      </c>
      <c r="F2693" t="s">
        <v>32</v>
      </c>
    </row>
    <row r="2694" spans="1:6" x14ac:dyDescent="0.35">
      <c r="A2694" s="1">
        <v>45657</v>
      </c>
      <c r="B2694" s="2">
        <v>45657.797672442131</v>
      </c>
      <c r="C2694" t="s">
        <v>8</v>
      </c>
      <c r="D2694" t="s">
        <v>1118</v>
      </c>
      <c r="E2694">
        <v>3576</v>
      </c>
      <c r="F2694" t="s">
        <v>15</v>
      </c>
    </row>
    <row r="2695" spans="1:6" x14ac:dyDescent="0.35">
      <c r="A2695" s="1">
        <v>45659</v>
      </c>
      <c r="B2695" s="2">
        <v>45659.415339525462</v>
      </c>
      <c r="C2695" t="s">
        <v>8</v>
      </c>
      <c r="D2695" t="s">
        <v>29</v>
      </c>
      <c r="E2695">
        <v>3086</v>
      </c>
      <c r="F2695" t="s">
        <v>36</v>
      </c>
    </row>
    <row r="2696" spans="1:6" x14ac:dyDescent="0.35">
      <c r="A2696" s="1">
        <v>45659</v>
      </c>
      <c r="B2696" s="2">
        <v>45659.562270000002</v>
      </c>
      <c r="C2696" t="s">
        <v>8</v>
      </c>
      <c r="D2696" t="s">
        <v>1119</v>
      </c>
      <c r="E2696">
        <v>3576</v>
      </c>
      <c r="F2696" t="s">
        <v>10</v>
      </c>
    </row>
    <row r="2697" spans="1:6" x14ac:dyDescent="0.35">
      <c r="A2697" s="1">
        <v>45659</v>
      </c>
      <c r="B2697" s="2">
        <v>45659.562948148145</v>
      </c>
      <c r="C2697" t="s">
        <v>8</v>
      </c>
      <c r="D2697" t="s">
        <v>1119</v>
      </c>
      <c r="E2697">
        <v>3576</v>
      </c>
      <c r="F2697" t="s">
        <v>10</v>
      </c>
    </row>
    <row r="2698" spans="1:6" x14ac:dyDescent="0.35">
      <c r="A2698" s="1">
        <v>45659</v>
      </c>
      <c r="B2698" s="2">
        <v>45659.611928171296</v>
      </c>
      <c r="C2698" t="s">
        <v>8</v>
      </c>
      <c r="D2698" t="s">
        <v>1120</v>
      </c>
      <c r="E2698">
        <v>2596</v>
      </c>
      <c r="F2698" t="s">
        <v>20</v>
      </c>
    </row>
    <row r="2699" spans="1:6" x14ac:dyDescent="0.35">
      <c r="A2699" s="1">
        <v>45659</v>
      </c>
      <c r="B2699" s="2">
        <v>45659.613030636574</v>
      </c>
      <c r="C2699" t="s">
        <v>8</v>
      </c>
      <c r="D2699" t="s">
        <v>1120</v>
      </c>
      <c r="E2699">
        <v>2596</v>
      </c>
      <c r="F2699" t="s">
        <v>20</v>
      </c>
    </row>
    <row r="2700" spans="1:6" x14ac:dyDescent="0.35">
      <c r="A2700" s="1">
        <v>45659</v>
      </c>
      <c r="B2700" s="2">
        <v>45659.682319293985</v>
      </c>
      <c r="C2700" t="s">
        <v>8</v>
      </c>
      <c r="D2700" t="s">
        <v>1121</v>
      </c>
      <c r="E2700">
        <v>2596</v>
      </c>
      <c r="F2700" t="s">
        <v>28</v>
      </c>
    </row>
    <row r="2701" spans="1:6" x14ac:dyDescent="0.35">
      <c r="A2701" s="1">
        <v>45659</v>
      </c>
      <c r="B2701" s="2">
        <v>45659.690966087961</v>
      </c>
      <c r="C2701" t="s">
        <v>8</v>
      </c>
      <c r="D2701" t="s">
        <v>929</v>
      </c>
      <c r="E2701">
        <v>3576</v>
      </c>
      <c r="F2701" t="s">
        <v>15</v>
      </c>
    </row>
    <row r="2702" spans="1:6" x14ac:dyDescent="0.35">
      <c r="A2702" s="1">
        <v>45659</v>
      </c>
      <c r="B2702" s="2">
        <v>45659.691484780094</v>
      </c>
      <c r="C2702" t="s">
        <v>8</v>
      </c>
      <c r="D2702" t="s">
        <v>929</v>
      </c>
      <c r="E2702">
        <v>3086</v>
      </c>
      <c r="F2702" t="s">
        <v>36</v>
      </c>
    </row>
    <row r="2703" spans="1:6" x14ac:dyDescent="0.35">
      <c r="A2703" s="1">
        <v>45659</v>
      </c>
      <c r="B2703" s="2">
        <v>45659.738312210648</v>
      </c>
      <c r="C2703" t="s">
        <v>8</v>
      </c>
      <c r="D2703" t="s">
        <v>577</v>
      </c>
      <c r="E2703">
        <v>3576</v>
      </c>
      <c r="F2703" t="s">
        <v>24</v>
      </c>
    </row>
    <row r="2704" spans="1:6" x14ac:dyDescent="0.35">
      <c r="A2704" s="1">
        <v>45660</v>
      </c>
      <c r="B2704" s="2">
        <v>45660.377345694447</v>
      </c>
      <c r="C2704" t="s">
        <v>8</v>
      </c>
      <c r="D2704" t="s">
        <v>1081</v>
      </c>
      <c r="E2704">
        <v>2596</v>
      </c>
      <c r="F2704" t="s">
        <v>20</v>
      </c>
    </row>
    <row r="2705" spans="1:6" x14ac:dyDescent="0.35">
      <c r="A2705" s="1">
        <v>45660</v>
      </c>
      <c r="B2705" s="2">
        <v>45660.423967615738</v>
      </c>
      <c r="C2705" t="s">
        <v>8</v>
      </c>
      <c r="D2705" t="s">
        <v>29</v>
      </c>
      <c r="E2705">
        <v>3086</v>
      </c>
      <c r="F2705" t="s">
        <v>36</v>
      </c>
    </row>
    <row r="2706" spans="1:6" x14ac:dyDescent="0.35">
      <c r="A2706" s="1">
        <v>45660</v>
      </c>
      <c r="B2706" s="2">
        <v>45660.707053472222</v>
      </c>
      <c r="C2706" t="s">
        <v>8</v>
      </c>
      <c r="D2706" t="s">
        <v>1122</v>
      </c>
      <c r="E2706">
        <v>3086</v>
      </c>
      <c r="F2706" t="s">
        <v>36</v>
      </c>
    </row>
    <row r="2707" spans="1:6" x14ac:dyDescent="0.35">
      <c r="A2707" s="1">
        <v>45660</v>
      </c>
      <c r="B2707" s="2">
        <v>45660.926025000001</v>
      </c>
      <c r="C2707" t="s">
        <v>8</v>
      </c>
      <c r="D2707" t="s">
        <v>672</v>
      </c>
      <c r="E2707">
        <v>3576</v>
      </c>
      <c r="F2707" t="s">
        <v>24</v>
      </c>
    </row>
    <row r="2708" spans="1:6" x14ac:dyDescent="0.35">
      <c r="A2708" s="1">
        <v>45660</v>
      </c>
      <c r="B2708" s="2">
        <v>45660.929402303242</v>
      </c>
      <c r="C2708" t="s">
        <v>8</v>
      </c>
      <c r="D2708" t="s">
        <v>1123</v>
      </c>
      <c r="E2708">
        <v>2596</v>
      </c>
      <c r="F2708" t="s">
        <v>28</v>
      </c>
    </row>
    <row r="2709" spans="1:6" x14ac:dyDescent="0.35">
      <c r="A2709" s="1">
        <v>45660</v>
      </c>
      <c r="B2709" s="2">
        <v>45660.930027245369</v>
      </c>
      <c r="C2709" t="s">
        <v>8</v>
      </c>
      <c r="D2709" t="s">
        <v>1124</v>
      </c>
      <c r="E2709">
        <v>2596</v>
      </c>
      <c r="F2709" t="s">
        <v>28</v>
      </c>
    </row>
    <row r="2710" spans="1:6" x14ac:dyDescent="0.35">
      <c r="A2710" s="1">
        <v>45660</v>
      </c>
      <c r="B2710" s="2">
        <v>45660.931550370369</v>
      </c>
      <c r="C2710" t="s">
        <v>8</v>
      </c>
      <c r="D2710" t="s">
        <v>742</v>
      </c>
      <c r="E2710">
        <v>3576</v>
      </c>
      <c r="F2710" t="s">
        <v>32</v>
      </c>
    </row>
    <row r="2711" spans="1:6" x14ac:dyDescent="0.35">
      <c r="A2711" s="1">
        <v>45661</v>
      </c>
      <c r="B2711" s="2">
        <v>45661.373917847224</v>
      </c>
      <c r="C2711" t="s">
        <v>8</v>
      </c>
      <c r="D2711" t="s">
        <v>1081</v>
      </c>
      <c r="E2711">
        <v>2596</v>
      </c>
      <c r="F2711" t="s">
        <v>20</v>
      </c>
    </row>
    <row r="2712" spans="1:6" x14ac:dyDescent="0.35">
      <c r="A2712" s="1">
        <v>45661</v>
      </c>
      <c r="B2712" s="2">
        <v>45661.416293796297</v>
      </c>
      <c r="C2712" t="s">
        <v>8</v>
      </c>
      <c r="D2712" t="s">
        <v>1125</v>
      </c>
      <c r="E2712">
        <v>2596</v>
      </c>
      <c r="F2712" t="s">
        <v>28</v>
      </c>
    </row>
    <row r="2713" spans="1:6" x14ac:dyDescent="0.35">
      <c r="A2713" s="1">
        <v>45661</v>
      </c>
      <c r="B2713" s="2">
        <v>45661.569447754628</v>
      </c>
      <c r="C2713" t="s">
        <v>8</v>
      </c>
      <c r="D2713" t="s">
        <v>1126</v>
      </c>
      <c r="E2713">
        <v>3576</v>
      </c>
      <c r="F2713" t="s">
        <v>24</v>
      </c>
    </row>
    <row r="2714" spans="1:6" x14ac:dyDescent="0.35">
      <c r="A2714" s="1">
        <v>45661</v>
      </c>
      <c r="B2714" s="2">
        <v>45661.666356793983</v>
      </c>
      <c r="C2714" t="s">
        <v>8</v>
      </c>
      <c r="D2714" t="s">
        <v>929</v>
      </c>
      <c r="E2714">
        <v>3576</v>
      </c>
      <c r="F2714" t="s">
        <v>10</v>
      </c>
    </row>
    <row r="2715" spans="1:6" x14ac:dyDescent="0.35">
      <c r="A2715" s="1">
        <v>45661</v>
      </c>
      <c r="B2715" s="2">
        <v>45661.67563888889</v>
      </c>
      <c r="C2715" t="s">
        <v>8</v>
      </c>
      <c r="D2715" t="s">
        <v>1086</v>
      </c>
      <c r="E2715">
        <v>3086</v>
      </c>
      <c r="F2715" t="s">
        <v>36</v>
      </c>
    </row>
    <row r="2716" spans="1:6" x14ac:dyDescent="0.35">
      <c r="A2716" s="1">
        <v>45661</v>
      </c>
      <c r="B2716" s="2">
        <v>45661.6765069213</v>
      </c>
      <c r="C2716" t="s">
        <v>8</v>
      </c>
      <c r="D2716" t="s">
        <v>1086</v>
      </c>
      <c r="E2716">
        <v>3576</v>
      </c>
      <c r="F2716" t="s">
        <v>24</v>
      </c>
    </row>
    <row r="2717" spans="1:6" x14ac:dyDescent="0.35">
      <c r="A2717" s="1">
        <v>45661</v>
      </c>
      <c r="B2717" s="2">
        <v>45661.677907696758</v>
      </c>
      <c r="C2717" t="s">
        <v>8</v>
      </c>
      <c r="D2717" t="s">
        <v>1086</v>
      </c>
      <c r="E2717">
        <v>3576</v>
      </c>
      <c r="F2717" t="s">
        <v>24</v>
      </c>
    </row>
    <row r="2718" spans="1:6" x14ac:dyDescent="0.35">
      <c r="A2718" s="1">
        <v>45661</v>
      </c>
      <c r="B2718" s="2">
        <v>45661.679213877316</v>
      </c>
      <c r="C2718" t="s">
        <v>8</v>
      </c>
      <c r="D2718" t="s">
        <v>1086</v>
      </c>
      <c r="E2718">
        <v>2596</v>
      </c>
      <c r="F2718" t="s">
        <v>20</v>
      </c>
    </row>
    <row r="2719" spans="1:6" x14ac:dyDescent="0.35">
      <c r="A2719" s="1">
        <v>45661</v>
      </c>
      <c r="B2719" s="2">
        <v>45661.758093263888</v>
      </c>
      <c r="C2719" t="s">
        <v>8</v>
      </c>
      <c r="D2719" t="s">
        <v>1127</v>
      </c>
      <c r="E2719">
        <v>2596</v>
      </c>
      <c r="F2719" t="s">
        <v>28</v>
      </c>
    </row>
    <row r="2720" spans="1:6" x14ac:dyDescent="0.35">
      <c r="A2720" s="1">
        <v>45661</v>
      </c>
      <c r="B2720" s="2">
        <v>45661.932994444447</v>
      </c>
      <c r="C2720" t="s">
        <v>8</v>
      </c>
      <c r="D2720" t="s">
        <v>1052</v>
      </c>
      <c r="E2720">
        <v>3576</v>
      </c>
      <c r="F2720" t="s">
        <v>32</v>
      </c>
    </row>
    <row r="2721" spans="1:6" x14ac:dyDescent="0.35">
      <c r="A2721" s="1">
        <v>45662</v>
      </c>
      <c r="B2721" s="2">
        <v>45662.406918726854</v>
      </c>
      <c r="C2721" t="s">
        <v>8</v>
      </c>
      <c r="D2721" t="s">
        <v>1128</v>
      </c>
      <c r="E2721">
        <v>3086</v>
      </c>
      <c r="F2721" t="s">
        <v>36</v>
      </c>
    </row>
    <row r="2722" spans="1:6" x14ac:dyDescent="0.35">
      <c r="A2722" s="1">
        <v>45662</v>
      </c>
      <c r="B2722" s="2">
        <v>45662.45348196759</v>
      </c>
      <c r="C2722" t="s">
        <v>8</v>
      </c>
      <c r="D2722" t="s">
        <v>1129</v>
      </c>
      <c r="E2722">
        <v>3576</v>
      </c>
      <c r="F2722" t="s">
        <v>32</v>
      </c>
    </row>
    <row r="2723" spans="1:6" x14ac:dyDescent="0.35">
      <c r="A2723" s="1">
        <v>45662</v>
      </c>
      <c r="B2723" s="2">
        <v>45662.921718460646</v>
      </c>
      <c r="C2723" t="s">
        <v>8</v>
      </c>
      <c r="D2723" t="s">
        <v>1130</v>
      </c>
      <c r="E2723">
        <v>3086</v>
      </c>
      <c r="F2723" t="s">
        <v>36</v>
      </c>
    </row>
    <row r="2724" spans="1:6" x14ac:dyDescent="0.35">
      <c r="A2724" s="1">
        <v>45663</v>
      </c>
      <c r="B2724" s="2">
        <v>45663.832531111111</v>
      </c>
      <c r="C2724" t="s">
        <v>8</v>
      </c>
      <c r="D2724" t="s">
        <v>1131</v>
      </c>
      <c r="E2724">
        <v>2596</v>
      </c>
      <c r="F2724" t="s">
        <v>28</v>
      </c>
    </row>
    <row r="2725" spans="1:6" x14ac:dyDescent="0.35">
      <c r="A2725" s="1">
        <v>45664</v>
      </c>
      <c r="B2725" s="2">
        <v>45664.561837835645</v>
      </c>
      <c r="C2725" t="s">
        <v>8</v>
      </c>
      <c r="D2725" t="s">
        <v>1132</v>
      </c>
      <c r="E2725">
        <v>3576</v>
      </c>
      <c r="F2725" t="s">
        <v>24</v>
      </c>
    </row>
    <row r="2726" spans="1:6" x14ac:dyDescent="0.35">
      <c r="A2726" s="1">
        <v>45664</v>
      </c>
      <c r="B2726" s="2">
        <v>45664.939410706022</v>
      </c>
      <c r="C2726" t="s">
        <v>8</v>
      </c>
      <c r="D2726" t="s">
        <v>1133</v>
      </c>
      <c r="E2726">
        <v>3576</v>
      </c>
      <c r="F2726" t="s">
        <v>10</v>
      </c>
    </row>
    <row r="2727" spans="1:6" x14ac:dyDescent="0.35">
      <c r="A2727" s="1">
        <v>45664</v>
      </c>
      <c r="B2727" s="2">
        <v>45664.940264884259</v>
      </c>
      <c r="C2727" t="s">
        <v>8</v>
      </c>
      <c r="D2727" t="s">
        <v>1133</v>
      </c>
      <c r="E2727">
        <v>3576</v>
      </c>
      <c r="F2727" t="s">
        <v>10</v>
      </c>
    </row>
    <row r="2728" spans="1:6" x14ac:dyDescent="0.35">
      <c r="A2728" s="1">
        <v>45665</v>
      </c>
      <c r="B2728" s="2">
        <v>45665.312523368055</v>
      </c>
      <c r="C2728" t="s">
        <v>8</v>
      </c>
      <c r="D2728" t="s">
        <v>1134</v>
      </c>
      <c r="E2728">
        <v>3086</v>
      </c>
      <c r="F2728" t="s">
        <v>36</v>
      </c>
    </row>
    <row r="2729" spans="1:6" x14ac:dyDescent="0.35">
      <c r="A2729" s="1">
        <v>45665</v>
      </c>
      <c r="B2729" s="2">
        <v>45665.382814143515</v>
      </c>
      <c r="C2729" t="s">
        <v>8</v>
      </c>
      <c r="D2729" t="s">
        <v>1135</v>
      </c>
      <c r="E2729">
        <v>3576</v>
      </c>
      <c r="F2729" t="s">
        <v>32</v>
      </c>
    </row>
    <row r="2730" spans="1:6" x14ac:dyDescent="0.35">
      <c r="A2730" s="1">
        <v>45665</v>
      </c>
      <c r="B2730" s="2">
        <v>45665.437832557873</v>
      </c>
      <c r="C2730" t="s">
        <v>8</v>
      </c>
      <c r="D2730" t="s">
        <v>1086</v>
      </c>
      <c r="E2730">
        <v>2596</v>
      </c>
      <c r="F2730" t="s">
        <v>20</v>
      </c>
    </row>
    <row r="2731" spans="1:6" x14ac:dyDescent="0.35">
      <c r="A2731" s="1">
        <v>45665</v>
      </c>
      <c r="B2731" s="2">
        <v>45665.724208391206</v>
      </c>
      <c r="C2731" t="s">
        <v>8</v>
      </c>
      <c r="D2731" t="s">
        <v>260</v>
      </c>
      <c r="E2731">
        <v>3576</v>
      </c>
      <c r="F2731" t="s">
        <v>24</v>
      </c>
    </row>
    <row r="2732" spans="1:6" x14ac:dyDescent="0.35">
      <c r="A2732" s="1">
        <v>45666</v>
      </c>
      <c r="B2732" s="2">
        <v>45666.338282222219</v>
      </c>
      <c r="C2732" t="s">
        <v>8</v>
      </c>
      <c r="D2732" t="s">
        <v>1136</v>
      </c>
      <c r="E2732">
        <v>2596</v>
      </c>
      <c r="F2732" t="s">
        <v>28</v>
      </c>
    </row>
    <row r="2733" spans="1:6" x14ac:dyDescent="0.35">
      <c r="A2733" s="1">
        <v>45666</v>
      </c>
      <c r="B2733" s="2">
        <v>45666.372624247684</v>
      </c>
      <c r="C2733" t="s">
        <v>8</v>
      </c>
      <c r="D2733" t="s">
        <v>622</v>
      </c>
      <c r="E2733">
        <v>3576</v>
      </c>
      <c r="F2733" t="s">
        <v>32</v>
      </c>
    </row>
    <row r="2734" spans="1:6" x14ac:dyDescent="0.35">
      <c r="A2734" s="1">
        <v>45666</v>
      </c>
      <c r="B2734" s="2">
        <v>45666.376756747683</v>
      </c>
      <c r="C2734" t="s">
        <v>8</v>
      </c>
      <c r="D2734" t="s">
        <v>438</v>
      </c>
      <c r="E2734">
        <v>3086</v>
      </c>
      <c r="F2734" t="s">
        <v>36</v>
      </c>
    </row>
    <row r="2735" spans="1:6" x14ac:dyDescent="0.35">
      <c r="A2735" s="1">
        <v>45666</v>
      </c>
      <c r="B2735" s="2">
        <v>45666.602357430558</v>
      </c>
      <c r="C2735" t="s">
        <v>8</v>
      </c>
      <c r="D2735" t="s">
        <v>401</v>
      </c>
      <c r="E2735">
        <v>2106</v>
      </c>
      <c r="F2735" t="s">
        <v>5</v>
      </c>
    </row>
    <row r="2736" spans="1:6" x14ac:dyDescent="0.35">
      <c r="A2736" s="1">
        <v>45666</v>
      </c>
      <c r="B2736" s="2">
        <v>45666.650679155093</v>
      </c>
      <c r="C2736" t="s">
        <v>8</v>
      </c>
      <c r="D2736" t="s">
        <v>1137</v>
      </c>
      <c r="E2736">
        <v>3576</v>
      </c>
      <c r="F2736" t="s">
        <v>32</v>
      </c>
    </row>
    <row r="2737" spans="1:6" x14ac:dyDescent="0.35">
      <c r="A2737" s="1">
        <v>45666</v>
      </c>
      <c r="B2737" s="2">
        <v>45666.658449212962</v>
      </c>
      <c r="C2737" t="s">
        <v>8</v>
      </c>
      <c r="D2737" t="s">
        <v>40</v>
      </c>
      <c r="E2737">
        <v>3086</v>
      </c>
      <c r="F2737" t="s">
        <v>36</v>
      </c>
    </row>
    <row r="2738" spans="1:6" x14ac:dyDescent="0.35">
      <c r="A2738" s="1">
        <v>45666</v>
      </c>
      <c r="B2738" s="2">
        <v>45666.659164305558</v>
      </c>
      <c r="C2738" t="s">
        <v>8</v>
      </c>
      <c r="D2738" t="s">
        <v>40</v>
      </c>
      <c r="E2738">
        <v>2596</v>
      </c>
      <c r="F2738" t="s">
        <v>20</v>
      </c>
    </row>
    <row r="2739" spans="1:6" x14ac:dyDescent="0.35">
      <c r="A2739" s="1">
        <v>45666</v>
      </c>
      <c r="B2739" s="2">
        <v>45666.854503148148</v>
      </c>
      <c r="C2739" t="s">
        <v>8</v>
      </c>
      <c r="D2739" t="s">
        <v>43</v>
      </c>
      <c r="E2739">
        <v>3086</v>
      </c>
      <c r="F2739" t="s">
        <v>36</v>
      </c>
    </row>
    <row r="2740" spans="1:6" x14ac:dyDescent="0.35">
      <c r="A2740" s="1">
        <v>45666</v>
      </c>
      <c r="B2740" s="2">
        <v>45666.923850659725</v>
      </c>
      <c r="C2740" t="s">
        <v>8</v>
      </c>
      <c r="D2740" t="s">
        <v>382</v>
      </c>
      <c r="E2740">
        <v>3576</v>
      </c>
      <c r="F2740" t="s">
        <v>32</v>
      </c>
    </row>
    <row r="2741" spans="1:6" x14ac:dyDescent="0.35">
      <c r="A2741" s="1">
        <v>45667</v>
      </c>
      <c r="B2741" s="2">
        <v>45667.367602025464</v>
      </c>
      <c r="C2741" t="s">
        <v>8</v>
      </c>
      <c r="D2741" t="s">
        <v>278</v>
      </c>
      <c r="E2741">
        <v>3086</v>
      </c>
      <c r="F2741" t="s">
        <v>36</v>
      </c>
    </row>
    <row r="2742" spans="1:6" x14ac:dyDescent="0.35">
      <c r="A2742" s="1">
        <v>45667</v>
      </c>
      <c r="B2742" s="2">
        <v>45667.386533541663</v>
      </c>
      <c r="C2742" t="s">
        <v>8</v>
      </c>
      <c r="D2742" t="s">
        <v>438</v>
      </c>
      <c r="E2742">
        <v>3086</v>
      </c>
      <c r="F2742" t="s">
        <v>36</v>
      </c>
    </row>
    <row r="2743" spans="1:6" x14ac:dyDescent="0.35">
      <c r="A2743" s="1">
        <v>45667</v>
      </c>
      <c r="B2743" s="2">
        <v>45667.743967256945</v>
      </c>
      <c r="C2743" t="s">
        <v>8</v>
      </c>
      <c r="D2743" t="s">
        <v>1138</v>
      </c>
      <c r="E2743">
        <v>3576</v>
      </c>
      <c r="F2743" t="s">
        <v>24</v>
      </c>
    </row>
    <row r="2744" spans="1:6" x14ac:dyDescent="0.35">
      <c r="A2744" s="1">
        <v>45667</v>
      </c>
      <c r="B2744" s="2">
        <v>45667.747145335648</v>
      </c>
      <c r="C2744" t="s">
        <v>8</v>
      </c>
      <c r="D2744" t="s">
        <v>1097</v>
      </c>
      <c r="E2744">
        <v>3576</v>
      </c>
      <c r="F2744" t="s">
        <v>15</v>
      </c>
    </row>
    <row r="2745" spans="1:6" x14ac:dyDescent="0.35">
      <c r="A2745" s="1">
        <v>45667</v>
      </c>
      <c r="B2745" s="2">
        <v>45667.749759074075</v>
      </c>
      <c r="C2745" t="s">
        <v>8</v>
      </c>
      <c r="D2745" t="s">
        <v>278</v>
      </c>
      <c r="E2745">
        <v>3086</v>
      </c>
      <c r="F2745" t="s">
        <v>36</v>
      </c>
    </row>
    <row r="2746" spans="1:6" x14ac:dyDescent="0.35">
      <c r="A2746" s="1">
        <v>45668</v>
      </c>
      <c r="B2746" s="2">
        <v>45668.322574652775</v>
      </c>
      <c r="C2746" t="s">
        <v>8</v>
      </c>
      <c r="D2746" t="s">
        <v>894</v>
      </c>
      <c r="E2746">
        <v>3086</v>
      </c>
      <c r="F2746" t="s">
        <v>36</v>
      </c>
    </row>
    <row r="2747" spans="1:6" x14ac:dyDescent="0.35">
      <c r="A2747" s="1">
        <v>45668</v>
      </c>
      <c r="B2747" s="2">
        <v>45668.451172349538</v>
      </c>
      <c r="C2747" t="s">
        <v>8</v>
      </c>
      <c r="D2747" t="s">
        <v>1139</v>
      </c>
      <c r="E2747">
        <v>3576</v>
      </c>
      <c r="F2747" t="s">
        <v>15</v>
      </c>
    </row>
    <row r="2748" spans="1:6" x14ac:dyDescent="0.35">
      <c r="A2748" s="1">
        <v>45668</v>
      </c>
      <c r="B2748" s="2">
        <v>45668.467984560186</v>
      </c>
      <c r="C2748" t="s">
        <v>8</v>
      </c>
      <c r="D2748" t="s">
        <v>1140</v>
      </c>
      <c r="E2748">
        <v>2596</v>
      </c>
      <c r="F2748" t="s">
        <v>28</v>
      </c>
    </row>
    <row r="2749" spans="1:6" x14ac:dyDescent="0.35">
      <c r="A2749" s="1">
        <v>45668</v>
      </c>
      <c r="B2749" s="2">
        <v>45668.472426064814</v>
      </c>
      <c r="C2749" t="s">
        <v>8</v>
      </c>
      <c r="D2749" t="s">
        <v>1141</v>
      </c>
      <c r="E2749">
        <v>3576</v>
      </c>
      <c r="F2749" t="s">
        <v>32</v>
      </c>
    </row>
    <row r="2750" spans="1:6" x14ac:dyDescent="0.35">
      <c r="A2750" s="1">
        <v>45668</v>
      </c>
      <c r="B2750" s="2">
        <v>45668.473212569443</v>
      </c>
      <c r="C2750" t="s">
        <v>8</v>
      </c>
      <c r="D2750" t="s">
        <v>1141</v>
      </c>
      <c r="E2750">
        <v>3576</v>
      </c>
      <c r="F2750" t="s">
        <v>32</v>
      </c>
    </row>
    <row r="2751" spans="1:6" x14ac:dyDescent="0.35">
      <c r="A2751" s="1">
        <v>45668</v>
      </c>
      <c r="B2751" s="2">
        <v>45668.507624293983</v>
      </c>
      <c r="C2751" t="s">
        <v>8</v>
      </c>
      <c r="D2751" t="s">
        <v>1141</v>
      </c>
      <c r="E2751">
        <v>3576</v>
      </c>
      <c r="F2751" t="s">
        <v>32</v>
      </c>
    </row>
    <row r="2752" spans="1:6" x14ac:dyDescent="0.35">
      <c r="A2752" s="1">
        <v>45668</v>
      </c>
      <c r="B2752" s="2">
        <v>45668.509314629628</v>
      </c>
      <c r="C2752" t="s">
        <v>8</v>
      </c>
      <c r="D2752" t="s">
        <v>1141</v>
      </c>
      <c r="E2752">
        <v>3576</v>
      </c>
      <c r="F2752" t="s">
        <v>32</v>
      </c>
    </row>
    <row r="2753" spans="1:6" x14ac:dyDescent="0.35">
      <c r="A2753" s="1">
        <v>45668</v>
      </c>
      <c r="B2753" s="2">
        <v>45668.592301435187</v>
      </c>
      <c r="C2753" t="s">
        <v>8</v>
      </c>
      <c r="D2753" t="s">
        <v>1142</v>
      </c>
      <c r="E2753">
        <v>3086</v>
      </c>
      <c r="F2753" t="s">
        <v>36</v>
      </c>
    </row>
    <row r="2754" spans="1:6" x14ac:dyDescent="0.35">
      <c r="A2754" s="1">
        <v>45668</v>
      </c>
      <c r="B2754" s="2">
        <v>45668.59419142361</v>
      </c>
      <c r="C2754" t="s">
        <v>8</v>
      </c>
      <c r="D2754" t="s">
        <v>1143</v>
      </c>
      <c r="E2754">
        <v>3086</v>
      </c>
      <c r="F2754" t="s">
        <v>36</v>
      </c>
    </row>
    <row r="2755" spans="1:6" x14ac:dyDescent="0.35">
      <c r="A2755" s="1">
        <v>45668</v>
      </c>
      <c r="B2755" s="2">
        <v>45668.594953020831</v>
      </c>
      <c r="C2755" t="s">
        <v>8</v>
      </c>
      <c r="D2755" t="s">
        <v>1143</v>
      </c>
      <c r="E2755">
        <v>3576</v>
      </c>
      <c r="F2755" t="s">
        <v>24</v>
      </c>
    </row>
    <row r="2756" spans="1:6" x14ac:dyDescent="0.35">
      <c r="A2756" s="1">
        <v>45668</v>
      </c>
      <c r="B2756" s="2">
        <v>45668.616006620374</v>
      </c>
      <c r="C2756" t="s">
        <v>8</v>
      </c>
      <c r="D2756" t="s">
        <v>1144</v>
      </c>
      <c r="E2756">
        <v>3576</v>
      </c>
      <c r="F2756" t="s">
        <v>32</v>
      </c>
    </row>
    <row r="2757" spans="1:6" x14ac:dyDescent="0.35">
      <c r="A2757" s="1">
        <v>45668</v>
      </c>
      <c r="B2757" s="2">
        <v>45668.721920925927</v>
      </c>
      <c r="C2757" t="s">
        <v>8</v>
      </c>
      <c r="D2757" t="s">
        <v>1145</v>
      </c>
      <c r="E2757">
        <v>2596</v>
      </c>
      <c r="F2757" t="s">
        <v>20</v>
      </c>
    </row>
    <row r="2758" spans="1:6" x14ac:dyDescent="0.35">
      <c r="A2758" s="1">
        <v>45668</v>
      </c>
      <c r="B2758" s="2">
        <v>45668.722879398149</v>
      </c>
      <c r="C2758" t="s">
        <v>8</v>
      </c>
      <c r="D2758" t="s">
        <v>1146</v>
      </c>
      <c r="E2758">
        <v>3576</v>
      </c>
      <c r="F2758" t="s">
        <v>32</v>
      </c>
    </row>
    <row r="2759" spans="1:6" x14ac:dyDescent="0.35">
      <c r="A2759" s="1">
        <v>45668</v>
      </c>
      <c r="B2759" s="2">
        <v>45668.723670196756</v>
      </c>
      <c r="C2759" t="s">
        <v>8</v>
      </c>
      <c r="D2759" t="s">
        <v>1145</v>
      </c>
      <c r="E2759">
        <v>2596</v>
      </c>
      <c r="F2759" t="s">
        <v>20</v>
      </c>
    </row>
    <row r="2760" spans="1:6" x14ac:dyDescent="0.35">
      <c r="A2760" s="1">
        <v>45668</v>
      </c>
      <c r="B2760" s="2">
        <v>45668.751024062498</v>
      </c>
      <c r="C2760" t="s">
        <v>8</v>
      </c>
      <c r="D2760" t="s">
        <v>1147</v>
      </c>
      <c r="E2760">
        <v>3086</v>
      </c>
      <c r="F2760" t="s">
        <v>36</v>
      </c>
    </row>
    <row r="2761" spans="1:6" x14ac:dyDescent="0.35">
      <c r="A2761" s="1">
        <v>45669</v>
      </c>
      <c r="B2761" s="2">
        <v>45669.489958715276</v>
      </c>
      <c r="C2761" t="s">
        <v>8</v>
      </c>
      <c r="D2761" t="s">
        <v>894</v>
      </c>
      <c r="E2761">
        <v>3086</v>
      </c>
      <c r="F2761" t="s">
        <v>36</v>
      </c>
    </row>
    <row r="2762" spans="1:6" x14ac:dyDescent="0.35">
      <c r="A2762" s="1">
        <v>45669</v>
      </c>
      <c r="B2762" s="2">
        <v>45669.491883437498</v>
      </c>
      <c r="C2762" t="s">
        <v>8</v>
      </c>
      <c r="D2762" t="s">
        <v>894</v>
      </c>
      <c r="E2762">
        <v>2596</v>
      </c>
      <c r="F2762" t="s">
        <v>28</v>
      </c>
    </row>
    <row r="2763" spans="1:6" x14ac:dyDescent="0.35">
      <c r="A2763" s="1">
        <v>45669</v>
      </c>
      <c r="B2763" s="2">
        <v>45669.492943344907</v>
      </c>
      <c r="C2763" t="s">
        <v>8</v>
      </c>
      <c r="D2763" t="s">
        <v>43</v>
      </c>
      <c r="E2763">
        <v>3086</v>
      </c>
      <c r="F2763" t="s">
        <v>36</v>
      </c>
    </row>
    <row r="2764" spans="1:6" x14ac:dyDescent="0.35">
      <c r="A2764" s="1">
        <v>45669</v>
      </c>
      <c r="B2764" s="2">
        <v>45669.677764386572</v>
      </c>
      <c r="C2764" t="s">
        <v>8</v>
      </c>
      <c r="D2764" t="s">
        <v>1148</v>
      </c>
      <c r="E2764">
        <v>3576</v>
      </c>
      <c r="F2764" t="s">
        <v>15</v>
      </c>
    </row>
    <row r="2765" spans="1:6" x14ac:dyDescent="0.35">
      <c r="A2765" s="1">
        <v>45669</v>
      </c>
      <c r="B2765" s="2">
        <v>45669.87227226852</v>
      </c>
      <c r="C2765" t="s">
        <v>8</v>
      </c>
      <c r="D2765" t="s">
        <v>1149</v>
      </c>
      <c r="E2765">
        <v>3086</v>
      </c>
      <c r="F2765" t="s">
        <v>36</v>
      </c>
    </row>
    <row r="2766" spans="1:6" x14ac:dyDescent="0.35">
      <c r="A2766" s="1">
        <v>45670</v>
      </c>
      <c r="B2766" s="2">
        <v>45670.339123530095</v>
      </c>
      <c r="C2766" t="s">
        <v>8</v>
      </c>
      <c r="D2766" t="s">
        <v>585</v>
      </c>
      <c r="E2766">
        <v>3086</v>
      </c>
      <c r="F2766" t="s">
        <v>36</v>
      </c>
    </row>
    <row r="2767" spans="1:6" x14ac:dyDescent="0.35">
      <c r="A2767" s="1">
        <v>45670</v>
      </c>
      <c r="B2767" s="2">
        <v>45670.387032673614</v>
      </c>
      <c r="C2767" t="s">
        <v>8</v>
      </c>
      <c r="D2767" t="s">
        <v>29</v>
      </c>
      <c r="E2767">
        <v>3086</v>
      </c>
      <c r="F2767" t="s">
        <v>36</v>
      </c>
    </row>
    <row r="2768" spans="1:6" x14ac:dyDescent="0.35">
      <c r="A2768" s="1">
        <v>45670</v>
      </c>
      <c r="B2768" s="2">
        <v>45670.543711168983</v>
      </c>
      <c r="C2768" t="s">
        <v>8</v>
      </c>
      <c r="D2768" t="s">
        <v>1086</v>
      </c>
      <c r="E2768">
        <v>2596</v>
      </c>
      <c r="F2768" t="s">
        <v>20</v>
      </c>
    </row>
    <row r="2769" spans="1:6" x14ac:dyDescent="0.35">
      <c r="A2769" s="1">
        <v>45670</v>
      </c>
      <c r="B2769" s="2">
        <v>45670.576928796298</v>
      </c>
      <c r="C2769" t="s">
        <v>8</v>
      </c>
      <c r="D2769" t="s">
        <v>958</v>
      </c>
      <c r="E2769">
        <v>3576</v>
      </c>
      <c r="F2769" t="s">
        <v>32</v>
      </c>
    </row>
    <row r="2770" spans="1:6" x14ac:dyDescent="0.35">
      <c r="A2770" s="1">
        <v>45670</v>
      </c>
      <c r="B2770" s="2">
        <v>45670.59128857639</v>
      </c>
      <c r="C2770" t="s">
        <v>8</v>
      </c>
      <c r="D2770" t="s">
        <v>1150</v>
      </c>
      <c r="E2770">
        <v>3576</v>
      </c>
      <c r="F2770" t="s">
        <v>32</v>
      </c>
    </row>
    <row r="2771" spans="1:6" x14ac:dyDescent="0.35">
      <c r="A2771" s="1">
        <v>45670</v>
      </c>
      <c r="B2771" s="2">
        <v>45670.591994675924</v>
      </c>
      <c r="C2771" t="s">
        <v>8</v>
      </c>
      <c r="D2771" t="s">
        <v>1150</v>
      </c>
      <c r="E2771">
        <v>3576</v>
      </c>
      <c r="F2771" t="s">
        <v>24</v>
      </c>
    </row>
    <row r="2772" spans="1:6" x14ac:dyDescent="0.35">
      <c r="A2772" s="1">
        <v>45670</v>
      </c>
      <c r="B2772" s="2">
        <v>45670.684448414351</v>
      </c>
      <c r="C2772" t="s">
        <v>8</v>
      </c>
      <c r="D2772" t="s">
        <v>1151</v>
      </c>
      <c r="E2772">
        <v>3576</v>
      </c>
      <c r="F2772" t="s">
        <v>32</v>
      </c>
    </row>
    <row r="2773" spans="1:6" x14ac:dyDescent="0.35">
      <c r="A2773" s="1">
        <v>45670</v>
      </c>
      <c r="B2773" s="2">
        <v>45670.8689615162</v>
      </c>
      <c r="C2773" t="s">
        <v>8</v>
      </c>
      <c r="D2773" t="s">
        <v>106</v>
      </c>
      <c r="E2773">
        <v>2106</v>
      </c>
      <c r="F2773" t="s">
        <v>5</v>
      </c>
    </row>
    <row r="2774" spans="1:6" x14ac:dyDescent="0.35">
      <c r="A2774" s="1">
        <v>45671</v>
      </c>
      <c r="B2774" s="2">
        <v>45671.31785255787</v>
      </c>
      <c r="C2774" t="s">
        <v>8</v>
      </c>
      <c r="D2774" t="s">
        <v>734</v>
      </c>
      <c r="E2774">
        <v>3576</v>
      </c>
      <c r="F2774" t="s">
        <v>32</v>
      </c>
    </row>
    <row r="2775" spans="1:6" x14ac:dyDescent="0.35">
      <c r="A2775" s="1">
        <v>45671</v>
      </c>
      <c r="B2775" s="2">
        <v>45671.412301064818</v>
      </c>
      <c r="C2775" t="s">
        <v>8</v>
      </c>
      <c r="D2775" t="s">
        <v>1081</v>
      </c>
      <c r="E2775">
        <v>2596</v>
      </c>
      <c r="F2775" t="s">
        <v>20</v>
      </c>
    </row>
    <row r="2776" spans="1:6" x14ac:dyDescent="0.35">
      <c r="A2776" s="1">
        <v>45671</v>
      </c>
      <c r="B2776" s="2">
        <v>45671.431777812497</v>
      </c>
      <c r="C2776" t="s">
        <v>8</v>
      </c>
      <c r="D2776" t="s">
        <v>29</v>
      </c>
      <c r="E2776">
        <v>3086</v>
      </c>
      <c r="F2776" t="s">
        <v>36</v>
      </c>
    </row>
    <row r="2777" spans="1:6" x14ac:dyDescent="0.35">
      <c r="A2777" s="1">
        <v>45671</v>
      </c>
      <c r="B2777" s="2">
        <v>45671.534193877313</v>
      </c>
      <c r="C2777" t="s">
        <v>8</v>
      </c>
      <c r="D2777" t="s">
        <v>1152</v>
      </c>
      <c r="E2777">
        <v>3576</v>
      </c>
      <c r="F2777" t="s">
        <v>32</v>
      </c>
    </row>
    <row r="2778" spans="1:6" x14ac:dyDescent="0.35">
      <c r="A2778" s="1">
        <v>45671</v>
      </c>
      <c r="B2778" s="2">
        <v>45671.679389907411</v>
      </c>
      <c r="C2778" t="s">
        <v>8</v>
      </c>
      <c r="D2778" t="s">
        <v>1153</v>
      </c>
      <c r="E2778">
        <v>3086</v>
      </c>
      <c r="F2778" t="s">
        <v>36</v>
      </c>
    </row>
    <row r="2779" spans="1:6" x14ac:dyDescent="0.35">
      <c r="A2779" s="1">
        <v>45671</v>
      </c>
      <c r="B2779" s="2">
        <v>45671.680168182873</v>
      </c>
      <c r="C2779" t="s">
        <v>8</v>
      </c>
      <c r="D2779" t="s">
        <v>1153</v>
      </c>
      <c r="E2779">
        <v>3086</v>
      </c>
      <c r="F2779" t="s">
        <v>36</v>
      </c>
    </row>
    <row r="2780" spans="1:6" x14ac:dyDescent="0.35">
      <c r="A2780" s="1">
        <v>45671</v>
      </c>
      <c r="B2780" s="2">
        <v>45671.820785833334</v>
      </c>
      <c r="C2780" t="s">
        <v>8</v>
      </c>
      <c r="D2780" t="s">
        <v>260</v>
      </c>
      <c r="E2780">
        <v>3576</v>
      </c>
      <c r="F2780" t="s">
        <v>24</v>
      </c>
    </row>
    <row r="2781" spans="1:6" x14ac:dyDescent="0.35">
      <c r="A2781" s="1">
        <v>45671</v>
      </c>
      <c r="B2781" s="2">
        <v>45671.876800358797</v>
      </c>
      <c r="C2781" t="s">
        <v>8</v>
      </c>
      <c r="D2781" t="s">
        <v>1149</v>
      </c>
      <c r="E2781">
        <v>3576</v>
      </c>
      <c r="F2781" t="s">
        <v>32</v>
      </c>
    </row>
    <row r="2782" spans="1:6" x14ac:dyDescent="0.35">
      <c r="A2782" s="1">
        <v>45672</v>
      </c>
      <c r="B2782" s="2">
        <v>45672.383382418979</v>
      </c>
      <c r="C2782" t="s">
        <v>8</v>
      </c>
      <c r="D2782" t="s">
        <v>472</v>
      </c>
      <c r="E2782">
        <v>3086</v>
      </c>
      <c r="F2782" t="s">
        <v>36</v>
      </c>
    </row>
    <row r="2783" spans="1:6" x14ac:dyDescent="0.35">
      <c r="A2783" s="1">
        <v>45672</v>
      </c>
      <c r="B2783" s="2">
        <v>45672.465552141206</v>
      </c>
      <c r="C2783" t="s">
        <v>8</v>
      </c>
      <c r="D2783" t="s">
        <v>1154</v>
      </c>
      <c r="E2783">
        <v>2596</v>
      </c>
      <c r="F2783" t="s">
        <v>28</v>
      </c>
    </row>
    <row r="2784" spans="1:6" x14ac:dyDescent="0.35">
      <c r="A2784" s="1">
        <v>45672</v>
      </c>
      <c r="B2784" s="2">
        <v>45672.551557569444</v>
      </c>
      <c r="C2784" t="s">
        <v>8</v>
      </c>
      <c r="D2784" t="s">
        <v>938</v>
      </c>
      <c r="E2784">
        <v>3576</v>
      </c>
      <c r="F2784" t="s">
        <v>24</v>
      </c>
    </row>
    <row r="2785" spans="1:6" x14ac:dyDescent="0.35">
      <c r="A2785" s="1">
        <v>45672</v>
      </c>
      <c r="B2785" s="2">
        <v>45672.649559293983</v>
      </c>
      <c r="C2785" t="s">
        <v>8</v>
      </c>
      <c r="D2785" t="s">
        <v>686</v>
      </c>
      <c r="E2785">
        <v>3576</v>
      </c>
      <c r="F2785" t="s">
        <v>32</v>
      </c>
    </row>
    <row r="2786" spans="1:6" x14ac:dyDescent="0.35">
      <c r="A2786" s="1">
        <v>45672</v>
      </c>
      <c r="B2786" s="2">
        <v>45672.65055489583</v>
      </c>
      <c r="C2786" t="s">
        <v>8</v>
      </c>
      <c r="D2786" t="s">
        <v>1155</v>
      </c>
      <c r="E2786">
        <v>3576</v>
      </c>
      <c r="F2786" t="s">
        <v>24</v>
      </c>
    </row>
    <row r="2787" spans="1:6" x14ac:dyDescent="0.35">
      <c r="A2787" s="1">
        <v>45672</v>
      </c>
      <c r="B2787" s="2">
        <v>45672.651339432872</v>
      </c>
      <c r="C2787" t="s">
        <v>8</v>
      </c>
      <c r="D2787" t="s">
        <v>686</v>
      </c>
      <c r="E2787">
        <v>3576</v>
      </c>
      <c r="F2787" t="s">
        <v>32</v>
      </c>
    </row>
    <row r="2788" spans="1:6" x14ac:dyDescent="0.35">
      <c r="A2788" s="1">
        <v>45672</v>
      </c>
      <c r="B2788" s="2">
        <v>45672.705162326391</v>
      </c>
      <c r="C2788" t="s">
        <v>8</v>
      </c>
      <c r="D2788" t="s">
        <v>1156</v>
      </c>
      <c r="E2788">
        <v>3576</v>
      </c>
      <c r="F2788" t="s">
        <v>32</v>
      </c>
    </row>
    <row r="2789" spans="1:6" x14ac:dyDescent="0.35">
      <c r="A2789" s="1">
        <v>45672</v>
      </c>
      <c r="B2789" s="2">
        <v>45672.754310405093</v>
      </c>
      <c r="C2789" t="s">
        <v>8</v>
      </c>
      <c r="D2789" t="s">
        <v>1157</v>
      </c>
      <c r="E2789">
        <v>3576</v>
      </c>
      <c r="F2789" t="s">
        <v>32</v>
      </c>
    </row>
    <row r="2790" spans="1:6" x14ac:dyDescent="0.35">
      <c r="A2790" s="1">
        <v>45672</v>
      </c>
      <c r="B2790" s="2">
        <v>45672.82724658565</v>
      </c>
      <c r="C2790" t="s">
        <v>8</v>
      </c>
      <c r="D2790" t="s">
        <v>1149</v>
      </c>
      <c r="E2790">
        <v>3576</v>
      </c>
      <c r="F2790" t="s">
        <v>32</v>
      </c>
    </row>
    <row r="2791" spans="1:6" x14ac:dyDescent="0.35">
      <c r="A2791" s="1">
        <v>45672</v>
      </c>
      <c r="B2791" s="2">
        <v>45672.903637314812</v>
      </c>
      <c r="C2791" t="s">
        <v>8</v>
      </c>
      <c r="D2791" t="s">
        <v>783</v>
      </c>
      <c r="E2791">
        <v>3576</v>
      </c>
      <c r="F2791" t="s">
        <v>24</v>
      </c>
    </row>
    <row r="2792" spans="1:6" x14ac:dyDescent="0.35">
      <c r="A2792" s="1">
        <v>45673</v>
      </c>
      <c r="B2792" s="2">
        <v>45673.397889861109</v>
      </c>
      <c r="C2792" t="s">
        <v>8</v>
      </c>
      <c r="D2792" t="s">
        <v>938</v>
      </c>
      <c r="E2792">
        <v>3576</v>
      </c>
      <c r="F2792" t="s">
        <v>32</v>
      </c>
    </row>
    <row r="2793" spans="1:6" x14ac:dyDescent="0.35">
      <c r="A2793" s="1">
        <v>45673</v>
      </c>
      <c r="B2793" s="2">
        <v>45673.401497210645</v>
      </c>
      <c r="C2793" t="s">
        <v>8</v>
      </c>
      <c r="D2793" t="s">
        <v>472</v>
      </c>
      <c r="E2793">
        <v>3086</v>
      </c>
      <c r="F2793" t="s">
        <v>36</v>
      </c>
    </row>
    <row r="2794" spans="1:6" x14ac:dyDescent="0.35">
      <c r="A2794" s="1">
        <v>45673</v>
      </c>
      <c r="B2794" s="2">
        <v>45673.445612048614</v>
      </c>
      <c r="C2794" t="s">
        <v>8</v>
      </c>
      <c r="D2794" t="s">
        <v>43</v>
      </c>
      <c r="E2794">
        <v>3086</v>
      </c>
      <c r="F2794" t="s">
        <v>36</v>
      </c>
    </row>
    <row r="2795" spans="1:6" x14ac:dyDescent="0.35">
      <c r="A2795" s="1">
        <v>45673</v>
      </c>
      <c r="B2795" s="2">
        <v>45673.508522511576</v>
      </c>
      <c r="C2795" t="s">
        <v>8</v>
      </c>
      <c r="D2795" t="s">
        <v>40</v>
      </c>
      <c r="E2795">
        <v>2596</v>
      </c>
      <c r="F2795" t="s">
        <v>20</v>
      </c>
    </row>
    <row r="2796" spans="1:6" x14ac:dyDescent="0.35">
      <c r="A2796" s="1">
        <v>45673</v>
      </c>
      <c r="B2796" s="2">
        <v>45673.63633321759</v>
      </c>
      <c r="C2796" t="s">
        <v>8</v>
      </c>
      <c r="D2796" t="s">
        <v>1158</v>
      </c>
      <c r="E2796">
        <v>3576</v>
      </c>
      <c r="F2796" t="s">
        <v>32</v>
      </c>
    </row>
    <row r="2797" spans="1:6" x14ac:dyDescent="0.35">
      <c r="A2797" s="1">
        <v>45673</v>
      </c>
      <c r="B2797" s="2">
        <v>45673.691099606483</v>
      </c>
      <c r="C2797" t="s">
        <v>8</v>
      </c>
      <c r="D2797" t="s">
        <v>459</v>
      </c>
      <c r="E2797">
        <v>3576</v>
      </c>
      <c r="F2797" t="s">
        <v>32</v>
      </c>
    </row>
    <row r="2798" spans="1:6" x14ac:dyDescent="0.35">
      <c r="A2798" s="1">
        <v>45673</v>
      </c>
      <c r="B2798" s="2">
        <v>45673.761081585646</v>
      </c>
      <c r="C2798" t="s">
        <v>8</v>
      </c>
      <c r="D2798" t="s">
        <v>1149</v>
      </c>
      <c r="E2798">
        <v>3576</v>
      </c>
      <c r="F2798" t="s">
        <v>24</v>
      </c>
    </row>
    <row r="2799" spans="1:6" x14ac:dyDescent="0.35">
      <c r="A2799" s="1">
        <v>45673</v>
      </c>
      <c r="B2799" s="2">
        <v>45673.88610787037</v>
      </c>
      <c r="C2799" t="s">
        <v>8</v>
      </c>
      <c r="D2799" t="s">
        <v>1097</v>
      </c>
      <c r="E2799">
        <v>3576</v>
      </c>
      <c r="F2799" t="s">
        <v>15</v>
      </c>
    </row>
    <row r="2800" spans="1:6" x14ac:dyDescent="0.35">
      <c r="A2800" s="1">
        <v>45673</v>
      </c>
      <c r="B2800" s="2">
        <v>45673.886796030092</v>
      </c>
      <c r="C2800" t="s">
        <v>8</v>
      </c>
      <c r="D2800" t="s">
        <v>1097</v>
      </c>
      <c r="E2800">
        <v>3576</v>
      </c>
      <c r="F2800" t="s">
        <v>15</v>
      </c>
    </row>
    <row r="2801" spans="1:6" x14ac:dyDescent="0.35">
      <c r="A2801" s="1">
        <v>45673</v>
      </c>
      <c r="B2801" s="2">
        <v>45673.902922847221</v>
      </c>
      <c r="C2801" t="s">
        <v>8</v>
      </c>
      <c r="D2801" t="s">
        <v>1159</v>
      </c>
      <c r="E2801">
        <v>2596</v>
      </c>
      <c r="F2801" t="s">
        <v>20</v>
      </c>
    </row>
    <row r="2802" spans="1:6" x14ac:dyDescent="0.35">
      <c r="A2802" s="1">
        <v>45674</v>
      </c>
      <c r="B2802" s="2">
        <v>45674.318284328707</v>
      </c>
      <c r="C2802" t="s">
        <v>8</v>
      </c>
      <c r="D2802" t="s">
        <v>1160</v>
      </c>
      <c r="E2802">
        <v>3576</v>
      </c>
      <c r="F2802" t="s">
        <v>10</v>
      </c>
    </row>
    <row r="2803" spans="1:6" x14ac:dyDescent="0.35">
      <c r="A2803" s="1">
        <v>45674</v>
      </c>
      <c r="B2803" s="2">
        <v>45674.351629745368</v>
      </c>
      <c r="C2803" t="s">
        <v>8</v>
      </c>
      <c r="D2803" t="s">
        <v>1161</v>
      </c>
      <c r="E2803">
        <v>3576</v>
      </c>
      <c r="F2803" t="s">
        <v>32</v>
      </c>
    </row>
    <row r="2804" spans="1:6" x14ac:dyDescent="0.35">
      <c r="A2804" s="1">
        <v>45674</v>
      </c>
      <c r="B2804" s="2">
        <v>45674.352643194441</v>
      </c>
      <c r="C2804" t="s">
        <v>8</v>
      </c>
      <c r="D2804" t="s">
        <v>1161</v>
      </c>
      <c r="E2804">
        <v>3576</v>
      </c>
      <c r="F2804" t="s">
        <v>24</v>
      </c>
    </row>
    <row r="2805" spans="1:6" x14ac:dyDescent="0.35">
      <c r="A2805" s="1">
        <v>45674</v>
      </c>
      <c r="B2805" s="2">
        <v>45674.366621238427</v>
      </c>
      <c r="C2805" t="s">
        <v>8</v>
      </c>
      <c r="D2805" t="s">
        <v>29</v>
      </c>
      <c r="E2805">
        <v>3086</v>
      </c>
      <c r="F2805" t="s">
        <v>36</v>
      </c>
    </row>
    <row r="2806" spans="1:6" x14ac:dyDescent="0.35">
      <c r="A2806" s="1">
        <v>45674</v>
      </c>
      <c r="B2806" s="2">
        <v>45674.394194652778</v>
      </c>
      <c r="C2806" t="s">
        <v>8</v>
      </c>
      <c r="D2806" t="s">
        <v>43</v>
      </c>
      <c r="E2806">
        <v>3086</v>
      </c>
      <c r="F2806" t="s">
        <v>36</v>
      </c>
    </row>
    <row r="2807" spans="1:6" x14ac:dyDescent="0.35">
      <c r="A2807" s="1">
        <v>45674</v>
      </c>
      <c r="B2807" s="2">
        <v>45674.597846898148</v>
      </c>
      <c r="C2807" t="s">
        <v>8</v>
      </c>
      <c r="D2807" t="s">
        <v>6</v>
      </c>
      <c r="E2807">
        <v>3576</v>
      </c>
      <c r="F2807" t="s">
        <v>10</v>
      </c>
    </row>
    <row r="2808" spans="1:6" x14ac:dyDescent="0.35">
      <c r="A2808" s="1">
        <v>45674</v>
      </c>
      <c r="B2808" s="2">
        <v>45674.598642013887</v>
      </c>
      <c r="C2808" t="s">
        <v>8</v>
      </c>
      <c r="D2808" t="s">
        <v>6</v>
      </c>
      <c r="E2808">
        <v>3576</v>
      </c>
      <c r="F2808" t="s">
        <v>10</v>
      </c>
    </row>
    <row r="2809" spans="1:6" x14ac:dyDescent="0.35">
      <c r="A2809" s="1">
        <v>45674</v>
      </c>
      <c r="B2809" s="2">
        <v>45674.735539467591</v>
      </c>
      <c r="C2809" t="s">
        <v>8</v>
      </c>
      <c r="D2809" t="s">
        <v>958</v>
      </c>
      <c r="E2809">
        <v>3576</v>
      </c>
      <c r="F2809" t="s">
        <v>15</v>
      </c>
    </row>
    <row r="2810" spans="1:6" x14ac:dyDescent="0.35">
      <c r="A2810" s="1">
        <v>45674</v>
      </c>
      <c r="B2810" s="2">
        <v>45674.890497210647</v>
      </c>
      <c r="C2810" t="s">
        <v>8</v>
      </c>
      <c r="D2810" t="s">
        <v>929</v>
      </c>
      <c r="E2810">
        <v>3576</v>
      </c>
      <c r="F2810" t="s">
        <v>15</v>
      </c>
    </row>
    <row r="2811" spans="1:6" x14ac:dyDescent="0.35">
      <c r="A2811" s="1">
        <v>45675</v>
      </c>
      <c r="B2811" s="2">
        <v>45675.425442395834</v>
      </c>
      <c r="C2811" t="s">
        <v>8</v>
      </c>
      <c r="D2811" t="s">
        <v>1134</v>
      </c>
      <c r="E2811">
        <v>3086</v>
      </c>
      <c r="F2811" t="s">
        <v>36</v>
      </c>
    </row>
    <row r="2812" spans="1:6" x14ac:dyDescent="0.35">
      <c r="A2812" s="1">
        <v>45675</v>
      </c>
      <c r="B2812" s="2">
        <v>45675.690047442127</v>
      </c>
      <c r="C2812" t="s">
        <v>8</v>
      </c>
      <c r="D2812" t="s">
        <v>21</v>
      </c>
      <c r="E2812">
        <v>3576</v>
      </c>
      <c r="F2812" t="s">
        <v>15</v>
      </c>
    </row>
    <row r="2813" spans="1:6" x14ac:dyDescent="0.35">
      <c r="A2813" s="1">
        <v>45675</v>
      </c>
      <c r="B2813" s="2">
        <v>45675.691136886577</v>
      </c>
      <c r="C2813" t="s">
        <v>8</v>
      </c>
      <c r="D2813" t="s">
        <v>21</v>
      </c>
      <c r="E2813">
        <v>3576</v>
      </c>
      <c r="F2813" t="s">
        <v>32</v>
      </c>
    </row>
    <row r="2814" spans="1:6" x14ac:dyDescent="0.35">
      <c r="A2814" s="1">
        <v>45675</v>
      </c>
      <c r="B2814" s="2">
        <v>45675.692001967589</v>
      </c>
      <c r="C2814" t="s">
        <v>8</v>
      </c>
      <c r="D2814" t="s">
        <v>21</v>
      </c>
      <c r="E2814">
        <v>3576</v>
      </c>
      <c r="F2814" t="s">
        <v>15</v>
      </c>
    </row>
    <row r="2815" spans="1:6" x14ac:dyDescent="0.35">
      <c r="A2815" s="1">
        <v>45677</v>
      </c>
      <c r="B2815" s="2">
        <v>45677.354027303241</v>
      </c>
      <c r="C2815" t="s">
        <v>8</v>
      </c>
      <c r="D2815" t="s">
        <v>43</v>
      </c>
      <c r="E2815">
        <v>3086</v>
      </c>
      <c r="F2815" t="s">
        <v>36</v>
      </c>
    </row>
    <row r="2816" spans="1:6" x14ac:dyDescent="0.35">
      <c r="A2816" s="1">
        <v>45677</v>
      </c>
      <c r="B2816" s="2">
        <v>45677.456542025466</v>
      </c>
      <c r="C2816" t="s">
        <v>8</v>
      </c>
      <c r="D2816" t="s">
        <v>29</v>
      </c>
      <c r="E2816">
        <v>3086</v>
      </c>
      <c r="F2816" t="s">
        <v>36</v>
      </c>
    </row>
    <row r="2817" spans="1:6" x14ac:dyDescent="0.35">
      <c r="A2817" s="1">
        <v>45677</v>
      </c>
      <c r="B2817" s="2">
        <v>45677.486389247686</v>
      </c>
      <c r="C2817" t="s">
        <v>8</v>
      </c>
      <c r="D2817" t="s">
        <v>40</v>
      </c>
      <c r="E2817">
        <v>2596</v>
      </c>
      <c r="F2817" t="s">
        <v>20</v>
      </c>
    </row>
    <row r="2818" spans="1:6" x14ac:dyDescent="0.35">
      <c r="A2818" s="1">
        <v>45677</v>
      </c>
      <c r="B2818" s="2">
        <v>45677.503355092595</v>
      </c>
      <c r="C2818" t="s">
        <v>8</v>
      </c>
      <c r="D2818" t="s">
        <v>1162</v>
      </c>
      <c r="E2818">
        <v>2596</v>
      </c>
      <c r="F2818" t="s">
        <v>28</v>
      </c>
    </row>
    <row r="2819" spans="1:6" x14ac:dyDescent="0.35">
      <c r="A2819" s="1">
        <v>45677</v>
      </c>
      <c r="B2819" s="2">
        <v>45677.504174733796</v>
      </c>
      <c r="C2819" t="s">
        <v>8</v>
      </c>
      <c r="D2819" t="s">
        <v>1162</v>
      </c>
      <c r="E2819">
        <v>2596</v>
      </c>
      <c r="F2819" t="s">
        <v>20</v>
      </c>
    </row>
    <row r="2820" spans="1:6" x14ac:dyDescent="0.35">
      <c r="A2820" s="1">
        <v>45677</v>
      </c>
      <c r="B2820" s="2">
        <v>45677.573080023147</v>
      </c>
      <c r="C2820" t="s">
        <v>8</v>
      </c>
      <c r="D2820" t="s">
        <v>1163</v>
      </c>
      <c r="E2820">
        <v>3086</v>
      </c>
      <c r="F2820" t="s">
        <v>36</v>
      </c>
    </row>
    <row r="2821" spans="1:6" x14ac:dyDescent="0.35">
      <c r="A2821" s="1">
        <v>45677</v>
      </c>
      <c r="B2821" s="2">
        <v>45677.839021203705</v>
      </c>
      <c r="C2821" t="s">
        <v>8</v>
      </c>
      <c r="D2821" t="s">
        <v>1164</v>
      </c>
      <c r="E2821">
        <v>3576</v>
      </c>
      <c r="F2821" t="s">
        <v>15</v>
      </c>
    </row>
    <row r="2822" spans="1:6" x14ac:dyDescent="0.35">
      <c r="A2822" s="1">
        <v>45677</v>
      </c>
      <c r="B2822" s="2">
        <v>45677.851676863429</v>
      </c>
      <c r="C2822" t="s">
        <v>8</v>
      </c>
      <c r="D2822" t="s">
        <v>1165</v>
      </c>
      <c r="E2822">
        <v>3576</v>
      </c>
      <c r="F2822" t="s">
        <v>24</v>
      </c>
    </row>
    <row r="2823" spans="1:6" x14ac:dyDescent="0.35">
      <c r="A2823" s="1">
        <v>45677</v>
      </c>
      <c r="B2823" s="2">
        <v>45677.852418518516</v>
      </c>
      <c r="C2823" t="s">
        <v>8</v>
      </c>
      <c r="D2823" t="s">
        <v>1165</v>
      </c>
      <c r="E2823">
        <v>3576</v>
      </c>
      <c r="F2823" t="s">
        <v>24</v>
      </c>
    </row>
    <row r="2824" spans="1:6" x14ac:dyDescent="0.35">
      <c r="A2824" s="1">
        <v>45677</v>
      </c>
      <c r="B2824" s="2">
        <v>45677.884553703705</v>
      </c>
      <c r="C2824" t="s">
        <v>8</v>
      </c>
      <c r="D2824" t="s">
        <v>1166</v>
      </c>
      <c r="E2824">
        <v>3576</v>
      </c>
      <c r="F2824" t="s">
        <v>32</v>
      </c>
    </row>
    <row r="2825" spans="1:6" x14ac:dyDescent="0.35">
      <c r="A2825" s="1">
        <v>45678</v>
      </c>
      <c r="B2825" s="2">
        <v>45678.336854965281</v>
      </c>
      <c r="C2825" t="s">
        <v>8</v>
      </c>
      <c r="D2825" t="s">
        <v>1062</v>
      </c>
      <c r="E2825">
        <v>3576</v>
      </c>
      <c r="F2825" t="s">
        <v>10</v>
      </c>
    </row>
    <row r="2826" spans="1:6" x14ac:dyDescent="0.35">
      <c r="A2826" s="1">
        <v>45678</v>
      </c>
      <c r="B2826" s="2">
        <v>45678.346056608796</v>
      </c>
      <c r="C2826" t="s">
        <v>8</v>
      </c>
      <c r="D2826" t="s">
        <v>40</v>
      </c>
      <c r="E2826">
        <v>2596</v>
      </c>
      <c r="F2826" t="s">
        <v>20</v>
      </c>
    </row>
    <row r="2827" spans="1:6" x14ac:dyDescent="0.35">
      <c r="A2827" s="1">
        <v>45678</v>
      </c>
      <c r="B2827" s="2">
        <v>45678.346855046293</v>
      </c>
      <c r="C2827" t="s">
        <v>8</v>
      </c>
      <c r="D2827" t="s">
        <v>1134</v>
      </c>
      <c r="E2827">
        <v>3086</v>
      </c>
      <c r="F2827" t="s">
        <v>36</v>
      </c>
    </row>
    <row r="2828" spans="1:6" x14ac:dyDescent="0.35">
      <c r="A2828" s="1">
        <v>45678</v>
      </c>
      <c r="B2828" s="2">
        <v>45678.649496736114</v>
      </c>
      <c r="C2828" t="s">
        <v>8</v>
      </c>
      <c r="D2828" t="s">
        <v>1167</v>
      </c>
      <c r="E2828">
        <v>2596</v>
      </c>
      <c r="F2828" t="s">
        <v>28</v>
      </c>
    </row>
    <row r="2829" spans="1:6" x14ac:dyDescent="0.35">
      <c r="A2829" s="1">
        <v>45678</v>
      </c>
      <c r="B2829" s="2">
        <v>45678.772600682867</v>
      </c>
      <c r="C2829" t="s">
        <v>8</v>
      </c>
      <c r="D2829" t="s">
        <v>1168</v>
      </c>
      <c r="E2829">
        <v>3576</v>
      </c>
      <c r="F2829" t="s">
        <v>15</v>
      </c>
    </row>
    <row r="2830" spans="1:6" x14ac:dyDescent="0.35">
      <c r="A2830" s="1">
        <v>45678</v>
      </c>
      <c r="B2830" s="2">
        <v>45678.787655023145</v>
      </c>
      <c r="C2830" t="s">
        <v>8</v>
      </c>
      <c r="D2830" t="s">
        <v>386</v>
      </c>
      <c r="E2830">
        <v>3576</v>
      </c>
      <c r="F2830" t="s">
        <v>32</v>
      </c>
    </row>
    <row r="2831" spans="1:6" x14ac:dyDescent="0.35">
      <c r="A2831" s="1">
        <v>45678</v>
      </c>
      <c r="B2831" s="2">
        <v>45678.789066469908</v>
      </c>
      <c r="C2831" t="s">
        <v>8</v>
      </c>
      <c r="D2831" t="s">
        <v>386</v>
      </c>
      <c r="E2831">
        <v>3576</v>
      </c>
      <c r="F2831" t="s">
        <v>32</v>
      </c>
    </row>
    <row r="2832" spans="1:6" x14ac:dyDescent="0.35">
      <c r="A2832" s="1">
        <v>45678</v>
      </c>
      <c r="B2832" s="2">
        <v>45678.802327812497</v>
      </c>
      <c r="C2832" t="s">
        <v>8</v>
      </c>
      <c r="D2832" t="s">
        <v>6</v>
      </c>
      <c r="E2832">
        <v>2596</v>
      </c>
      <c r="F2832" t="s">
        <v>28</v>
      </c>
    </row>
    <row r="2833" spans="1:6" x14ac:dyDescent="0.35">
      <c r="A2833" s="1">
        <v>45679</v>
      </c>
      <c r="B2833" s="2">
        <v>45679.475530740739</v>
      </c>
      <c r="C2833" t="s">
        <v>8</v>
      </c>
      <c r="D2833" t="s">
        <v>1169</v>
      </c>
      <c r="E2833">
        <v>2106</v>
      </c>
      <c r="F2833" t="s">
        <v>5</v>
      </c>
    </row>
    <row r="2834" spans="1:6" x14ac:dyDescent="0.35">
      <c r="A2834" s="1">
        <v>45679</v>
      </c>
      <c r="B2834" s="2">
        <v>45679.730631331018</v>
      </c>
      <c r="C2834" t="s">
        <v>8</v>
      </c>
      <c r="D2834" t="s">
        <v>516</v>
      </c>
      <c r="E2834">
        <v>3086</v>
      </c>
      <c r="F2834" t="s">
        <v>36</v>
      </c>
    </row>
    <row r="2835" spans="1:6" x14ac:dyDescent="0.35">
      <c r="A2835" s="1">
        <v>45679</v>
      </c>
      <c r="B2835" s="2">
        <v>45679.78471497685</v>
      </c>
      <c r="C2835" t="s">
        <v>8</v>
      </c>
      <c r="D2835" t="s">
        <v>1170</v>
      </c>
      <c r="E2835">
        <v>3576</v>
      </c>
      <c r="F2835" t="s">
        <v>10</v>
      </c>
    </row>
    <row r="2836" spans="1:6" x14ac:dyDescent="0.35">
      <c r="A2836" s="1">
        <v>45679</v>
      </c>
      <c r="B2836" s="2">
        <v>45679.798912488426</v>
      </c>
      <c r="C2836" t="s">
        <v>8</v>
      </c>
      <c r="D2836" t="s">
        <v>1103</v>
      </c>
      <c r="E2836">
        <v>3086</v>
      </c>
      <c r="F2836" t="s">
        <v>36</v>
      </c>
    </row>
    <row r="2837" spans="1:6" x14ac:dyDescent="0.35">
      <c r="A2837" s="1">
        <v>45679</v>
      </c>
      <c r="B2837" s="2">
        <v>45679.799573194447</v>
      </c>
      <c r="C2837" t="s">
        <v>8</v>
      </c>
      <c r="D2837" t="s">
        <v>1103</v>
      </c>
      <c r="E2837">
        <v>3576</v>
      </c>
      <c r="F2837" t="s">
        <v>24</v>
      </c>
    </row>
    <row r="2838" spans="1:6" x14ac:dyDescent="0.35">
      <c r="A2838" s="1">
        <v>45679</v>
      </c>
      <c r="B2838" s="2">
        <v>45679.811987303241</v>
      </c>
      <c r="C2838" t="s">
        <v>8</v>
      </c>
      <c r="D2838" t="s">
        <v>1171</v>
      </c>
      <c r="E2838">
        <v>3576</v>
      </c>
      <c r="F2838" t="s">
        <v>32</v>
      </c>
    </row>
    <row r="2839" spans="1:6" x14ac:dyDescent="0.35">
      <c r="A2839" s="1">
        <v>45679</v>
      </c>
      <c r="B2839" s="2">
        <v>45679.843411203707</v>
      </c>
      <c r="C2839" t="s">
        <v>8</v>
      </c>
      <c r="D2839" t="s">
        <v>1172</v>
      </c>
      <c r="E2839">
        <v>3086</v>
      </c>
      <c r="F2839" t="s">
        <v>36</v>
      </c>
    </row>
    <row r="2840" spans="1:6" x14ac:dyDescent="0.35">
      <c r="A2840" s="1">
        <v>45681</v>
      </c>
      <c r="B2840" s="2">
        <v>45681.571030046296</v>
      </c>
      <c r="C2840" t="s">
        <v>8</v>
      </c>
      <c r="D2840" t="s">
        <v>1086</v>
      </c>
      <c r="E2840">
        <v>3576</v>
      </c>
      <c r="F2840" t="s">
        <v>24</v>
      </c>
    </row>
    <row r="2841" spans="1:6" x14ac:dyDescent="0.35">
      <c r="A2841" s="1">
        <v>45681</v>
      </c>
      <c r="B2841" s="2">
        <v>45681.571962789349</v>
      </c>
      <c r="C2841" t="s">
        <v>8</v>
      </c>
      <c r="D2841" t="s">
        <v>1086</v>
      </c>
      <c r="E2841">
        <v>2596</v>
      </c>
      <c r="F2841" t="s">
        <v>20</v>
      </c>
    </row>
    <row r="2842" spans="1:6" x14ac:dyDescent="0.35">
      <c r="A2842" s="1">
        <v>45681</v>
      </c>
      <c r="B2842" s="2">
        <v>45681.644893680554</v>
      </c>
      <c r="C2842" t="s">
        <v>8</v>
      </c>
      <c r="D2842" t="s">
        <v>1173</v>
      </c>
      <c r="E2842">
        <v>3576</v>
      </c>
      <c r="F2842" t="s">
        <v>10</v>
      </c>
    </row>
    <row r="2843" spans="1:6" x14ac:dyDescent="0.35">
      <c r="A2843" s="1">
        <v>45681</v>
      </c>
      <c r="B2843" s="2">
        <v>45681.737376226854</v>
      </c>
      <c r="C2843" t="s">
        <v>8</v>
      </c>
      <c r="D2843" t="s">
        <v>1174</v>
      </c>
      <c r="E2843">
        <v>2596</v>
      </c>
      <c r="F2843" t="s">
        <v>28</v>
      </c>
    </row>
    <row r="2844" spans="1:6" x14ac:dyDescent="0.35">
      <c r="A2844" s="1">
        <v>45681</v>
      </c>
      <c r="B2844" s="2">
        <v>45681.886417187503</v>
      </c>
      <c r="C2844" t="s">
        <v>8</v>
      </c>
      <c r="D2844" t="s">
        <v>1097</v>
      </c>
      <c r="E2844">
        <v>3576</v>
      </c>
      <c r="F2844" t="s">
        <v>10</v>
      </c>
    </row>
    <row r="2845" spans="1:6" x14ac:dyDescent="0.35">
      <c r="A2845" s="1">
        <v>45681</v>
      </c>
      <c r="B2845" s="2">
        <v>45681.93883767361</v>
      </c>
      <c r="C2845" t="s">
        <v>8</v>
      </c>
      <c r="D2845" t="s">
        <v>1175</v>
      </c>
      <c r="E2845">
        <v>3576</v>
      </c>
      <c r="F2845" t="s">
        <v>15</v>
      </c>
    </row>
    <row r="2846" spans="1:6" x14ac:dyDescent="0.35">
      <c r="A2846" s="1">
        <v>45681</v>
      </c>
      <c r="B2846" s="2">
        <v>45681.939559155093</v>
      </c>
      <c r="C2846" t="s">
        <v>8</v>
      </c>
      <c r="D2846" t="s">
        <v>1175</v>
      </c>
      <c r="E2846">
        <v>3576</v>
      </c>
      <c r="F2846" t="s">
        <v>32</v>
      </c>
    </row>
    <row r="2847" spans="1:6" x14ac:dyDescent="0.35">
      <c r="A2847" s="1">
        <v>45682</v>
      </c>
      <c r="B2847" s="2">
        <v>45682.556298460651</v>
      </c>
      <c r="C2847" t="s">
        <v>8</v>
      </c>
      <c r="D2847" t="s">
        <v>1165</v>
      </c>
      <c r="E2847">
        <v>3576</v>
      </c>
      <c r="F2847" t="s">
        <v>24</v>
      </c>
    </row>
    <row r="2848" spans="1:6" x14ac:dyDescent="0.35">
      <c r="A2848" s="1">
        <v>45682</v>
      </c>
      <c r="B2848" s="2">
        <v>45682.610006782408</v>
      </c>
      <c r="C2848" t="s">
        <v>8</v>
      </c>
      <c r="D2848" t="s">
        <v>1176</v>
      </c>
      <c r="E2848">
        <v>3576</v>
      </c>
      <c r="F2848" t="s">
        <v>24</v>
      </c>
    </row>
    <row r="2849" spans="1:6" x14ac:dyDescent="0.35">
      <c r="A2849" s="1">
        <v>45682</v>
      </c>
      <c r="B2849" s="2">
        <v>45682.610822731483</v>
      </c>
      <c r="C2849" t="s">
        <v>8</v>
      </c>
      <c r="D2849" t="s">
        <v>1177</v>
      </c>
      <c r="E2849">
        <v>2596</v>
      </c>
      <c r="F2849" t="s">
        <v>28</v>
      </c>
    </row>
    <row r="2850" spans="1:6" x14ac:dyDescent="0.35">
      <c r="A2850" s="1">
        <v>45683</v>
      </c>
      <c r="B2850" s="2">
        <v>45683.524571689813</v>
      </c>
      <c r="C2850" t="s">
        <v>8</v>
      </c>
      <c r="D2850" t="s">
        <v>1178</v>
      </c>
      <c r="E2850">
        <v>2596</v>
      </c>
      <c r="F2850" t="s">
        <v>28</v>
      </c>
    </row>
    <row r="2851" spans="1:6" x14ac:dyDescent="0.35">
      <c r="A2851" s="1">
        <v>45683</v>
      </c>
      <c r="B2851" s="2">
        <v>45683.525393993055</v>
      </c>
      <c r="C2851" t="s">
        <v>8</v>
      </c>
      <c r="D2851" t="s">
        <v>1178</v>
      </c>
      <c r="E2851">
        <v>2106</v>
      </c>
      <c r="F2851" t="s">
        <v>5</v>
      </c>
    </row>
    <row r="2852" spans="1:6" x14ac:dyDescent="0.35">
      <c r="A2852" s="1">
        <v>45684</v>
      </c>
      <c r="B2852" s="2">
        <v>45684.338685254632</v>
      </c>
      <c r="C2852" t="s">
        <v>8</v>
      </c>
      <c r="D2852" t="s">
        <v>40</v>
      </c>
      <c r="E2852">
        <v>2596</v>
      </c>
      <c r="F2852" t="s">
        <v>20</v>
      </c>
    </row>
    <row r="2853" spans="1:6" x14ac:dyDescent="0.35">
      <c r="A2853" s="1">
        <v>45684</v>
      </c>
      <c r="B2853" s="2">
        <v>45684.356059606478</v>
      </c>
      <c r="C2853" t="s">
        <v>8</v>
      </c>
      <c r="D2853" t="s">
        <v>40</v>
      </c>
      <c r="E2853">
        <v>2596</v>
      </c>
      <c r="F2853" t="s">
        <v>28</v>
      </c>
    </row>
    <row r="2854" spans="1:6" x14ac:dyDescent="0.35">
      <c r="A2854" s="1">
        <v>45684</v>
      </c>
      <c r="B2854" s="2">
        <v>45684.503499606479</v>
      </c>
      <c r="C2854" t="s">
        <v>8</v>
      </c>
      <c r="D2854" t="s">
        <v>1179</v>
      </c>
      <c r="E2854">
        <v>3576</v>
      </c>
      <c r="F2854" t="s">
        <v>24</v>
      </c>
    </row>
    <row r="2855" spans="1:6" x14ac:dyDescent="0.35">
      <c r="A2855" s="1">
        <v>45684</v>
      </c>
      <c r="B2855" s="2">
        <v>45684.573018101852</v>
      </c>
      <c r="C2855" t="s">
        <v>8</v>
      </c>
      <c r="D2855" t="s">
        <v>29</v>
      </c>
      <c r="E2855">
        <v>3086</v>
      </c>
      <c r="F2855" t="s">
        <v>36</v>
      </c>
    </row>
    <row r="2856" spans="1:6" x14ac:dyDescent="0.35">
      <c r="A2856" s="1">
        <v>45684</v>
      </c>
      <c r="B2856" s="2">
        <v>45684.644376284719</v>
      </c>
      <c r="C2856" t="s">
        <v>8</v>
      </c>
      <c r="D2856" t="s">
        <v>40</v>
      </c>
      <c r="E2856">
        <v>3086</v>
      </c>
      <c r="F2856" t="s">
        <v>36</v>
      </c>
    </row>
    <row r="2857" spans="1:6" x14ac:dyDescent="0.35">
      <c r="A2857" s="1">
        <v>45684</v>
      </c>
      <c r="B2857" s="2">
        <v>45684.645148877316</v>
      </c>
      <c r="C2857" t="s">
        <v>8</v>
      </c>
      <c r="D2857" t="s">
        <v>40</v>
      </c>
      <c r="E2857">
        <v>2596</v>
      </c>
      <c r="F2857" t="s">
        <v>20</v>
      </c>
    </row>
    <row r="2858" spans="1:6" x14ac:dyDescent="0.35">
      <c r="A2858" s="1">
        <v>45684</v>
      </c>
      <c r="B2858" s="2">
        <v>45684.645979953704</v>
      </c>
      <c r="C2858" t="s">
        <v>8</v>
      </c>
      <c r="D2858" t="s">
        <v>40</v>
      </c>
      <c r="E2858">
        <v>3086</v>
      </c>
      <c r="F2858" t="s">
        <v>36</v>
      </c>
    </row>
    <row r="2859" spans="1:6" x14ac:dyDescent="0.35">
      <c r="A2859" s="1">
        <v>45684</v>
      </c>
      <c r="B2859" s="2">
        <v>45684.788418275464</v>
      </c>
      <c r="C2859" t="s">
        <v>8</v>
      </c>
      <c r="D2859" t="s">
        <v>1180</v>
      </c>
      <c r="E2859">
        <v>3576</v>
      </c>
      <c r="F2859" t="s">
        <v>32</v>
      </c>
    </row>
    <row r="2860" spans="1:6" x14ac:dyDescent="0.35">
      <c r="A2860" s="1">
        <v>45684</v>
      </c>
      <c r="B2860" s="2">
        <v>45684.793522280095</v>
      </c>
      <c r="C2860" t="s">
        <v>8</v>
      </c>
      <c r="D2860" t="s">
        <v>1181</v>
      </c>
      <c r="E2860">
        <v>3576</v>
      </c>
      <c r="F2860" t="s">
        <v>32</v>
      </c>
    </row>
    <row r="2861" spans="1:6" x14ac:dyDescent="0.35">
      <c r="A2861" s="1">
        <v>45684</v>
      </c>
      <c r="B2861" s="2">
        <v>45684.794276122688</v>
      </c>
      <c r="C2861" t="s">
        <v>8</v>
      </c>
      <c r="D2861" t="s">
        <v>1182</v>
      </c>
      <c r="E2861">
        <v>3576</v>
      </c>
      <c r="F2861" t="s">
        <v>32</v>
      </c>
    </row>
    <row r="2862" spans="1:6" x14ac:dyDescent="0.35">
      <c r="A2862" s="1">
        <v>45685</v>
      </c>
      <c r="B2862" s="2">
        <v>45685.351814756941</v>
      </c>
      <c r="C2862" t="s">
        <v>8</v>
      </c>
      <c r="D2862" t="s">
        <v>251</v>
      </c>
      <c r="E2862">
        <v>3576</v>
      </c>
      <c r="F2862" t="s">
        <v>32</v>
      </c>
    </row>
    <row r="2863" spans="1:6" x14ac:dyDescent="0.35">
      <c r="A2863" s="1">
        <v>45685</v>
      </c>
      <c r="B2863" s="2">
        <v>45685.39811465278</v>
      </c>
      <c r="C2863" t="s">
        <v>8</v>
      </c>
      <c r="D2863" t="s">
        <v>1183</v>
      </c>
      <c r="E2863">
        <v>2596</v>
      </c>
      <c r="F2863" t="s">
        <v>28</v>
      </c>
    </row>
    <row r="2864" spans="1:6" x14ac:dyDescent="0.35">
      <c r="A2864" s="1">
        <v>45685</v>
      </c>
      <c r="B2864" s="2">
        <v>45685.497532997688</v>
      </c>
      <c r="C2864" t="s">
        <v>8</v>
      </c>
      <c r="D2864" t="s">
        <v>278</v>
      </c>
      <c r="E2864">
        <v>3086</v>
      </c>
      <c r="F2864" t="s">
        <v>36</v>
      </c>
    </row>
    <row r="2865" spans="1:6" x14ac:dyDescent="0.35">
      <c r="A2865" s="1">
        <v>45685</v>
      </c>
      <c r="B2865" s="2">
        <v>45685.515292048614</v>
      </c>
      <c r="C2865" t="s">
        <v>8</v>
      </c>
      <c r="D2865" t="s">
        <v>1184</v>
      </c>
      <c r="E2865">
        <v>2596</v>
      </c>
      <c r="F2865" t="s">
        <v>28</v>
      </c>
    </row>
    <row r="2866" spans="1:6" x14ac:dyDescent="0.35">
      <c r="A2866" s="1">
        <v>45685</v>
      </c>
      <c r="B2866" s="2">
        <v>45685.679949131947</v>
      </c>
      <c r="C2866" t="s">
        <v>8</v>
      </c>
      <c r="D2866" t="s">
        <v>1185</v>
      </c>
      <c r="E2866">
        <v>3576</v>
      </c>
      <c r="F2866" t="s">
        <v>10</v>
      </c>
    </row>
    <row r="2867" spans="1:6" x14ac:dyDescent="0.35">
      <c r="A2867" s="1">
        <v>45685</v>
      </c>
      <c r="B2867" s="2">
        <v>45685.681072430554</v>
      </c>
      <c r="C2867" t="s">
        <v>8</v>
      </c>
      <c r="D2867" t="s">
        <v>1185</v>
      </c>
      <c r="E2867">
        <v>2596</v>
      </c>
      <c r="F2867" t="s">
        <v>20</v>
      </c>
    </row>
    <row r="2868" spans="1:6" x14ac:dyDescent="0.35">
      <c r="A2868" s="1">
        <v>45685</v>
      </c>
      <c r="B2868" s="2">
        <v>45685.736121898146</v>
      </c>
      <c r="C2868" t="s">
        <v>8</v>
      </c>
      <c r="D2868" t="s">
        <v>1186</v>
      </c>
      <c r="E2868">
        <v>2596</v>
      </c>
      <c r="F2868" t="s">
        <v>28</v>
      </c>
    </row>
    <row r="2869" spans="1:6" x14ac:dyDescent="0.35">
      <c r="A2869" s="1">
        <v>45685</v>
      </c>
      <c r="B2869" s="2">
        <v>45685.841560810186</v>
      </c>
      <c r="C2869" t="s">
        <v>8</v>
      </c>
      <c r="D2869" t="s">
        <v>1187</v>
      </c>
      <c r="E2869">
        <v>3576</v>
      </c>
      <c r="F2869" t="s">
        <v>32</v>
      </c>
    </row>
    <row r="2870" spans="1:6" x14ac:dyDescent="0.35">
      <c r="A2870" s="1">
        <v>45685</v>
      </c>
      <c r="B2870" s="2">
        <v>45685.842883819445</v>
      </c>
      <c r="C2870" t="s">
        <v>8</v>
      </c>
      <c r="D2870" t="s">
        <v>1188</v>
      </c>
      <c r="E2870">
        <v>3576</v>
      </c>
      <c r="F2870" t="s">
        <v>24</v>
      </c>
    </row>
    <row r="2871" spans="1:6" x14ac:dyDescent="0.35">
      <c r="A2871" s="1">
        <v>45686</v>
      </c>
      <c r="B2871" s="2">
        <v>45686.401934745372</v>
      </c>
      <c r="C2871" t="s">
        <v>8</v>
      </c>
      <c r="D2871" t="s">
        <v>1121</v>
      </c>
      <c r="E2871">
        <v>2596</v>
      </c>
      <c r="F2871" t="s">
        <v>28</v>
      </c>
    </row>
    <row r="2872" spans="1:6" x14ac:dyDescent="0.35">
      <c r="A2872" s="1">
        <v>45686</v>
      </c>
      <c r="B2872" s="2">
        <v>45686.684453240741</v>
      </c>
      <c r="C2872" t="s">
        <v>8</v>
      </c>
      <c r="D2872" t="s">
        <v>1189</v>
      </c>
      <c r="E2872">
        <v>2596</v>
      </c>
      <c r="F2872" t="s">
        <v>28</v>
      </c>
    </row>
    <row r="2873" spans="1:6" x14ac:dyDescent="0.35">
      <c r="A2873" s="1">
        <v>45686</v>
      </c>
      <c r="B2873" s="2">
        <v>45686.804956689812</v>
      </c>
      <c r="C2873" t="s">
        <v>8</v>
      </c>
      <c r="D2873" t="s">
        <v>1190</v>
      </c>
      <c r="E2873">
        <v>3086</v>
      </c>
      <c r="F2873" t="s">
        <v>36</v>
      </c>
    </row>
    <row r="2874" spans="1:6" x14ac:dyDescent="0.35">
      <c r="A2874" s="1">
        <v>45686</v>
      </c>
      <c r="B2874" s="2">
        <v>45686.805957118057</v>
      </c>
      <c r="C2874" t="s">
        <v>8</v>
      </c>
      <c r="D2874" t="s">
        <v>1190</v>
      </c>
      <c r="E2874">
        <v>2106</v>
      </c>
      <c r="F2874" t="s">
        <v>5</v>
      </c>
    </row>
    <row r="2875" spans="1:6" x14ac:dyDescent="0.35">
      <c r="A2875" s="1">
        <v>45687</v>
      </c>
      <c r="B2875" s="2">
        <v>45687.387564097226</v>
      </c>
      <c r="C2875" t="s">
        <v>8</v>
      </c>
      <c r="D2875" t="s">
        <v>278</v>
      </c>
      <c r="E2875">
        <v>3086</v>
      </c>
      <c r="F2875" t="s">
        <v>36</v>
      </c>
    </row>
    <row r="2876" spans="1:6" x14ac:dyDescent="0.35">
      <c r="A2876" s="1">
        <v>45687</v>
      </c>
      <c r="B2876" s="2">
        <v>45687.425391990742</v>
      </c>
      <c r="C2876" t="s">
        <v>8</v>
      </c>
      <c r="D2876" t="s">
        <v>29</v>
      </c>
      <c r="E2876">
        <v>3086</v>
      </c>
      <c r="F2876" t="s">
        <v>36</v>
      </c>
    </row>
    <row r="2877" spans="1:6" x14ac:dyDescent="0.35">
      <c r="A2877" s="1">
        <v>45687</v>
      </c>
      <c r="B2877" s="2">
        <v>45687.476726562498</v>
      </c>
      <c r="C2877" t="s">
        <v>8</v>
      </c>
      <c r="D2877" t="s">
        <v>914</v>
      </c>
      <c r="E2877">
        <v>2596</v>
      </c>
      <c r="F2877" t="s">
        <v>20</v>
      </c>
    </row>
    <row r="2878" spans="1:6" x14ac:dyDescent="0.35">
      <c r="A2878" s="1">
        <v>45687</v>
      </c>
      <c r="B2878" s="2">
        <v>45687.529348518518</v>
      </c>
      <c r="C2878" t="s">
        <v>8</v>
      </c>
      <c r="D2878" t="s">
        <v>1191</v>
      </c>
      <c r="E2878">
        <v>3576</v>
      </c>
      <c r="F2878" t="s">
        <v>15</v>
      </c>
    </row>
    <row r="2879" spans="1:6" x14ac:dyDescent="0.35">
      <c r="A2879" s="1">
        <v>45687</v>
      </c>
      <c r="B2879" s="2">
        <v>45687.543064212965</v>
      </c>
      <c r="C2879" t="s">
        <v>8</v>
      </c>
      <c r="D2879" t="s">
        <v>1192</v>
      </c>
      <c r="E2879">
        <v>2596</v>
      </c>
      <c r="F2879" t="s">
        <v>28</v>
      </c>
    </row>
    <row r="2880" spans="1:6" x14ac:dyDescent="0.35">
      <c r="A2880" s="1">
        <v>45687</v>
      </c>
      <c r="B2880" s="2">
        <v>45687.612294872684</v>
      </c>
      <c r="C2880" t="s">
        <v>8</v>
      </c>
      <c r="D2880" t="s">
        <v>1193</v>
      </c>
      <c r="E2880">
        <v>3086</v>
      </c>
      <c r="F2880" t="s">
        <v>36</v>
      </c>
    </row>
    <row r="2881" spans="1:6" x14ac:dyDescent="0.35">
      <c r="A2881" s="1">
        <v>45687</v>
      </c>
      <c r="B2881" s="2">
        <v>45687.721393564818</v>
      </c>
      <c r="C2881" t="s">
        <v>8</v>
      </c>
      <c r="D2881" t="s">
        <v>1194</v>
      </c>
      <c r="E2881">
        <v>3576</v>
      </c>
      <c r="F2881" t="s">
        <v>15</v>
      </c>
    </row>
    <row r="2882" spans="1:6" x14ac:dyDescent="0.35">
      <c r="A2882" s="1">
        <v>45687</v>
      </c>
      <c r="B2882" s="2">
        <v>45687.766743657405</v>
      </c>
      <c r="C2882" t="s">
        <v>8</v>
      </c>
      <c r="D2882" t="s">
        <v>1121</v>
      </c>
      <c r="E2882">
        <v>3086</v>
      </c>
      <c r="F2882" t="s">
        <v>36</v>
      </c>
    </row>
    <row r="2883" spans="1:6" x14ac:dyDescent="0.35">
      <c r="A2883" s="1">
        <v>45687</v>
      </c>
      <c r="B2883" s="2">
        <v>45687.779046967589</v>
      </c>
      <c r="C2883" t="s">
        <v>8</v>
      </c>
      <c r="D2883" t="s">
        <v>1195</v>
      </c>
      <c r="E2883">
        <v>2596</v>
      </c>
      <c r="F2883" t="s">
        <v>20</v>
      </c>
    </row>
    <row r="2884" spans="1:6" x14ac:dyDescent="0.35">
      <c r="A2884" s="1">
        <v>45688</v>
      </c>
      <c r="B2884" s="2">
        <v>45688.361706585645</v>
      </c>
      <c r="C2884" t="s">
        <v>8</v>
      </c>
      <c r="D2884" t="s">
        <v>40</v>
      </c>
      <c r="E2884">
        <v>2596</v>
      </c>
      <c r="F2884" t="s">
        <v>28</v>
      </c>
    </row>
    <row r="2885" spans="1:6" x14ac:dyDescent="0.35">
      <c r="A2885" s="1">
        <v>45688</v>
      </c>
      <c r="B2885" s="2">
        <v>45688.362323263886</v>
      </c>
      <c r="C2885" t="s">
        <v>8</v>
      </c>
      <c r="D2885" t="s">
        <v>40</v>
      </c>
      <c r="E2885">
        <v>3086</v>
      </c>
      <c r="F2885" t="s">
        <v>36</v>
      </c>
    </row>
    <row r="2886" spans="1:6" x14ac:dyDescent="0.35">
      <c r="A2886" s="1">
        <v>45688</v>
      </c>
      <c r="B2886" s="2">
        <v>45688.386977106478</v>
      </c>
      <c r="C2886" t="s">
        <v>8</v>
      </c>
      <c r="D2886" t="s">
        <v>357</v>
      </c>
      <c r="E2886">
        <v>3086</v>
      </c>
      <c r="F2886" t="s">
        <v>36</v>
      </c>
    </row>
    <row r="2887" spans="1:6" x14ac:dyDescent="0.35">
      <c r="A2887" s="1">
        <v>45688</v>
      </c>
      <c r="B2887" s="2">
        <v>45688.389015983797</v>
      </c>
      <c r="C2887" t="s">
        <v>8</v>
      </c>
      <c r="D2887" t="s">
        <v>1196</v>
      </c>
      <c r="E2887">
        <v>3576</v>
      </c>
      <c r="F2887" t="s">
        <v>10</v>
      </c>
    </row>
    <row r="2888" spans="1:6" x14ac:dyDescent="0.35">
      <c r="A2888" s="1">
        <v>45688</v>
      </c>
      <c r="B2888" s="2">
        <v>45688.393596828704</v>
      </c>
      <c r="C2888" t="s">
        <v>8</v>
      </c>
      <c r="D2888" t="s">
        <v>386</v>
      </c>
      <c r="E2888">
        <v>3576</v>
      </c>
      <c r="F2888" t="s">
        <v>24</v>
      </c>
    </row>
    <row r="2889" spans="1:6" x14ac:dyDescent="0.35">
      <c r="A2889" s="1">
        <v>45688</v>
      </c>
      <c r="B2889" s="2">
        <v>45688.394302523149</v>
      </c>
      <c r="C2889" t="s">
        <v>8</v>
      </c>
      <c r="D2889" t="s">
        <v>386</v>
      </c>
      <c r="E2889">
        <v>3576</v>
      </c>
      <c r="F2889" t="s">
        <v>24</v>
      </c>
    </row>
    <row r="2890" spans="1:6" x14ac:dyDescent="0.35">
      <c r="A2890" s="1">
        <v>45688</v>
      </c>
      <c r="B2890" s="2">
        <v>45688.521542141207</v>
      </c>
      <c r="C2890" t="s">
        <v>8</v>
      </c>
      <c r="D2890" t="s">
        <v>1184</v>
      </c>
      <c r="E2890">
        <v>3576</v>
      </c>
      <c r="F2890" t="s">
        <v>32</v>
      </c>
    </row>
    <row r="2891" spans="1:6" x14ac:dyDescent="0.35">
      <c r="A2891" s="1">
        <v>45688</v>
      </c>
      <c r="B2891" s="2">
        <v>45688.537797638892</v>
      </c>
      <c r="C2891" t="s">
        <v>8</v>
      </c>
      <c r="D2891" t="s">
        <v>21</v>
      </c>
      <c r="E2891">
        <v>3576</v>
      </c>
      <c r="F2891" t="s">
        <v>32</v>
      </c>
    </row>
    <row r="2892" spans="1:6" x14ac:dyDescent="0.35">
      <c r="A2892" s="1">
        <v>45688</v>
      </c>
      <c r="B2892" s="2">
        <v>45688.585396655093</v>
      </c>
      <c r="C2892" t="s">
        <v>8</v>
      </c>
      <c r="D2892" t="s">
        <v>1197</v>
      </c>
      <c r="E2892">
        <v>3576</v>
      </c>
      <c r="F2892" t="s">
        <v>24</v>
      </c>
    </row>
    <row r="2893" spans="1:6" x14ac:dyDescent="0.35">
      <c r="A2893" s="1">
        <v>45688</v>
      </c>
      <c r="B2893" s="2">
        <v>45688.700393460647</v>
      </c>
      <c r="C2893" t="s">
        <v>8</v>
      </c>
      <c r="D2893" t="s">
        <v>357</v>
      </c>
      <c r="E2893">
        <v>3086</v>
      </c>
      <c r="F2893" t="s">
        <v>36</v>
      </c>
    </row>
    <row r="2894" spans="1:6" x14ac:dyDescent="0.35">
      <c r="A2894" s="1">
        <v>45688</v>
      </c>
      <c r="B2894" s="2">
        <v>45688.941653275462</v>
      </c>
      <c r="C2894" t="s">
        <v>8</v>
      </c>
      <c r="D2894" t="s">
        <v>1198</v>
      </c>
      <c r="E2894">
        <v>3086</v>
      </c>
      <c r="F2894" t="s">
        <v>36</v>
      </c>
    </row>
    <row r="2895" spans="1:6" x14ac:dyDescent="0.35">
      <c r="A2895" s="1">
        <v>45688</v>
      </c>
      <c r="B2895" s="2">
        <v>45688.942384618058</v>
      </c>
      <c r="C2895" t="s">
        <v>8</v>
      </c>
      <c r="D2895" t="s">
        <v>1199</v>
      </c>
      <c r="E2895">
        <v>2596</v>
      </c>
      <c r="F2895" t="s">
        <v>28</v>
      </c>
    </row>
    <row r="2896" spans="1:6" x14ac:dyDescent="0.35">
      <c r="A2896" s="1">
        <v>45689</v>
      </c>
      <c r="B2896" s="2">
        <v>45689.368328819444</v>
      </c>
      <c r="C2896" t="s">
        <v>8</v>
      </c>
      <c r="D2896" t="s">
        <v>357</v>
      </c>
      <c r="E2896">
        <v>3086</v>
      </c>
      <c r="F2896" t="s">
        <v>36</v>
      </c>
    </row>
    <row r="2897" spans="1:6" x14ac:dyDescent="0.35">
      <c r="A2897" s="1">
        <v>45689</v>
      </c>
      <c r="B2897" s="2">
        <v>45689.421792233799</v>
      </c>
      <c r="C2897" t="s">
        <v>8</v>
      </c>
      <c r="D2897" t="s">
        <v>278</v>
      </c>
      <c r="E2897">
        <v>3086</v>
      </c>
      <c r="F2897" t="s">
        <v>36</v>
      </c>
    </row>
    <row r="2898" spans="1:6" x14ac:dyDescent="0.35">
      <c r="A2898" s="1">
        <v>45689</v>
      </c>
      <c r="B2898" s="2">
        <v>45689.551928692126</v>
      </c>
      <c r="C2898" t="s">
        <v>8</v>
      </c>
      <c r="D2898" t="s">
        <v>40</v>
      </c>
      <c r="E2898">
        <v>2596</v>
      </c>
      <c r="F2898" t="s">
        <v>20</v>
      </c>
    </row>
    <row r="2899" spans="1:6" x14ac:dyDescent="0.35">
      <c r="A2899" s="1">
        <v>45689</v>
      </c>
      <c r="B2899" s="2">
        <v>45689.552421793982</v>
      </c>
      <c r="C2899" t="s">
        <v>8</v>
      </c>
      <c r="D2899" t="s">
        <v>40</v>
      </c>
      <c r="E2899">
        <v>2596</v>
      </c>
      <c r="F2899" t="s">
        <v>20</v>
      </c>
    </row>
    <row r="2900" spans="1:6" x14ac:dyDescent="0.35">
      <c r="A2900" s="1">
        <v>45689</v>
      </c>
      <c r="B2900" s="2">
        <v>45689.607857303243</v>
      </c>
      <c r="C2900" t="s">
        <v>8</v>
      </c>
      <c r="D2900" t="s">
        <v>1200</v>
      </c>
      <c r="E2900">
        <v>3576</v>
      </c>
      <c r="F2900" t="s">
        <v>24</v>
      </c>
    </row>
    <row r="2901" spans="1:6" x14ac:dyDescent="0.35">
      <c r="A2901" s="1">
        <v>45689</v>
      </c>
      <c r="B2901" s="2">
        <v>45689.608525578704</v>
      </c>
      <c r="C2901" t="s">
        <v>8</v>
      </c>
      <c r="D2901" t="s">
        <v>1200</v>
      </c>
      <c r="E2901">
        <v>3576</v>
      </c>
      <c r="F2901" t="s">
        <v>24</v>
      </c>
    </row>
    <row r="2902" spans="1:6" x14ac:dyDescent="0.35">
      <c r="A2902" s="1">
        <v>45689</v>
      </c>
      <c r="B2902" s="2">
        <v>45689.659710081018</v>
      </c>
      <c r="C2902" t="s">
        <v>8</v>
      </c>
      <c r="D2902" t="s">
        <v>1121</v>
      </c>
      <c r="E2902">
        <v>3576</v>
      </c>
      <c r="F2902" t="s">
        <v>32</v>
      </c>
    </row>
    <row r="2903" spans="1:6" x14ac:dyDescent="0.35">
      <c r="A2903" s="1">
        <v>45689</v>
      </c>
      <c r="B2903" s="2">
        <v>45689.789749583331</v>
      </c>
      <c r="C2903" t="s">
        <v>8</v>
      </c>
      <c r="D2903" t="s">
        <v>1165</v>
      </c>
      <c r="E2903">
        <v>3576</v>
      </c>
      <c r="F2903" t="s">
        <v>24</v>
      </c>
    </row>
    <row r="2904" spans="1:6" x14ac:dyDescent="0.35">
      <c r="A2904" s="1">
        <v>45689</v>
      </c>
      <c r="B2904" s="2">
        <v>45689.828651655094</v>
      </c>
      <c r="C2904" t="s">
        <v>8</v>
      </c>
      <c r="D2904" t="s">
        <v>278</v>
      </c>
      <c r="E2904">
        <v>3086</v>
      </c>
      <c r="F2904" t="s">
        <v>36</v>
      </c>
    </row>
    <row r="2905" spans="1:6" x14ac:dyDescent="0.35">
      <c r="A2905" s="1">
        <v>45689</v>
      </c>
      <c r="B2905" s="2">
        <v>45689.829445208336</v>
      </c>
      <c r="C2905" t="s">
        <v>8</v>
      </c>
      <c r="D2905" t="s">
        <v>278</v>
      </c>
      <c r="E2905">
        <v>3086</v>
      </c>
      <c r="F2905" t="s">
        <v>36</v>
      </c>
    </row>
    <row r="2906" spans="1:6" x14ac:dyDescent="0.35">
      <c r="A2906" s="1">
        <v>45689</v>
      </c>
      <c r="B2906" s="2">
        <v>45689.900715000003</v>
      </c>
      <c r="C2906" t="s">
        <v>8</v>
      </c>
      <c r="D2906" t="s">
        <v>480</v>
      </c>
      <c r="E2906">
        <v>3086</v>
      </c>
      <c r="F2906" t="s">
        <v>36</v>
      </c>
    </row>
    <row r="2907" spans="1:6" x14ac:dyDescent="0.35">
      <c r="A2907" s="1">
        <v>45690</v>
      </c>
      <c r="B2907" s="2">
        <v>45690.455809490741</v>
      </c>
      <c r="C2907" t="s">
        <v>8</v>
      </c>
      <c r="D2907" t="s">
        <v>1183</v>
      </c>
      <c r="E2907">
        <v>3576</v>
      </c>
      <c r="F2907" t="s">
        <v>24</v>
      </c>
    </row>
    <row r="2908" spans="1:6" x14ac:dyDescent="0.35">
      <c r="A2908" s="1">
        <v>45690</v>
      </c>
      <c r="B2908" s="2">
        <v>45690.456687268517</v>
      </c>
      <c r="C2908" t="s">
        <v>8</v>
      </c>
      <c r="D2908" t="s">
        <v>1183</v>
      </c>
      <c r="E2908">
        <v>3576</v>
      </c>
      <c r="F2908" t="s">
        <v>24</v>
      </c>
    </row>
    <row r="2909" spans="1:6" x14ac:dyDescent="0.35">
      <c r="A2909" s="1">
        <v>45690</v>
      </c>
      <c r="B2909" s="2">
        <v>45690.537872395835</v>
      </c>
      <c r="C2909" t="s">
        <v>8</v>
      </c>
      <c r="D2909" t="s">
        <v>1201</v>
      </c>
      <c r="E2909">
        <v>3576</v>
      </c>
      <c r="F2909" t="s">
        <v>32</v>
      </c>
    </row>
    <row r="2910" spans="1:6" x14ac:dyDescent="0.35">
      <c r="A2910" s="1">
        <v>45690</v>
      </c>
      <c r="B2910" s="2">
        <v>45690.538942743056</v>
      </c>
      <c r="C2910" t="s">
        <v>8</v>
      </c>
      <c r="D2910" t="s">
        <v>1202</v>
      </c>
      <c r="E2910">
        <v>3576</v>
      </c>
      <c r="F2910" t="s">
        <v>32</v>
      </c>
    </row>
    <row r="2911" spans="1:6" x14ac:dyDescent="0.35">
      <c r="A2911" s="1">
        <v>45690</v>
      </c>
      <c r="B2911" s="2">
        <v>45690.599274571759</v>
      </c>
      <c r="C2911" t="s">
        <v>8</v>
      </c>
      <c r="D2911" t="s">
        <v>319</v>
      </c>
      <c r="E2911">
        <v>3086</v>
      </c>
      <c r="F2911" t="s">
        <v>36</v>
      </c>
    </row>
    <row r="2912" spans="1:6" x14ac:dyDescent="0.35">
      <c r="A2912" s="1">
        <v>45690</v>
      </c>
      <c r="B2912" s="2">
        <v>45690.698008310188</v>
      </c>
      <c r="C2912" t="s">
        <v>8</v>
      </c>
      <c r="D2912" t="s">
        <v>21</v>
      </c>
      <c r="E2912">
        <v>3576</v>
      </c>
      <c r="F2912" t="s">
        <v>32</v>
      </c>
    </row>
    <row r="2913" spans="1:6" x14ac:dyDescent="0.35">
      <c r="A2913" s="1">
        <v>45690</v>
      </c>
      <c r="B2913" s="2">
        <v>45690.69927341435</v>
      </c>
      <c r="C2913" t="s">
        <v>8</v>
      </c>
      <c r="D2913" t="s">
        <v>1203</v>
      </c>
      <c r="E2913">
        <v>3576</v>
      </c>
      <c r="F2913" t="s">
        <v>32</v>
      </c>
    </row>
    <row r="2914" spans="1:6" x14ac:dyDescent="0.35">
      <c r="A2914" s="1">
        <v>45691</v>
      </c>
      <c r="B2914" s="2">
        <v>45691.294036921296</v>
      </c>
      <c r="C2914" t="s">
        <v>8</v>
      </c>
      <c r="D2914" t="s">
        <v>1203</v>
      </c>
      <c r="E2914">
        <v>3576</v>
      </c>
      <c r="F2914" t="s">
        <v>24</v>
      </c>
    </row>
    <row r="2915" spans="1:6" x14ac:dyDescent="0.35">
      <c r="A2915" s="1">
        <v>45691</v>
      </c>
      <c r="B2915" s="2">
        <v>45691.295099178242</v>
      </c>
      <c r="C2915" t="s">
        <v>8</v>
      </c>
      <c r="D2915" t="s">
        <v>1203</v>
      </c>
      <c r="E2915">
        <v>3086</v>
      </c>
      <c r="F2915" t="s">
        <v>36</v>
      </c>
    </row>
    <row r="2916" spans="1:6" x14ac:dyDescent="0.35">
      <c r="A2916" s="1">
        <v>45691</v>
      </c>
      <c r="B2916" s="2">
        <v>45691.336153090277</v>
      </c>
      <c r="C2916" t="s">
        <v>8</v>
      </c>
      <c r="D2916" t="s">
        <v>1203</v>
      </c>
      <c r="E2916">
        <v>2106</v>
      </c>
      <c r="F2916" t="s">
        <v>5</v>
      </c>
    </row>
    <row r="2917" spans="1:6" x14ac:dyDescent="0.35">
      <c r="A2917" s="1">
        <v>45691</v>
      </c>
      <c r="B2917" s="2">
        <v>45691.339687118052</v>
      </c>
      <c r="C2917" t="s">
        <v>8</v>
      </c>
      <c r="D2917" t="s">
        <v>1204</v>
      </c>
      <c r="E2917">
        <v>3086</v>
      </c>
      <c r="F2917" t="s">
        <v>36</v>
      </c>
    </row>
    <row r="2918" spans="1:6" x14ac:dyDescent="0.35">
      <c r="A2918" s="1">
        <v>45691</v>
      </c>
      <c r="B2918" s="2">
        <v>45691.427529745371</v>
      </c>
      <c r="C2918" t="s">
        <v>8</v>
      </c>
      <c r="D2918" t="s">
        <v>1205</v>
      </c>
      <c r="E2918">
        <v>2596</v>
      </c>
      <c r="F2918" t="s">
        <v>28</v>
      </c>
    </row>
    <row r="2919" spans="1:6" x14ac:dyDescent="0.35">
      <c r="A2919" s="1">
        <v>45691</v>
      </c>
      <c r="B2919" s="2">
        <v>45691.432157592593</v>
      </c>
      <c r="C2919" t="s">
        <v>8</v>
      </c>
      <c r="D2919" t="s">
        <v>1206</v>
      </c>
      <c r="E2919">
        <v>3576</v>
      </c>
      <c r="F2919" t="s">
        <v>24</v>
      </c>
    </row>
    <row r="2920" spans="1:6" x14ac:dyDescent="0.35">
      <c r="A2920" s="1">
        <v>45691</v>
      </c>
      <c r="B2920" s="2">
        <v>45691.451373263888</v>
      </c>
      <c r="C2920" t="s">
        <v>8</v>
      </c>
      <c r="D2920" t="s">
        <v>1207</v>
      </c>
      <c r="E2920">
        <v>3086</v>
      </c>
      <c r="F2920" t="s">
        <v>36</v>
      </c>
    </row>
    <row r="2921" spans="1:6" x14ac:dyDescent="0.35">
      <c r="A2921" s="1">
        <v>45691</v>
      </c>
      <c r="B2921" s="2">
        <v>45691.559051724536</v>
      </c>
      <c r="C2921" t="s">
        <v>8</v>
      </c>
      <c r="D2921" t="s">
        <v>1208</v>
      </c>
      <c r="E2921">
        <v>3576</v>
      </c>
      <c r="F2921" t="s">
        <v>24</v>
      </c>
    </row>
    <row r="2922" spans="1:6" x14ac:dyDescent="0.35">
      <c r="A2922" s="1">
        <v>45691</v>
      </c>
      <c r="B2922" s="2">
        <v>45691.56451009259</v>
      </c>
      <c r="C2922" t="s">
        <v>8</v>
      </c>
      <c r="D2922" t="s">
        <v>1209</v>
      </c>
      <c r="E2922">
        <v>3576</v>
      </c>
      <c r="F2922" t="s">
        <v>24</v>
      </c>
    </row>
    <row r="2923" spans="1:6" x14ac:dyDescent="0.35">
      <c r="A2923" s="1">
        <v>45691</v>
      </c>
      <c r="B2923" s="2">
        <v>45691.57712130787</v>
      </c>
      <c r="C2923" t="s">
        <v>8</v>
      </c>
      <c r="D2923" t="s">
        <v>1210</v>
      </c>
      <c r="E2923">
        <v>2596</v>
      </c>
      <c r="F2923" t="s">
        <v>28</v>
      </c>
    </row>
    <row r="2924" spans="1:6" x14ac:dyDescent="0.35">
      <c r="A2924" s="1">
        <v>45691</v>
      </c>
      <c r="B2924" s="2">
        <v>45691.587922673614</v>
      </c>
      <c r="C2924" t="s">
        <v>8</v>
      </c>
      <c r="D2924" t="s">
        <v>1211</v>
      </c>
      <c r="E2924">
        <v>2596</v>
      </c>
      <c r="F2924" t="s">
        <v>28</v>
      </c>
    </row>
    <row r="2925" spans="1:6" x14ac:dyDescent="0.35">
      <c r="A2925" s="1">
        <v>45691</v>
      </c>
      <c r="B2925" s="2">
        <v>45691.61599766204</v>
      </c>
      <c r="C2925" t="s">
        <v>8</v>
      </c>
      <c r="D2925" t="s">
        <v>76</v>
      </c>
      <c r="E2925">
        <v>3576</v>
      </c>
      <c r="F2925" t="s">
        <v>32</v>
      </c>
    </row>
    <row r="2926" spans="1:6" x14ac:dyDescent="0.35">
      <c r="A2926" s="1">
        <v>45691</v>
      </c>
      <c r="B2926" s="2">
        <v>45691.618293692132</v>
      </c>
      <c r="C2926" t="s">
        <v>8</v>
      </c>
      <c r="D2926" t="s">
        <v>21</v>
      </c>
      <c r="E2926">
        <v>3576</v>
      </c>
      <c r="F2926" t="s">
        <v>32</v>
      </c>
    </row>
    <row r="2927" spans="1:6" x14ac:dyDescent="0.35">
      <c r="A2927" s="1">
        <v>45691</v>
      </c>
      <c r="B2927" s="2">
        <v>45691.626210798611</v>
      </c>
      <c r="C2927" t="s">
        <v>8</v>
      </c>
      <c r="D2927" t="s">
        <v>1212</v>
      </c>
      <c r="E2927">
        <v>3576</v>
      </c>
      <c r="F2927" t="s">
        <v>32</v>
      </c>
    </row>
    <row r="2928" spans="1:6" x14ac:dyDescent="0.35">
      <c r="A2928" s="1">
        <v>45691</v>
      </c>
      <c r="B2928" s="2">
        <v>45691.653787094911</v>
      </c>
      <c r="C2928" t="s">
        <v>8</v>
      </c>
      <c r="D2928" t="s">
        <v>6</v>
      </c>
      <c r="E2928">
        <v>2596</v>
      </c>
      <c r="F2928" t="s">
        <v>28</v>
      </c>
    </row>
    <row r="2929" spans="1:6" x14ac:dyDescent="0.35">
      <c r="A2929" s="1">
        <v>45691</v>
      </c>
      <c r="B2929" s="2">
        <v>45691.70933878472</v>
      </c>
      <c r="C2929" t="s">
        <v>8</v>
      </c>
      <c r="D2929" t="s">
        <v>1211</v>
      </c>
      <c r="E2929">
        <v>3576</v>
      </c>
      <c r="F2929" t="s">
        <v>10</v>
      </c>
    </row>
    <row r="2930" spans="1:6" x14ac:dyDescent="0.35">
      <c r="A2930" s="1">
        <v>45691</v>
      </c>
      <c r="B2930" s="2">
        <v>45691.715221469909</v>
      </c>
      <c r="C2930" t="s">
        <v>8</v>
      </c>
      <c r="D2930" t="s">
        <v>1213</v>
      </c>
      <c r="E2930">
        <v>3086</v>
      </c>
      <c r="F2930" t="s">
        <v>36</v>
      </c>
    </row>
    <row r="2931" spans="1:6" x14ac:dyDescent="0.35">
      <c r="A2931" s="1">
        <v>45691</v>
      </c>
      <c r="B2931" s="2">
        <v>45691.716055428238</v>
      </c>
      <c r="C2931" t="s">
        <v>8</v>
      </c>
      <c r="D2931" t="s">
        <v>33</v>
      </c>
      <c r="E2931">
        <v>3086</v>
      </c>
      <c r="F2931" t="s">
        <v>36</v>
      </c>
    </row>
    <row r="2932" spans="1:6" x14ac:dyDescent="0.35">
      <c r="A2932" s="1">
        <v>45691</v>
      </c>
      <c r="B2932" s="2">
        <v>45691.716727025465</v>
      </c>
      <c r="C2932" t="s">
        <v>8</v>
      </c>
      <c r="D2932" t="s">
        <v>33</v>
      </c>
      <c r="E2932">
        <v>3086</v>
      </c>
      <c r="F2932" t="s">
        <v>36</v>
      </c>
    </row>
    <row r="2933" spans="1:6" x14ac:dyDescent="0.35">
      <c r="A2933" s="1">
        <v>45691</v>
      </c>
      <c r="B2933" s="2">
        <v>45691.717610173611</v>
      </c>
      <c r="C2933" t="s">
        <v>8</v>
      </c>
      <c r="D2933" t="s">
        <v>1214</v>
      </c>
      <c r="E2933">
        <v>3576</v>
      </c>
      <c r="F2933" t="s">
        <v>15</v>
      </c>
    </row>
    <row r="2934" spans="1:6" x14ac:dyDescent="0.35">
      <c r="A2934" s="1">
        <v>45691</v>
      </c>
      <c r="B2934" s="2">
        <v>45691.718268217592</v>
      </c>
      <c r="C2934" t="s">
        <v>8</v>
      </c>
      <c r="D2934" t="s">
        <v>1214</v>
      </c>
      <c r="E2934">
        <v>3576</v>
      </c>
      <c r="F2934" t="s">
        <v>32</v>
      </c>
    </row>
    <row r="2935" spans="1:6" x14ac:dyDescent="0.35">
      <c r="A2935" s="1">
        <v>45691</v>
      </c>
      <c r="B2935" s="2">
        <v>45691.719223391206</v>
      </c>
      <c r="C2935" t="s">
        <v>8</v>
      </c>
      <c r="D2935" t="s">
        <v>1215</v>
      </c>
      <c r="E2935">
        <v>3576</v>
      </c>
      <c r="F2935" t="s">
        <v>15</v>
      </c>
    </row>
    <row r="2936" spans="1:6" x14ac:dyDescent="0.35">
      <c r="A2936" s="1">
        <v>45691</v>
      </c>
      <c r="B2936" s="2">
        <v>45691.739093692129</v>
      </c>
      <c r="C2936" t="s">
        <v>8</v>
      </c>
      <c r="D2936" t="s">
        <v>1216</v>
      </c>
      <c r="E2936">
        <v>3086</v>
      </c>
      <c r="F2936" t="s">
        <v>36</v>
      </c>
    </row>
    <row r="2937" spans="1:6" x14ac:dyDescent="0.35">
      <c r="A2937" s="1">
        <v>45691</v>
      </c>
      <c r="B2937" s="2">
        <v>45691.756255624998</v>
      </c>
      <c r="C2937" t="s">
        <v>8</v>
      </c>
      <c r="D2937" t="s">
        <v>1217</v>
      </c>
      <c r="E2937">
        <v>2596</v>
      </c>
      <c r="F2937" t="s">
        <v>28</v>
      </c>
    </row>
    <row r="2938" spans="1:6" x14ac:dyDescent="0.35">
      <c r="A2938" s="1">
        <v>45691</v>
      </c>
      <c r="B2938" s="2">
        <v>45691.864052442128</v>
      </c>
      <c r="C2938" t="s">
        <v>8</v>
      </c>
      <c r="D2938" t="s">
        <v>1218</v>
      </c>
      <c r="E2938">
        <v>3576</v>
      </c>
      <c r="F2938" t="s">
        <v>10</v>
      </c>
    </row>
    <row r="2939" spans="1:6" x14ac:dyDescent="0.35">
      <c r="A2939" s="1">
        <v>45692</v>
      </c>
      <c r="B2939" s="2">
        <v>45692.420101956021</v>
      </c>
      <c r="C2939" t="s">
        <v>8</v>
      </c>
      <c r="D2939" t="s">
        <v>33</v>
      </c>
      <c r="E2939">
        <v>3086</v>
      </c>
      <c r="F2939" t="s">
        <v>36</v>
      </c>
    </row>
    <row r="2940" spans="1:6" x14ac:dyDescent="0.35">
      <c r="A2940" s="1">
        <v>45692</v>
      </c>
      <c r="B2940" s="2">
        <v>45692.424668263891</v>
      </c>
      <c r="C2940" t="s">
        <v>8</v>
      </c>
      <c r="D2940" t="s">
        <v>6</v>
      </c>
      <c r="E2940">
        <v>2596</v>
      </c>
      <c r="F2940" t="s">
        <v>28</v>
      </c>
    </row>
    <row r="2941" spans="1:6" x14ac:dyDescent="0.35">
      <c r="A2941" s="1">
        <v>45692</v>
      </c>
      <c r="B2941" s="2">
        <v>45692.524980127317</v>
      </c>
      <c r="C2941" t="s">
        <v>8</v>
      </c>
      <c r="D2941" t="s">
        <v>1219</v>
      </c>
      <c r="E2941">
        <v>3086</v>
      </c>
      <c r="F2941" t="s">
        <v>36</v>
      </c>
    </row>
    <row r="2942" spans="1:6" x14ac:dyDescent="0.35">
      <c r="A2942" s="1">
        <v>45692</v>
      </c>
      <c r="B2942" s="2">
        <v>45692.546979375002</v>
      </c>
      <c r="C2942" t="s">
        <v>8</v>
      </c>
      <c r="D2942" t="s">
        <v>1211</v>
      </c>
      <c r="E2942">
        <v>2596</v>
      </c>
      <c r="F2942" t="s">
        <v>20</v>
      </c>
    </row>
    <row r="2943" spans="1:6" x14ac:dyDescent="0.35">
      <c r="A2943" s="1">
        <v>45692</v>
      </c>
      <c r="B2943" s="2">
        <v>45692.593912152777</v>
      </c>
      <c r="C2943" t="s">
        <v>8</v>
      </c>
      <c r="D2943" t="s">
        <v>1220</v>
      </c>
      <c r="E2943">
        <v>2596</v>
      </c>
      <c r="F2943" t="s">
        <v>28</v>
      </c>
    </row>
    <row r="2944" spans="1:6" x14ac:dyDescent="0.35">
      <c r="A2944" s="1">
        <v>45692</v>
      </c>
      <c r="B2944" s="2">
        <v>45692.595561180555</v>
      </c>
      <c r="C2944" t="s">
        <v>8</v>
      </c>
      <c r="D2944" t="s">
        <v>33</v>
      </c>
      <c r="E2944">
        <v>3086</v>
      </c>
      <c r="F2944" t="s">
        <v>36</v>
      </c>
    </row>
    <row r="2945" spans="1:6" x14ac:dyDescent="0.35">
      <c r="A2945" s="1">
        <v>45692</v>
      </c>
      <c r="B2945" s="2">
        <v>45692.597089629628</v>
      </c>
      <c r="C2945" t="s">
        <v>8</v>
      </c>
      <c r="D2945" t="s">
        <v>1221</v>
      </c>
      <c r="E2945">
        <v>2596</v>
      </c>
      <c r="F2945" t="s">
        <v>28</v>
      </c>
    </row>
    <row r="2946" spans="1:6" x14ac:dyDescent="0.35">
      <c r="A2946" s="1">
        <v>45692</v>
      </c>
      <c r="B2946" s="2">
        <v>45692.759511481483</v>
      </c>
      <c r="C2946" t="s">
        <v>8</v>
      </c>
      <c r="D2946" t="s">
        <v>1208</v>
      </c>
      <c r="E2946">
        <v>3086</v>
      </c>
      <c r="F2946" t="s">
        <v>36</v>
      </c>
    </row>
    <row r="2947" spans="1:6" x14ac:dyDescent="0.35">
      <c r="A2947" s="1">
        <v>45692</v>
      </c>
      <c r="B2947" s="2">
        <v>45692.795392534725</v>
      </c>
      <c r="C2947" t="s">
        <v>8</v>
      </c>
      <c r="D2947" t="s">
        <v>1222</v>
      </c>
      <c r="E2947">
        <v>3576</v>
      </c>
      <c r="F2947" t="s">
        <v>10</v>
      </c>
    </row>
    <row r="2948" spans="1:6" x14ac:dyDescent="0.35">
      <c r="A2948" s="1">
        <v>45692</v>
      </c>
      <c r="B2948" s="2">
        <v>45692.798341747686</v>
      </c>
      <c r="C2948" t="s">
        <v>8</v>
      </c>
      <c r="D2948" t="s">
        <v>1223</v>
      </c>
      <c r="E2948">
        <v>3576</v>
      </c>
      <c r="F2948" t="s">
        <v>10</v>
      </c>
    </row>
    <row r="2949" spans="1:6" x14ac:dyDescent="0.35">
      <c r="A2949" s="1">
        <v>45692</v>
      </c>
      <c r="B2949" s="2">
        <v>45692.798930254627</v>
      </c>
      <c r="C2949" t="s">
        <v>8</v>
      </c>
      <c r="D2949" t="s">
        <v>1223</v>
      </c>
      <c r="E2949">
        <v>3576</v>
      </c>
      <c r="F2949" t="s">
        <v>10</v>
      </c>
    </row>
    <row r="2950" spans="1:6" x14ac:dyDescent="0.35">
      <c r="A2950" s="1">
        <v>45692</v>
      </c>
      <c r="B2950" s="2">
        <v>45692.810732442129</v>
      </c>
      <c r="C2950" t="s">
        <v>8</v>
      </c>
      <c r="D2950" t="s">
        <v>1224</v>
      </c>
      <c r="E2950">
        <v>2596</v>
      </c>
      <c r="F2950" t="s">
        <v>20</v>
      </c>
    </row>
    <row r="2951" spans="1:6" x14ac:dyDescent="0.35">
      <c r="A2951" s="1">
        <v>45693</v>
      </c>
      <c r="B2951" s="2">
        <v>45693.362621666667</v>
      </c>
      <c r="C2951" t="s">
        <v>8</v>
      </c>
      <c r="D2951" t="s">
        <v>1207</v>
      </c>
      <c r="E2951">
        <v>3086</v>
      </c>
      <c r="F2951" t="s">
        <v>36</v>
      </c>
    </row>
    <row r="2952" spans="1:6" x14ac:dyDescent="0.35">
      <c r="A2952" s="1">
        <v>45693</v>
      </c>
      <c r="B2952" s="2">
        <v>45693.382450497687</v>
      </c>
      <c r="C2952" t="s">
        <v>8</v>
      </c>
      <c r="D2952" t="s">
        <v>33</v>
      </c>
      <c r="E2952">
        <v>3086</v>
      </c>
      <c r="F2952" t="s">
        <v>36</v>
      </c>
    </row>
    <row r="2953" spans="1:6" x14ac:dyDescent="0.35">
      <c r="A2953" s="1">
        <v>45693</v>
      </c>
      <c r="B2953" s="2">
        <v>45693.492775324077</v>
      </c>
      <c r="C2953" t="s">
        <v>8</v>
      </c>
      <c r="D2953" t="s">
        <v>33</v>
      </c>
      <c r="E2953">
        <v>2596</v>
      </c>
      <c r="F2953" t="s">
        <v>28</v>
      </c>
    </row>
    <row r="2954" spans="1:6" x14ac:dyDescent="0.35">
      <c r="A2954" s="1">
        <v>45693</v>
      </c>
      <c r="B2954" s="2">
        <v>45693.493536863425</v>
      </c>
      <c r="C2954" t="s">
        <v>8</v>
      </c>
      <c r="D2954" t="s">
        <v>33</v>
      </c>
      <c r="E2954">
        <v>2596</v>
      </c>
      <c r="F2954" t="s">
        <v>28</v>
      </c>
    </row>
    <row r="2955" spans="1:6" x14ac:dyDescent="0.35">
      <c r="A2955" s="1">
        <v>45693</v>
      </c>
      <c r="B2955" s="2">
        <v>45693.494275289355</v>
      </c>
      <c r="C2955" t="s">
        <v>8</v>
      </c>
      <c r="D2955" t="s">
        <v>33</v>
      </c>
      <c r="E2955">
        <v>2596</v>
      </c>
      <c r="F2955" t="s">
        <v>28</v>
      </c>
    </row>
    <row r="2956" spans="1:6" x14ac:dyDescent="0.35">
      <c r="A2956" s="1">
        <v>45693</v>
      </c>
      <c r="B2956" s="2">
        <v>45693.499032893516</v>
      </c>
      <c r="C2956" t="s">
        <v>8</v>
      </c>
      <c r="D2956" t="s">
        <v>33</v>
      </c>
      <c r="E2956">
        <v>3086</v>
      </c>
      <c r="F2956" t="s">
        <v>36</v>
      </c>
    </row>
    <row r="2957" spans="1:6" x14ac:dyDescent="0.35">
      <c r="A2957" s="1">
        <v>45693</v>
      </c>
      <c r="B2957" s="2">
        <v>45693.50748699074</v>
      </c>
      <c r="C2957" t="s">
        <v>8</v>
      </c>
      <c r="D2957" t="s">
        <v>1225</v>
      </c>
      <c r="E2957">
        <v>2596</v>
      </c>
      <c r="F2957" t="s">
        <v>28</v>
      </c>
    </row>
    <row r="2958" spans="1:6" x14ac:dyDescent="0.35">
      <c r="A2958" s="1">
        <v>45693</v>
      </c>
      <c r="B2958" s="2">
        <v>45693.55608991898</v>
      </c>
      <c r="C2958" t="s">
        <v>8</v>
      </c>
      <c r="D2958" t="s">
        <v>1226</v>
      </c>
      <c r="E2958">
        <v>2596</v>
      </c>
      <c r="F2958" t="s">
        <v>28</v>
      </c>
    </row>
    <row r="2959" spans="1:6" x14ac:dyDescent="0.35">
      <c r="A2959" s="1">
        <v>45693</v>
      </c>
      <c r="B2959" s="2">
        <v>45693.572023437497</v>
      </c>
      <c r="C2959" t="s">
        <v>8</v>
      </c>
      <c r="D2959" t="s">
        <v>1221</v>
      </c>
      <c r="E2959">
        <v>2106</v>
      </c>
      <c r="F2959" t="s">
        <v>5</v>
      </c>
    </row>
    <row r="2960" spans="1:6" x14ac:dyDescent="0.35">
      <c r="A2960" s="1">
        <v>45693</v>
      </c>
      <c r="B2960" s="2">
        <v>45693.572561458335</v>
      </c>
      <c r="C2960" t="s">
        <v>8</v>
      </c>
      <c r="D2960" t="s">
        <v>1221</v>
      </c>
      <c r="E2960">
        <v>2106</v>
      </c>
      <c r="F2960" t="s">
        <v>5</v>
      </c>
    </row>
    <row r="2961" spans="1:6" x14ac:dyDescent="0.35">
      <c r="A2961" s="1">
        <v>45693</v>
      </c>
      <c r="B2961" s="2">
        <v>45693.623526678239</v>
      </c>
      <c r="C2961" t="s">
        <v>8</v>
      </c>
      <c r="D2961" t="s">
        <v>1212</v>
      </c>
      <c r="E2961">
        <v>3576</v>
      </c>
      <c r="F2961" t="s">
        <v>24</v>
      </c>
    </row>
    <row r="2962" spans="1:6" x14ac:dyDescent="0.35">
      <c r="A2962" s="1">
        <v>45693</v>
      </c>
      <c r="B2962" s="2">
        <v>45693.660402476853</v>
      </c>
      <c r="C2962" t="s">
        <v>8</v>
      </c>
      <c r="D2962" t="s">
        <v>1227</v>
      </c>
      <c r="E2962">
        <v>3576</v>
      </c>
      <c r="F2962" t="s">
        <v>24</v>
      </c>
    </row>
    <row r="2963" spans="1:6" x14ac:dyDescent="0.35">
      <c r="A2963" s="1">
        <v>45693</v>
      </c>
      <c r="B2963" s="2">
        <v>45693.69051385417</v>
      </c>
      <c r="C2963" t="s">
        <v>8</v>
      </c>
      <c r="D2963" t="s">
        <v>1215</v>
      </c>
      <c r="E2963">
        <v>3576</v>
      </c>
      <c r="F2963" t="s">
        <v>15</v>
      </c>
    </row>
    <row r="2964" spans="1:6" x14ac:dyDescent="0.35">
      <c r="A2964" s="1">
        <v>45693</v>
      </c>
      <c r="B2964" s="2">
        <v>45693.691354247683</v>
      </c>
      <c r="C2964" t="s">
        <v>8</v>
      </c>
      <c r="D2964" t="s">
        <v>1214</v>
      </c>
      <c r="E2964">
        <v>3576</v>
      </c>
      <c r="F2964" t="s">
        <v>32</v>
      </c>
    </row>
    <row r="2965" spans="1:6" x14ac:dyDescent="0.35">
      <c r="A2965" s="1">
        <v>45693</v>
      </c>
      <c r="B2965" s="2">
        <v>45693.692062395836</v>
      </c>
      <c r="C2965" t="s">
        <v>8</v>
      </c>
      <c r="D2965" t="s">
        <v>1214</v>
      </c>
      <c r="E2965">
        <v>3576</v>
      </c>
      <c r="F2965" t="s">
        <v>32</v>
      </c>
    </row>
    <row r="2966" spans="1:6" x14ac:dyDescent="0.35">
      <c r="A2966" s="1">
        <v>45693</v>
      </c>
      <c r="B2966" s="2">
        <v>45693.693770081016</v>
      </c>
      <c r="C2966" t="s">
        <v>8</v>
      </c>
      <c r="D2966" t="s">
        <v>1203</v>
      </c>
      <c r="E2966">
        <v>3576</v>
      </c>
      <c r="F2966" t="s">
        <v>10</v>
      </c>
    </row>
    <row r="2967" spans="1:6" x14ac:dyDescent="0.35">
      <c r="A2967" s="1">
        <v>45693</v>
      </c>
      <c r="B2967" s="2">
        <v>45693.695254560182</v>
      </c>
      <c r="C2967" t="s">
        <v>8</v>
      </c>
      <c r="D2967" t="s">
        <v>1215</v>
      </c>
      <c r="E2967">
        <v>3576</v>
      </c>
      <c r="F2967" t="s">
        <v>15</v>
      </c>
    </row>
    <row r="2968" spans="1:6" x14ac:dyDescent="0.35">
      <c r="A2968" s="1">
        <v>45693</v>
      </c>
      <c r="B2968" s="2">
        <v>45693.762898460649</v>
      </c>
      <c r="C2968" t="s">
        <v>8</v>
      </c>
      <c r="D2968" t="s">
        <v>1228</v>
      </c>
      <c r="E2968">
        <v>3576</v>
      </c>
      <c r="F2968" t="s">
        <v>24</v>
      </c>
    </row>
    <row r="2969" spans="1:6" x14ac:dyDescent="0.35">
      <c r="A2969" s="1">
        <v>45693</v>
      </c>
      <c r="B2969" s="2">
        <v>45693.763762476854</v>
      </c>
      <c r="C2969" t="s">
        <v>8</v>
      </c>
      <c r="D2969" t="s">
        <v>1229</v>
      </c>
      <c r="E2969">
        <v>3576</v>
      </c>
      <c r="F2969" t="s">
        <v>24</v>
      </c>
    </row>
    <row r="2970" spans="1:6" x14ac:dyDescent="0.35">
      <c r="A2970" s="1">
        <v>45693</v>
      </c>
      <c r="B2970" s="2">
        <v>45693.764484791667</v>
      </c>
      <c r="C2970" t="s">
        <v>8</v>
      </c>
      <c r="D2970" t="s">
        <v>1230</v>
      </c>
      <c r="E2970">
        <v>3576</v>
      </c>
      <c r="F2970" t="s">
        <v>10</v>
      </c>
    </row>
    <row r="2971" spans="1:6" x14ac:dyDescent="0.35">
      <c r="A2971" s="1">
        <v>45693</v>
      </c>
      <c r="B2971" s="2">
        <v>45693.767700486111</v>
      </c>
      <c r="C2971" t="s">
        <v>8</v>
      </c>
      <c r="D2971" t="s">
        <v>1208</v>
      </c>
      <c r="E2971">
        <v>3086</v>
      </c>
      <c r="F2971" t="s">
        <v>36</v>
      </c>
    </row>
    <row r="2972" spans="1:6" x14ac:dyDescent="0.35">
      <c r="A2972" s="1">
        <v>45693</v>
      </c>
      <c r="B2972" s="2">
        <v>45693.781737638892</v>
      </c>
      <c r="C2972" t="s">
        <v>8</v>
      </c>
      <c r="D2972" t="s">
        <v>1231</v>
      </c>
      <c r="E2972">
        <v>3576</v>
      </c>
      <c r="F2972" t="s">
        <v>24</v>
      </c>
    </row>
    <row r="2973" spans="1:6" x14ac:dyDescent="0.35">
      <c r="A2973" s="1">
        <v>45693</v>
      </c>
      <c r="B2973" s="2">
        <v>45693.796368773146</v>
      </c>
      <c r="C2973" t="s">
        <v>8</v>
      </c>
      <c r="D2973" t="s">
        <v>21</v>
      </c>
      <c r="E2973">
        <v>3576</v>
      </c>
      <c r="F2973" t="s">
        <v>15</v>
      </c>
    </row>
    <row r="2974" spans="1:6" x14ac:dyDescent="0.35">
      <c r="A2974" s="1">
        <v>45693</v>
      </c>
      <c r="B2974" s="2">
        <v>45693.835655428244</v>
      </c>
      <c r="C2974" t="s">
        <v>8</v>
      </c>
      <c r="D2974" t="s">
        <v>1232</v>
      </c>
      <c r="E2974">
        <v>3576</v>
      </c>
      <c r="F2974" t="s">
        <v>10</v>
      </c>
    </row>
    <row r="2975" spans="1:6" x14ac:dyDescent="0.35">
      <c r="A2975" s="1">
        <v>45694</v>
      </c>
      <c r="B2975" s="2">
        <v>45694.303340798608</v>
      </c>
      <c r="C2975" t="s">
        <v>8</v>
      </c>
      <c r="D2975" t="s">
        <v>33</v>
      </c>
      <c r="E2975">
        <v>3086</v>
      </c>
      <c r="F2975" t="s">
        <v>36</v>
      </c>
    </row>
    <row r="2976" spans="1:6" x14ac:dyDescent="0.35">
      <c r="A2976" s="1">
        <v>45694</v>
      </c>
      <c r="B2976" s="2">
        <v>45694.582887222219</v>
      </c>
      <c r="C2976" t="s">
        <v>8</v>
      </c>
      <c r="D2976" t="s">
        <v>1221</v>
      </c>
      <c r="E2976">
        <v>2596</v>
      </c>
      <c r="F2976" t="s">
        <v>28</v>
      </c>
    </row>
    <row r="2977" spans="1:6" x14ac:dyDescent="0.35">
      <c r="A2977" s="1">
        <v>45694</v>
      </c>
      <c r="B2977" s="2">
        <v>45694.621893101852</v>
      </c>
      <c r="C2977" t="s">
        <v>8</v>
      </c>
      <c r="D2977" t="s">
        <v>1213</v>
      </c>
      <c r="E2977">
        <v>3086</v>
      </c>
      <c r="F2977" t="s">
        <v>36</v>
      </c>
    </row>
    <row r="2978" spans="1:6" x14ac:dyDescent="0.35">
      <c r="A2978" s="1">
        <v>45694</v>
      </c>
      <c r="B2978" s="2">
        <v>45694.624565069447</v>
      </c>
      <c r="C2978" t="s">
        <v>8</v>
      </c>
      <c r="D2978" t="s">
        <v>1209</v>
      </c>
      <c r="E2978">
        <v>3576</v>
      </c>
      <c r="F2978" t="s">
        <v>24</v>
      </c>
    </row>
    <row r="2979" spans="1:6" x14ac:dyDescent="0.35">
      <c r="A2979" s="1">
        <v>45694</v>
      </c>
      <c r="B2979" s="2">
        <v>45694.676965289349</v>
      </c>
      <c r="C2979" t="s">
        <v>8</v>
      </c>
      <c r="D2979" t="s">
        <v>33</v>
      </c>
      <c r="E2979">
        <v>3576</v>
      </c>
      <c r="F2979" t="s">
        <v>10</v>
      </c>
    </row>
    <row r="2980" spans="1:6" x14ac:dyDescent="0.35">
      <c r="A2980" s="1">
        <v>45694</v>
      </c>
      <c r="B2980" s="2">
        <v>45694.715111157406</v>
      </c>
      <c r="C2980" t="s">
        <v>8</v>
      </c>
      <c r="D2980" t="s">
        <v>1220</v>
      </c>
      <c r="E2980">
        <v>3576</v>
      </c>
      <c r="F2980" t="s">
        <v>10</v>
      </c>
    </row>
    <row r="2981" spans="1:6" x14ac:dyDescent="0.35">
      <c r="A2981" s="1">
        <v>45694</v>
      </c>
      <c r="B2981" s="2">
        <v>45694.746123159719</v>
      </c>
      <c r="C2981" t="s">
        <v>8</v>
      </c>
      <c r="D2981" t="s">
        <v>1233</v>
      </c>
      <c r="E2981">
        <v>3576</v>
      </c>
      <c r="F2981" t="s">
        <v>10</v>
      </c>
    </row>
    <row r="2982" spans="1:6" x14ac:dyDescent="0.35">
      <c r="A2982" s="1">
        <v>45694</v>
      </c>
      <c r="B2982" s="2">
        <v>45694.828618912034</v>
      </c>
      <c r="C2982" t="s">
        <v>8</v>
      </c>
      <c r="D2982" t="s">
        <v>1209</v>
      </c>
      <c r="E2982">
        <v>3576</v>
      </c>
      <c r="F2982" t="s">
        <v>24</v>
      </c>
    </row>
    <row r="2983" spans="1:6" x14ac:dyDescent="0.35">
      <c r="A2983" s="1">
        <v>45694</v>
      </c>
      <c r="B2983" s="2">
        <v>45694.829936354166</v>
      </c>
      <c r="C2983" t="s">
        <v>8</v>
      </c>
      <c r="D2983" t="s">
        <v>1234</v>
      </c>
      <c r="E2983">
        <v>2106</v>
      </c>
      <c r="F2983" t="s">
        <v>5</v>
      </c>
    </row>
    <row r="2984" spans="1:6" x14ac:dyDescent="0.35">
      <c r="A2984" s="1">
        <v>45694</v>
      </c>
      <c r="B2984" s="2">
        <v>45694.838186400462</v>
      </c>
      <c r="C2984" t="s">
        <v>8</v>
      </c>
      <c r="D2984" t="s">
        <v>1235</v>
      </c>
      <c r="E2984">
        <v>3576</v>
      </c>
      <c r="F2984" t="s">
        <v>10</v>
      </c>
    </row>
    <row r="2985" spans="1:6" x14ac:dyDescent="0.35">
      <c r="A2985" s="1">
        <v>45694</v>
      </c>
      <c r="B2985" s="2">
        <v>45694.838739641207</v>
      </c>
      <c r="C2985" t="s">
        <v>8</v>
      </c>
      <c r="D2985" t="s">
        <v>1236</v>
      </c>
      <c r="E2985">
        <v>3576</v>
      </c>
      <c r="F2985" t="s">
        <v>10</v>
      </c>
    </row>
    <row r="2986" spans="1:6" x14ac:dyDescent="0.35">
      <c r="A2986" s="1">
        <v>45694</v>
      </c>
      <c r="B2986" s="2">
        <v>45694.849462233797</v>
      </c>
      <c r="C2986" t="s">
        <v>8</v>
      </c>
      <c r="D2986" t="s">
        <v>33</v>
      </c>
      <c r="E2986">
        <v>3576</v>
      </c>
      <c r="F2986" t="s">
        <v>32</v>
      </c>
    </row>
    <row r="2987" spans="1:6" x14ac:dyDescent="0.35">
      <c r="A2987" s="1">
        <v>45695</v>
      </c>
      <c r="B2987" s="2">
        <v>45695.364467222222</v>
      </c>
      <c r="C2987" t="s">
        <v>8</v>
      </c>
      <c r="D2987" t="s">
        <v>1203</v>
      </c>
      <c r="E2987">
        <v>3086</v>
      </c>
      <c r="F2987" t="s">
        <v>36</v>
      </c>
    </row>
    <row r="2988" spans="1:6" x14ac:dyDescent="0.35">
      <c r="A2988" s="1">
        <v>45695</v>
      </c>
      <c r="B2988" s="2">
        <v>45695.379914976853</v>
      </c>
      <c r="C2988" t="s">
        <v>8</v>
      </c>
      <c r="D2988" t="s">
        <v>1237</v>
      </c>
      <c r="E2988">
        <v>3086</v>
      </c>
      <c r="F2988" t="s">
        <v>36</v>
      </c>
    </row>
    <row r="2989" spans="1:6" x14ac:dyDescent="0.35">
      <c r="A2989" s="1">
        <v>45695</v>
      </c>
      <c r="B2989" s="2">
        <v>45695.450962986113</v>
      </c>
      <c r="C2989" t="s">
        <v>8</v>
      </c>
      <c r="D2989" t="s">
        <v>1238</v>
      </c>
      <c r="E2989">
        <v>2596</v>
      </c>
      <c r="F2989" t="s">
        <v>28</v>
      </c>
    </row>
    <row r="2990" spans="1:6" x14ac:dyDescent="0.35">
      <c r="A2990" s="1">
        <v>45695</v>
      </c>
      <c r="B2990" s="2">
        <v>45695.506696666664</v>
      </c>
      <c r="C2990" t="s">
        <v>8</v>
      </c>
      <c r="D2990" t="s">
        <v>1239</v>
      </c>
      <c r="E2990">
        <v>3576</v>
      </c>
      <c r="F2990" t="s">
        <v>10</v>
      </c>
    </row>
    <row r="2991" spans="1:6" x14ac:dyDescent="0.35">
      <c r="A2991" s="1">
        <v>45695</v>
      </c>
      <c r="B2991" s="2">
        <v>45695.535675543979</v>
      </c>
      <c r="C2991" t="s">
        <v>8</v>
      </c>
      <c r="D2991" t="s">
        <v>33</v>
      </c>
      <c r="E2991">
        <v>3086</v>
      </c>
      <c r="F2991" t="s">
        <v>36</v>
      </c>
    </row>
    <row r="2992" spans="1:6" x14ac:dyDescent="0.35">
      <c r="A2992" s="1">
        <v>45695</v>
      </c>
      <c r="B2992" s="2">
        <v>45695.54087704861</v>
      </c>
      <c r="C2992" t="s">
        <v>8</v>
      </c>
      <c r="D2992" t="s">
        <v>1240</v>
      </c>
      <c r="E2992">
        <v>2596</v>
      </c>
      <c r="F2992" t="s">
        <v>28</v>
      </c>
    </row>
    <row r="2993" spans="1:6" x14ac:dyDescent="0.35">
      <c r="A2993" s="1">
        <v>45695</v>
      </c>
      <c r="B2993" s="2">
        <v>45695.669571099534</v>
      </c>
      <c r="C2993" t="s">
        <v>8</v>
      </c>
      <c r="D2993" t="s">
        <v>1220</v>
      </c>
      <c r="E2993">
        <v>2596</v>
      </c>
      <c r="F2993" t="s">
        <v>20</v>
      </c>
    </row>
    <row r="2994" spans="1:6" x14ac:dyDescent="0.35">
      <c r="A2994" s="1">
        <v>45695</v>
      </c>
      <c r="B2994" s="2">
        <v>45695.682095960648</v>
      </c>
      <c r="C2994" t="s">
        <v>8</v>
      </c>
      <c r="D2994" t="s">
        <v>1241</v>
      </c>
      <c r="E2994">
        <v>3576</v>
      </c>
      <c r="F2994" t="s">
        <v>32</v>
      </c>
    </row>
    <row r="2995" spans="1:6" x14ac:dyDescent="0.35">
      <c r="A2995" s="1">
        <v>45695</v>
      </c>
      <c r="B2995" s="2">
        <v>45695.682801805553</v>
      </c>
      <c r="C2995" t="s">
        <v>8</v>
      </c>
      <c r="D2995" t="s">
        <v>1215</v>
      </c>
      <c r="E2995">
        <v>3576</v>
      </c>
      <c r="F2995" t="s">
        <v>15</v>
      </c>
    </row>
    <row r="2996" spans="1:6" x14ac:dyDescent="0.35">
      <c r="A2996" s="1">
        <v>45695</v>
      </c>
      <c r="B2996" s="2">
        <v>45695.683740671295</v>
      </c>
      <c r="C2996" t="s">
        <v>8</v>
      </c>
      <c r="D2996" t="s">
        <v>1215</v>
      </c>
      <c r="E2996">
        <v>3576</v>
      </c>
      <c r="F2996" t="s">
        <v>32</v>
      </c>
    </row>
    <row r="2997" spans="1:6" x14ac:dyDescent="0.35">
      <c r="A2997" s="1">
        <v>45695</v>
      </c>
      <c r="B2997" s="2">
        <v>45695.779591909719</v>
      </c>
      <c r="C2997" t="s">
        <v>8</v>
      </c>
      <c r="D2997" t="s">
        <v>1228</v>
      </c>
      <c r="E2997">
        <v>3576</v>
      </c>
      <c r="F2997" t="s">
        <v>10</v>
      </c>
    </row>
    <row r="2998" spans="1:6" x14ac:dyDescent="0.35">
      <c r="A2998" s="1">
        <v>45695</v>
      </c>
      <c r="B2998" s="2">
        <v>45695.780278749997</v>
      </c>
      <c r="C2998" t="s">
        <v>8</v>
      </c>
      <c r="D2998" t="s">
        <v>1229</v>
      </c>
      <c r="E2998">
        <v>3576</v>
      </c>
      <c r="F2998" t="s">
        <v>10</v>
      </c>
    </row>
    <row r="2999" spans="1:6" x14ac:dyDescent="0.35">
      <c r="A2999" s="1">
        <v>45695</v>
      </c>
      <c r="B2999" s="2">
        <v>45695.780912523151</v>
      </c>
      <c r="C2999" t="s">
        <v>8</v>
      </c>
      <c r="D2999" t="s">
        <v>1242</v>
      </c>
      <c r="E2999">
        <v>2596</v>
      </c>
      <c r="F2999" t="s">
        <v>20</v>
      </c>
    </row>
    <row r="3000" spans="1:6" x14ac:dyDescent="0.35">
      <c r="A3000" s="1">
        <v>45695</v>
      </c>
      <c r="B3000" s="2">
        <v>45695.781517094911</v>
      </c>
      <c r="C3000" t="s">
        <v>8</v>
      </c>
      <c r="D3000" t="s">
        <v>1242</v>
      </c>
      <c r="E3000">
        <v>3576</v>
      </c>
      <c r="F3000" t="s">
        <v>10</v>
      </c>
    </row>
    <row r="3001" spans="1:6" x14ac:dyDescent="0.35">
      <c r="A3001" s="1">
        <v>45695</v>
      </c>
      <c r="B3001" s="2">
        <v>45695.840965428244</v>
      </c>
      <c r="C3001" t="s">
        <v>8</v>
      </c>
      <c r="D3001" t="s">
        <v>1243</v>
      </c>
      <c r="E3001">
        <v>3576</v>
      </c>
      <c r="F3001" t="s">
        <v>10</v>
      </c>
    </row>
    <row r="3002" spans="1:6" x14ac:dyDescent="0.35">
      <c r="A3002" s="1">
        <v>45695</v>
      </c>
      <c r="B3002" s="2">
        <v>45695.854825671297</v>
      </c>
      <c r="C3002" t="s">
        <v>8</v>
      </c>
      <c r="D3002" t="s">
        <v>1212</v>
      </c>
      <c r="E3002">
        <v>2596</v>
      </c>
      <c r="F3002" t="s">
        <v>20</v>
      </c>
    </row>
    <row r="3003" spans="1:6" x14ac:dyDescent="0.35">
      <c r="A3003" s="1">
        <v>45696</v>
      </c>
      <c r="B3003" s="2">
        <v>45696.376191354168</v>
      </c>
      <c r="C3003" t="s">
        <v>8</v>
      </c>
      <c r="D3003" t="s">
        <v>33</v>
      </c>
      <c r="E3003">
        <v>2596</v>
      </c>
      <c r="F3003" t="s">
        <v>28</v>
      </c>
    </row>
    <row r="3004" spans="1:6" x14ac:dyDescent="0.35">
      <c r="A3004" s="1">
        <v>45696</v>
      </c>
      <c r="B3004" s="2">
        <v>45696.45575335648</v>
      </c>
      <c r="C3004" t="s">
        <v>8</v>
      </c>
      <c r="D3004" t="s">
        <v>1204</v>
      </c>
      <c r="E3004">
        <v>3086</v>
      </c>
      <c r="F3004" t="s">
        <v>36</v>
      </c>
    </row>
    <row r="3005" spans="1:6" x14ac:dyDescent="0.35">
      <c r="A3005" s="1">
        <v>45696</v>
      </c>
      <c r="B3005" s="2">
        <v>45696.460201215275</v>
      </c>
      <c r="C3005" t="s">
        <v>8</v>
      </c>
      <c r="D3005" t="s">
        <v>1244</v>
      </c>
      <c r="E3005">
        <v>2596</v>
      </c>
      <c r="F3005" t="s">
        <v>20</v>
      </c>
    </row>
    <row r="3006" spans="1:6" x14ac:dyDescent="0.35">
      <c r="A3006" s="1">
        <v>45696</v>
      </c>
      <c r="B3006" s="2">
        <v>45696.485808819445</v>
      </c>
      <c r="C3006" t="s">
        <v>8</v>
      </c>
      <c r="D3006" t="s">
        <v>1245</v>
      </c>
      <c r="E3006">
        <v>2596</v>
      </c>
      <c r="F3006" t="s">
        <v>28</v>
      </c>
    </row>
    <row r="3007" spans="1:6" x14ac:dyDescent="0.35">
      <c r="A3007" s="1">
        <v>45696</v>
      </c>
      <c r="B3007" s="2">
        <v>45696.532093055554</v>
      </c>
      <c r="C3007" t="s">
        <v>8</v>
      </c>
      <c r="D3007" t="s">
        <v>1217</v>
      </c>
      <c r="E3007">
        <v>2596</v>
      </c>
      <c r="F3007" t="s">
        <v>28</v>
      </c>
    </row>
    <row r="3008" spans="1:6" x14ac:dyDescent="0.35">
      <c r="A3008" s="1">
        <v>45696</v>
      </c>
      <c r="B3008" s="2">
        <v>45696.560273009258</v>
      </c>
      <c r="C3008" t="s">
        <v>8</v>
      </c>
      <c r="D3008" t="s">
        <v>1220</v>
      </c>
      <c r="E3008">
        <v>2596</v>
      </c>
      <c r="F3008" t="s">
        <v>28</v>
      </c>
    </row>
    <row r="3009" spans="1:6" x14ac:dyDescent="0.35">
      <c r="A3009" s="1">
        <v>45696</v>
      </c>
      <c r="B3009" s="2">
        <v>45696.629909305557</v>
      </c>
      <c r="C3009" t="s">
        <v>8</v>
      </c>
      <c r="D3009" t="s">
        <v>6</v>
      </c>
      <c r="E3009">
        <v>2596</v>
      </c>
      <c r="F3009" t="s">
        <v>28</v>
      </c>
    </row>
    <row r="3010" spans="1:6" x14ac:dyDescent="0.35">
      <c r="A3010" s="1">
        <v>45696</v>
      </c>
      <c r="B3010" s="2">
        <v>45696.630662152776</v>
      </c>
      <c r="C3010" t="s">
        <v>8</v>
      </c>
      <c r="D3010" t="s">
        <v>6</v>
      </c>
      <c r="E3010">
        <v>2596</v>
      </c>
      <c r="F3010" t="s">
        <v>28</v>
      </c>
    </row>
    <row r="3011" spans="1:6" x14ac:dyDescent="0.35">
      <c r="A3011" s="1">
        <v>45697</v>
      </c>
      <c r="B3011" s="2">
        <v>45697.367640173608</v>
      </c>
      <c r="C3011" t="s">
        <v>8</v>
      </c>
      <c r="D3011" t="s">
        <v>1212</v>
      </c>
      <c r="E3011">
        <v>3576</v>
      </c>
      <c r="F3011" t="s">
        <v>10</v>
      </c>
    </row>
    <row r="3012" spans="1:6" x14ac:dyDescent="0.35">
      <c r="A3012" s="1">
        <v>45697</v>
      </c>
      <c r="B3012" s="2">
        <v>45697.438300752314</v>
      </c>
      <c r="C3012" t="s">
        <v>8</v>
      </c>
      <c r="D3012" t="s">
        <v>1208</v>
      </c>
      <c r="E3012">
        <v>3086</v>
      </c>
      <c r="F3012" t="s">
        <v>36</v>
      </c>
    </row>
    <row r="3013" spans="1:6" x14ac:dyDescent="0.35">
      <c r="A3013" s="1">
        <v>45697</v>
      </c>
      <c r="B3013" s="2">
        <v>45697.452407627316</v>
      </c>
      <c r="C3013" t="s">
        <v>8</v>
      </c>
      <c r="D3013" t="s">
        <v>33</v>
      </c>
      <c r="E3013">
        <v>2596</v>
      </c>
      <c r="F3013" t="s">
        <v>28</v>
      </c>
    </row>
    <row r="3014" spans="1:6" x14ac:dyDescent="0.35">
      <c r="A3014" s="1">
        <v>45697</v>
      </c>
      <c r="B3014" s="2">
        <v>45697.503530173613</v>
      </c>
      <c r="C3014" t="s">
        <v>8</v>
      </c>
      <c r="D3014" t="s">
        <v>1246</v>
      </c>
      <c r="E3014">
        <v>3576</v>
      </c>
      <c r="F3014" t="s">
        <v>32</v>
      </c>
    </row>
    <row r="3015" spans="1:6" x14ac:dyDescent="0.35">
      <c r="A3015" s="1">
        <v>45697</v>
      </c>
      <c r="B3015" s="2">
        <v>45697.63413392361</v>
      </c>
      <c r="C3015" t="s">
        <v>8</v>
      </c>
      <c r="D3015" t="s">
        <v>1239</v>
      </c>
      <c r="E3015">
        <v>3576</v>
      </c>
      <c r="F3015" t="s">
        <v>10</v>
      </c>
    </row>
    <row r="3016" spans="1:6" x14ac:dyDescent="0.35">
      <c r="A3016" s="1">
        <v>45697</v>
      </c>
      <c r="B3016" s="2">
        <v>45697.634749363424</v>
      </c>
      <c r="C3016" t="s">
        <v>8</v>
      </c>
      <c r="D3016" t="s">
        <v>1239</v>
      </c>
      <c r="E3016">
        <v>3576</v>
      </c>
      <c r="F3016" t="s">
        <v>32</v>
      </c>
    </row>
    <row r="3017" spans="1:6" x14ac:dyDescent="0.35">
      <c r="A3017" s="1">
        <v>45697</v>
      </c>
      <c r="B3017" s="2">
        <v>45697.63608679398</v>
      </c>
      <c r="C3017" t="s">
        <v>8</v>
      </c>
      <c r="D3017" t="s">
        <v>1228</v>
      </c>
      <c r="E3017">
        <v>3576</v>
      </c>
      <c r="F3017" t="s">
        <v>15</v>
      </c>
    </row>
    <row r="3018" spans="1:6" x14ac:dyDescent="0.35">
      <c r="A3018" s="1">
        <v>45697</v>
      </c>
      <c r="B3018" s="2">
        <v>45697.636715555556</v>
      </c>
      <c r="C3018" t="s">
        <v>8</v>
      </c>
      <c r="D3018" t="s">
        <v>1229</v>
      </c>
      <c r="E3018">
        <v>3576</v>
      </c>
      <c r="F3018" t="s">
        <v>10</v>
      </c>
    </row>
    <row r="3019" spans="1:6" x14ac:dyDescent="0.35">
      <c r="A3019" s="1">
        <v>45697</v>
      </c>
      <c r="B3019" s="2">
        <v>45697.680773437503</v>
      </c>
      <c r="C3019" t="s">
        <v>8</v>
      </c>
      <c r="D3019" t="s">
        <v>1212</v>
      </c>
      <c r="E3019">
        <v>2596</v>
      </c>
      <c r="F3019" t="s">
        <v>20</v>
      </c>
    </row>
    <row r="3020" spans="1:6" x14ac:dyDescent="0.35">
      <c r="A3020" s="1">
        <v>45698</v>
      </c>
      <c r="B3020" s="2">
        <v>45698.292900219909</v>
      </c>
      <c r="C3020" t="s">
        <v>8</v>
      </c>
      <c r="D3020" t="s">
        <v>1203</v>
      </c>
      <c r="E3020">
        <v>2596</v>
      </c>
      <c r="F3020" t="s">
        <v>28</v>
      </c>
    </row>
    <row r="3021" spans="1:6" x14ac:dyDescent="0.35">
      <c r="A3021" s="1">
        <v>45698</v>
      </c>
      <c r="B3021" s="2">
        <v>45698.344816261575</v>
      </c>
      <c r="C3021" t="s">
        <v>8</v>
      </c>
      <c r="D3021" t="s">
        <v>6</v>
      </c>
      <c r="E3021">
        <v>2596</v>
      </c>
      <c r="F3021" t="s">
        <v>28</v>
      </c>
    </row>
    <row r="3022" spans="1:6" x14ac:dyDescent="0.35">
      <c r="A3022" s="1">
        <v>45698</v>
      </c>
      <c r="B3022" s="2">
        <v>45698.350652650464</v>
      </c>
      <c r="C3022" t="s">
        <v>8</v>
      </c>
      <c r="D3022" t="s">
        <v>1203</v>
      </c>
      <c r="E3022">
        <v>2596</v>
      </c>
      <c r="F3022" t="s">
        <v>28</v>
      </c>
    </row>
    <row r="3023" spans="1:6" x14ac:dyDescent="0.35">
      <c r="A3023" s="1">
        <v>45698</v>
      </c>
      <c r="B3023" s="2">
        <v>45698.46647013889</v>
      </c>
      <c r="C3023" t="s">
        <v>8</v>
      </c>
      <c r="D3023" t="s">
        <v>1204</v>
      </c>
      <c r="E3023">
        <v>3086</v>
      </c>
      <c r="F3023" t="s">
        <v>36</v>
      </c>
    </row>
    <row r="3024" spans="1:6" x14ac:dyDescent="0.35">
      <c r="A3024" s="1">
        <v>45698</v>
      </c>
      <c r="B3024" s="2">
        <v>45698.547802800924</v>
      </c>
      <c r="C3024" t="s">
        <v>8</v>
      </c>
      <c r="D3024" t="s">
        <v>1217</v>
      </c>
      <c r="E3024">
        <v>2596</v>
      </c>
      <c r="F3024" t="s">
        <v>28</v>
      </c>
    </row>
    <row r="3025" spans="1:6" x14ac:dyDescent="0.35">
      <c r="A3025" s="1">
        <v>45698</v>
      </c>
      <c r="B3025" s="2">
        <v>45698.549374722221</v>
      </c>
      <c r="C3025" t="s">
        <v>8</v>
      </c>
      <c r="D3025" t="s">
        <v>1218</v>
      </c>
      <c r="E3025">
        <v>3576</v>
      </c>
      <c r="F3025" t="s">
        <v>10</v>
      </c>
    </row>
    <row r="3026" spans="1:6" x14ac:dyDescent="0.35">
      <c r="A3026" s="1">
        <v>45698</v>
      </c>
      <c r="B3026" s="2">
        <v>45698.560354988425</v>
      </c>
      <c r="C3026" t="s">
        <v>8</v>
      </c>
      <c r="D3026" t="s">
        <v>1247</v>
      </c>
      <c r="E3026">
        <v>3086</v>
      </c>
      <c r="F3026" t="s">
        <v>36</v>
      </c>
    </row>
    <row r="3027" spans="1:6" x14ac:dyDescent="0.35">
      <c r="A3027" s="1">
        <v>45698</v>
      </c>
      <c r="B3027" s="2">
        <v>45698.569598715279</v>
      </c>
      <c r="C3027" t="s">
        <v>8</v>
      </c>
      <c r="D3027" t="s">
        <v>1248</v>
      </c>
      <c r="E3027">
        <v>2596</v>
      </c>
      <c r="F3027" t="s">
        <v>28</v>
      </c>
    </row>
    <row r="3028" spans="1:6" x14ac:dyDescent="0.35">
      <c r="A3028" s="1">
        <v>45698</v>
      </c>
      <c r="B3028" s="2">
        <v>45698.584630081015</v>
      </c>
      <c r="C3028" t="s">
        <v>8</v>
      </c>
      <c r="D3028" t="s">
        <v>1249</v>
      </c>
      <c r="E3028">
        <v>3576</v>
      </c>
      <c r="F3028" t="s">
        <v>32</v>
      </c>
    </row>
    <row r="3029" spans="1:6" x14ac:dyDescent="0.35">
      <c r="A3029" s="1">
        <v>45698</v>
      </c>
      <c r="B3029" s="2">
        <v>45698.588673124999</v>
      </c>
      <c r="C3029" t="s">
        <v>8</v>
      </c>
      <c r="D3029" t="s">
        <v>33</v>
      </c>
      <c r="E3029">
        <v>2596</v>
      </c>
      <c r="F3029" t="s">
        <v>28</v>
      </c>
    </row>
    <row r="3030" spans="1:6" x14ac:dyDescent="0.35">
      <c r="A3030" s="1">
        <v>45698</v>
      </c>
      <c r="B3030" s="2">
        <v>45698.59151002315</v>
      </c>
      <c r="C3030" t="s">
        <v>8</v>
      </c>
      <c r="D3030" t="s">
        <v>33</v>
      </c>
      <c r="E3030">
        <v>3576</v>
      </c>
      <c r="F3030" t="s">
        <v>10</v>
      </c>
    </row>
    <row r="3031" spans="1:6" x14ac:dyDescent="0.35">
      <c r="A3031" s="1">
        <v>45698</v>
      </c>
      <c r="B3031" s="2">
        <v>45698.594265995373</v>
      </c>
      <c r="C3031" t="s">
        <v>8</v>
      </c>
      <c r="D3031" t="s">
        <v>33</v>
      </c>
      <c r="E3031">
        <v>3576</v>
      </c>
      <c r="F3031" t="s">
        <v>10</v>
      </c>
    </row>
    <row r="3032" spans="1:6" x14ac:dyDescent="0.35">
      <c r="A3032" s="1">
        <v>45698</v>
      </c>
      <c r="B3032" s="2">
        <v>45698.626330439816</v>
      </c>
      <c r="C3032" t="s">
        <v>8</v>
      </c>
      <c r="D3032" t="s">
        <v>1250</v>
      </c>
      <c r="E3032">
        <v>3576</v>
      </c>
      <c r="F3032" t="s">
        <v>24</v>
      </c>
    </row>
    <row r="3033" spans="1:6" x14ac:dyDescent="0.35">
      <c r="A3033" s="1">
        <v>45698</v>
      </c>
      <c r="B3033" s="2">
        <v>45698.634735821761</v>
      </c>
      <c r="C3033" t="s">
        <v>8</v>
      </c>
      <c r="D3033" t="s">
        <v>1216</v>
      </c>
      <c r="E3033">
        <v>3086</v>
      </c>
      <c r="F3033" t="s">
        <v>36</v>
      </c>
    </row>
    <row r="3034" spans="1:6" x14ac:dyDescent="0.35">
      <c r="A3034" s="1">
        <v>45698</v>
      </c>
      <c r="B3034" s="2">
        <v>45698.656974965277</v>
      </c>
      <c r="C3034" t="s">
        <v>8</v>
      </c>
      <c r="D3034" t="s">
        <v>1241</v>
      </c>
      <c r="E3034">
        <v>3576</v>
      </c>
      <c r="F3034" t="s">
        <v>32</v>
      </c>
    </row>
    <row r="3035" spans="1:6" x14ac:dyDescent="0.35">
      <c r="A3035" s="1">
        <v>45698</v>
      </c>
      <c r="B3035" s="2">
        <v>45698.658149166666</v>
      </c>
      <c r="C3035" t="s">
        <v>8</v>
      </c>
      <c r="D3035" t="s">
        <v>1215</v>
      </c>
      <c r="E3035">
        <v>3576</v>
      </c>
      <c r="F3035" t="s">
        <v>15</v>
      </c>
    </row>
    <row r="3036" spans="1:6" x14ac:dyDescent="0.35">
      <c r="A3036" s="1">
        <v>45698</v>
      </c>
      <c r="B3036" s="2">
        <v>45698.681192673612</v>
      </c>
      <c r="C3036" t="s">
        <v>8</v>
      </c>
      <c r="D3036" t="s">
        <v>1220</v>
      </c>
      <c r="E3036">
        <v>3576</v>
      </c>
      <c r="F3036" t="s">
        <v>10</v>
      </c>
    </row>
    <row r="3037" spans="1:6" x14ac:dyDescent="0.35">
      <c r="A3037" s="1">
        <v>45698</v>
      </c>
      <c r="B3037" s="2">
        <v>45698.716693935188</v>
      </c>
      <c r="C3037" t="s">
        <v>8</v>
      </c>
      <c r="D3037" t="s">
        <v>930</v>
      </c>
      <c r="E3037">
        <v>2596</v>
      </c>
      <c r="F3037" t="s">
        <v>28</v>
      </c>
    </row>
    <row r="3038" spans="1:6" x14ac:dyDescent="0.35">
      <c r="A3038" s="1">
        <v>45698</v>
      </c>
      <c r="B3038" s="2">
        <v>45698.768918946756</v>
      </c>
      <c r="C3038" t="s">
        <v>8</v>
      </c>
      <c r="D3038" t="s">
        <v>1208</v>
      </c>
      <c r="E3038">
        <v>3086</v>
      </c>
      <c r="F3038" t="s">
        <v>36</v>
      </c>
    </row>
    <row r="3039" spans="1:6" x14ac:dyDescent="0.35">
      <c r="A3039" s="1">
        <v>45698</v>
      </c>
      <c r="B3039" s="2">
        <v>45698.801405798615</v>
      </c>
      <c r="C3039" t="s">
        <v>8</v>
      </c>
      <c r="D3039" t="s">
        <v>1228</v>
      </c>
      <c r="E3039">
        <v>3576</v>
      </c>
      <c r="F3039" t="s">
        <v>32</v>
      </c>
    </row>
    <row r="3040" spans="1:6" x14ac:dyDescent="0.35">
      <c r="A3040" s="1">
        <v>45698</v>
      </c>
      <c r="B3040" s="2">
        <v>45698.802008402781</v>
      </c>
      <c r="C3040" t="s">
        <v>8</v>
      </c>
      <c r="D3040" t="s">
        <v>1251</v>
      </c>
      <c r="E3040">
        <v>3576</v>
      </c>
      <c r="F3040" t="s">
        <v>32</v>
      </c>
    </row>
    <row r="3041" spans="1:6" x14ac:dyDescent="0.35">
      <c r="A3041" s="1">
        <v>45699</v>
      </c>
      <c r="B3041" s="2">
        <v>45699.443356886572</v>
      </c>
      <c r="C3041" t="s">
        <v>8</v>
      </c>
      <c r="D3041" t="s">
        <v>33</v>
      </c>
      <c r="E3041">
        <v>2596</v>
      </c>
      <c r="F3041" t="s">
        <v>28</v>
      </c>
    </row>
    <row r="3042" spans="1:6" x14ac:dyDescent="0.35">
      <c r="A3042" s="1">
        <v>45699</v>
      </c>
      <c r="B3042" s="2">
        <v>45699.471706921293</v>
      </c>
      <c r="C3042" t="s">
        <v>8</v>
      </c>
      <c r="D3042" t="s">
        <v>1226</v>
      </c>
      <c r="E3042">
        <v>2596</v>
      </c>
      <c r="F3042" t="s">
        <v>28</v>
      </c>
    </row>
    <row r="3043" spans="1:6" x14ac:dyDescent="0.35">
      <c r="A3043" s="1">
        <v>45699</v>
      </c>
      <c r="B3043" s="2">
        <v>45699.472362870372</v>
      </c>
      <c r="C3043" t="s">
        <v>8</v>
      </c>
      <c r="D3043" t="s">
        <v>1216</v>
      </c>
      <c r="E3043">
        <v>3086</v>
      </c>
      <c r="F3043" t="s">
        <v>36</v>
      </c>
    </row>
    <row r="3044" spans="1:6" x14ac:dyDescent="0.35">
      <c r="A3044" s="1">
        <v>45699</v>
      </c>
      <c r="B3044" s="2">
        <v>45699.47300928241</v>
      </c>
      <c r="C3044" t="s">
        <v>8</v>
      </c>
      <c r="D3044" t="s">
        <v>1239</v>
      </c>
      <c r="E3044">
        <v>3576</v>
      </c>
      <c r="F3044" t="s">
        <v>10</v>
      </c>
    </row>
    <row r="3045" spans="1:6" x14ac:dyDescent="0.35">
      <c r="A3045" s="1">
        <v>45699</v>
      </c>
      <c r="B3045" s="2">
        <v>45699.664466064816</v>
      </c>
      <c r="C3045" t="s">
        <v>8</v>
      </c>
      <c r="D3045" t="s">
        <v>1207</v>
      </c>
      <c r="E3045">
        <v>3576</v>
      </c>
      <c r="F3045" t="s">
        <v>15</v>
      </c>
    </row>
    <row r="3046" spans="1:6" x14ac:dyDescent="0.35">
      <c r="A3046" s="1">
        <v>45699</v>
      </c>
      <c r="B3046" s="2">
        <v>45699.673014340275</v>
      </c>
      <c r="C3046" t="s">
        <v>8</v>
      </c>
      <c r="D3046" t="s">
        <v>1244</v>
      </c>
      <c r="E3046">
        <v>3086</v>
      </c>
      <c r="F3046" t="s">
        <v>36</v>
      </c>
    </row>
    <row r="3047" spans="1:6" x14ac:dyDescent="0.35">
      <c r="A3047" s="1">
        <v>45699</v>
      </c>
      <c r="B3047" s="2">
        <v>45699.70116892361</v>
      </c>
      <c r="C3047" t="s">
        <v>8</v>
      </c>
      <c r="D3047" t="s">
        <v>1252</v>
      </c>
      <c r="E3047">
        <v>2106</v>
      </c>
      <c r="F3047" t="s">
        <v>5</v>
      </c>
    </row>
    <row r="3048" spans="1:6" x14ac:dyDescent="0.35">
      <c r="A3048" s="1">
        <v>45699</v>
      </c>
      <c r="B3048" s="2">
        <v>45699.733043055552</v>
      </c>
      <c r="C3048" t="s">
        <v>8</v>
      </c>
      <c r="D3048" t="s">
        <v>33</v>
      </c>
      <c r="E3048">
        <v>3576</v>
      </c>
      <c r="F3048" t="s">
        <v>32</v>
      </c>
    </row>
    <row r="3049" spans="1:6" x14ac:dyDescent="0.35">
      <c r="A3049" s="1">
        <v>45699</v>
      </c>
      <c r="B3049" s="2">
        <v>45699.73382212963</v>
      </c>
      <c r="C3049" t="s">
        <v>8</v>
      </c>
      <c r="D3049" t="s">
        <v>33</v>
      </c>
      <c r="E3049">
        <v>3086</v>
      </c>
      <c r="F3049" t="s">
        <v>36</v>
      </c>
    </row>
    <row r="3050" spans="1:6" x14ac:dyDescent="0.35">
      <c r="A3050" s="1">
        <v>45699</v>
      </c>
      <c r="B3050" s="2">
        <v>45699.739034652775</v>
      </c>
      <c r="C3050" t="s">
        <v>8</v>
      </c>
      <c r="D3050" t="s">
        <v>1253</v>
      </c>
      <c r="E3050">
        <v>3086</v>
      </c>
      <c r="F3050" t="s">
        <v>36</v>
      </c>
    </row>
    <row r="3051" spans="1:6" x14ac:dyDescent="0.35">
      <c r="A3051" s="1">
        <v>45699</v>
      </c>
      <c r="B3051" s="2">
        <v>45699.743523449077</v>
      </c>
      <c r="C3051" t="s">
        <v>8</v>
      </c>
      <c r="D3051" t="s">
        <v>6</v>
      </c>
      <c r="E3051">
        <v>2596</v>
      </c>
      <c r="F3051" t="s">
        <v>28</v>
      </c>
    </row>
    <row r="3052" spans="1:6" x14ac:dyDescent="0.35">
      <c r="A3052" s="1">
        <v>45699</v>
      </c>
      <c r="B3052" s="2">
        <v>45699.746271215277</v>
      </c>
      <c r="C3052" t="s">
        <v>8</v>
      </c>
      <c r="D3052" t="s">
        <v>1253</v>
      </c>
      <c r="E3052">
        <v>3086</v>
      </c>
      <c r="F3052" t="s">
        <v>36</v>
      </c>
    </row>
    <row r="3053" spans="1:6" x14ac:dyDescent="0.35">
      <c r="A3053" s="1">
        <v>45699</v>
      </c>
      <c r="B3053" s="2">
        <v>45699.7945721875</v>
      </c>
      <c r="C3053" t="s">
        <v>8</v>
      </c>
      <c r="D3053" t="s">
        <v>1254</v>
      </c>
      <c r="E3053">
        <v>3576</v>
      </c>
      <c r="F3053" t="s">
        <v>32</v>
      </c>
    </row>
    <row r="3054" spans="1:6" x14ac:dyDescent="0.35">
      <c r="A3054" s="1">
        <v>45699</v>
      </c>
      <c r="B3054" s="2">
        <v>45699.79518321759</v>
      </c>
      <c r="C3054" t="s">
        <v>8</v>
      </c>
      <c r="D3054" t="s">
        <v>1254</v>
      </c>
      <c r="E3054">
        <v>3576</v>
      </c>
      <c r="F3054" t="s">
        <v>10</v>
      </c>
    </row>
    <row r="3055" spans="1:6" x14ac:dyDescent="0.35">
      <c r="A3055" s="1">
        <v>45700</v>
      </c>
      <c r="B3055" s="2">
        <v>45700.303439398151</v>
      </c>
      <c r="C3055" t="s">
        <v>8</v>
      </c>
      <c r="D3055" t="s">
        <v>1250</v>
      </c>
      <c r="E3055">
        <v>3576</v>
      </c>
      <c r="F3055" t="s">
        <v>24</v>
      </c>
    </row>
    <row r="3056" spans="1:6" x14ac:dyDescent="0.35">
      <c r="A3056" s="1">
        <v>45700</v>
      </c>
      <c r="B3056" s="2">
        <v>45700.316406840277</v>
      </c>
      <c r="C3056" t="s">
        <v>8</v>
      </c>
      <c r="D3056" t="s">
        <v>33</v>
      </c>
      <c r="E3056">
        <v>2596</v>
      </c>
      <c r="F3056" t="s">
        <v>28</v>
      </c>
    </row>
    <row r="3057" spans="1:6" x14ac:dyDescent="0.35">
      <c r="A3057" s="1">
        <v>45700</v>
      </c>
      <c r="B3057" s="2">
        <v>45700.371247199073</v>
      </c>
      <c r="C3057" t="s">
        <v>8</v>
      </c>
      <c r="D3057" t="s">
        <v>33</v>
      </c>
      <c r="E3057">
        <v>3576</v>
      </c>
      <c r="F3057" t="s">
        <v>10</v>
      </c>
    </row>
    <row r="3058" spans="1:6" x14ac:dyDescent="0.35">
      <c r="A3058" s="1">
        <v>45700</v>
      </c>
      <c r="B3058" s="2">
        <v>45700.388725694444</v>
      </c>
      <c r="C3058" t="s">
        <v>8</v>
      </c>
      <c r="D3058" t="s">
        <v>1204</v>
      </c>
      <c r="E3058">
        <v>3086</v>
      </c>
      <c r="F3058" t="s">
        <v>36</v>
      </c>
    </row>
    <row r="3059" spans="1:6" x14ac:dyDescent="0.35">
      <c r="A3059" s="1">
        <v>45700</v>
      </c>
      <c r="B3059" s="2">
        <v>45700.446683738424</v>
      </c>
      <c r="C3059" t="s">
        <v>8</v>
      </c>
      <c r="D3059" t="s">
        <v>1238</v>
      </c>
      <c r="E3059">
        <v>2596</v>
      </c>
      <c r="F3059" t="s">
        <v>28</v>
      </c>
    </row>
    <row r="3060" spans="1:6" x14ac:dyDescent="0.35">
      <c r="A3060" s="1">
        <v>45700</v>
      </c>
      <c r="B3060" s="2">
        <v>45700.530197731481</v>
      </c>
      <c r="C3060" t="s">
        <v>8</v>
      </c>
      <c r="D3060" t="s">
        <v>1255</v>
      </c>
      <c r="E3060">
        <v>2596</v>
      </c>
      <c r="F3060" t="s">
        <v>28</v>
      </c>
    </row>
    <row r="3061" spans="1:6" x14ac:dyDescent="0.35">
      <c r="A3061" s="1">
        <v>45700</v>
      </c>
      <c r="B3061" s="2">
        <v>45700.547330150461</v>
      </c>
      <c r="C3061" t="s">
        <v>8</v>
      </c>
      <c r="D3061" t="s">
        <v>1256</v>
      </c>
      <c r="E3061">
        <v>2596</v>
      </c>
      <c r="F3061" t="s">
        <v>28</v>
      </c>
    </row>
    <row r="3062" spans="1:6" x14ac:dyDescent="0.35">
      <c r="A3062" s="1">
        <v>45700</v>
      </c>
      <c r="B3062" s="2">
        <v>45700.570598645834</v>
      </c>
      <c r="C3062" t="s">
        <v>8</v>
      </c>
      <c r="D3062" t="s">
        <v>1211</v>
      </c>
      <c r="E3062">
        <v>3576</v>
      </c>
      <c r="F3062" t="s">
        <v>15</v>
      </c>
    </row>
    <row r="3063" spans="1:6" x14ac:dyDescent="0.35">
      <c r="A3063" s="1">
        <v>45700</v>
      </c>
      <c r="B3063" s="2">
        <v>45700.653758993052</v>
      </c>
      <c r="C3063" t="s">
        <v>8</v>
      </c>
      <c r="D3063" t="s">
        <v>1214</v>
      </c>
      <c r="E3063">
        <v>3576</v>
      </c>
      <c r="F3063" t="s">
        <v>15</v>
      </c>
    </row>
    <row r="3064" spans="1:6" x14ac:dyDescent="0.35">
      <c r="A3064" s="1">
        <v>45700</v>
      </c>
      <c r="B3064" s="2">
        <v>45700.654358506945</v>
      </c>
      <c r="C3064" t="s">
        <v>8</v>
      </c>
      <c r="D3064" t="s">
        <v>1241</v>
      </c>
      <c r="E3064">
        <v>3576</v>
      </c>
      <c r="F3064" t="s">
        <v>32</v>
      </c>
    </row>
    <row r="3065" spans="1:6" x14ac:dyDescent="0.35">
      <c r="A3065" s="1">
        <v>45700</v>
      </c>
      <c r="B3065" s="2">
        <v>45700.655260671294</v>
      </c>
      <c r="C3065" t="s">
        <v>8</v>
      </c>
      <c r="D3065" t="s">
        <v>1215</v>
      </c>
      <c r="E3065">
        <v>3576</v>
      </c>
      <c r="F3065" t="s">
        <v>15</v>
      </c>
    </row>
    <row r="3066" spans="1:6" x14ac:dyDescent="0.35">
      <c r="A3066" s="1">
        <v>45700</v>
      </c>
      <c r="B3066" s="2">
        <v>45700.675675648148</v>
      </c>
      <c r="C3066" t="s">
        <v>8</v>
      </c>
      <c r="D3066" t="s">
        <v>1211</v>
      </c>
      <c r="E3066">
        <v>2596</v>
      </c>
      <c r="F3066" t="s">
        <v>28</v>
      </c>
    </row>
    <row r="3067" spans="1:6" x14ac:dyDescent="0.35">
      <c r="A3067" s="1">
        <v>45700</v>
      </c>
      <c r="B3067" s="2">
        <v>45700.684820983799</v>
      </c>
      <c r="C3067" t="s">
        <v>8</v>
      </c>
      <c r="D3067" t="s">
        <v>1211</v>
      </c>
      <c r="E3067">
        <v>2596</v>
      </c>
      <c r="F3067" t="s">
        <v>28</v>
      </c>
    </row>
    <row r="3068" spans="1:6" x14ac:dyDescent="0.35">
      <c r="A3068" s="1">
        <v>45700</v>
      </c>
      <c r="B3068" s="2">
        <v>45700.71217579861</v>
      </c>
      <c r="C3068" t="s">
        <v>8</v>
      </c>
      <c r="D3068" t="s">
        <v>1250</v>
      </c>
      <c r="E3068">
        <v>3576</v>
      </c>
      <c r="F3068" t="s">
        <v>24</v>
      </c>
    </row>
    <row r="3069" spans="1:6" x14ac:dyDescent="0.35">
      <c r="A3069" s="1">
        <v>45700</v>
      </c>
      <c r="B3069" s="2">
        <v>45700.738095879628</v>
      </c>
      <c r="C3069" t="s">
        <v>8</v>
      </c>
      <c r="D3069" t="s">
        <v>6</v>
      </c>
      <c r="E3069">
        <v>2596</v>
      </c>
      <c r="F3069" t="s">
        <v>28</v>
      </c>
    </row>
    <row r="3070" spans="1:6" x14ac:dyDescent="0.35">
      <c r="A3070" s="1">
        <v>45700</v>
      </c>
      <c r="B3070" s="2">
        <v>45700.83727708333</v>
      </c>
      <c r="C3070" t="s">
        <v>8</v>
      </c>
      <c r="D3070" t="s">
        <v>21</v>
      </c>
      <c r="E3070">
        <v>3576</v>
      </c>
      <c r="F3070" t="s">
        <v>32</v>
      </c>
    </row>
    <row r="3071" spans="1:6" x14ac:dyDescent="0.35">
      <c r="A3071" s="1">
        <v>45700</v>
      </c>
      <c r="B3071" s="2">
        <v>45700.849460347221</v>
      </c>
      <c r="C3071" t="s">
        <v>8</v>
      </c>
      <c r="D3071" t="s">
        <v>1228</v>
      </c>
      <c r="E3071">
        <v>3576</v>
      </c>
      <c r="F3071" t="s">
        <v>10</v>
      </c>
    </row>
    <row r="3072" spans="1:6" x14ac:dyDescent="0.35">
      <c r="A3072" s="1">
        <v>45700</v>
      </c>
      <c r="B3072" s="2">
        <v>45700.886854999997</v>
      </c>
      <c r="C3072" t="s">
        <v>8</v>
      </c>
      <c r="D3072" t="s">
        <v>1209</v>
      </c>
      <c r="E3072">
        <v>3576</v>
      </c>
      <c r="F3072" t="s">
        <v>24</v>
      </c>
    </row>
    <row r="3073" spans="1:6" x14ac:dyDescent="0.35">
      <c r="A3073" s="1">
        <v>45701</v>
      </c>
      <c r="B3073" s="2">
        <v>45701.318610034723</v>
      </c>
      <c r="C3073" t="s">
        <v>8</v>
      </c>
      <c r="D3073" t="s">
        <v>1204</v>
      </c>
      <c r="E3073">
        <v>3086</v>
      </c>
      <c r="F3073" t="s">
        <v>36</v>
      </c>
    </row>
    <row r="3074" spans="1:6" x14ac:dyDescent="0.35">
      <c r="A3074" s="1">
        <v>45701</v>
      </c>
      <c r="B3074" s="2">
        <v>45701.365243773151</v>
      </c>
      <c r="C3074" t="s">
        <v>8</v>
      </c>
      <c r="D3074" t="s">
        <v>1203</v>
      </c>
      <c r="E3074">
        <v>2596</v>
      </c>
      <c r="F3074" t="s">
        <v>28</v>
      </c>
    </row>
    <row r="3075" spans="1:6" x14ac:dyDescent="0.35">
      <c r="A3075" s="1">
        <v>45701</v>
      </c>
      <c r="B3075" s="2">
        <v>45701.387048854165</v>
      </c>
      <c r="C3075" t="s">
        <v>8</v>
      </c>
      <c r="D3075" t="s">
        <v>1257</v>
      </c>
      <c r="E3075">
        <v>2106</v>
      </c>
      <c r="F3075" t="s">
        <v>5</v>
      </c>
    </row>
    <row r="3076" spans="1:6" x14ac:dyDescent="0.35">
      <c r="A3076" s="1">
        <v>45701</v>
      </c>
      <c r="B3076" s="2">
        <v>45701.400059375002</v>
      </c>
      <c r="C3076" t="s">
        <v>8</v>
      </c>
      <c r="D3076" t="s">
        <v>1218</v>
      </c>
      <c r="E3076">
        <v>3576</v>
      </c>
      <c r="F3076" t="s">
        <v>10</v>
      </c>
    </row>
    <row r="3077" spans="1:6" x14ac:dyDescent="0.35">
      <c r="A3077" s="1">
        <v>45701</v>
      </c>
      <c r="B3077" s="2">
        <v>45701.437183506947</v>
      </c>
      <c r="C3077" t="s">
        <v>8</v>
      </c>
      <c r="D3077" t="s">
        <v>1207</v>
      </c>
      <c r="E3077">
        <v>3086</v>
      </c>
      <c r="F3077" t="s">
        <v>36</v>
      </c>
    </row>
    <row r="3078" spans="1:6" x14ac:dyDescent="0.35">
      <c r="A3078" s="1">
        <v>45701</v>
      </c>
      <c r="B3078" s="2">
        <v>45701.457951944445</v>
      </c>
      <c r="C3078" t="s">
        <v>8</v>
      </c>
      <c r="D3078" t="s">
        <v>1208</v>
      </c>
      <c r="E3078">
        <v>3086</v>
      </c>
      <c r="F3078" t="s">
        <v>36</v>
      </c>
    </row>
    <row r="3079" spans="1:6" x14ac:dyDescent="0.35">
      <c r="A3079" s="1">
        <v>45701</v>
      </c>
      <c r="B3079" s="2">
        <v>45701.687954247682</v>
      </c>
      <c r="C3079" t="s">
        <v>8</v>
      </c>
      <c r="D3079" t="s">
        <v>33</v>
      </c>
      <c r="E3079">
        <v>2596</v>
      </c>
      <c r="F3079" t="s">
        <v>28</v>
      </c>
    </row>
    <row r="3080" spans="1:6" x14ac:dyDescent="0.35">
      <c r="A3080" s="1">
        <v>45701</v>
      </c>
      <c r="B3080" s="2">
        <v>45701.688584745367</v>
      </c>
      <c r="C3080" t="s">
        <v>8</v>
      </c>
      <c r="D3080" t="s">
        <v>33</v>
      </c>
      <c r="E3080">
        <v>2596</v>
      </c>
      <c r="F3080" t="s">
        <v>28</v>
      </c>
    </row>
    <row r="3081" spans="1:6" x14ac:dyDescent="0.35">
      <c r="A3081" s="1">
        <v>45701</v>
      </c>
      <c r="B3081" s="2">
        <v>45701.719579050929</v>
      </c>
      <c r="C3081" t="s">
        <v>8</v>
      </c>
      <c r="D3081" t="s">
        <v>1228</v>
      </c>
      <c r="E3081">
        <v>3086</v>
      </c>
      <c r="F3081" t="s">
        <v>36</v>
      </c>
    </row>
    <row r="3082" spans="1:6" x14ac:dyDescent="0.35">
      <c r="A3082" s="1">
        <v>45701</v>
      </c>
      <c r="B3082" s="2">
        <v>45701.720372650459</v>
      </c>
      <c r="C3082" t="s">
        <v>8</v>
      </c>
      <c r="D3082" t="s">
        <v>1229</v>
      </c>
      <c r="E3082">
        <v>3086</v>
      </c>
      <c r="F3082" t="s">
        <v>36</v>
      </c>
    </row>
    <row r="3083" spans="1:6" x14ac:dyDescent="0.35">
      <c r="A3083" s="1">
        <v>45701</v>
      </c>
      <c r="B3083" s="2">
        <v>45701.751104791663</v>
      </c>
      <c r="C3083" t="s">
        <v>8</v>
      </c>
      <c r="D3083" t="s">
        <v>1258</v>
      </c>
      <c r="E3083">
        <v>3576</v>
      </c>
      <c r="F3083" t="s">
        <v>32</v>
      </c>
    </row>
    <row r="3084" spans="1:6" x14ac:dyDescent="0.35">
      <c r="A3084" s="1">
        <v>45701</v>
      </c>
      <c r="B3084" s="2">
        <v>45701.760515624999</v>
      </c>
      <c r="C3084" t="s">
        <v>8</v>
      </c>
      <c r="D3084" t="s">
        <v>102</v>
      </c>
      <c r="E3084">
        <v>3576</v>
      </c>
      <c r="F3084" t="s">
        <v>24</v>
      </c>
    </row>
    <row r="3085" spans="1:6" x14ac:dyDescent="0.35">
      <c r="A3085" s="1">
        <v>45701</v>
      </c>
      <c r="B3085" s="2">
        <v>45701.796184872685</v>
      </c>
      <c r="C3085" t="s">
        <v>8</v>
      </c>
      <c r="D3085" t="s">
        <v>1259</v>
      </c>
      <c r="E3085">
        <v>3576</v>
      </c>
      <c r="F3085" t="s">
        <v>32</v>
      </c>
    </row>
    <row r="3086" spans="1:6" x14ac:dyDescent="0.35">
      <c r="A3086" s="1">
        <v>45702</v>
      </c>
      <c r="B3086" s="2">
        <v>45702.485366956018</v>
      </c>
      <c r="C3086" t="s">
        <v>8</v>
      </c>
      <c r="D3086" t="s">
        <v>33</v>
      </c>
      <c r="E3086">
        <v>2596</v>
      </c>
      <c r="F3086" t="s">
        <v>28</v>
      </c>
    </row>
    <row r="3087" spans="1:6" x14ac:dyDescent="0.35">
      <c r="A3087" s="1">
        <v>45702</v>
      </c>
      <c r="B3087" s="2">
        <v>45702.588302465279</v>
      </c>
      <c r="C3087" t="s">
        <v>8</v>
      </c>
      <c r="D3087" t="s">
        <v>1260</v>
      </c>
      <c r="E3087">
        <v>3576</v>
      </c>
      <c r="F3087" t="s">
        <v>15</v>
      </c>
    </row>
    <row r="3088" spans="1:6" x14ac:dyDescent="0.35">
      <c r="A3088" s="1">
        <v>45702</v>
      </c>
      <c r="B3088" s="2">
        <v>45702.615275532407</v>
      </c>
      <c r="C3088" t="s">
        <v>8</v>
      </c>
      <c r="D3088" t="s">
        <v>1248</v>
      </c>
      <c r="E3088">
        <v>2596</v>
      </c>
      <c r="F3088" t="s">
        <v>28</v>
      </c>
    </row>
    <row r="3089" spans="1:6" x14ac:dyDescent="0.35">
      <c r="A3089" s="1">
        <v>45702</v>
      </c>
      <c r="B3089" s="2">
        <v>45702.615799861109</v>
      </c>
      <c r="C3089" t="s">
        <v>8</v>
      </c>
      <c r="D3089" t="s">
        <v>1248</v>
      </c>
      <c r="E3089">
        <v>2106</v>
      </c>
      <c r="F3089" t="s">
        <v>5</v>
      </c>
    </row>
    <row r="3090" spans="1:6" x14ac:dyDescent="0.35">
      <c r="A3090" s="1">
        <v>45702</v>
      </c>
      <c r="B3090" s="2">
        <v>45702.623752858795</v>
      </c>
      <c r="C3090" t="s">
        <v>8</v>
      </c>
      <c r="D3090" t="s">
        <v>1261</v>
      </c>
      <c r="E3090">
        <v>3086</v>
      </c>
      <c r="F3090" t="s">
        <v>36</v>
      </c>
    </row>
    <row r="3091" spans="1:6" x14ac:dyDescent="0.35">
      <c r="A3091" s="1">
        <v>45702</v>
      </c>
      <c r="B3091" s="2">
        <v>45702.625193784719</v>
      </c>
      <c r="C3091" t="s">
        <v>8</v>
      </c>
      <c r="D3091" t="s">
        <v>1250</v>
      </c>
      <c r="E3091">
        <v>3576</v>
      </c>
      <c r="F3091" t="s">
        <v>24</v>
      </c>
    </row>
    <row r="3092" spans="1:6" x14ac:dyDescent="0.35">
      <c r="A3092" s="1">
        <v>45702</v>
      </c>
      <c r="B3092" s="2">
        <v>45702.650472881942</v>
      </c>
      <c r="C3092" t="s">
        <v>8</v>
      </c>
      <c r="D3092" t="s">
        <v>21</v>
      </c>
      <c r="E3092">
        <v>3576</v>
      </c>
      <c r="F3092" t="s">
        <v>24</v>
      </c>
    </row>
    <row r="3093" spans="1:6" x14ac:dyDescent="0.35">
      <c r="A3093" s="1">
        <v>45702</v>
      </c>
      <c r="B3093" s="2">
        <v>45702.651938402778</v>
      </c>
      <c r="C3093" t="s">
        <v>8</v>
      </c>
      <c r="D3093" t="s">
        <v>21</v>
      </c>
      <c r="E3093">
        <v>3576</v>
      </c>
      <c r="F3093" t="s">
        <v>32</v>
      </c>
    </row>
    <row r="3094" spans="1:6" x14ac:dyDescent="0.35">
      <c r="A3094" s="1">
        <v>45702</v>
      </c>
      <c r="B3094" s="2">
        <v>45702.662459108797</v>
      </c>
      <c r="C3094" t="s">
        <v>8</v>
      </c>
      <c r="D3094" t="s">
        <v>1262</v>
      </c>
      <c r="E3094">
        <v>3576</v>
      </c>
      <c r="F3094" t="s">
        <v>15</v>
      </c>
    </row>
    <row r="3095" spans="1:6" x14ac:dyDescent="0.35">
      <c r="A3095" s="1">
        <v>45702</v>
      </c>
      <c r="B3095" s="2">
        <v>45702.663162268516</v>
      </c>
      <c r="C3095" t="s">
        <v>8</v>
      </c>
      <c r="D3095" t="s">
        <v>1262</v>
      </c>
      <c r="E3095">
        <v>3576</v>
      </c>
      <c r="F3095" t="s">
        <v>24</v>
      </c>
    </row>
    <row r="3096" spans="1:6" x14ac:dyDescent="0.35">
      <c r="A3096" s="1">
        <v>45702</v>
      </c>
      <c r="B3096" s="2">
        <v>45702.710602638886</v>
      </c>
      <c r="C3096" t="s">
        <v>8</v>
      </c>
      <c r="D3096" t="s">
        <v>1211</v>
      </c>
      <c r="E3096">
        <v>2596</v>
      </c>
      <c r="F3096" t="s">
        <v>28</v>
      </c>
    </row>
    <row r="3097" spans="1:6" x14ac:dyDescent="0.35">
      <c r="A3097" s="1">
        <v>45702</v>
      </c>
      <c r="B3097" s="2">
        <v>45702.711452650467</v>
      </c>
      <c r="C3097" t="s">
        <v>8</v>
      </c>
      <c r="D3097" t="s">
        <v>1211</v>
      </c>
      <c r="E3097">
        <v>3576</v>
      </c>
      <c r="F3097" t="s">
        <v>10</v>
      </c>
    </row>
    <row r="3098" spans="1:6" x14ac:dyDescent="0.35">
      <c r="A3098" s="1">
        <v>45702</v>
      </c>
      <c r="B3098" s="2">
        <v>45702.714671828704</v>
      </c>
      <c r="C3098" t="s">
        <v>8</v>
      </c>
      <c r="D3098" t="s">
        <v>1252</v>
      </c>
      <c r="E3098">
        <v>2106</v>
      </c>
      <c r="F3098" t="s">
        <v>5</v>
      </c>
    </row>
    <row r="3099" spans="1:6" x14ac:dyDescent="0.35">
      <c r="A3099" s="1">
        <v>45702</v>
      </c>
      <c r="B3099" s="2">
        <v>45702.725982303244</v>
      </c>
      <c r="C3099" t="s">
        <v>8</v>
      </c>
      <c r="D3099" t="s">
        <v>1263</v>
      </c>
      <c r="E3099">
        <v>3086</v>
      </c>
      <c r="F3099" t="s">
        <v>36</v>
      </c>
    </row>
    <row r="3100" spans="1:6" x14ac:dyDescent="0.35">
      <c r="A3100" s="1">
        <v>45702</v>
      </c>
      <c r="B3100" s="2">
        <v>45702.887846712962</v>
      </c>
      <c r="C3100" t="s">
        <v>8</v>
      </c>
      <c r="D3100" t="s">
        <v>1264</v>
      </c>
      <c r="E3100">
        <v>2596</v>
      </c>
      <c r="F3100" t="s">
        <v>28</v>
      </c>
    </row>
    <row r="3101" spans="1:6" x14ac:dyDescent="0.35">
      <c r="A3101" s="1">
        <v>45703</v>
      </c>
      <c r="B3101" s="2">
        <v>45703.390878819446</v>
      </c>
      <c r="C3101" t="s">
        <v>8</v>
      </c>
      <c r="D3101" t="s">
        <v>1250</v>
      </c>
      <c r="E3101">
        <v>3576</v>
      </c>
      <c r="F3101" t="s">
        <v>24</v>
      </c>
    </row>
    <row r="3102" spans="1:6" x14ac:dyDescent="0.35">
      <c r="A3102" s="1">
        <v>45703</v>
      </c>
      <c r="B3102" s="2">
        <v>45703.529095254627</v>
      </c>
      <c r="C3102" t="s">
        <v>8</v>
      </c>
      <c r="D3102" t="s">
        <v>33</v>
      </c>
      <c r="E3102">
        <v>3576</v>
      </c>
      <c r="F3102" t="s">
        <v>24</v>
      </c>
    </row>
    <row r="3103" spans="1:6" x14ac:dyDescent="0.35">
      <c r="A3103" s="1">
        <v>45703</v>
      </c>
      <c r="B3103" s="2">
        <v>45703.53086309028</v>
      </c>
      <c r="C3103" t="s">
        <v>8</v>
      </c>
      <c r="D3103" t="s">
        <v>33</v>
      </c>
      <c r="E3103">
        <v>2596</v>
      </c>
      <c r="F3103" t="s">
        <v>28</v>
      </c>
    </row>
    <row r="3104" spans="1:6" x14ac:dyDescent="0.35">
      <c r="A3104" s="1">
        <v>45703</v>
      </c>
      <c r="B3104" s="2">
        <v>45703.543285497683</v>
      </c>
      <c r="C3104" t="s">
        <v>8</v>
      </c>
      <c r="D3104" t="s">
        <v>930</v>
      </c>
      <c r="E3104">
        <v>3086</v>
      </c>
      <c r="F3104" t="s">
        <v>36</v>
      </c>
    </row>
    <row r="3105" spans="1:6" x14ac:dyDescent="0.35">
      <c r="A3105" s="1">
        <v>45703</v>
      </c>
      <c r="B3105" s="2">
        <v>45703.563955254627</v>
      </c>
      <c r="C3105" t="s">
        <v>8</v>
      </c>
      <c r="D3105" t="s">
        <v>1250</v>
      </c>
      <c r="E3105">
        <v>3086</v>
      </c>
      <c r="F3105" t="s">
        <v>36</v>
      </c>
    </row>
    <row r="3106" spans="1:6" x14ac:dyDescent="0.35">
      <c r="A3106" s="1">
        <v>45703</v>
      </c>
      <c r="B3106" s="2">
        <v>45703.584620694448</v>
      </c>
      <c r="C3106" t="s">
        <v>8</v>
      </c>
      <c r="D3106" t="s">
        <v>1234</v>
      </c>
      <c r="E3106">
        <v>3576</v>
      </c>
      <c r="F3106" t="s">
        <v>24</v>
      </c>
    </row>
    <row r="3107" spans="1:6" x14ac:dyDescent="0.35">
      <c r="A3107" s="1">
        <v>45703</v>
      </c>
      <c r="B3107" s="2">
        <v>45703.591596319442</v>
      </c>
      <c r="C3107" t="s">
        <v>8</v>
      </c>
      <c r="D3107" t="s">
        <v>1265</v>
      </c>
      <c r="E3107">
        <v>2596</v>
      </c>
      <c r="F3107" t="s">
        <v>28</v>
      </c>
    </row>
    <row r="3108" spans="1:6" x14ac:dyDescent="0.35">
      <c r="A3108" s="1">
        <v>45703</v>
      </c>
      <c r="B3108" s="2">
        <v>45703.652866516204</v>
      </c>
      <c r="C3108" t="s">
        <v>8</v>
      </c>
      <c r="D3108" t="s">
        <v>1251</v>
      </c>
      <c r="E3108">
        <v>3576</v>
      </c>
      <c r="F3108" t="s">
        <v>15</v>
      </c>
    </row>
    <row r="3109" spans="1:6" x14ac:dyDescent="0.35">
      <c r="A3109" s="1">
        <v>45703</v>
      </c>
      <c r="B3109" s="2">
        <v>45703.65346577546</v>
      </c>
      <c r="C3109" t="s">
        <v>8</v>
      </c>
      <c r="D3109" t="s">
        <v>1229</v>
      </c>
      <c r="E3109">
        <v>3576</v>
      </c>
      <c r="F3109" t="s">
        <v>15</v>
      </c>
    </row>
    <row r="3110" spans="1:6" x14ac:dyDescent="0.35">
      <c r="A3110" s="1">
        <v>45704</v>
      </c>
      <c r="B3110" s="2">
        <v>45704.449111377318</v>
      </c>
      <c r="C3110" t="s">
        <v>8</v>
      </c>
      <c r="D3110" t="s">
        <v>1266</v>
      </c>
      <c r="E3110">
        <v>2596</v>
      </c>
      <c r="F3110" t="s">
        <v>28</v>
      </c>
    </row>
    <row r="3111" spans="1:6" x14ac:dyDescent="0.35">
      <c r="A3111" s="1">
        <v>45704</v>
      </c>
      <c r="B3111" s="2">
        <v>45704.451396018521</v>
      </c>
      <c r="C3111" t="s">
        <v>8</v>
      </c>
      <c r="D3111" t="s">
        <v>1219</v>
      </c>
      <c r="E3111">
        <v>2596</v>
      </c>
      <c r="F3111" t="s">
        <v>28</v>
      </c>
    </row>
    <row r="3112" spans="1:6" x14ac:dyDescent="0.35">
      <c r="A3112" s="1">
        <v>45704</v>
      </c>
      <c r="B3112" s="2">
        <v>45704.452129247686</v>
      </c>
      <c r="C3112" t="s">
        <v>8</v>
      </c>
      <c r="D3112" t="s">
        <v>1219</v>
      </c>
      <c r="E3112">
        <v>3086</v>
      </c>
      <c r="F3112" t="s">
        <v>36</v>
      </c>
    </row>
    <row r="3113" spans="1:6" x14ac:dyDescent="0.35">
      <c r="A3113" s="1">
        <v>45704</v>
      </c>
      <c r="B3113" s="2">
        <v>45704.461665439812</v>
      </c>
      <c r="C3113" t="s">
        <v>8</v>
      </c>
      <c r="D3113" t="s">
        <v>1207</v>
      </c>
      <c r="E3113">
        <v>3576</v>
      </c>
      <c r="F3113" t="s">
        <v>15</v>
      </c>
    </row>
    <row r="3114" spans="1:6" x14ac:dyDescent="0.35">
      <c r="A3114" s="1">
        <v>45704</v>
      </c>
      <c r="B3114" s="2">
        <v>45704.480891840278</v>
      </c>
      <c r="C3114" t="s">
        <v>8</v>
      </c>
      <c r="D3114" t="s">
        <v>1211</v>
      </c>
      <c r="E3114">
        <v>2596</v>
      </c>
      <c r="F3114" t="s">
        <v>28</v>
      </c>
    </row>
    <row r="3115" spans="1:6" x14ac:dyDescent="0.35">
      <c r="A3115" s="1">
        <v>45704</v>
      </c>
      <c r="B3115" s="2">
        <v>45704.594178807871</v>
      </c>
      <c r="C3115" t="s">
        <v>8</v>
      </c>
      <c r="D3115" t="s">
        <v>1246</v>
      </c>
      <c r="E3115">
        <v>3576</v>
      </c>
      <c r="F3115" t="s">
        <v>15</v>
      </c>
    </row>
    <row r="3116" spans="1:6" x14ac:dyDescent="0.35">
      <c r="A3116" s="1">
        <v>45704</v>
      </c>
      <c r="B3116" s="2">
        <v>45704.594920416668</v>
      </c>
      <c r="C3116" t="s">
        <v>8</v>
      </c>
      <c r="D3116" t="s">
        <v>1246</v>
      </c>
      <c r="E3116">
        <v>3576</v>
      </c>
      <c r="F3116" t="s">
        <v>32</v>
      </c>
    </row>
    <row r="3117" spans="1:6" x14ac:dyDescent="0.35">
      <c r="A3117" s="1">
        <v>45704</v>
      </c>
      <c r="B3117" s="2">
        <v>45704.716983819446</v>
      </c>
      <c r="C3117" t="s">
        <v>8</v>
      </c>
      <c r="D3117" t="s">
        <v>33</v>
      </c>
      <c r="E3117">
        <v>3576</v>
      </c>
      <c r="F3117" t="s">
        <v>15</v>
      </c>
    </row>
    <row r="3118" spans="1:6" x14ac:dyDescent="0.35">
      <c r="A3118" s="1">
        <v>45704</v>
      </c>
      <c r="B3118" s="2">
        <v>45704.717742743058</v>
      </c>
      <c r="C3118" t="s">
        <v>8</v>
      </c>
      <c r="D3118" t="s">
        <v>33</v>
      </c>
      <c r="E3118">
        <v>3086</v>
      </c>
      <c r="F3118" t="s">
        <v>36</v>
      </c>
    </row>
    <row r="3119" spans="1:6" x14ac:dyDescent="0.35">
      <c r="A3119" s="1">
        <v>45704</v>
      </c>
      <c r="B3119" s="2">
        <v>45704.73926829861</v>
      </c>
      <c r="C3119" t="s">
        <v>8</v>
      </c>
      <c r="D3119" t="s">
        <v>1267</v>
      </c>
      <c r="E3119">
        <v>3086</v>
      </c>
      <c r="F3119" t="s">
        <v>36</v>
      </c>
    </row>
    <row r="3120" spans="1:6" x14ac:dyDescent="0.35">
      <c r="A3120" s="1">
        <v>45705</v>
      </c>
      <c r="B3120" s="2">
        <v>45705.284773784719</v>
      </c>
      <c r="C3120" t="s">
        <v>8</v>
      </c>
      <c r="D3120" t="s">
        <v>1250</v>
      </c>
      <c r="E3120">
        <v>3576</v>
      </c>
      <c r="F3120" t="s">
        <v>24</v>
      </c>
    </row>
    <row r="3121" spans="1:6" x14ac:dyDescent="0.35">
      <c r="A3121" s="1">
        <v>45705</v>
      </c>
      <c r="B3121" s="2">
        <v>45705.370298703703</v>
      </c>
      <c r="C3121" t="s">
        <v>8</v>
      </c>
      <c r="D3121" t="s">
        <v>33</v>
      </c>
      <c r="E3121">
        <v>2596</v>
      </c>
      <c r="F3121" t="s">
        <v>28</v>
      </c>
    </row>
    <row r="3122" spans="1:6" x14ac:dyDescent="0.35">
      <c r="A3122" s="1">
        <v>45705</v>
      </c>
      <c r="B3122" s="2">
        <v>45705.375638275465</v>
      </c>
      <c r="C3122" t="s">
        <v>8</v>
      </c>
      <c r="D3122" t="s">
        <v>1211</v>
      </c>
      <c r="E3122">
        <v>2596</v>
      </c>
      <c r="F3122" t="s">
        <v>28</v>
      </c>
    </row>
    <row r="3123" spans="1:6" x14ac:dyDescent="0.35">
      <c r="A3123" s="1">
        <v>45705</v>
      </c>
      <c r="B3123" s="2">
        <v>45705.394520624999</v>
      </c>
      <c r="C3123" t="s">
        <v>8</v>
      </c>
      <c r="D3123" t="s">
        <v>1268</v>
      </c>
      <c r="E3123">
        <v>3086</v>
      </c>
      <c r="F3123" t="s">
        <v>36</v>
      </c>
    </row>
    <row r="3124" spans="1:6" x14ac:dyDescent="0.35">
      <c r="A3124" s="1">
        <v>45705</v>
      </c>
      <c r="B3124" s="2">
        <v>45705.414574212962</v>
      </c>
      <c r="C3124" t="s">
        <v>8</v>
      </c>
      <c r="D3124" t="s">
        <v>1260</v>
      </c>
      <c r="E3124">
        <v>3576</v>
      </c>
      <c r="F3124" t="s">
        <v>15</v>
      </c>
    </row>
    <row r="3125" spans="1:6" x14ac:dyDescent="0.35">
      <c r="A3125" s="1">
        <v>45705</v>
      </c>
      <c r="B3125" s="2">
        <v>45705.430695196759</v>
      </c>
      <c r="C3125" t="s">
        <v>8</v>
      </c>
      <c r="D3125" t="s">
        <v>1269</v>
      </c>
      <c r="E3125">
        <v>3086</v>
      </c>
      <c r="F3125" t="s">
        <v>36</v>
      </c>
    </row>
    <row r="3126" spans="1:6" x14ac:dyDescent="0.35">
      <c r="A3126" s="1">
        <v>45705</v>
      </c>
      <c r="B3126" s="2">
        <v>45705.447777835645</v>
      </c>
      <c r="C3126" t="s">
        <v>8</v>
      </c>
      <c r="D3126" t="s">
        <v>1211</v>
      </c>
      <c r="E3126">
        <v>2596</v>
      </c>
      <c r="F3126" t="s">
        <v>28</v>
      </c>
    </row>
    <row r="3127" spans="1:6" x14ac:dyDescent="0.35">
      <c r="A3127" s="1">
        <v>45705</v>
      </c>
      <c r="B3127" s="2">
        <v>45705.495817256946</v>
      </c>
      <c r="C3127" t="s">
        <v>8</v>
      </c>
      <c r="D3127" t="s">
        <v>1253</v>
      </c>
      <c r="E3127">
        <v>3086</v>
      </c>
      <c r="F3127" t="s">
        <v>36</v>
      </c>
    </row>
    <row r="3128" spans="1:6" x14ac:dyDescent="0.35">
      <c r="A3128" s="1">
        <v>45705</v>
      </c>
      <c r="B3128" s="2">
        <v>45705.496553275465</v>
      </c>
      <c r="C3128" t="s">
        <v>8</v>
      </c>
      <c r="D3128" t="s">
        <v>1252</v>
      </c>
      <c r="E3128">
        <v>2106</v>
      </c>
      <c r="F3128" t="s">
        <v>5</v>
      </c>
    </row>
    <row r="3129" spans="1:6" x14ac:dyDescent="0.35">
      <c r="A3129" s="1">
        <v>45705</v>
      </c>
      <c r="B3129" s="2">
        <v>45705.534008344905</v>
      </c>
      <c r="C3129" t="s">
        <v>8</v>
      </c>
      <c r="D3129" t="s">
        <v>1270</v>
      </c>
      <c r="E3129">
        <v>3576</v>
      </c>
      <c r="F3129" t="s">
        <v>24</v>
      </c>
    </row>
    <row r="3130" spans="1:6" x14ac:dyDescent="0.35">
      <c r="A3130" s="1">
        <v>45705</v>
      </c>
      <c r="B3130" s="2">
        <v>45705.59932760417</v>
      </c>
      <c r="C3130" t="s">
        <v>8</v>
      </c>
      <c r="D3130" t="s">
        <v>1271</v>
      </c>
      <c r="E3130">
        <v>3576</v>
      </c>
      <c r="F3130" t="s">
        <v>32</v>
      </c>
    </row>
    <row r="3131" spans="1:6" x14ac:dyDescent="0.35">
      <c r="A3131" s="1">
        <v>45705</v>
      </c>
      <c r="B3131" s="2">
        <v>45705.628954826389</v>
      </c>
      <c r="C3131" t="s">
        <v>8</v>
      </c>
      <c r="D3131" t="s">
        <v>1244</v>
      </c>
      <c r="E3131">
        <v>3086</v>
      </c>
      <c r="F3131" t="s">
        <v>36</v>
      </c>
    </row>
    <row r="3132" spans="1:6" x14ac:dyDescent="0.35">
      <c r="A3132" s="1">
        <v>45705</v>
      </c>
      <c r="B3132" s="2">
        <v>45705.648143136576</v>
      </c>
      <c r="C3132" t="s">
        <v>8</v>
      </c>
      <c r="D3132" t="s">
        <v>1241</v>
      </c>
      <c r="E3132">
        <v>3576</v>
      </c>
      <c r="F3132" t="s">
        <v>32</v>
      </c>
    </row>
    <row r="3133" spans="1:6" x14ac:dyDescent="0.35">
      <c r="A3133" s="1">
        <v>45705</v>
      </c>
      <c r="B3133" s="2">
        <v>45705.679935162036</v>
      </c>
      <c r="C3133" t="s">
        <v>8</v>
      </c>
      <c r="D3133" t="s">
        <v>1268</v>
      </c>
      <c r="E3133">
        <v>2106</v>
      </c>
      <c r="F3133" t="s">
        <v>5</v>
      </c>
    </row>
    <row r="3134" spans="1:6" x14ac:dyDescent="0.35">
      <c r="A3134" s="1">
        <v>45705</v>
      </c>
      <c r="B3134" s="2">
        <v>45705.682430567133</v>
      </c>
      <c r="C3134" t="s">
        <v>8</v>
      </c>
      <c r="D3134" t="s">
        <v>1220</v>
      </c>
      <c r="E3134">
        <v>2596</v>
      </c>
      <c r="F3134" t="s">
        <v>28</v>
      </c>
    </row>
    <row r="3135" spans="1:6" x14ac:dyDescent="0.35">
      <c r="A3135" s="1">
        <v>45705</v>
      </c>
      <c r="B3135" s="2">
        <v>45705.730024432873</v>
      </c>
      <c r="C3135" t="s">
        <v>8</v>
      </c>
      <c r="D3135" t="s">
        <v>1272</v>
      </c>
      <c r="E3135">
        <v>3086</v>
      </c>
      <c r="F3135" t="s">
        <v>36</v>
      </c>
    </row>
    <row r="3136" spans="1:6" x14ac:dyDescent="0.35">
      <c r="A3136" s="1">
        <v>45705</v>
      </c>
      <c r="B3136" s="2">
        <v>45705.766581458331</v>
      </c>
      <c r="C3136" t="s">
        <v>8</v>
      </c>
      <c r="D3136" t="s">
        <v>1256</v>
      </c>
      <c r="E3136">
        <v>2596</v>
      </c>
      <c r="F3136" t="s">
        <v>28</v>
      </c>
    </row>
    <row r="3137" spans="1:6" x14ac:dyDescent="0.35">
      <c r="A3137" s="1">
        <v>45705</v>
      </c>
      <c r="B3137" s="2">
        <v>45705.801294421297</v>
      </c>
      <c r="C3137" t="s">
        <v>8</v>
      </c>
      <c r="D3137" t="s">
        <v>1273</v>
      </c>
      <c r="E3137">
        <v>2596</v>
      </c>
      <c r="F3137" t="s">
        <v>28</v>
      </c>
    </row>
    <row r="3138" spans="1:6" x14ac:dyDescent="0.35">
      <c r="A3138" s="1">
        <v>45705</v>
      </c>
      <c r="B3138" s="2">
        <v>45705.802093483799</v>
      </c>
      <c r="C3138" t="s">
        <v>8</v>
      </c>
      <c r="D3138" t="s">
        <v>1273</v>
      </c>
      <c r="E3138">
        <v>2596</v>
      </c>
      <c r="F3138" t="s">
        <v>28</v>
      </c>
    </row>
    <row r="3139" spans="1:6" x14ac:dyDescent="0.35">
      <c r="A3139" s="1">
        <v>45705</v>
      </c>
      <c r="B3139" s="2">
        <v>45705.846035856484</v>
      </c>
      <c r="C3139" t="s">
        <v>8</v>
      </c>
      <c r="D3139" t="s">
        <v>1242</v>
      </c>
      <c r="E3139">
        <v>3576</v>
      </c>
      <c r="F3139" t="s">
        <v>32</v>
      </c>
    </row>
    <row r="3140" spans="1:6" x14ac:dyDescent="0.35">
      <c r="A3140" s="1">
        <v>45706</v>
      </c>
      <c r="B3140" s="2">
        <v>45706.370240081022</v>
      </c>
      <c r="C3140" t="s">
        <v>8</v>
      </c>
      <c r="D3140" t="s">
        <v>33</v>
      </c>
      <c r="E3140">
        <v>2596</v>
      </c>
      <c r="F3140" t="s">
        <v>28</v>
      </c>
    </row>
    <row r="3141" spans="1:6" x14ac:dyDescent="0.35">
      <c r="A3141" s="1">
        <v>45706</v>
      </c>
      <c r="B3141" s="2">
        <v>45706.37100107639</v>
      </c>
      <c r="C3141" t="s">
        <v>8</v>
      </c>
      <c r="D3141" t="s">
        <v>33</v>
      </c>
      <c r="E3141">
        <v>2596</v>
      </c>
      <c r="F3141" t="s">
        <v>28</v>
      </c>
    </row>
    <row r="3142" spans="1:6" x14ac:dyDescent="0.35">
      <c r="A3142" s="1">
        <v>45706</v>
      </c>
      <c r="B3142" s="2">
        <v>45706.463603252312</v>
      </c>
      <c r="C3142" t="s">
        <v>8</v>
      </c>
      <c r="D3142" t="s">
        <v>6</v>
      </c>
      <c r="E3142">
        <v>2596</v>
      </c>
      <c r="F3142" t="s">
        <v>28</v>
      </c>
    </row>
    <row r="3143" spans="1:6" x14ac:dyDescent="0.35">
      <c r="A3143" s="1">
        <v>45706</v>
      </c>
      <c r="B3143" s="2">
        <v>45706.479237916668</v>
      </c>
      <c r="C3143" t="s">
        <v>8</v>
      </c>
      <c r="D3143" t="s">
        <v>1248</v>
      </c>
      <c r="E3143">
        <v>2596</v>
      </c>
      <c r="F3143" t="s">
        <v>28</v>
      </c>
    </row>
    <row r="3144" spans="1:6" x14ac:dyDescent="0.35">
      <c r="A3144" s="1">
        <v>45706</v>
      </c>
      <c r="B3144" s="2">
        <v>45706.484994756946</v>
      </c>
      <c r="C3144" t="s">
        <v>8</v>
      </c>
      <c r="D3144" t="s">
        <v>1253</v>
      </c>
      <c r="E3144">
        <v>3086</v>
      </c>
      <c r="F3144" t="s">
        <v>36</v>
      </c>
    </row>
    <row r="3145" spans="1:6" x14ac:dyDescent="0.35">
      <c r="A3145" s="1">
        <v>45706</v>
      </c>
      <c r="B3145" s="2">
        <v>45706.510724247688</v>
      </c>
      <c r="C3145" t="s">
        <v>8</v>
      </c>
      <c r="D3145" t="s">
        <v>1268</v>
      </c>
      <c r="E3145">
        <v>3086</v>
      </c>
      <c r="F3145" t="s">
        <v>36</v>
      </c>
    </row>
    <row r="3146" spans="1:6" x14ac:dyDescent="0.35">
      <c r="A3146" s="1">
        <v>45706</v>
      </c>
      <c r="B3146" s="2">
        <v>45706.544759826385</v>
      </c>
      <c r="C3146" t="s">
        <v>8</v>
      </c>
      <c r="D3146" t="s">
        <v>1274</v>
      </c>
      <c r="E3146">
        <v>3576</v>
      </c>
      <c r="F3146" t="s">
        <v>10</v>
      </c>
    </row>
    <row r="3147" spans="1:6" x14ac:dyDescent="0.35">
      <c r="A3147" s="1">
        <v>45706</v>
      </c>
      <c r="B3147" s="2">
        <v>45706.559549861115</v>
      </c>
      <c r="C3147" t="s">
        <v>8</v>
      </c>
      <c r="D3147" t="s">
        <v>1265</v>
      </c>
      <c r="E3147">
        <v>2596</v>
      </c>
      <c r="F3147" t="s">
        <v>28</v>
      </c>
    </row>
    <row r="3148" spans="1:6" x14ac:dyDescent="0.35">
      <c r="A3148" s="1">
        <v>45706</v>
      </c>
      <c r="B3148" s="2">
        <v>45706.560478125</v>
      </c>
      <c r="C3148" t="s">
        <v>8</v>
      </c>
      <c r="D3148" t="s">
        <v>1272</v>
      </c>
      <c r="E3148">
        <v>3086</v>
      </c>
      <c r="F3148" t="s">
        <v>36</v>
      </c>
    </row>
    <row r="3149" spans="1:6" x14ac:dyDescent="0.35">
      <c r="A3149" s="1">
        <v>45706</v>
      </c>
      <c r="B3149" s="2">
        <v>45706.712130185188</v>
      </c>
      <c r="C3149" t="s">
        <v>8</v>
      </c>
      <c r="D3149" t="s">
        <v>1260</v>
      </c>
      <c r="E3149">
        <v>3576</v>
      </c>
      <c r="F3149" t="s">
        <v>15</v>
      </c>
    </row>
    <row r="3150" spans="1:6" x14ac:dyDescent="0.35">
      <c r="A3150" s="1">
        <v>45706</v>
      </c>
      <c r="B3150" s="2">
        <v>45706.714112361115</v>
      </c>
      <c r="C3150" t="s">
        <v>8</v>
      </c>
      <c r="D3150" t="s">
        <v>1275</v>
      </c>
      <c r="E3150">
        <v>3086</v>
      </c>
      <c r="F3150" t="s">
        <v>36</v>
      </c>
    </row>
    <row r="3151" spans="1:6" x14ac:dyDescent="0.35">
      <c r="A3151" s="1">
        <v>45706</v>
      </c>
      <c r="B3151" s="2">
        <v>45706.714783113428</v>
      </c>
      <c r="C3151" t="s">
        <v>8</v>
      </c>
      <c r="D3151" t="s">
        <v>1275</v>
      </c>
      <c r="E3151">
        <v>2106</v>
      </c>
      <c r="F3151" t="s">
        <v>5</v>
      </c>
    </row>
    <row r="3152" spans="1:6" x14ac:dyDescent="0.35">
      <c r="A3152" s="1">
        <v>45706</v>
      </c>
      <c r="B3152" s="2">
        <v>45706.715542465281</v>
      </c>
      <c r="C3152" t="s">
        <v>8</v>
      </c>
      <c r="D3152" t="s">
        <v>1275</v>
      </c>
      <c r="E3152">
        <v>3576</v>
      </c>
      <c r="F3152" t="s">
        <v>10</v>
      </c>
    </row>
    <row r="3153" spans="1:6" x14ac:dyDescent="0.35">
      <c r="A3153" s="1">
        <v>45706</v>
      </c>
      <c r="B3153" s="2">
        <v>45706.716385520835</v>
      </c>
      <c r="C3153" t="s">
        <v>8</v>
      </c>
      <c r="D3153" t="s">
        <v>1275</v>
      </c>
      <c r="E3153">
        <v>3576</v>
      </c>
      <c r="F3153" t="s">
        <v>10</v>
      </c>
    </row>
    <row r="3154" spans="1:6" x14ac:dyDescent="0.35">
      <c r="A3154" s="1">
        <v>45706</v>
      </c>
      <c r="B3154" s="2">
        <v>45706.816982835648</v>
      </c>
      <c r="C3154" t="s">
        <v>8</v>
      </c>
      <c r="D3154" t="s">
        <v>1276</v>
      </c>
      <c r="E3154">
        <v>3576</v>
      </c>
      <c r="F3154" t="s">
        <v>10</v>
      </c>
    </row>
    <row r="3155" spans="1:6" x14ac:dyDescent="0.35">
      <c r="A3155" s="1">
        <v>45706</v>
      </c>
      <c r="B3155" s="2">
        <v>45706.838150416668</v>
      </c>
      <c r="C3155" t="s">
        <v>8</v>
      </c>
      <c r="D3155" t="s">
        <v>1235</v>
      </c>
      <c r="E3155">
        <v>3576</v>
      </c>
      <c r="F3155" t="s">
        <v>10</v>
      </c>
    </row>
    <row r="3156" spans="1:6" x14ac:dyDescent="0.35">
      <c r="A3156" s="1">
        <v>45706</v>
      </c>
      <c r="B3156" s="2">
        <v>45706.873756932873</v>
      </c>
      <c r="C3156" t="s">
        <v>8</v>
      </c>
      <c r="D3156" t="s">
        <v>1262</v>
      </c>
      <c r="E3156">
        <v>3576</v>
      </c>
      <c r="F3156" t="s">
        <v>15</v>
      </c>
    </row>
    <row r="3157" spans="1:6" x14ac:dyDescent="0.35">
      <c r="A3157" s="1">
        <v>45706</v>
      </c>
      <c r="B3157" s="2">
        <v>45706.876384594907</v>
      </c>
      <c r="C3157" t="s">
        <v>8</v>
      </c>
      <c r="D3157" t="s">
        <v>1272</v>
      </c>
      <c r="E3157">
        <v>3086</v>
      </c>
      <c r="F3157" t="s">
        <v>36</v>
      </c>
    </row>
    <row r="3158" spans="1:6" x14ac:dyDescent="0.35">
      <c r="A3158" s="1">
        <v>45707</v>
      </c>
      <c r="B3158" s="2">
        <v>45707.339501747687</v>
      </c>
      <c r="C3158" t="s">
        <v>8</v>
      </c>
      <c r="D3158" t="s">
        <v>1212</v>
      </c>
      <c r="E3158">
        <v>3576</v>
      </c>
      <c r="F3158" t="s">
        <v>24</v>
      </c>
    </row>
    <row r="3159" spans="1:6" x14ac:dyDescent="0.35">
      <c r="A3159" s="1">
        <v>45707</v>
      </c>
      <c r="B3159" s="2">
        <v>45707.340209270835</v>
      </c>
      <c r="C3159" t="s">
        <v>8</v>
      </c>
      <c r="D3159" t="s">
        <v>1203</v>
      </c>
      <c r="E3159">
        <v>2596</v>
      </c>
      <c r="F3159" t="s">
        <v>28</v>
      </c>
    </row>
    <row r="3160" spans="1:6" x14ac:dyDescent="0.35">
      <c r="A3160" s="1">
        <v>45707</v>
      </c>
      <c r="B3160" s="2">
        <v>45707.36635167824</v>
      </c>
      <c r="C3160" t="s">
        <v>8</v>
      </c>
      <c r="D3160" t="s">
        <v>1220</v>
      </c>
      <c r="E3160">
        <v>2596</v>
      </c>
      <c r="F3160" t="s">
        <v>28</v>
      </c>
    </row>
    <row r="3161" spans="1:6" x14ac:dyDescent="0.35">
      <c r="A3161" s="1">
        <v>45707</v>
      </c>
      <c r="B3161" s="2">
        <v>45707.392036770834</v>
      </c>
      <c r="C3161" t="s">
        <v>8</v>
      </c>
      <c r="D3161" t="s">
        <v>1270</v>
      </c>
      <c r="E3161">
        <v>3576</v>
      </c>
      <c r="F3161" t="s">
        <v>24</v>
      </c>
    </row>
    <row r="3162" spans="1:6" x14ac:dyDescent="0.35">
      <c r="A3162" s="1">
        <v>45707</v>
      </c>
      <c r="B3162" s="2">
        <v>45707.423506956016</v>
      </c>
      <c r="C3162" t="s">
        <v>8</v>
      </c>
      <c r="D3162" t="s">
        <v>1217</v>
      </c>
      <c r="E3162">
        <v>2596</v>
      </c>
      <c r="F3162" t="s">
        <v>28</v>
      </c>
    </row>
    <row r="3163" spans="1:6" x14ac:dyDescent="0.35">
      <c r="A3163" s="1">
        <v>45707</v>
      </c>
      <c r="B3163" s="2">
        <v>45707.429875879629</v>
      </c>
      <c r="C3163" t="s">
        <v>8</v>
      </c>
      <c r="D3163" t="s">
        <v>1277</v>
      </c>
      <c r="E3163">
        <v>3576</v>
      </c>
      <c r="F3163" t="s">
        <v>15</v>
      </c>
    </row>
    <row r="3164" spans="1:6" x14ac:dyDescent="0.35">
      <c r="A3164" s="1">
        <v>45707</v>
      </c>
      <c r="B3164" s="2">
        <v>45707.445041550927</v>
      </c>
      <c r="C3164" t="s">
        <v>8</v>
      </c>
      <c r="D3164" t="s">
        <v>1257</v>
      </c>
      <c r="E3164">
        <v>3086</v>
      </c>
      <c r="F3164" t="s">
        <v>36</v>
      </c>
    </row>
    <row r="3165" spans="1:6" x14ac:dyDescent="0.35">
      <c r="A3165" s="1">
        <v>45707</v>
      </c>
      <c r="B3165" s="2">
        <v>45707.531320277776</v>
      </c>
      <c r="C3165" t="s">
        <v>8</v>
      </c>
      <c r="D3165" t="s">
        <v>1248</v>
      </c>
      <c r="E3165">
        <v>2596</v>
      </c>
      <c r="F3165" t="s">
        <v>28</v>
      </c>
    </row>
    <row r="3166" spans="1:6" x14ac:dyDescent="0.35">
      <c r="A3166" s="1">
        <v>45707</v>
      </c>
      <c r="B3166" s="2">
        <v>45707.531990324074</v>
      </c>
      <c r="C3166" t="s">
        <v>8</v>
      </c>
      <c r="D3166" t="s">
        <v>1218</v>
      </c>
      <c r="E3166">
        <v>3576</v>
      </c>
      <c r="F3166" t="s">
        <v>10</v>
      </c>
    </row>
    <row r="3167" spans="1:6" x14ac:dyDescent="0.35">
      <c r="A3167" s="1">
        <v>45707</v>
      </c>
      <c r="B3167" s="2">
        <v>45707.546462754632</v>
      </c>
      <c r="C3167" t="s">
        <v>8</v>
      </c>
      <c r="D3167" t="s">
        <v>1221</v>
      </c>
      <c r="E3167">
        <v>2596</v>
      </c>
      <c r="F3167" t="s">
        <v>28</v>
      </c>
    </row>
    <row r="3168" spans="1:6" x14ac:dyDescent="0.35">
      <c r="A3168" s="1">
        <v>45707</v>
      </c>
      <c r="B3168" s="2">
        <v>45707.660217766206</v>
      </c>
      <c r="C3168" t="s">
        <v>8</v>
      </c>
      <c r="D3168" t="s">
        <v>1209</v>
      </c>
      <c r="E3168">
        <v>3576</v>
      </c>
      <c r="F3168" t="s">
        <v>24</v>
      </c>
    </row>
    <row r="3169" spans="1:6" x14ac:dyDescent="0.35">
      <c r="A3169" s="1">
        <v>45707</v>
      </c>
      <c r="B3169" s="2">
        <v>45707.711114097219</v>
      </c>
      <c r="C3169" t="s">
        <v>8</v>
      </c>
      <c r="D3169" t="s">
        <v>6</v>
      </c>
      <c r="E3169">
        <v>2596</v>
      </c>
      <c r="F3169" t="s">
        <v>28</v>
      </c>
    </row>
    <row r="3170" spans="1:6" x14ac:dyDescent="0.35">
      <c r="A3170" s="1">
        <v>45707</v>
      </c>
      <c r="B3170" s="2">
        <v>45707.732512685187</v>
      </c>
      <c r="C3170" t="s">
        <v>8</v>
      </c>
      <c r="D3170" t="s">
        <v>1209</v>
      </c>
      <c r="E3170">
        <v>3576</v>
      </c>
      <c r="F3170" t="s">
        <v>24</v>
      </c>
    </row>
    <row r="3171" spans="1:6" x14ac:dyDescent="0.35">
      <c r="A3171" s="1">
        <v>45707</v>
      </c>
      <c r="B3171" s="2">
        <v>45707.74851892361</v>
      </c>
      <c r="C3171" t="s">
        <v>8</v>
      </c>
      <c r="D3171" t="s">
        <v>1267</v>
      </c>
      <c r="E3171">
        <v>3086</v>
      </c>
      <c r="F3171" t="s">
        <v>36</v>
      </c>
    </row>
    <row r="3172" spans="1:6" x14ac:dyDescent="0.35">
      <c r="A3172" s="1">
        <v>45707</v>
      </c>
      <c r="B3172" s="2">
        <v>45707.774754942133</v>
      </c>
      <c r="C3172" t="s">
        <v>8</v>
      </c>
      <c r="D3172" t="s">
        <v>1278</v>
      </c>
      <c r="E3172">
        <v>3576</v>
      </c>
      <c r="F3172" t="s">
        <v>24</v>
      </c>
    </row>
    <row r="3173" spans="1:6" x14ac:dyDescent="0.35">
      <c r="A3173" s="1">
        <v>45707</v>
      </c>
      <c r="B3173" s="2">
        <v>45707.792744074075</v>
      </c>
      <c r="C3173" t="s">
        <v>8</v>
      </c>
      <c r="D3173" t="s">
        <v>1279</v>
      </c>
      <c r="E3173">
        <v>3576</v>
      </c>
      <c r="F3173" t="s">
        <v>32</v>
      </c>
    </row>
    <row r="3174" spans="1:6" x14ac:dyDescent="0.35">
      <c r="A3174" s="1">
        <v>45707</v>
      </c>
      <c r="B3174" s="2">
        <v>45707.799884143518</v>
      </c>
      <c r="C3174" t="s">
        <v>8</v>
      </c>
      <c r="D3174" t="s">
        <v>1229</v>
      </c>
      <c r="E3174">
        <v>3576</v>
      </c>
      <c r="F3174" t="s">
        <v>10</v>
      </c>
    </row>
    <row r="3175" spans="1:6" x14ac:dyDescent="0.35">
      <c r="A3175" s="1">
        <v>45707</v>
      </c>
      <c r="B3175" s="2">
        <v>45707.800495115742</v>
      </c>
      <c r="C3175" t="s">
        <v>8</v>
      </c>
      <c r="D3175" t="s">
        <v>1229</v>
      </c>
      <c r="E3175">
        <v>3576</v>
      </c>
      <c r="F3175" t="s">
        <v>15</v>
      </c>
    </row>
    <row r="3176" spans="1:6" x14ac:dyDescent="0.35">
      <c r="A3176" s="1">
        <v>45707</v>
      </c>
      <c r="B3176" s="2">
        <v>45707.809988032408</v>
      </c>
      <c r="C3176" t="s">
        <v>8</v>
      </c>
      <c r="D3176" t="s">
        <v>1241</v>
      </c>
      <c r="E3176">
        <v>3576</v>
      </c>
      <c r="F3176" t="s">
        <v>32</v>
      </c>
    </row>
    <row r="3177" spans="1:6" x14ac:dyDescent="0.35">
      <c r="A3177" s="1">
        <v>45707</v>
      </c>
      <c r="B3177" s="2">
        <v>45707.837133935187</v>
      </c>
      <c r="C3177" t="s">
        <v>8</v>
      </c>
      <c r="D3177" t="s">
        <v>1232</v>
      </c>
      <c r="E3177">
        <v>3576</v>
      </c>
      <c r="F3177" t="s">
        <v>10</v>
      </c>
    </row>
    <row r="3178" spans="1:6" x14ac:dyDescent="0.35">
      <c r="A3178" s="1">
        <v>45708</v>
      </c>
      <c r="B3178" s="2">
        <v>45708.330839988426</v>
      </c>
      <c r="C3178" t="s">
        <v>8</v>
      </c>
      <c r="D3178" t="s">
        <v>1212</v>
      </c>
      <c r="E3178">
        <v>3576</v>
      </c>
      <c r="F3178" t="s">
        <v>24</v>
      </c>
    </row>
    <row r="3179" spans="1:6" x14ac:dyDescent="0.35">
      <c r="A3179" s="1">
        <v>45708</v>
      </c>
      <c r="B3179" s="2">
        <v>45708.387422581021</v>
      </c>
      <c r="C3179" t="s">
        <v>8</v>
      </c>
      <c r="D3179" t="s">
        <v>1217</v>
      </c>
      <c r="E3179">
        <v>2596</v>
      </c>
      <c r="F3179" t="s">
        <v>28</v>
      </c>
    </row>
    <row r="3180" spans="1:6" x14ac:dyDescent="0.35">
      <c r="A3180" s="1">
        <v>45708</v>
      </c>
      <c r="B3180" s="2">
        <v>45708.428245648145</v>
      </c>
      <c r="C3180" t="s">
        <v>8</v>
      </c>
      <c r="D3180" t="s">
        <v>33</v>
      </c>
      <c r="E3180">
        <v>3576</v>
      </c>
      <c r="F3180" t="s">
        <v>24</v>
      </c>
    </row>
    <row r="3181" spans="1:6" x14ac:dyDescent="0.35">
      <c r="A3181" s="1">
        <v>45708</v>
      </c>
      <c r="B3181" s="2">
        <v>45708.428919803242</v>
      </c>
      <c r="C3181" t="s">
        <v>8</v>
      </c>
      <c r="D3181" t="s">
        <v>33</v>
      </c>
      <c r="E3181">
        <v>2596</v>
      </c>
      <c r="F3181" t="s">
        <v>28</v>
      </c>
    </row>
    <row r="3182" spans="1:6" x14ac:dyDescent="0.35">
      <c r="A3182" s="1">
        <v>45708</v>
      </c>
      <c r="B3182" s="2">
        <v>45708.430844282404</v>
      </c>
      <c r="C3182" t="s">
        <v>8</v>
      </c>
      <c r="D3182" t="s">
        <v>1217</v>
      </c>
      <c r="E3182">
        <v>2596</v>
      </c>
      <c r="F3182" t="s">
        <v>28</v>
      </c>
    </row>
    <row r="3183" spans="1:6" x14ac:dyDescent="0.35">
      <c r="A3183" s="1">
        <v>45708</v>
      </c>
      <c r="B3183" s="2">
        <v>45708.433605868056</v>
      </c>
      <c r="C3183" t="s">
        <v>8</v>
      </c>
      <c r="D3183" t="s">
        <v>1248</v>
      </c>
      <c r="E3183">
        <v>2596</v>
      </c>
      <c r="F3183" t="s">
        <v>28</v>
      </c>
    </row>
    <row r="3184" spans="1:6" x14ac:dyDescent="0.35">
      <c r="A3184" s="1">
        <v>45708</v>
      </c>
      <c r="B3184" s="2">
        <v>45708.543285277781</v>
      </c>
      <c r="C3184" t="s">
        <v>8</v>
      </c>
      <c r="D3184" t="s">
        <v>1253</v>
      </c>
      <c r="E3184">
        <v>3086</v>
      </c>
      <c r="F3184" t="s">
        <v>36</v>
      </c>
    </row>
    <row r="3185" spans="1:6" x14ac:dyDescent="0.35">
      <c r="A3185" s="1">
        <v>45708</v>
      </c>
      <c r="B3185" s="2">
        <v>45708.597605312498</v>
      </c>
      <c r="C3185" t="s">
        <v>8</v>
      </c>
      <c r="D3185" t="s">
        <v>1246</v>
      </c>
      <c r="E3185">
        <v>3576</v>
      </c>
      <c r="F3185" t="s">
        <v>32</v>
      </c>
    </row>
    <row r="3186" spans="1:6" x14ac:dyDescent="0.35">
      <c r="A3186" s="1">
        <v>45708</v>
      </c>
      <c r="B3186" s="2">
        <v>45708.609719687498</v>
      </c>
      <c r="C3186" t="s">
        <v>8</v>
      </c>
      <c r="D3186" t="s">
        <v>33</v>
      </c>
      <c r="E3186">
        <v>2596</v>
      </c>
      <c r="F3186" t="s">
        <v>28</v>
      </c>
    </row>
    <row r="3187" spans="1:6" x14ac:dyDescent="0.35">
      <c r="A3187" s="1">
        <v>45708</v>
      </c>
      <c r="B3187" s="2">
        <v>45708.610293043981</v>
      </c>
      <c r="C3187" t="s">
        <v>8</v>
      </c>
      <c r="D3187" t="s">
        <v>33</v>
      </c>
      <c r="E3187">
        <v>2596</v>
      </c>
      <c r="F3187" t="s">
        <v>28</v>
      </c>
    </row>
    <row r="3188" spans="1:6" x14ac:dyDescent="0.35">
      <c r="A3188" s="1">
        <v>45708</v>
      </c>
      <c r="B3188" s="2">
        <v>45708.638721701391</v>
      </c>
      <c r="C3188" t="s">
        <v>8</v>
      </c>
      <c r="D3188" t="s">
        <v>1280</v>
      </c>
      <c r="E3188">
        <v>2106</v>
      </c>
      <c r="F3188" t="s">
        <v>5</v>
      </c>
    </row>
    <row r="3189" spans="1:6" x14ac:dyDescent="0.35">
      <c r="A3189" s="1">
        <v>45708</v>
      </c>
      <c r="B3189" s="2">
        <v>45708.670711967592</v>
      </c>
      <c r="C3189" t="s">
        <v>8</v>
      </c>
      <c r="D3189" t="s">
        <v>1207</v>
      </c>
      <c r="E3189">
        <v>3576</v>
      </c>
      <c r="F3189" t="s">
        <v>24</v>
      </c>
    </row>
    <row r="3190" spans="1:6" x14ac:dyDescent="0.35">
      <c r="A3190" s="1">
        <v>45708</v>
      </c>
      <c r="B3190" s="2">
        <v>45708.707715601849</v>
      </c>
      <c r="C3190" t="s">
        <v>8</v>
      </c>
      <c r="D3190" t="s">
        <v>1281</v>
      </c>
      <c r="E3190">
        <v>3576</v>
      </c>
      <c r="F3190" t="s">
        <v>24</v>
      </c>
    </row>
    <row r="3191" spans="1:6" x14ac:dyDescent="0.35">
      <c r="A3191" s="1">
        <v>45708</v>
      </c>
      <c r="B3191" s="2">
        <v>45708.70876090278</v>
      </c>
      <c r="C3191" t="s">
        <v>8</v>
      </c>
      <c r="D3191" t="s">
        <v>1281</v>
      </c>
      <c r="E3191">
        <v>3576</v>
      </c>
      <c r="F3191" t="s">
        <v>15</v>
      </c>
    </row>
    <row r="3192" spans="1:6" x14ac:dyDescent="0.35">
      <c r="A3192" s="1">
        <v>45708</v>
      </c>
      <c r="B3192" s="2">
        <v>45708.713518356482</v>
      </c>
      <c r="C3192" t="s">
        <v>8</v>
      </c>
      <c r="D3192" t="s">
        <v>33</v>
      </c>
      <c r="E3192">
        <v>2596</v>
      </c>
      <c r="F3192" t="s">
        <v>28</v>
      </c>
    </row>
    <row r="3193" spans="1:6" x14ac:dyDescent="0.35">
      <c r="A3193" s="1">
        <v>45708</v>
      </c>
      <c r="B3193" s="2">
        <v>45708.789984131945</v>
      </c>
      <c r="C3193" t="s">
        <v>8</v>
      </c>
      <c r="D3193" t="s">
        <v>1282</v>
      </c>
      <c r="E3193">
        <v>2596</v>
      </c>
      <c r="F3193" t="s">
        <v>28</v>
      </c>
    </row>
    <row r="3194" spans="1:6" x14ac:dyDescent="0.35">
      <c r="A3194" s="1">
        <v>45708</v>
      </c>
      <c r="B3194" s="2">
        <v>45708.792954583332</v>
      </c>
      <c r="C3194" t="s">
        <v>8</v>
      </c>
      <c r="D3194" t="s">
        <v>1283</v>
      </c>
      <c r="E3194">
        <v>3576</v>
      </c>
      <c r="F3194" t="s">
        <v>15</v>
      </c>
    </row>
    <row r="3195" spans="1:6" x14ac:dyDescent="0.35">
      <c r="A3195" s="1">
        <v>45708</v>
      </c>
      <c r="B3195" s="2">
        <v>45708.796823703706</v>
      </c>
      <c r="C3195" t="s">
        <v>8</v>
      </c>
      <c r="D3195" t="s">
        <v>1284</v>
      </c>
      <c r="E3195">
        <v>3576</v>
      </c>
      <c r="F3195" t="s">
        <v>10</v>
      </c>
    </row>
    <row r="3196" spans="1:6" x14ac:dyDescent="0.35">
      <c r="A3196" s="1">
        <v>45708</v>
      </c>
      <c r="B3196" s="2">
        <v>45708.838236087962</v>
      </c>
      <c r="C3196" t="s">
        <v>8</v>
      </c>
      <c r="D3196" t="s">
        <v>1219</v>
      </c>
      <c r="E3196">
        <v>3576</v>
      </c>
      <c r="F3196" t="s">
        <v>32</v>
      </c>
    </row>
    <row r="3197" spans="1:6" x14ac:dyDescent="0.35">
      <c r="A3197" s="1">
        <v>45709</v>
      </c>
      <c r="B3197" s="2">
        <v>45709.291069537037</v>
      </c>
      <c r="C3197" t="s">
        <v>8</v>
      </c>
      <c r="D3197" t="s">
        <v>33</v>
      </c>
      <c r="E3197">
        <v>2596</v>
      </c>
      <c r="F3197" t="s">
        <v>28</v>
      </c>
    </row>
    <row r="3198" spans="1:6" x14ac:dyDescent="0.35">
      <c r="A3198" s="1">
        <v>45709</v>
      </c>
      <c r="B3198" s="2">
        <v>45709.40381491898</v>
      </c>
      <c r="C3198" t="s">
        <v>8</v>
      </c>
      <c r="D3198" t="s">
        <v>1285</v>
      </c>
      <c r="E3198">
        <v>3576</v>
      </c>
      <c r="F3198" t="s">
        <v>32</v>
      </c>
    </row>
    <row r="3199" spans="1:6" x14ac:dyDescent="0.35">
      <c r="A3199" s="1">
        <v>45709</v>
      </c>
      <c r="B3199" s="2">
        <v>45709.409269884258</v>
      </c>
      <c r="C3199" t="s">
        <v>8</v>
      </c>
      <c r="D3199" t="s">
        <v>1286</v>
      </c>
      <c r="E3199">
        <v>3576</v>
      </c>
      <c r="F3199" t="s">
        <v>24</v>
      </c>
    </row>
    <row r="3200" spans="1:6" x14ac:dyDescent="0.35">
      <c r="A3200" s="1">
        <v>45709</v>
      </c>
      <c r="B3200" s="2">
        <v>45709.410562557867</v>
      </c>
      <c r="C3200" t="s">
        <v>8</v>
      </c>
      <c r="D3200" t="s">
        <v>1287</v>
      </c>
      <c r="E3200">
        <v>2106</v>
      </c>
      <c r="F3200" t="s">
        <v>5</v>
      </c>
    </row>
    <row r="3201" spans="1:6" x14ac:dyDescent="0.35">
      <c r="A3201" s="1">
        <v>45709</v>
      </c>
      <c r="B3201" s="2">
        <v>45709.429293726855</v>
      </c>
      <c r="C3201" t="s">
        <v>8</v>
      </c>
      <c r="D3201" t="s">
        <v>1282</v>
      </c>
      <c r="E3201">
        <v>2596</v>
      </c>
      <c r="F3201" t="s">
        <v>28</v>
      </c>
    </row>
    <row r="3202" spans="1:6" x14ac:dyDescent="0.35">
      <c r="A3202" s="1">
        <v>45709</v>
      </c>
      <c r="B3202" s="2">
        <v>45709.465364918979</v>
      </c>
      <c r="C3202" t="s">
        <v>8</v>
      </c>
      <c r="D3202" t="s">
        <v>33</v>
      </c>
      <c r="E3202">
        <v>3086</v>
      </c>
      <c r="F3202" t="s">
        <v>36</v>
      </c>
    </row>
    <row r="3203" spans="1:6" x14ac:dyDescent="0.35">
      <c r="A3203" s="1">
        <v>45709</v>
      </c>
      <c r="B3203" s="2">
        <v>45709.503347592596</v>
      </c>
      <c r="C3203" t="s">
        <v>8</v>
      </c>
      <c r="D3203" t="s">
        <v>6</v>
      </c>
      <c r="E3203">
        <v>2596</v>
      </c>
      <c r="F3203" t="s">
        <v>28</v>
      </c>
    </row>
    <row r="3204" spans="1:6" x14ac:dyDescent="0.35">
      <c r="A3204" s="1">
        <v>45709</v>
      </c>
      <c r="B3204" s="2">
        <v>45709.505356087961</v>
      </c>
      <c r="C3204" t="s">
        <v>8</v>
      </c>
      <c r="D3204" t="s">
        <v>1288</v>
      </c>
      <c r="E3204">
        <v>2596</v>
      </c>
      <c r="F3204" t="s">
        <v>28</v>
      </c>
    </row>
    <row r="3205" spans="1:6" x14ac:dyDescent="0.35">
      <c r="A3205" s="1">
        <v>45709</v>
      </c>
      <c r="B3205" s="2">
        <v>45709.539097199071</v>
      </c>
      <c r="C3205" t="s">
        <v>8</v>
      </c>
      <c r="D3205" t="s">
        <v>1248</v>
      </c>
      <c r="E3205">
        <v>2596</v>
      </c>
      <c r="F3205" t="s">
        <v>28</v>
      </c>
    </row>
    <row r="3206" spans="1:6" x14ac:dyDescent="0.35">
      <c r="A3206" s="1">
        <v>45709</v>
      </c>
      <c r="B3206" s="2">
        <v>45709.539616435184</v>
      </c>
      <c r="C3206" t="s">
        <v>8</v>
      </c>
      <c r="D3206" t="s">
        <v>1217</v>
      </c>
      <c r="E3206">
        <v>2596</v>
      </c>
      <c r="F3206" t="s">
        <v>28</v>
      </c>
    </row>
    <row r="3207" spans="1:6" x14ac:dyDescent="0.35">
      <c r="A3207" s="1">
        <v>45709</v>
      </c>
      <c r="B3207" s="2">
        <v>45709.546330173609</v>
      </c>
      <c r="C3207" t="s">
        <v>8</v>
      </c>
      <c r="D3207" t="s">
        <v>1253</v>
      </c>
      <c r="E3207">
        <v>2596</v>
      </c>
      <c r="F3207" t="s">
        <v>28</v>
      </c>
    </row>
    <row r="3208" spans="1:6" x14ac:dyDescent="0.35">
      <c r="A3208" s="1">
        <v>45709</v>
      </c>
      <c r="B3208" s="2">
        <v>45709.595773182868</v>
      </c>
      <c r="C3208" t="s">
        <v>8</v>
      </c>
      <c r="D3208" t="s">
        <v>1253</v>
      </c>
      <c r="E3208">
        <v>2596</v>
      </c>
      <c r="F3208" t="s">
        <v>28</v>
      </c>
    </row>
    <row r="3209" spans="1:6" x14ac:dyDescent="0.35">
      <c r="A3209" s="1">
        <v>45709</v>
      </c>
      <c r="B3209" s="2">
        <v>45709.637861886571</v>
      </c>
      <c r="C3209" t="s">
        <v>8</v>
      </c>
      <c r="D3209" t="s">
        <v>1212</v>
      </c>
      <c r="E3209">
        <v>3576</v>
      </c>
      <c r="F3209" t="s">
        <v>24</v>
      </c>
    </row>
    <row r="3210" spans="1:6" x14ac:dyDescent="0.35">
      <c r="A3210" s="1">
        <v>45709</v>
      </c>
      <c r="B3210" s="2">
        <v>45709.656877719906</v>
      </c>
      <c r="C3210" t="s">
        <v>8</v>
      </c>
      <c r="D3210" t="s">
        <v>33</v>
      </c>
      <c r="E3210">
        <v>2596</v>
      </c>
      <c r="F3210" t="s">
        <v>28</v>
      </c>
    </row>
    <row r="3211" spans="1:6" x14ac:dyDescent="0.35">
      <c r="A3211" s="1">
        <v>45709</v>
      </c>
      <c r="B3211" s="2">
        <v>45709.657503877315</v>
      </c>
      <c r="C3211" t="s">
        <v>8</v>
      </c>
      <c r="D3211" t="s">
        <v>33</v>
      </c>
      <c r="E3211">
        <v>2596</v>
      </c>
      <c r="F3211" t="s">
        <v>28</v>
      </c>
    </row>
    <row r="3212" spans="1:6" x14ac:dyDescent="0.35">
      <c r="A3212" s="1">
        <v>45709</v>
      </c>
      <c r="B3212" s="2">
        <v>45709.661666898151</v>
      </c>
      <c r="C3212" t="s">
        <v>8</v>
      </c>
      <c r="D3212" t="s">
        <v>1253</v>
      </c>
      <c r="E3212">
        <v>2596</v>
      </c>
      <c r="F3212" t="s">
        <v>28</v>
      </c>
    </row>
    <row r="3213" spans="1:6" x14ac:dyDescent="0.35">
      <c r="A3213" s="1">
        <v>45709</v>
      </c>
      <c r="B3213" s="2">
        <v>45709.673682002314</v>
      </c>
      <c r="C3213" t="s">
        <v>8</v>
      </c>
      <c r="D3213" t="s">
        <v>1289</v>
      </c>
      <c r="E3213">
        <v>3576</v>
      </c>
      <c r="F3213" t="s">
        <v>10</v>
      </c>
    </row>
    <row r="3214" spans="1:6" x14ac:dyDescent="0.35">
      <c r="A3214" s="1">
        <v>45709</v>
      </c>
      <c r="B3214" s="2">
        <v>45709.699290196761</v>
      </c>
      <c r="C3214" t="s">
        <v>8</v>
      </c>
      <c r="D3214" t="s">
        <v>1241</v>
      </c>
      <c r="E3214">
        <v>3576</v>
      </c>
      <c r="F3214" t="s">
        <v>32</v>
      </c>
    </row>
    <row r="3215" spans="1:6" x14ac:dyDescent="0.35">
      <c r="A3215" s="1">
        <v>45709</v>
      </c>
      <c r="B3215" s="2">
        <v>45709.700677256944</v>
      </c>
      <c r="C3215" t="s">
        <v>8</v>
      </c>
      <c r="D3215" t="s">
        <v>1215</v>
      </c>
      <c r="E3215">
        <v>3576</v>
      </c>
      <c r="F3215" t="s">
        <v>15</v>
      </c>
    </row>
    <row r="3216" spans="1:6" x14ac:dyDescent="0.35">
      <c r="A3216" s="1">
        <v>45709</v>
      </c>
      <c r="B3216" s="2">
        <v>45709.701544178242</v>
      </c>
      <c r="C3216" t="s">
        <v>8</v>
      </c>
      <c r="D3216" t="s">
        <v>1215</v>
      </c>
      <c r="E3216">
        <v>3576</v>
      </c>
      <c r="F3216" t="s">
        <v>32</v>
      </c>
    </row>
    <row r="3217" spans="1:6" x14ac:dyDescent="0.35">
      <c r="A3217" s="1">
        <v>45709</v>
      </c>
      <c r="B3217" s="2">
        <v>45709.797440104165</v>
      </c>
      <c r="C3217" t="s">
        <v>8</v>
      </c>
      <c r="D3217" t="s">
        <v>1228</v>
      </c>
      <c r="E3217">
        <v>3576</v>
      </c>
      <c r="F3217" t="s">
        <v>10</v>
      </c>
    </row>
    <row r="3218" spans="1:6" x14ac:dyDescent="0.35">
      <c r="A3218" s="1">
        <v>45709</v>
      </c>
      <c r="B3218" s="2">
        <v>45709.798027210651</v>
      </c>
      <c r="C3218" t="s">
        <v>8</v>
      </c>
      <c r="D3218" t="s">
        <v>1228</v>
      </c>
      <c r="E3218">
        <v>3576</v>
      </c>
      <c r="F3218" t="s">
        <v>10</v>
      </c>
    </row>
    <row r="3219" spans="1:6" x14ac:dyDescent="0.35">
      <c r="A3219" s="1">
        <v>45709</v>
      </c>
      <c r="B3219" s="2">
        <v>45709.832917997686</v>
      </c>
      <c r="C3219" t="s">
        <v>8</v>
      </c>
      <c r="D3219" t="s">
        <v>1234</v>
      </c>
      <c r="E3219">
        <v>3576</v>
      </c>
      <c r="F3219" t="s">
        <v>24</v>
      </c>
    </row>
    <row r="3220" spans="1:6" x14ac:dyDescent="0.35">
      <c r="A3220" s="1">
        <v>45710</v>
      </c>
      <c r="B3220" s="2">
        <v>45710.452994004627</v>
      </c>
      <c r="C3220" t="s">
        <v>8</v>
      </c>
      <c r="D3220" t="s">
        <v>1290</v>
      </c>
      <c r="E3220">
        <v>3576</v>
      </c>
      <c r="F3220" t="s">
        <v>15</v>
      </c>
    </row>
    <row r="3221" spans="1:6" x14ac:dyDescent="0.35">
      <c r="A3221" s="1">
        <v>45710</v>
      </c>
      <c r="B3221" s="2">
        <v>45710.478130243057</v>
      </c>
      <c r="C3221" t="s">
        <v>8</v>
      </c>
      <c r="D3221" t="s">
        <v>1291</v>
      </c>
      <c r="E3221">
        <v>2596</v>
      </c>
      <c r="F3221" t="s">
        <v>28</v>
      </c>
    </row>
    <row r="3222" spans="1:6" x14ac:dyDescent="0.35">
      <c r="A3222" s="1">
        <v>45710</v>
      </c>
      <c r="B3222" s="2">
        <v>45710.486954259257</v>
      </c>
      <c r="C3222" t="s">
        <v>8</v>
      </c>
      <c r="D3222" t="s">
        <v>1240</v>
      </c>
      <c r="E3222">
        <v>2596</v>
      </c>
      <c r="F3222" t="s">
        <v>28</v>
      </c>
    </row>
    <row r="3223" spans="1:6" x14ac:dyDescent="0.35">
      <c r="A3223" s="1">
        <v>45710</v>
      </c>
      <c r="B3223" s="2">
        <v>45710.541456631945</v>
      </c>
      <c r="C3223" t="s">
        <v>8</v>
      </c>
      <c r="D3223" t="s">
        <v>151</v>
      </c>
      <c r="E3223">
        <v>2106</v>
      </c>
      <c r="F3223" t="s">
        <v>5</v>
      </c>
    </row>
    <row r="3224" spans="1:6" x14ac:dyDescent="0.35">
      <c r="A3224" s="1">
        <v>45710</v>
      </c>
      <c r="B3224" s="2">
        <v>45710.627121180558</v>
      </c>
      <c r="C3224" t="s">
        <v>8</v>
      </c>
      <c r="D3224" t="s">
        <v>1213</v>
      </c>
      <c r="E3224">
        <v>3086</v>
      </c>
      <c r="F3224" t="s">
        <v>36</v>
      </c>
    </row>
    <row r="3225" spans="1:6" x14ac:dyDescent="0.35">
      <c r="A3225" s="1">
        <v>45711</v>
      </c>
      <c r="B3225" s="2">
        <v>45711.439716631947</v>
      </c>
      <c r="C3225" t="s">
        <v>8</v>
      </c>
      <c r="D3225" t="s">
        <v>1207</v>
      </c>
      <c r="E3225">
        <v>3086</v>
      </c>
      <c r="F3225" t="s">
        <v>36</v>
      </c>
    </row>
    <row r="3226" spans="1:6" x14ac:dyDescent="0.35">
      <c r="A3226" s="1">
        <v>45711</v>
      </c>
      <c r="B3226" s="2">
        <v>45711.536416724535</v>
      </c>
      <c r="C3226" t="s">
        <v>8</v>
      </c>
      <c r="D3226" t="s">
        <v>33</v>
      </c>
      <c r="E3226">
        <v>3086</v>
      </c>
      <c r="F3226" t="s">
        <v>36</v>
      </c>
    </row>
    <row r="3227" spans="1:6" x14ac:dyDescent="0.35">
      <c r="A3227" s="1">
        <v>45711</v>
      </c>
      <c r="B3227" s="2">
        <v>45711.537571412038</v>
      </c>
      <c r="C3227" t="s">
        <v>8</v>
      </c>
      <c r="D3227" t="s">
        <v>33</v>
      </c>
      <c r="E3227">
        <v>3086</v>
      </c>
      <c r="F3227" t="s">
        <v>36</v>
      </c>
    </row>
    <row r="3228" spans="1:6" x14ac:dyDescent="0.35">
      <c r="A3228" s="1">
        <v>45711</v>
      </c>
      <c r="B3228" s="2">
        <v>45711.57663920139</v>
      </c>
      <c r="C3228" t="s">
        <v>8</v>
      </c>
      <c r="D3228" t="s">
        <v>1292</v>
      </c>
      <c r="E3228">
        <v>3576</v>
      </c>
      <c r="F3228" t="s">
        <v>24</v>
      </c>
    </row>
    <row r="3229" spans="1:6" x14ac:dyDescent="0.35">
      <c r="A3229" s="1">
        <v>45711</v>
      </c>
      <c r="B3229" s="2">
        <v>45711.584762048609</v>
      </c>
      <c r="C3229" t="s">
        <v>8</v>
      </c>
      <c r="D3229" t="s">
        <v>1207</v>
      </c>
      <c r="E3229">
        <v>3576</v>
      </c>
      <c r="F3229" t="s">
        <v>10</v>
      </c>
    </row>
    <row r="3230" spans="1:6" x14ac:dyDescent="0.35">
      <c r="A3230" s="1">
        <v>45711</v>
      </c>
      <c r="B3230" s="2">
        <v>45711.727603263891</v>
      </c>
      <c r="C3230" t="s">
        <v>8</v>
      </c>
      <c r="D3230" t="s">
        <v>1293</v>
      </c>
      <c r="E3230">
        <v>2596</v>
      </c>
      <c r="F3230" t="s">
        <v>28</v>
      </c>
    </row>
    <row r="3231" spans="1:6" x14ac:dyDescent="0.35">
      <c r="A3231" s="1">
        <v>45712</v>
      </c>
      <c r="B3231" s="2">
        <v>45712.385342187503</v>
      </c>
      <c r="C3231" t="s">
        <v>8</v>
      </c>
      <c r="D3231" t="s">
        <v>1270</v>
      </c>
      <c r="E3231">
        <v>3086</v>
      </c>
      <c r="F3231" t="s">
        <v>36</v>
      </c>
    </row>
    <row r="3232" spans="1:6" x14ac:dyDescent="0.35">
      <c r="A3232" s="1">
        <v>45712</v>
      </c>
      <c r="B3232" s="2">
        <v>45712.406373831021</v>
      </c>
      <c r="C3232" t="s">
        <v>8</v>
      </c>
      <c r="D3232" t="s">
        <v>1294</v>
      </c>
      <c r="E3232">
        <v>3576</v>
      </c>
      <c r="F3232" t="s">
        <v>32</v>
      </c>
    </row>
    <row r="3233" spans="1:6" x14ac:dyDescent="0.35">
      <c r="A3233" s="1">
        <v>45712</v>
      </c>
      <c r="B3233" s="2">
        <v>45712.418616909723</v>
      </c>
      <c r="C3233" t="s">
        <v>8</v>
      </c>
      <c r="D3233" t="s">
        <v>33</v>
      </c>
      <c r="E3233">
        <v>2596</v>
      </c>
      <c r="F3233" t="s">
        <v>28</v>
      </c>
    </row>
    <row r="3234" spans="1:6" x14ac:dyDescent="0.35">
      <c r="A3234" s="1">
        <v>45712</v>
      </c>
      <c r="B3234" s="2">
        <v>45712.423061273148</v>
      </c>
      <c r="C3234" t="s">
        <v>8</v>
      </c>
      <c r="D3234" t="s">
        <v>1295</v>
      </c>
      <c r="E3234">
        <v>3086</v>
      </c>
      <c r="F3234" t="s">
        <v>36</v>
      </c>
    </row>
    <row r="3235" spans="1:6" x14ac:dyDescent="0.35">
      <c r="A3235" s="1">
        <v>45712</v>
      </c>
      <c r="B3235" s="2">
        <v>45712.423862569442</v>
      </c>
      <c r="C3235" t="s">
        <v>8</v>
      </c>
      <c r="D3235" t="s">
        <v>1295</v>
      </c>
      <c r="E3235">
        <v>3086</v>
      </c>
      <c r="F3235" t="s">
        <v>36</v>
      </c>
    </row>
    <row r="3236" spans="1:6" x14ac:dyDescent="0.35">
      <c r="A3236" s="1">
        <v>45712</v>
      </c>
      <c r="B3236" s="2">
        <v>45712.44985740741</v>
      </c>
      <c r="C3236" t="s">
        <v>8</v>
      </c>
      <c r="D3236" t="s">
        <v>1294</v>
      </c>
      <c r="E3236">
        <v>3576</v>
      </c>
      <c r="F3236" t="s">
        <v>10</v>
      </c>
    </row>
    <row r="3237" spans="1:6" x14ac:dyDescent="0.35">
      <c r="A3237" s="1">
        <v>45712</v>
      </c>
      <c r="B3237" s="2">
        <v>45712.540755891205</v>
      </c>
      <c r="C3237" t="s">
        <v>8</v>
      </c>
      <c r="D3237" t="s">
        <v>1241</v>
      </c>
      <c r="E3237">
        <v>3576</v>
      </c>
      <c r="F3237" t="s">
        <v>32</v>
      </c>
    </row>
    <row r="3238" spans="1:6" x14ac:dyDescent="0.35">
      <c r="A3238" s="1">
        <v>45712</v>
      </c>
      <c r="B3238" s="2">
        <v>45712.541681458337</v>
      </c>
      <c r="C3238" t="s">
        <v>8</v>
      </c>
      <c r="D3238" t="s">
        <v>1241</v>
      </c>
      <c r="E3238">
        <v>3576</v>
      </c>
      <c r="F3238" t="s">
        <v>10</v>
      </c>
    </row>
    <row r="3239" spans="1:6" x14ac:dyDescent="0.35">
      <c r="A3239" s="1">
        <v>45712</v>
      </c>
      <c r="B3239" s="2">
        <v>45712.652798842595</v>
      </c>
      <c r="C3239" t="s">
        <v>8</v>
      </c>
      <c r="D3239" t="s">
        <v>33</v>
      </c>
      <c r="E3239">
        <v>3086</v>
      </c>
      <c r="F3239" t="s">
        <v>36</v>
      </c>
    </row>
    <row r="3240" spans="1:6" x14ac:dyDescent="0.35">
      <c r="A3240" s="1">
        <v>45712</v>
      </c>
      <c r="B3240" s="2">
        <v>45712.666739895831</v>
      </c>
      <c r="C3240" t="s">
        <v>8</v>
      </c>
      <c r="D3240" t="s">
        <v>1296</v>
      </c>
      <c r="E3240">
        <v>3576</v>
      </c>
      <c r="F3240" t="s">
        <v>10</v>
      </c>
    </row>
    <row r="3241" spans="1:6" x14ac:dyDescent="0.35">
      <c r="A3241" s="1">
        <v>45712</v>
      </c>
      <c r="B3241" s="2">
        <v>45712.67388855324</v>
      </c>
      <c r="C3241" t="s">
        <v>8</v>
      </c>
      <c r="D3241" t="s">
        <v>1234</v>
      </c>
      <c r="E3241">
        <v>3576</v>
      </c>
      <c r="F3241" t="s">
        <v>24</v>
      </c>
    </row>
    <row r="3242" spans="1:6" x14ac:dyDescent="0.35">
      <c r="A3242" s="1">
        <v>45712</v>
      </c>
      <c r="B3242" s="2">
        <v>45712.686714490737</v>
      </c>
      <c r="C3242" t="s">
        <v>8</v>
      </c>
      <c r="D3242" t="s">
        <v>1227</v>
      </c>
      <c r="E3242">
        <v>3576</v>
      </c>
      <c r="F3242" t="s">
        <v>32</v>
      </c>
    </row>
    <row r="3243" spans="1:6" x14ac:dyDescent="0.35">
      <c r="A3243" s="1">
        <v>45712</v>
      </c>
      <c r="B3243" s="2">
        <v>45712.708084814818</v>
      </c>
      <c r="C3243" t="s">
        <v>8</v>
      </c>
      <c r="D3243" t="s">
        <v>1220</v>
      </c>
      <c r="E3243">
        <v>2596</v>
      </c>
      <c r="F3243" t="s">
        <v>28</v>
      </c>
    </row>
    <row r="3244" spans="1:6" x14ac:dyDescent="0.35">
      <c r="A3244" s="1">
        <v>45712</v>
      </c>
      <c r="B3244" s="2">
        <v>45712.708853414355</v>
      </c>
      <c r="C3244" t="s">
        <v>8</v>
      </c>
      <c r="D3244" t="s">
        <v>1220</v>
      </c>
      <c r="E3244">
        <v>2596</v>
      </c>
      <c r="F3244" t="s">
        <v>28</v>
      </c>
    </row>
    <row r="3245" spans="1:6" x14ac:dyDescent="0.35">
      <c r="A3245" s="1">
        <v>45712</v>
      </c>
      <c r="B3245" s="2">
        <v>45712.73447855324</v>
      </c>
      <c r="C3245" t="s">
        <v>8</v>
      </c>
      <c r="D3245" t="s">
        <v>1272</v>
      </c>
      <c r="E3245">
        <v>3086</v>
      </c>
      <c r="F3245" t="s">
        <v>36</v>
      </c>
    </row>
    <row r="3246" spans="1:6" x14ac:dyDescent="0.35">
      <c r="A3246" s="1">
        <v>45712</v>
      </c>
      <c r="B3246" s="2">
        <v>45712.754880775465</v>
      </c>
      <c r="C3246" t="s">
        <v>8</v>
      </c>
      <c r="D3246" t="s">
        <v>1213</v>
      </c>
      <c r="E3246">
        <v>3086</v>
      </c>
      <c r="F3246" t="s">
        <v>36</v>
      </c>
    </row>
    <row r="3247" spans="1:6" x14ac:dyDescent="0.35">
      <c r="A3247" s="1">
        <v>45712</v>
      </c>
      <c r="B3247" s="2">
        <v>45712.765244965274</v>
      </c>
      <c r="C3247" t="s">
        <v>8</v>
      </c>
      <c r="D3247" t="s">
        <v>1241</v>
      </c>
      <c r="E3247">
        <v>3576</v>
      </c>
      <c r="F3247" t="s">
        <v>32</v>
      </c>
    </row>
    <row r="3248" spans="1:6" x14ac:dyDescent="0.35">
      <c r="A3248" s="1">
        <v>45712</v>
      </c>
      <c r="B3248" s="2">
        <v>45712.794843020834</v>
      </c>
      <c r="C3248" t="s">
        <v>8</v>
      </c>
      <c r="D3248" t="s">
        <v>930</v>
      </c>
      <c r="E3248">
        <v>3086</v>
      </c>
      <c r="F3248" t="s">
        <v>36</v>
      </c>
    </row>
    <row r="3249" spans="1:6" x14ac:dyDescent="0.35">
      <c r="A3249" s="1">
        <v>45712</v>
      </c>
      <c r="B3249" s="2">
        <v>45712.808458437503</v>
      </c>
      <c r="C3249" t="s">
        <v>8</v>
      </c>
      <c r="D3249" t="s">
        <v>1229</v>
      </c>
      <c r="E3249">
        <v>3576</v>
      </c>
      <c r="F3249" t="s">
        <v>15</v>
      </c>
    </row>
    <row r="3250" spans="1:6" x14ac:dyDescent="0.35">
      <c r="A3250" s="1">
        <v>45712</v>
      </c>
      <c r="B3250" s="2">
        <v>45712.808963090276</v>
      </c>
      <c r="C3250" t="s">
        <v>8</v>
      </c>
      <c r="D3250" t="s">
        <v>1297</v>
      </c>
      <c r="E3250">
        <v>3576</v>
      </c>
      <c r="F3250" t="s">
        <v>32</v>
      </c>
    </row>
    <row r="3251" spans="1:6" x14ac:dyDescent="0.35">
      <c r="A3251" s="1">
        <v>45712</v>
      </c>
      <c r="B3251" s="2">
        <v>45712.809893136575</v>
      </c>
      <c r="C3251" t="s">
        <v>8</v>
      </c>
      <c r="D3251" t="s">
        <v>1229</v>
      </c>
      <c r="E3251">
        <v>3576</v>
      </c>
      <c r="F3251" t="s">
        <v>10</v>
      </c>
    </row>
    <row r="3252" spans="1:6" x14ac:dyDescent="0.35">
      <c r="A3252" s="1">
        <v>45712</v>
      </c>
      <c r="B3252" s="2">
        <v>45712.843649340277</v>
      </c>
      <c r="C3252" t="s">
        <v>8</v>
      </c>
      <c r="D3252" t="s">
        <v>1207</v>
      </c>
      <c r="E3252">
        <v>3576</v>
      </c>
      <c r="F3252" t="s">
        <v>10</v>
      </c>
    </row>
    <row r="3253" spans="1:6" x14ac:dyDescent="0.35">
      <c r="A3253" s="1">
        <v>45713</v>
      </c>
      <c r="B3253" s="2">
        <v>45713.333787696756</v>
      </c>
      <c r="C3253" t="s">
        <v>8</v>
      </c>
      <c r="D3253" t="s">
        <v>1204</v>
      </c>
      <c r="E3253">
        <v>3086</v>
      </c>
      <c r="F3253" t="s">
        <v>36</v>
      </c>
    </row>
    <row r="3254" spans="1:6" x14ac:dyDescent="0.35">
      <c r="A3254" s="1">
        <v>45713</v>
      </c>
      <c r="B3254" s="2">
        <v>45713.367604953703</v>
      </c>
      <c r="C3254" t="s">
        <v>8</v>
      </c>
      <c r="D3254" t="s">
        <v>1203</v>
      </c>
      <c r="E3254">
        <v>2596</v>
      </c>
      <c r="F3254" t="s">
        <v>28</v>
      </c>
    </row>
    <row r="3255" spans="1:6" x14ac:dyDescent="0.35">
      <c r="A3255" s="1">
        <v>45713</v>
      </c>
      <c r="B3255" s="2">
        <v>45713.368220590281</v>
      </c>
      <c r="C3255" t="s">
        <v>8</v>
      </c>
      <c r="D3255" t="s">
        <v>1203</v>
      </c>
      <c r="E3255">
        <v>3086</v>
      </c>
      <c r="F3255" t="s">
        <v>36</v>
      </c>
    </row>
    <row r="3256" spans="1:6" x14ac:dyDescent="0.35">
      <c r="A3256" s="1">
        <v>45713</v>
      </c>
      <c r="B3256" s="2">
        <v>45713.418574675925</v>
      </c>
      <c r="C3256" t="s">
        <v>8</v>
      </c>
      <c r="D3256" t="s">
        <v>1287</v>
      </c>
      <c r="E3256">
        <v>2106</v>
      </c>
      <c r="F3256" t="s">
        <v>5</v>
      </c>
    </row>
    <row r="3257" spans="1:6" x14ac:dyDescent="0.35">
      <c r="A3257" s="1">
        <v>45713</v>
      </c>
      <c r="B3257" s="2">
        <v>45713.460808449076</v>
      </c>
      <c r="C3257" t="s">
        <v>8</v>
      </c>
      <c r="D3257" t="s">
        <v>1220</v>
      </c>
      <c r="E3257">
        <v>2596</v>
      </c>
      <c r="F3257" t="s">
        <v>28</v>
      </c>
    </row>
    <row r="3258" spans="1:6" x14ac:dyDescent="0.35">
      <c r="A3258" s="1">
        <v>45713</v>
      </c>
      <c r="B3258" s="2">
        <v>45713.461422650464</v>
      </c>
      <c r="C3258" t="s">
        <v>8</v>
      </c>
      <c r="D3258" t="s">
        <v>1203</v>
      </c>
      <c r="E3258">
        <v>2596</v>
      </c>
      <c r="F3258" t="s">
        <v>28</v>
      </c>
    </row>
    <row r="3259" spans="1:6" x14ac:dyDescent="0.35">
      <c r="A3259" s="1">
        <v>45713</v>
      </c>
      <c r="B3259" s="2">
        <v>45713.514369293982</v>
      </c>
      <c r="C3259" t="s">
        <v>8</v>
      </c>
      <c r="D3259" t="s">
        <v>1234</v>
      </c>
      <c r="E3259">
        <v>3576</v>
      </c>
      <c r="F3259" t="s">
        <v>24</v>
      </c>
    </row>
    <row r="3260" spans="1:6" x14ac:dyDescent="0.35">
      <c r="A3260" s="1">
        <v>45713</v>
      </c>
      <c r="B3260" s="2">
        <v>45713.593270150464</v>
      </c>
      <c r="C3260" t="s">
        <v>8</v>
      </c>
      <c r="D3260" t="s">
        <v>1212</v>
      </c>
      <c r="E3260">
        <v>3576</v>
      </c>
      <c r="F3260" t="s">
        <v>24</v>
      </c>
    </row>
    <row r="3261" spans="1:6" x14ac:dyDescent="0.35">
      <c r="A3261" s="1">
        <v>45713</v>
      </c>
      <c r="B3261" s="2">
        <v>45713.701127256943</v>
      </c>
      <c r="C3261" t="s">
        <v>8</v>
      </c>
      <c r="D3261" t="s">
        <v>76</v>
      </c>
      <c r="E3261">
        <v>2596</v>
      </c>
      <c r="F3261" t="s">
        <v>28</v>
      </c>
    </row>
    <row r="3262" spans="1:6" x14ac:dyDescent="0.35">
      <c r="A3262" s="1">
        <v>45713</v>
      </c>
      <c r="B3262" s="2">
        <v>45713.701803368058</v>
      </c>
      <c r="C3262" t="s">
        <v>8</v>
      </c>
      <c r="D3262" t="s">
        <v>76</v>
      </c>
      <c r="E3262">
        <v>2596</v>
      </c>
      <c r="F3262" t="s">
        <v>28</v>
      </c>
    </row>
    <row r="3263" spans="1:6" x14ac:dyDescent="0.35">
      <c r="A3263" s="1">
        <v>45713</v>
      </c>
      <c r="B3263" s="2">
        <v>45713.763299270831</v>
      </c>
      <c r="C3263" t="s">
        <v>8</v>
      </c>
      <c r="D3263" t="s">
        <v>1284</v>
      </c>
      <c r="E3263">
        <v>3576</v>
      </c>
      <c r="F3263" t="s">
        <v>10</v>
      </c>
    </row>
    <row r="3264" spans="1:6" x14ac:dyDescent="0.35">
      <c r="A3264" s="1">
        <v>45713</v>
      </c>
      <c r="B3264" s="2">
        <v>45713.814356875002</v>
      </c>
      <c r="C3264" t="s">
        <v>8</v>
      </c>
      <c r="D3264" t="s">
        <v>1203</v>
      </c>
      <c r="E3264">
        <v>3576</v>
      </c>
      <c r="F3264" t="s">
        <v>24</v>
      </c>
    </row>
    <row r="3265" spans="1:6" x14ac:dyDescent="0.35">
      <c r="A3265" s="1">
        <v>45714</v>
      </c>
      <c r="B3265" s="2">
        <v>45714.373347650464</v>
      </c>
      <c r="C3265" t="s">
        <v>8</v>
      </c>
      <c r="D3265" t="s">
        <v>1220</v>
      </c>
      <c r="E3265">
        <v>2596</v>
      </c>
      <c r="F3265" t="s">
        <v>28</v>
      </c>
    </row>
    <row r="3266" spans="1:6" x14ac:dyDescent="0.35">
      <c r="A3266" s="1">
        <v>45714</v>
      </c>
      <c r="B3266" s="2">
        <v>45714.424619675927</v>
      </c>
      <c r="C3266" t="s">
        <v>8</v>
      </c>
      <c r="D3266" t="s">
        <v>1298</v>
      </c>
      <c r="E3266">
        <v>3086</v>
      </c>
      <c r="F3266" t="s">
        <v>36</v>
      </c>
    </row>
    <row r="3267" spans="1:6" x14ac:dyDescent="0.35">
      <c r="A3267" s="1">
        <v>45714</v>
      </c>
      <c r="B3267" s="2">
        <v>45714.425295289351</v>
      </c>
      <c r="C3267" t="s">
        <v>8</v>
      </c>
      <c r="D3267" t="s">
        <v>1298</v>
      </c>
      <c r="E3267">
        <v>3086</v>
      </c>
      <c r="F3267" t="s">
        <v>36</v>
      </c>
    </row>
    <row r="3268" spans="1:6" x14ac:dyDescent="0.35">
      <c r="A3268" s="1">
        <v>45714</v>
      </c>
      <c r="B3268" s="2">
        <v>45714.428438553237</v>
      </c>
      <c r="C3268" t="s">
        <v>8</v>
      </c>
      <c r="D3268" t="s">
        <v>1206</v>
      </c>
      <c r="E3268">
        <v>3576</v>
      </c>
      <c r="F3268" t="s">
        <v>15</v>
      </c>
    </row>
    <row r="3269" spans="1:6" x14ac:dyDescent="0.35">
      <c r="A3269" s="1">
        <v>45714</v>
      </c>
      <c r="B3269" s="2">
        <v>45714.551005520836</v>
      </c>
      <c r="C3269" t="s">
        <v>8</v>
      </c>
      <c r="D3269" t="s">
        <v>1218</v>
      </c>
      <c r="E3269">
        <v>3576</v>
      </c>
      <c r="F3269" t="s">
        <v>10</v>
      </c>
    </row>
    <row r="3270" spans="1:6" x14ac:dyDescent="0.35">
      <c r="A3270" s="1">
        <v>45714</v>
      </c>
      <c r="B3270" s="2">
        <v>45714.563467719905</v>
      </c>
      <c r="C3270" t="s">
        <v>8</v>
      </c>
      <c r="D3270" t="s">
        <v>1241</v>
      </c>
      <c r="E3270">
        <v>3576</v>
      </c>
      <c r="F3270" t="s">
        <v>32</v>
      </c>
    </row>
    <row r="3271" spans="1:6" x14ac:dyDescent="0.35">
      <c r="A3271" s="1">
        <v>45714</v>
      </c>
      <c r="B3271" s="2">
        <v>45714.626373101855</v>
      </c>
      <c r="C3271" t="s">
        <v>8</v>
      </c>
      <c r="D3271" t="s">
        <v>6</v>
      </c>
      <c r="E3271">
        <v>2596</v>
      </c>
      <c r="F3271" t="s">
        <v>28</v>
      </c>
    </row>
    <row r="3272" spans="1:6" x14ac:dyDescent="0.35">
      <c r="A3272" s="1">
        <v>45714</v>
      </c>
      <c r="B3272" s="2">
        <v>45714.635277650465</v>
      </c>
      <c r="C3272" t="s">
        <v>8</v>
      </c>
      <c r="D3272" t="s">
        <v>1299</v>
      </c>
      <c r="E3272">
        <v>2596</v>
      </c>
      <c r="F3272" t="s">
        <v>28</v>
      </c>
    </row>
    <row r="3273" spans="1:6" x14ac:dyDescent="0.35">
      <c r="A3273" s="1">
        <v>45714</v>
      </c>
      <c r="B3273" s="2">
        <v>45714.637089664349</v>
      </c>
      <c r="C3273" t="s">
        <v>8</v>
      </c>
      <c r="D3273" t="s">
        <v>1297</v>
      </c>
      <c r="E3273">
        <v>2596</v>
      </c>
      <c r="F3273" t="s">
        <v>20</v>
      </c>
    </row>
    <row r="3274" spans="1:6" x14ac:dyDescent="0.35">
      <c r="A3274" s="1">
        <v>45714</v>
      </c>
      <c r="B3274" s="2">
        <v>45714.638921527781</v>
      </c>
      <c r="C3274" t="s">
        <v>8</v>
      </c>
      <c r="D3274" t="s">
        <v>1300</v>
      </c>
      <c r="E3274">
        <v>3576</v>
      </c>
      <c r="F3274" t="s">
        <v>15</v>
      </c>
    </row>
    <row r="3275" spans="1:6" x14ac:dyDescent="0.35">
      <c r="A3275" s="1">
        <v>45714</v>
      </c>
      <c r="B3275" s="2">
        <v>45714.639453761571</v>
      </c>
      <c r="C3275" t="s">
        <v>8</v>
      </c>
      <c r="D3275" t="s">
        <v>1300</v>
      </c>
      <c r="E3275">
        <v>2596</v>
      </c>
      <c r="F3275" t="s">
        <v>28</v>
      </c>
    </row>
    <row r="3276" spans="1:6" x14ac:dyDescent="0.35">
      <c r="A3276" s="1">
        <v>45714</v>
      </c>
      <c r="B3276" s="2">
        <v>45714.64496824074</v>
      </c>
      <c r="C3276" t="s">
        <v>8</v>
      </c>
      <c r="D3276" t="s">
        <v>1240</v>
      </c>
      <c r="E3276">
        <v>2596</v>
      </c>
      <c r="F3276" t="s">
        <v>28</v>
      </c>
    </row>
    <row r="3277" spans="1:6" x14ac:dyDescent="0.35">
      <c r="A3277" s="1">
        <v>45714</v>
      </c>
      <c r="B3277" s="2">
        <v>45714.681097129629</v>
      </c>
      <c r="C3277" t="s">
        <v>8</v>
      </c>
      <c r="D3277" t="s">
        <v>1214</v>
      </c>
      <c r="E3277">
        <v>3576</v>
      </c>
      <c r="F3277" t="s">
        <v>32</v>
      </c>
    </row>
    <row r="3278" spans="1:6" x14ac:dyDescent="0.35">
      <c r="A3278" s="1">
        <v>45714</v>
      </c>
      <c r="B3278" s="2">
        <v>45714.705018680557</v>
      </c>
      <c r="C3278" t="s">
        <v>8</v>
      </c>
      <c r="D3278" t="s">
        <v>1215</v>
      </c>
      <c r="E3278">
        <v>3576</v>
      </c>
      <c r="F3278" t="s">
        <v>15</v>
      </c>
    </row>
    <row r="3279" spans="1:6" x14ac:dyDescent="0.35">
      <c r="A3279" s="1">
        <v>45714</v>
      </c>
      <c r="B3279" s="2">
        <v>45714.705551493054</v>
      </c>
      <c r="C3279" t="s">
        <v>8</v>
      </c>
      <c r="D3279" t="s">
        <v>1241</v>
      </c>
      <c r="E3279">
        <v>3576</v>
      </c>
      <c r="F3279" t="s">
        <v>32</v>
      </c>
    </row>
    <row r="3280" spans="1:6" x14ac:dyDescent="0.35">
      <c r="A3280" s="1">
        <v>45714</v>
      </c>
      <c r="B3280" s="2">
        <v>45714.724127002315</v>
      </c>
      <c r="C3280" t="s">
        <v>8</v>
      </c>
      <c r="D3280" t="s">
        <v>1216</v>
      </c>
      <c r="E3280">
        <v>3086</v>
      </c>
      <c r="F3280" t="s">
        <v>36</v>
      </c>
    </row>
    <row r="3281" spans="1:6" x14ac:dyDescent="0.35">
      <c r="A3281" s="1">
        <v>45714</v>
      </c>
      <c r="B3281" s="2">
        <v>45714.75791828704</v>
      </c>
      <c r="C3281" t="s">
        <v>8</v>
      </c>
      <c r="D3281" t="s">
        <v>33</v>
      </c>
      <c r="E3281">
        <v>3576</v>
      </c>
      <c r="F3281" t="s">
        <v>32</v>
      </c>
    </row>
    <row r="3282" spans="1:6" x14ac:dyDescent="0.35">
      <c r="A3282" s="1">
        <v>45714</v>
      </c>
      <c r="B3282" s="2">
        <v>45714.759611331021</v>
      </c>
      <c r="C3282" t="s">
        <v>8</v>
      </c>
      <c r="D3282" t="s">
        <v>33</v>
      </c>
      <c r="E3282">
        <v>3576</v>
      </c>
      <c r="F3282" t="s">
        <v>24</v>
      </c>
    </row>
    <row r="3283" spans="1:6" x14ac:dyDescent="0.35">
      <c r="A3283" s="1">
        <v>45715</v>
      </c>
      <c r="B3283" s="2">
        <v>45715.304864837963</v>
      </c>
      <c r="C3283" t="s">
        <v>8</v>
      </c>
      <c r="D3283" t="s">
        <v>33</v>
      </c>
      <c r="E3283">
        <v>3576</v>
      </c>
      <c r="F3283" t="s">
        <v>24</v>
      </c>
    </row>
    <row r="3284" spans="1:6" x14ac:dyDescent="0.35">
      <c r="A3284" s="1">
        <v>45715</v>
      </c>
      <c r="B3284" s="2">
        <v>45715.306256747688</v>
      </c>
      <c r="C3284" t="s">
        <v>8</v>
      </c>
      <c r="D3284" t="s">
        <v>1212</v>
      </c>
      <c r="E3284">
        <v>3576</v>
      </c>
      <c r="F3284" t="s">
        <v>24</v>
      </c>
    </row>
    <row r="3285" spans="1:6" x14ac:dyDescent="0.35">
      <c r="A3285" s="1">
        <v>45715</v>
      </c>
      <c r="B3285" s="2">
        <v>45715.45311519676</v>
      </c>
      <c r="C3285" t="s">
        <v>8</v>
      </c>
      <c r="D3285" t="s">
        <v>1287</v>
      </c>
      <c r="E3285">
        <v>2106</v>
      </c>
      <c r="F3285" t="s">
        <v>5</v>
      </c>
    </row>
    <row r="3286" spans="1:6" x14ac:dyDescent="0.35">
      <c r="A3286" s="1">
        <v>45715</v>
      </c>
      <c r="B3286" s="2">
        <v>45715.464084074076</v>
      </c>
      <c r="C3286" t="s">
        <v>8</v>
      </c>
      <c r="D3286" t="s">
        <v>1218</v>
      </c>
      <c r="E3286">
        <v>3576</v>
      </c>
      <c r="F3286" t="s">
        <v>10</v>
      </c>
    </row>
    <row r="3287" spans="1:6" x14ac:dyDescent="0.35">
      <c r="A3287" s="1">
        <v>45715</v>
      </c>
      <c r="B3287" s="2">
        <v>45715.53351710648</v>
      </c>
      <c r="C3287" t="s">
        <v>8</v>
      </c>
      <c r="D3287" t="s">
        <v>1301</v>
      </c>
      <c r="E3287">
        <v>3576</v>
      </c>
      <c r="F3287" t="s">
        <v>10</v>
      </c>
    </row>
    <row r="3288" spans="1:6" x14ac:dyDescent="0.35">
      <c r="A3288" s="1">
        <v>45715</v>
      </c>
      <c r="B3288" s="2">
        <v>45715.562366018516</v>
      </c>
      <c r="C3288" t="s">
        <v>8</v>
      </c>
      <c r="D3288" t="s">
        <v>1302</v>
      </c>
      <c r="E3288">
        <v>3086</v>
      </c>
      <c r="F3288" t="s">
        <v>36</v>
      </c>
    </row>
    <row r="3289" spans="1:6" x14ac:dyDescent="0.35">
      <c r="A3289" s="1">
        <v>45715</v>
      </c>
      <c r="B3289" s="2">
        <v>45715.599496516203</v>
      </c>
      <c r="C3289" t="s">
        <v>8</v>
      </c>
      <c r="D3289" t="s">
        <v>33</v>
      </c>
      <c r="E3289">
        <v>2596</v>
      </c>
      <c r="F3289" t="s">
        <v>28</v>
      </c>
    </row>
    <row r="3290" spans="1:6" x14ac:dyDescent="0.35">
      <c r="A3290" s="1">
        <v>45715</v>
      </c>
      <c r="B3290" s="2">
        <v>45715.613418113426</v>
      </c>
      <c r="C3290" t="s">
        <v>8</v>
      </c>
      <c r="D3290" t="s">
        <v>1303</v>
      </c>
      <c r="E3290">
        <v>3576</v>
      </c>
      <c r="F3290" t="s">
        <v>32</v>
      </c>
    </row>
    <row r="3291" spans="1:6" x14ac:dyDescent="0.35">
      <c r="A3291" s="1">
        <v>45715</v>
      </c>
      <c r="B3291" s="2">
        <v>45715.658225601852</v>
      </c>
      <c r="C3291" t="s">
        <v>8</v>
      </c>
      <c r="D3291" t="s">
        <v>1220</v>
      </c>
      <c r="E3291">
        <v>2596</v>
      </c>
      <c r="F3291" t="s">
        <v>28</v>
      </c>
    </row>
    <row r="3292" spans="1:6" x14ac:dyDescent="0.35">
      <c r="A3292" s="1">
        <v>45715</v>
      </c>
      <c r="B3292" s="2">
        <v>45715.686436377313</v>
      </c>
      <c r="C3292" t="s">
        <v>8</v>
      </c>
      <c r="D3292" t="s">
        <v>1220</v>
      </c>
      <c r="E3292">
        <v>2596</v>
      </c>
      <c r="F3292" t="s">
        <v>28</v>
      </c>
    </row>
    <row r="3293" spans="1:6" x14ac:dyDescent="0.35">
      <c r="A3293" s="1">
        <v>45715</v>
      </c>
      <c r="B3293" s="2">
        <v>45715.717314803238</v>
      </c>
      <c r="C3293" t="s">
        <v>8</v>
      </c>
      <c r="D3293" t="s">
        <v>1240</v>
      </c>
      <c r="E3293">
        <v>2596</v>
      </c>
      <c r="F3293" t="s">
        <v>28</v>
      </c>
    </row>
    <row r="3294" spans="1:6" x14ac:dyDescent="0.35">
      <c r="A3294" s="1">
        <v>45715</v>
      </c>
      <c r="B3294" s="2">
        <v>45715.724421782405</v>
      </c>
      <c r="C3294" t="s">
        <v>8</v>
      </c>
      <c r="D3294" t="s">
        <v>1220</v>
      </c>
      <c r="E3294">
        <v>2596</v>
      </c>
      <c r="F3294" t="s">
        <v>28</v>
      </c>
    </row>
    <row r="3295" spans="1:6" x14ac:dyDescent="0.35">
      <c r="A3295" s="1">
        <v>45715</v>
      </c>
      <c r="B3295" s="2">
        <v>45715.745289976854</v>
      </c>
      <c r="C3295" t="s">
        <v>8</v>
      </c>
      <c r="D3295" t="s">
        <v>1304</v>
      </c>
      <c r="E3295">
        <v>3576</v>
      </c>
      <c r="F3295" t="s">
        <v>32</v>
      </c>
    </row>
    <row r="3296" spans="1:6" x14ac:dyDescent="0.35">
      <c r="A3296" s="1">
        <v>45715</v>
      </c>
      <c r="B3296" s="2">
        <v>45715.762140844905</v>
      </c>
      <c r="C3296" t="s">
        <v>8</v>
      </c>
      <c r="D3296" t="s">
        <v>1258</v>
      </c>
      <c r="E3296">
        <v>3576</v>
      </c>
      <c r="F3296" t="s">
        <v>32</v>
      </c>
    </row>
    <row r="3297" spans="1:6" x14ac:dyDescent="0.35">
      <c r="A3297" s="1">
        <v>45715</v>
      </c>
      <c r="B3297" s="2">
        <v>45715.776861759259</v>
      </c>
      <c r="C3297" t="s">
        <v>8</v>
      </c>
      <c r="D3297" t="s">
        <v>1234</v>
      </c>
      <c r="E3297">
        <v>3576</v>
      </c>
      <c r="F3297" t="s">
        <v>24</v>
      </c>
    </row>
    <row r="3298" spans="1:6" x14ac:dyDescent="0.35">
      <c r="A3298" s="1">
        <v>45715</v>
      </c>
      <c r="B3298" s="2">
        <v>45715.777799108793</v>
      </c>
      <c r="C3298" t="s">
        <v>8</v>
      </c>
      <c r="D3298" t="s">
        <v>1229</v>
      </c>
      <c r="E3298">
        <v>3576</v>
      </c>
      <c r="F3298" t="s">
        <v>10</v>
      </c>
    </row>
    <row r="3299" spans="1:6" x14ac:dyDescent="0.35">
      <c r="A3299" s="1">
        <v>45715</v>
      </c>
      <c r="B3299" s="2">
        <v>45715.77838019676</v>
      </c>
      <c r="C3299" t="s">
        <v>8</v>
      </c>
      <c r="D3299" t="s">
        <v>1229</v>
      </c>
      <c r="E3299">
        <v>3576</v>
      </c>
      <c r="F3299" t="s">
        <v>10</v>
      </c>
    </row>
    <row r="3300" spans="1:6" x14ac:dyDescent="0.35">
      <c r="A3300" s="1">
        <v>45715</v>
      </c>
      <c r="B3300" s="2">
        <v>45715.801569699077</v>
      </c>
      <c r="C3300" t="s">
        <v>8</v>
      </c>
      <c r="D3300" t="s">
        <v>1265</v>
      </c>
      <c r="E3300">
        <v>3576</v>
      </c>
      <c r="F3300" t="s">
        <v>32</v>
      </c>
    </row>
    <row r="3301" spans="1:6" x14ac:dyDescent="0.35">
      <c r="A3301" s="1">
        <v>45715</v>
      </c>
      <c r="B3301" s="2">
        <v>45715.834805636572</v>
      </c>
      <c r="C3301" t="s">
        <v>8</v>
      </c>
      <c r="D3301" t="s">
        <v>102</v>
      </c>
      <c r="E3301">
        <v>3576</v>
      </c>
      <c r="F3301" t="s">
        <v>24</v>
      </c>
    </row>
    <row r="3302" spans="1:6" x14ac:dyDescent="0.35">
      <c r="A3302" s="1">
        <v>45716</v>
      </c>
      <c r="B3302" s="2">
        <v>45716.286638784724</v>
      </c>
      <c r="C3302" t="s">
        <v>8</v>
      </c>
      <c r="D3302" t="s">
        <v>33</v>
      </c>
      <c r="E3302">
        <v>3086</v>
      </c>
      <c r="F3302" t="s">
        <v>36</v>
      </c>
    </row>
    <row r="3303" spans="1:6" x14ac:dyDescent="0.35">
      <c r="A3303" s="1">
        <v>45716</v>
      </c>
      <c r="B3303" s="2">
        <v>45716.288194131943</v>
      </c>
      <c r="C3303" t="s">
        <v>8</v>
      </c>
      <c r="D3303" t="s">
        <v>33</v>
      </c>
      <c r="E3303">
        <v>3086</v>
      </c>
      <c r="F3303" t="s">
        <v>36</v>
      </c>
    </row>
    <row r="3304" spans="1:6" x14ac:dyDescent="0.35">
      <c r="A3304" s="1">
        <v>45716</v>
      </c>
      <c r="B3304" s="2">
        <v>45716.304593981484</v>
      </c>
      <c r="C3304" t="s">
        <v>8</v>
      </c>
      <c r="D3304" t="s">
        <v>1212</v>
      </c>
      <c r="E3304">
        <v>3576</v>
      </c>
      <c r="F3304" t="s">
        <v>24</v>
      </c>
    </row>
    <row r="3305" spans="1:6" x14ac:dyDescent="0.35">
      <c r="A3305" s="1">
        <v>45716</v>
      </c>
      <c r="B3305" s="2">
        <v>45716.34025212963</v>
      </c>
      <c r="C3305" t="s">
        <v>8</v>
      </c>
      <c r="D3305" t="s">
        <v>1305</v>
      </c>
      <c r="E3305">
        <v>2106</v>
      </c>
      <c r="F3305" t="s">
        <v>5</v>
      </c>
    </row>
    <row r="3306" spans="1:6" x14ac:dyDescent="0.35">
      <c r="A3306" s="1">
        <v>45716</v>
      </c>
      <c r="B3306" s="2">
        <v>45716.376829409724</v>
      </c>
      <c r="C3306" t="s">
        <v>8</v>
      </c>
      <c r="D3306" t="s">
        <v>1213</v>
      </c>
      <c r="E3306">
        <v>3086</v>
      </c>
      <c r="F3306" t="s">
        <v>36</v>
      </c>
    </row>
    <row r="3307" spans="1:6" x14ac:dyDescent="0.35">
      <c r="A3307" s="1">
        <v>45716</v>
      </c>
      <c r="B3307" s="2">
        <v>45716.614214270834</v>
      </c>
      <c r="C3307" t="s">
        <v>8</v>
      </c>
      <c r="D3307" t="s">
        <v>6</v>
      </c>
      <c r="E3307">
        <v>2596</v>
      </c>
      <c r="F3307" t="s">
        <v>28</v>
      </c>
    </row>
    <row r="3308" spans="1:6" x14ac:dyDescent="0.35">
      <c r="A3308" s="1">
        <v>45716</v>
      </c>
      <c r="B3308" s="2">
        <v>45716.614838240741</v>
      </c>
      <c r="C3308" t="s">
        <v>8</v>
      </c>
      <c r="D3308" t="s">
        <v>6</v>
      </c>
      <c r="E3308">
        <v>2596</v>
      </c>
      <c r="F3308" t="s">
        <v>28</v>
      </c>
    </row>
    <row r="3309" spans="1:6" x14ac:dyDescent="0.35">
      <c r="A3309" s="1">
        <v>45716</v>
      </c>
      <c r="B3309" s="2">
        <v>45716.616578032408</v>
      </c>
      <c r="C3309" t="s">
        <v>8</v>
      </c>
      <c r="D3309" t="s">
        <v>33</v>
      </c>
      <c r="E3309">
        <v>2596</v>
      </c>
      <c r="F3309" t="s">
        <v>28</v>
      </c>
    </row>
    <row r="3310" spans="1:6" x14ac:dyDescent="0.35">
      <c r="A3310" s="1">
        <v>45716</v>
      </c>
      <c r="B3310" s="2">
        <v>45716.619470011574</v>
      </c>
      <c r="C3310" t="s">
        <v>8</v>
      </c>
      <c r="D3310" t="s">
        <v>1241</v>
      </c>
      <c r="E3310">
        <v>3576</v>
      </c>
      <c r="F3310" t="s">
        <v>32</v>
      </c>
    </row>
    <row r="3311" spans="1:6" x14ac:dyDescent="0.35">
      <c r="A3311" s="1">
        <v>45716</v>
      </c>
      <c r="B3311" s="2">
        <v>45716.638410590276</v>
      </c>
      <c r="C3311" t="s">
        <v>8</v>
      </c>
      <c r="D3311" t="s">
        <v>6</v>
      </c>
      <c r="E3311">
        <v>2596</v>
      </c>
      <c r="F3311" t="s">
        <v>28</v>
      </c>
    </row>
    <row r="3312" spans="1:6" x14ac:dyDescent="0.35">
      <c r="A3312" s="1">
        <v>45716</v>
      </c>
      <c r="B3312" s="2">
        <v>45716.68226134259</v>
      </c>
      <c r="C3312" t="s">
        <v>8</v>
      </c>
      <c r="D3312" t="s">
        <v>1207</v>
      </c>
      <c r="E3312">
        <v>3576</v>
      </c>
      <c r="F3312" t="s">
        <v>10</v>
      </c>
    </row>
    <row r="3313" spans="1:6" x14ac:dyDescent="0.35">
      <c r="A3313" s="1">
        <v>45716</v>
      </c>
      <c r="B3313" s="2">
        <v>45716.687577488425</v>
      </c>
      <c r="C3313" t="s">
        <v>8</v>
      </c>
      <c r="D3313" t="s">
        <v>1220</v>
      </c>
      <c r="E3313">
        <v>2596</v>
      </c>
      <c r="F3313" t="s">
        <v>28</v>
      </c>
    </row>
    <row r="3314" spans="1:6" x14ac:dyDescent="0.35">
      <c r="A3314" s="1">
        <v>45716</v>
      </c>
      <c r="B3314" s="2">
        <v>45716.722926956019</v>
      </c>
      <c r="C3314" t="s">
        <v>8</v>
      </c>
      <c r="D3314" t="s">
        <v>1241</v>
      </c>
      <c r="E3314">
        <v>3576</v>
      </c>
      <c r="F3314" t="s">
        <v>32</v>
      </c>
    </row>
    <row r="3315" spans="1:6" x14ac:dyDescent="0.35">
      <c r="A3315" s="1">
        <v>45716</v>
      </c>
      <c r="B3315" s="2">
        <v>45716.729911423608</v>
      </c>
      <c r="C3315" t="s">
        <v>8</v>
      </c>
      <c r="D3315" t="s">
        <v>1306</v>
      </c>
      <c r="E3315">
        <v>3086</v>
      </c>
      <c r="F3315" t="s">
        <v>36</v>
      </c>
    </row>
    <row r="3316" spans="1:6" x14ac:dyDescent="0.35">
      <c r="A3316" s="1">
        <v>45716</v>
      </c>
      <c r="B3316" s="2">
        <v>45716.730748055554</v>
      </c>
      <c r="C3316" t="s">
        <v>8</v>
      </c>
      <c r="D3316" t="s">
        <v>1220</v>
      </c>
      <c r="E3316">
        <v>2596</v>
      </c>
      <c r="F3316" t="s">
        <v>28</v>
      </c>
    </row>
    <row r="3317" spans="1:6" x14ac:dyDescent="0.35">
      <c r="A3317" s="1">
        <v>45716</v>
      </c>
      <c r="B3317" s="2">
        <v>45716.731818842592</v>
      </c>
      <c r="C3317" t="s">
        <v>8</v>
      </c>
      <c r="D3317" t="s">
        <v>1240</v>
      </c>
      <c r="E3317">
        <v>2596</v>
      </c>
      <c r="F3317" t="s">
        <v>28</v>
      </c>
    </row>
    <row r="3318" spans="1:6" x14ac:dyDescent="0.35">
      <c r="A3318" s="1">
        <v>45716</v>
      </c>
      <c r="B3318" s="2">
        <v>45716.787378321758</v>
      </c>
      <c r="C3318" t="s">
        <v>8</v>
      </c>
      <c r="D3318" t="s">
        <v>1307</v>
      </c>
      <c r="E3318">
        <v>3576</v>
      </c>
      <c r="F3318" t="s">
        <v>32</v>
      </c>
    </row>
    <row r="3319" spans="1:6" x14ac:dyDescent="0.35">
      <c r="A3319" s="1">
        <v>45717</v>
      </c>
      <c r="B3319" s="2">
        <v>45717.438723865744</v>
      </c>
      <c r="C3319" t="s">
        <v>8</v>
      </c>
      <c r="D3319" t="s">
        <v>1234</v>
      </c>
      <c r="E3319">
        <v>3576</v>
      </c>
      <c r="F3319" t="s">
        <v>24</v>
      </c>
    </row>
    <row r="3320" spans="1:6" x14ac:dyDescent="0.35">
      <c r="A3320" s="1">
        <v>45717</v>
      </c>
      <c r="B3320" s="2">
        <v>45717.475052164351</v>
      </c>
      <c r="C3320" t="s">
        <v>8</v>
      </c>
      <c r="D3320" t="s">
        <v>1240</v>
      </c>
      <c r="E3320">
        <v>2596</v>
      </c>
      <c r="F3320" t="s">
        <v>28</v>
      </c>
    </row>
    <row r="3321" spans="1:6" x14ac:dyDescent="0.35">
      <c r="A3321" s="1">
        <v>45717</v>
      </c>
      <c r="B3321" s="2">
        <v>45717.47775928241</v>
      </c>
      <c r="C3321" t="s">
        <v>8</v>
      </c>
      <c r="D3321" t="s">
        <v>1248</v>
      </c>
      <c r="E3321">
        <v>2596</v>
      </c>
      <c r="F3321" t="s">
        <v>28</v>
      </c>
    </row>
    <row r="3322" spans="1:6" x14ac:dyDescent="0.35">
      <c r="A3322" s="1">
        <v>45717</v>
      </c>
      <c r="B3322" s="2">
        <v>45717.613470219905</v>
      </c>
      <c r="C3322" t="s">
        <v>8</v>
      </c>
      <c r="D3322" t="s">
        <v>1304</v>
      </c>
      <c r="E3322">
        <v>3576</v>
      </c>
      <c r="F3322" t="s">
        <v>32</v>
      </c>
    </row>
    <row r="3323" spans="1:6" x14ac:dyDescent="0.35">
      <c r="A3323" s="1">
        <v>45717</v>
      </c>
      <c r="B3323" s="2">
        <v>45717.626753472221</v>
      </c>
      <c r="C3323" t="s">
        <v>8</v>
      </c>
      <c r="D3323" t="s">
        <v>1203</v>
      </c>
      <c r="E3323">
        <v>2596</v>
      </c>
      <c r="F3323" t="s">
        <v>28</v>
      </c>
    </row>
    <row r="3324" spans="1:6" x14ac:dyDescent="0.35">
      <c r="A3324" s="1">
        <v>45717</v>
      </c>
      <c r="B3324" s="2">
        <v>45717.630789618059</v>
      </c>
      <c r="C3324" t="s">
        <v>8</v>
      </c>
      <c r="D3324" t="s">
        <v>1208</v>
      </c>
      <c r="E3324">
        <v>3086</v>
      </c>
      <c r="F3324" t="s">
        <v>36</v>
      </c>
    </row>
    <row r="3325" spans="1:6" x14ac:dyDescent="0.35">
      <c r="A3325" s="1">
        <v>45717</v>
      </c>
      <c r="B3325" s="2">
        <v>45717.695984363425</v>
      </c>
      <c r="C3325" t="s">
        <v>8</v>
      </c>
      <c r="D3325" t="s">
        <v>1234</v>
      </c>
      <c r="E3325">
        <v>3576</v>
      </c>
      <c r="F3325" t="s">
        <v>24</v>
      </c>
    </row>
    <row r="3326" spans="1:6" x14ac:dyDescent="0.35">
      <c r="A3326" s="1">
        <v>45717</v>
      </c>
      <c r="B3326" s="2">
        <v>45717.714276643521</v>
      </c>
      <c r="C3326" t="s">
        <v>8</v>
      </c>
      <c r="D3326" t="s">
        <v>1308</v>
      </c>
      <c r="E3326">
        <v>2596</v>
      </c>
      <c r="F3326" t="s">
        <v>28</v>
      </c>
    </row>
    <row r="3327" spans="1:6" x14ac:dyDescent="0.35">
      <c r="A3327" s="1">
        <v>45718</v>
      </c>
      <c r="B3327" s="2">
        <v>45718.415454803238</v>
      </c>
      <c r="C3327" t="s">
        <v>8</v>
      </c>
      <c r="D3327" t="s">
        <v>33</v>
      </c>
      <c r="E3327">
        <v>3576</v>
      </c>
      <c r="F3327" t="s">
        <v>10</v>
      </c>
    </row>
    <row r="3328" spans="1:6" x14ac:dyDescent="0.35">
      <c r="A3328" s="1">
        <v>45718</v>
      </c>
      <c r="B3328" s="2">
        <v>45718.512226574072</v>
      </c>
      <c r="C3328" t="s">
        <v>8</v>
      </c>
      <c r="D3328" t="s">
        <v>1239</v>
      </c>
      <c r="E3328">
        <v>3576</v>
      </c>
      <c r="F3328" t="s">
        <v>32</v>
      </c>
    </row>
    <row r="3329" spans="1:6" x14ac:dyDescent="0.35">
      <c r="A3329" s="1">
        <v>45718</v>
      </c>
      <c r="B3329" s="2">
        <v>45718.566892777781</v>
      </c>
      <c r="C3329" t="s">
        <v>8</v>
      </c>
      <c r="D3329" t="s">
        <v>1267</v>
      </c>
      <c r="E3329">
        <v>3086</v>
      </c>
      <c r="F3329" t="s">
        <v>36</v>
      </c>
    </row>
    <row r="3330" spans="1:6" x14ac:dyDescent="0.35">
      <c r="A3330" s="1">
        <v>45718</v>
      </c>
      <c r="B3330" s="2">
        <v>45718.640480046299</v>
      </c>
      <c r="C3330" t="s">
        <v>8</v>
      </c>
      <c r="D3330" t="s">
        <v>1203</v>
      </c>
      <c r="E3330">
        <v>3086</v>
      </c>
      <c r="F3330" t="s">
        <v>36</v>
      </c>
    </row>
    <row r="3331" spans="1:6" x14ac:dyDescent="0.35">
      <c r="A3331" s="1">
        <v>45718</v>
      </c>
      <c r="B3331" s="2">
        <v>45718.641154351855</v>
      </c>
      <c r="C3331" t="s">
        <v>8</v>
      </c>
      <c r="D3331" t="s">
        <v>1203</v>
      </c>
      <c r="E3331">
        <v>2596</v>
      </c>
      <c r="F3331" t="s">
        <v>28</v>
      </c>
    </row>
    <row r="3332" spans="1:6" x14ac:dyDescent="0.35">
      <c r="A3332" s="1">
        <v>45718</v>
      </c>
      <c r="B3332" s="2">
        <v>45718.64219017361</v>
      </c>
      <c r="C3332" t="s">
        <v>8</v>
      </c>
      <c r="D3332" t="s">
        <v>1240</v>
      </c>
      <c r="E3332">
        <v>2596</v>
      </c>
      <c r="F3332" t="s">
        <v>28</v>
      </c>
    </row>
    <row r="3333" spans="1:6" x14ac:dyDescent="0.35">
      <c r="A3333" s="1">
        <v>45719</v>
      </c>
      <c r="B3333" s="2">
        <v>45719.35002247685</v>
      </c>
      <c r="C3333" t="s">
        <v>8</v>
      </c>
      <c r="D3333" t="s">
        <v>1212</v>
      </c>
      <c r="E3333">
        <v>3576</v>
      </c>
      <c r="F3333" t="s">
        <v>24</v>
      </c>
    </row>
    <row r="3334" spans="1:6" x14ac:dyDescent="0.35">
      <c r="A3334" s="1">
        <v>45719</v>
      </c>
      <c r="B3334" s="2">
        <v>45719.407545925926</v>
      </c>
      <c r="C3334" t="s">
        <v>8</v>
      </c>
      <c r="D3334" t="s">
        <v>1294</v>
      </c>
      <c r="E3334">
        <v>3576</v>
      </c>
      <c r="F3334" t="s">
        <v>10</v>
      </c>
    </row>
    <row r="3335" spans="1:6" x14ac:dyDescent="0.35">
      <c r="A3335" s="1">
        <v>45719</v>
      </c>
      <c r="B3335" s="2">
        <v>45719.40878863426</v>
      </c>
      <c r="C3335" t="s">
        <v>8</v>
      </c>
      <c r="D3335" t="s">
        <v>1294</v>
      </c>
      <c r="E3335">
        <v>3576</v>
      </c>
      <c r="F3335" t="s">
        <v>32</v>
      </c>
    </row>
    <row r="3336" spans="1:6" x14ac:dyDescent="0.35">
      <c r="A3336" s="1">
        <v>45719</v>
      </c>
      <c r="B3336" s="2">
        <v>45719.431535185184</v>
      </c>
      <c r="C3336" t="s">
        <v>8</v>
      </c>
      <c r="D3336" t="s">
        <v>1277</v>
      </c>
      <c r="E3336">
        <v>3576</v>
      </c>
      <c r="F3336" t="s">
        <v>15</v>
      </c>
    </row>
    <row r="3337" spans="1:6" x14ac:dyDescent="0.35">
      <c r="A3337" s="1">
        <v>45719</v>
      </c>
      <c r="B3337" s="2">
        <v>45719.433874027774</v>
      </c>
      <c r="C3337" t="s">
        <v>8</v>
      </c>
      <c r="D3337" t="s">
        <v>1309</v>
      </c>
      <c r="E3337">
        <v>3576</v>
      </c>
      <c r="F3337" t="s">
        <v>15</v>
      </c>
    </row>
    <row r="3338" spans="1:6" x14ac:dyDescent="0.35">
      <c r="A3338" s="1">
        <v>45719</v>
      </c>
      <c r="B3338" s="2">
        <v>45719.540370972223</v>
      </c>
      <c r="C3338" t="s">
        <v>8</v>
      </c>
      <c r="D3338" t="s">
        <v>1234</v>
      </c>
      <c r="E3338">
        <v>3576</v>
      </c>
      <c r="F3338" t="s">
        <v>24</v>
      </c>
    </row>
    <row r="3339" spans="1:6" x14ac:dyDescent="0.35">
      <c r="A3339" s="1">
        <v>45719</v>
      </c>
      <c r="B3339" s="2">
        <v>45719.632652800923</v>
      </c>
      <c r="C3339" t="s">
        <v>8</v>
      </c>
      <c r="D3339" t="s">
        <v>1241</v>
      </c>
      <c r="E3339">
        <v>3576</v>
      </c>
      <c r="F3339" t="s">
        <v>32</v>
      </c>
    </row>
    <row r="3340" spans="1:6" x14ac:dyDescent="0.35">
      <c r="A3340" s="1">
        <v>45719</v>
      </c>
      <c r="B3340" s="2">
        <v>45719.658319641203</v>
      </c>
      <c r="C3340" t="s">
        <v>8</v>
      </c>
      <c r="D3340" t="s">
        <v>1217</v>
      </c>
      <c r="E3340">
        <v>2596</v>
      </c>
      <c r="F3340" t="s">
        <v>28</v>
      </c>
    </row>
    <row r="3341" spans="1:6" x14ac:dyDescent="0.35">
      <c r="A3341" s="1">
        <v>45719</v>
      </c>
      <c r="B3341" s="2">
        <v>45719.67697296296</v>
      </c>
      <c r="C3341" t="s">
        <v>8</v>
      </c>
      <c r="D3341" t="s">
        <v>1246</v>
      </c>
      <c r="E3341">
        <v>3576</v>
      </c>
      <c r="F3341" t="s">
        <v>10</v>
      </c>
    </row>
    <row r="3342" spans="1:6" x14ac:dyDescent="0.35">
      <c r="A3342" s="1">
        <v>45719</v>
      </c>
      <c r="B3342" s="2">
        <v>45719.678185648147</v>
      </c>
      <c r="C3342" t="s">
        <v>8</v>
      </c>
      <c r="D3342" t="s">
        <v>1241</v>
      </c>
      <c r="E3342">
        <v>3576</v>
      </c>
      <c r="F3342" t="s">
        <v>32</v>
      </c>
    </row>
    <row r="3343" spans="1:6" x14ac:dyDescent="0.35">
      <c r="A3343" s="1">
        <v>45719</v>
      </c>
      <c r="B3343" s="2">
        <v>45719.679480196763</v>
      </c>
      <c r="C3343" t="s">
        <v>8</v>
      </c>
      <c r="D3343" t="s">
        <v>1214</v>
      </c>
      <c r="E3343">
        <v>3576</v>
      </c>
      <c r="F3343" t="s">
        <v>32</v>
      </c>
    </row>
    <row r="3344" spans="1:6" x14ac:dyDescent="0.35">
      <c r="A3344" s="1">
        <v>45719</v>
      </c>
      <c r="B3344" s="2">
        <v>45719.694783611114</v>
      </c>
      <c r="C3344" t="s">
        <v>8</v>
      </c>
      <c r="D3344" t="s">
        <v>1209</v>
      </c>
      <c r="E3344">
        <v>3576</v>
      </c>
      <c r="F3344" t="s">
        <v>24</v>
      </c>
    </row>
    <row r="3345" spans="1:6" x14ac:dyDescent="0.35">
      <c r="A3345" s="1">
        <v>45719</v>
      </c>
      <c r="B3345" s="2">
        <v>45719.69609503472</v>
      </c>
      <c r="C3345" t="s">
        <v>8</v>
      </c>
      <c r="D3345" t="s">
        <v>1209</v>
      </c>
      <c r="E3345">
        <v>3576</v>
      </c>
      <c r="F3345" t="s">
        <v>24</v>
      </c>
    </row>
    <row r="3346" spans="1:6" x14ac:dyDescent="0.35">
      <c r="A3346" s="1">
        <v>45719</v>
      </c>
      <c r="B3346" s="2">
        <v>45719.702912372682</v>
      </c>
      <c r="C3346" t="s">
        <v>8</v>
      </c>
      <c r="D3346" t="s">
        <v>1220</v>
      </c>
      <c r="E3346">
        <v>2596</v>
      </c>
      <c r="F3346" t="s">
        <v>28</v>
      </c>
    </row>
    <row r="3347" spans="1:6" x14ac:dyDescent="0.35">
      <c r="A3347" s="1">
        <v>45719</v>
      </c>
      <c r="B3347" s="2">
        <v>45719.728273194443</v>
      </c>
      <c r="C3347" t="s">
        <v>8</v>
      </c>
      <c r="D3347" t="s">
        <v>1306</v>
      </c>
      <c r="E3347">
        <v>3086</v>
      </c>
      <c r="F3347" t="s">
        <v>36</v>
      </c>
    </row>
    <row r="3348" spans="1:6" x14ac:dyDescent="0.35">
      <c r="A3348" s="1">
        <v>45719</v>
      </c>
      <c r="B3348" s="2">
        <v>45719.730120138891</v>
      </c>
      <c r="C3348" t="s">
        <v>8</v>
      </c>
      <c r="D3348" t="s">
        <v>1248</v>
      </c>
      <c r="E3348">
        <v>2596</v>
      </c>
      <c r="F3348" t="s">
        <v>28</v>
      </c>
    </row>
    <row r="3349" spans="1:6" x14ac:dyDescent="0.35">
      <c r="A3349" s="1">
        <v>45719</v>
      </c>
      <c r="B3349" s="2">
        <v>45719.730768946756</v>
      </c>
      <c r="C3349" t="s">
        <v>8</v>
      </c>
      <c r="D3349" t="s">
        <v>1248</v>
      </c>
      <c r="E3349">
        <v>3576</v>
      </c>
      <c r="F3349" t="s">
        <v>15</v>
      </c>
    </row>
    <row r="3350" spans="1:6" x14ac:dyDescent="0.35">
      <c r="A3350" s="1">
        <v>45719</v>
      </c>
      <c r="B3350" s="2">
        <v>45719.731235567131</v>
      </c>
      <c r="C3350" t="s">
        <v>8</v>
      </c>
      <c r="D3350" t="s">
        <v>1248</v>
      </c>
      <c r="E3350">
        <v>2596</v>
      </c>
      <c r="F3350" t="s">
        <v>28</v>
      </c>
    </row>
    <row r="3351" spans="1:6" x14ac:dyDescent="0.35">
      <c r="A3351" s="1">
        <v>45719</v>
      </c>
      <c r="B3351" s="2">
        <v>45719.748294999998</v>
      </c>
      <c r="C3351" t="s">
        <v>8</v>
      </c>
      <c r="D3351" t="s">
        <v>1229</v>
      </c>
      <c r="E3351">
        <v>3576</v>
      </c>
      <c r="F3351" t="s">
        <v>15</v>
      </c>
    </row>
    <row r="3352" spans="1:6" x14ac:dyDescent="0.35">
      <c r="A3352" s="1">
        <v>45719</v>
      </c>
      <c r="B3352" s="2">
        <v>45719.748927581022</v>
      </c>
      <c r="C3352" t="s">
        <v>8</v>
      </c>
      <c r="D3352" t="s">
        <v>1228</v>
      </c>
      <c r="E3352">
        <v>3576</v>
      </c>
      <c r="F3352" t="s">
        <v>15</v>
      </c>
    </row>
    <row r="3353" spans="1:6" x14ac:dyDescent="0.35">
      <c r="A3353" s="1">
        <v>45719</v>
      </c>
      <c r="B3353" s="2">
        <v>45719.752141296296</v>
      </c>
      <c r="C3353" t="s">
        <v>8</v>
      </c>
      <c r="D3353" t="s">
        <v>1213</v>
      </c>
      <c r="E3353">
        <v>3086</v>
      </c>
      <c r="F3353" t="s">
        <v>36</v>
      </c>
    </row>
    <row r="3354" spans="1:6" x14ac:dyDescent="0.35">
      <c r="A3354" s="1">
        <v>45719</v>
      </c>
      <c r="B3354" s="2">
        <v>45719.782553344907</v>
      </c>
      <c r="C3354" t="s">
        <v>8</v>
      </c>
      <c r="D3354" t="s">
        <v>1307</v>
      </c>
      <c r="E3354">
        <v>3576</v>
      </c>
      <c r="F3354" t="s">
        <v>32</v>
      </c>
    </row>
    <row r="3355" spans="1:6" x14ac:dyDescent="0.35">
      <c r="A3355" s="1">
        <v>45720</v>
      </c>
      <c r="B3355" s="2">
        <v>45720.305115034724</v>
      </c>
      <c r="C3355" t="s">
        <v>8</v>
      </c>
      <c r="D3355" t="s">
        <v>1212</v>
      </c>
      <c r="E3355">
        <v>3576</v>
      </c>
      <c r="F3355" t="s">
        <v>24</v>
      </c>
    </row>
    <row r="3356" spans="1:6" x14ac:dyDescent="0.35">
      <c r="A3356" s="1">
        <v>45720</v>
      </c>
      <c r="B3356" s="2">
        <v>45720.313835752313</v>
      </c>
      <c r="C3356" t="s">
        <v>8</v>
      </c>
      <c r="D3356" t="s">
        <v>33</v>
      </c>
      <c r="E3356">
        <v>2596</v>
      </c>
      <c r="F3356" t="s">
        <v>28</v>
      </c>
    </row>
    <row r="3357" spans="1:6" x14ac:dyDescent="0.35">
      <c r="A3357" s="1">
        <v>45720</v>
      </c>
      <c r="B3357" s="2">
        <v>45720.36927398148</v>
      </c>
      <c r="C3357" t="s">
        <v>8</v>
      </c>
      <c r="D3357" t="s">
        <v>1237</v>
      </c>
      <c r="E3357">
        <v>3086</v>
      </c>
      <c r="F3357" t="s">
        <v>36</v>
      </c>
    </row>
    <row r="3358" spans="1:6" x14ac:dyDescent="0.35">
      <c r="A3358" s="1">
        <v>45720</v>
      </c>
      <c r="B3358" s="2">
        <v>45720.381619548614</v>
      </c>
      <c r="C3358" t="s">
        <v>8</v>
      </c>
      <c r="D3358" t="s">
        <v>33</v>
      </c>
      <c r="E3358">
        <v>2596</v>
      </c>
      <c r="F3358" t="s">
        <v>28</v>
      </c>
    </row>
    <row r="3359" spans="1:6" x14ac:dyDescent="0.35">
      <c r="A3359" s="1">
        <v>45720</v>
      </c>
      <c r="B3359" s="2">
        <v>45720.382201400462</v>
      </c>
      <c r="C3359" t="s">
        <v>8</v>
      </c>
      <c r="D3359" t="s">
        <v>33</v>
      </c>
      <c r="E3359">
        <v>2596</v>
      </c>
      <c r="F3359" t="s">
        <v>28</v>
      </c>
    </row>
    <row r="3360" spans="1:6" x14ac:dyDescent="0.35">
      <c r="A3360" s="1">
        <v>45720</v>
      </c>
      <c r="B3360" s="2">
        <v>45720.415707962966</v>
      </c>
      <c r="C3360" t="s">
        <v>8</v>
      </c>
      <c r="D3360" t="s">
        <v>1310</v>
      </c>
      <c r="E3360">
        <v>2596</v>
      </c>
      <c r="F3360" t="s">
        <v>28</v>
      </c>
    </row>
    <row r="3361" spans="1:6" x14ac:dyDescent="0.35">
      <c r="A3361" s="1">
        <v>45720</v>
      </c>
      <c r="B3361" s="2">
        <v>45720.461133761572</v>
      </c>
      <c r="C3361" t="s">
        <v>8</v>
      </c>
      <c r="D3361" t="s">
        <v>1272</v>
      </c>
      <c r="E3361">
        <v>3086</v>
      </c>
      <c r="F3361" t="s">
        <v>36</v>
      </c>
    </row>
    <row r="3362" spans="1:6" x14ac:dyDescent="0.35">
      <c r="A3362" s="1">
        <v>45720</v>
      </c>
      <c r="B3362" s="2">
        <v>45720.461886273151</v>
      </c>
      <c r="C3362" t="s">
        <v>8</v>
      </c>
      <c r="D3362" t="s">
        <v>1226</v>
      </c>
      <c r="E3362">
        <v>2596</v>
      </c>
      <c r="F3362" t="s">
        <v>28</v>
      </c>
    </row>
    <row r="3363" spans="1:6" x14ac:dyDescent="0.35">
      <c r="A3363" s="1">
        <v>45720</v>
      </c>
      <c r="B3363" s="2">
        <v>45720.490753055557</v>
      </c>
      <c r="C3363" t="s">
        <v>8</v>
      </c>
      <c r="D3363" t="s">
        <v>1217</v>
      </c>
      <c r="E3363">
        <v>2596</v>
      </c>
      <c r="F3363" t="s">
        <v>28</v>
      </c>
    </row>
    <row r="3364" spans="1:6" x14ac:dyDescent="0.35">
      <c r="A3364" s="1">
        <v>45720</v>
      </c>
      <c r="B3364" s="2">
        <v>45720.491255914349</v>
      </c>
      <c r="C3364" t="s">
        <v>8</v>
      </c>
      <c r="D3364" t="s">
        <v>1217</v>
      </c>
      <c r="E3364">
        <v>2596</v>
      </c>
      <c r="F3364" t="s">
        <v>28</v>
      </c>
    </row>
    <row r="3365" spans="1:6" x14ac:dyDescent="0.35">
      <c r="A3365" s="1">
        <v>45720</v>
      </c>
      <c r="B3365" s="2">
        <v>45720.494152719904</v>
      </c>
      <c r="C3365" t="s">
        <v>8</v>
      </c>
      <c r="D3365" t="s">
        <v>6</v>
      </c>
      <c r="E3365">
        <v>2596</v>
      </c>
      <c r="F3365" t="s">
        <v>28</v>
      </c>
    </row>
    <row r="3366" spans="1:6" x14ac:dyDescent="0.35">
      <c r="A3366" s="1">
        <v>45720</v>
      </c>
      <c r="B3366" s="2">
        <v>45720.518045972225</v>
      </c>
      <c r="C3366" t="s">
        <v>8</v>
      </c>
      <c r="D3366" t="s">
        <v>1239</v>
      </c>
      <c r="E3366">
        <v>3576</v>
      </c>
      <c r="F3366" t="s">
        <v>10</v>
      </c>
    </row>
    <row r="3367" spans="1:6" x14ac:dyDescent="0.35">
      <c r="A3367" s="1">
        <v>45720</v>
      </c>
      <c r="B3367" s="2">
        <v>45720.700676157408</v>
      </c>
      <c r="C3367" t="s">
        <v>8</v>
      </c>
      <c r="D3367" t="s">
        <v>1217</v>
      </c>
      <c r="E3367">
        <v>2596</v>
      </c>
      <c r="F3367" t="s">
        <v>28</v>
      </c>
    </row>
    <row r="3368" spans="1:6" x14ac:dyDescent="0.35">
      <c r="A3368" s="1">
        <v>45720</v>
      </c>
      <c r="B3368" s="2">
        <v>45720.780114212961</v>
      </c>
      <c r="C3368" t="s">
        <v>8</v>
      </c>
      <c r="D3368" t="s">
        <v>1284</v>
      </c>
      <c r="E3368">
        <v>3576</v>
      </c>
      <c r="F3368" t="s">
        <v>10</v>
      </c>
    </row>
    <row r="3369" spans="1:6" x14ac:dyDescent="0.35">
      <c r="A3369" s="1">
        <v>45720</v>
      </c>
      <c r="B3369" s="2">
        <v>45720.798720729166</v>
      </c>
      <c r="C3369" t="s">
        <v>8</v>
      </c>
      <c r="D3369" t="s">
        <v>1224</v>
      </c>
      <c r="E3369">
        <v>3576</v>
      </c>
      <c r="F3369" t="s">
        <v>32</v>
      </c>
    </row>
    <row r="3370" spans="1:6" x14ac:dyDescent="0.35">
      <c r="A3370" s="1">
        <v>45720</v>
      </c>
      <c r="B3370" s="2">
        <v>45720.839589756943</v>
      </c>
      <c r="C3370" t="s">
        <v>8</v>
      </c>
      <c r="D3370" t="s">
        <v>1296</v>
      </c>
      <c r="E3370">
        <v>3576</v>
      </c>
      <c r="F3370" t="s">
        <v>32</v>
      </c>
    </row>
    <row r="3371" spans="1:6" x14ac:dyDescent="0.35">
      <c r="A3371" s="1">
        <v>45721</v>
      </c>
      <c r="B3371" s="2">
        <v>45721.361014097223</v>
      </c>
      <c r="C3371" t="s">
        <v>8</v>
      </c>
      <c r="D3371" t="s">
        <v>33</v>
      </c>
      <c r="E3371">
        <v>3086</v>
      </c>
      <c r="F3371" t="s">
        <v>36</v>
      </c>
    </row>
    <row r="3372" spans="1:6" x14ac:dyDescent="0.35">
      <c r="A3372" s="1">
        <v>45721</v>
      </c>
      <c r="B3372" s="2">
        <v>45721.401669652776</v>
      </c>
      <c r="C3372" t="s">
        <v>8</v>
      </c>
      <c r="D3372" t="s">
        <v>1217</v>
      </c>
      <c r="E3372">
        <v>2596</v>
      </c>
      <c r="F3372" t="s">
        <v>28</v>
      </c>
    </row>
    <row r="3373" spans="1:6" x14ac:dyDescent="0.35">
      <c r="A3373" s="1">
        <v>45721</v>
      </c>
      <c r="B3373" s="2">
        <v>45721.417526574071</v>
      </c>
      <c r="C3373" t="s">
        <v>8</v>
      </c>
      <c r="D3373" t="s">
        <v>1248</v>
      </c>
      <c r="E3373">
        <v>2596</v>
      </c>
      <c r="F3373" t="s">
        <v>28</v>
      </c>
    </row>
    <row r="3374" spans="1:6" x14ac:dyDescent="0.35">
      <c r="A3374" s="1">
        <v>45721</v>
      </c>
      <c r="B3374" s="2">
        <v>45721.418105289355</v>
      </c>
      <c r="C3374" t="s">
        <v>8</v>
      </c>
      <c r="D3374" t="s">
        <v>1248</v>
      </c>
      <c r="E3374">
        <v>2596</v>
      </c>
      <c r="F3374" t="s">
        <v>28</v>
      </c>
    </row>
    <row r="3375" spans="1:6" x14ac:dyDescent="0.35">
      <c r="A3375" s="1">
        <v>45721</v>
      </c>
      <c r="B3375" s="2">
        <v>45721.424195844906</v>
      </c>
      <c r="C3375" t="s">
        <v>8</v>
      </c>
      <c r="D3375" t="s">
        <v>1311</v>
      </c>
      <c r="E3375">
        <v>3576</v>
      </c>
      <c r="F3375" t="s">
        <v>24</v>
      </c>
    </row>
    <row r="3376" spans="1:6" x14ac:dyDescent="0.35">
      <c r="A3376" s="1">
        <v>45721</v>
      </c>
      <c r="B3376" s="2">
        <v>45721.444847465275</v>
      </c>
      <c r="C3376" t="s">
        <v>8</v>
      </c>
      <c r="D3376" t="s">
        <v>1298</v>
      </c>
      <c r="E3376">
        <v>3086</v>
      </c>
      <c r="F3376" t="s">
        <v>36</v>
      </c>
    </row>
    <row r="3377" spans="1:6" x14ac:dyDescent="0.35">
      <c r="A3377" s="1">
        <v>45721</v>
      </c>
      <c r="B3377" s="2">
        <v>45721.464254259263</v>
      </c>
      <c r="C3377" t="s">
        <v>8</v>
      </c>
      <c r="D3377" t="s">
        <v>1234</v>
      </c>
      <c r="E3377">
        <v>3576</v>
      </c>
      <c r="F3377" t="s">
        <v>24</v>
      </c>
    </row>
    <row r="3378" spans="1:6" x14ac:dyDescent="0.35">
      <c r="A3378" s="1">
        <v>45721</v>
      </c>
      <c r="B3378" s="2">
        <v>45721.465904687502</v>
      </c>
      <c r="C3378" t="s">
        <v>8</v>
      </c>
      <c r="D3378" t="s">
        <v>1312</v>
      </c>
      <c r="E3378">
        <v>3576</v>
      </c>
      <c r="F3378" t="s">
        <v>10</v>
      </c>
    </row>
    <row r="3379" spans="1:6" x14ac:dyDescent="0.35">
      <c r="A3379" s="1">
        <v>45721</v>
      </c>
      <c r="B3379" s="2">
        <v>45721.485314606478</v>
      </c>
      <c r="C3379" t="s">
        <v>8</v>
      </c>
      <c r="D3379" t="s">
        <v>1248</v>
      </c>
      <c r="E3379">
        <v>2596</v>
      </c>
      <c r="F3379" t="s">
        <v>28</v>
      </c>
    </row>
    <row r="3380" spans="1:6" x14ac:dyDescent="0.35">
      <c r="A3380" s="1">
        <v>45721</v>
      </c>
      <c r="B3380" s="2">
        <v>45721.487065150461</v>
      </c>
      <c r="C3380" t="s">
        <v>8</v>
      </c>
      <c r="D3380" t="s">
        <v>1217</v>
      </c>
      <c r="E3380">
        <v>2596</v>
      </c>
      <c r="F3380" t="s">
        <v>28</v>
      </c>
    </row>
    <row r="3381" spans="1:6" x14ac:dyDescent="0.35">
      <c r="A3381" s="1">
        <v>45721</v>
      </c>
      <c r="B3381" s="2">
        <v>45721.508984594904</v>
      </c>
      <c r="C3381" t="s">
        <v>8</v>
      </c>
      <c r="D3381" t="s">
        <v>6</v>
      </c>
      <c r="E3381">
        <v>2596</v>
      </c>
      <c r="F3381" t="s">
        <v>28</v>
      </c>
    </row>
    <row r="3382" spans="1:6" x14ac:dyDescent="0.35">
      <c r="A3382" s="1">
        <v>45721</v>
      </c>
      <c r="B3382" s="2">
        <v>45721.630447025462</v>
      </c>
      <c r="C3382" t="s">
        <v>8</v>
      </c>
      <c r="D3382" t="s">
        <v>1241</v>
      </c>
      <c r="E3382">
        <v>3576</v>
      </c>
      <c r="F3382" t="s">
        <v>32</v>
      </c>
    </row>
    <row r="3383" spans="1:6" x14ac:dyDescent="0.35">
      <c r="A3383" s="1">
        <v>45721</v>
      </c>
      <c r="B3383" s="2">
        <v>45721.639998055558</v>
      </c>
      <c r="C3383" t="s">
        <v>8</v>
      </c>
      <c r="D3383" t="s">
        <v>1214</v>
      </c>
      <c r="E3383">
        <v>3576</v>
      </c>
      <c r="F3383" t="s">
        <v>32</v>
      </c>
    </row>
    <row r="3384" spans="1:6" x14ac:dyDescent="0.35">
      <c r="A3384" s="1">
        <v>45721</v>
      </c>
      <c r="B3384" s="2">
        <v>45721.64249322917</v>
      </c>
      <c r="C3384" t="s">
        <v>8</v>
      </c>
      <c r="D3384" t="s">
        <v>1215</v>
      </c>
      <c r="E3384">
        <v>3576</v>
      </c>
      <c r="F3384" t="s">
        <v>15</v>
      </c>
    </row>
    <row r="3385" spans="1:6" x14ac:dyDescent="0.35">
      <c r="A3385" s="1">
        <v>45721</v>
      </c>
      <c r="B3385" s="2">
        <v>45721.715242939812</v>
      </c>
      <c r="C3385" t="s">
        <v>8</v>
      </c>
      <c r="D3385" t="s">
        <v>1272</v>
      </c>
      <c r="E3385">
        <v>3086</v>
      </c>
      <c r="F3385" t="s">
        <v>36</v>
      </c>
    </row>
    <row r="3386" spans="1:6" x14ac:dyDescent="0.35">
      <c r="A3386" s="1">
        <v>45721</v>
      </c>
      <c r="B3386" s="2">
        <v>45721.71971701389</v>
      </c>
      <c r="C3386" t="s">
        <v>8</v>
      </c>
      <c r="D3386" t="s">
        <v>1313</v>
      </c>
      <c r="E3386">
        <v>2106</v>
      </c>
      <c r="F3386" t="s">
        <v>5</v>
      </c>
    </row>
    <row r="3387" spans="1:6" x14ac:dyDescent="0.35">
      <c r="A3387" s="1">
        <v>45721</v>
      </c>
      <c r="B3387" s="2">
        <v>45721.730334247688</v>
      </c>
      <c r="C3387" t="s">
        <v>8</v>
      </c>
      <c r="D3387" t="s">
        <v>1241</v>
      </c>
      <c r="E3387">
        <v>3576</v>
      </c>
      <c r="F3387" t="s">
        <v>32</v>
      </c>
    </row>
    <row r="3388" spans="1:6" x14ac:dyDescent="0.35">
      <c r="A3388" s="1">
        <v>45721</v>
      </c>
      <c r="B3388" s="2">
        <v>45721.759339918979</v>
      </c>
      <c r="C3388" t="s">
        <v>8</v>
      </c>
      <c r="D3388" t="s">
        <v>1209</v>
      </c>
      <c r="E3388">
        <v>3576</v>
      </c>
      <c r="F3388" t="s">
        <v>24</v>
      </c>
    </row>
    <row r="3389" spans="1:6" x14ac:dyDescent="0.35">
      <c r="A3389" s="1">
        <v>45721</v>
      </c>
      <c r="B3389" s="2">
        <v>45721.793713171297</v>
      </c>
      <c r="C3389" t="s">
        <v>8</v>
      </c>
      <c r="D3389" t="s">
        <v>1314</v>
      </c>
      <c r="E3389">
        <v>3576</v>
      </c>
      <c r="F3389" t="s">
        <v>10</v>
      </c>
    </row>
    <row r="3390" spans="1:6" x14ac:dyDescent="0.35">
      <c r="A3390" s="1">
        <v>45722</v>
      </c>
      <c r="B3390" s="2">
        <v>45722.398371481482</v>
      </c>
      <c r="C3390" t="s">
        <v>8</v>
      </c>
      <c r="D3390" t="s">
        <v>1260</v>
      </c>
      <c r="E3390">
        <v>3576</v>
      </c>
      <c r="F3390" t="s">
        <v>15</v>
      </c>
    </row>
    <row r="3391" spans="1:6" x14ac:dyDescent="0.35">
      <c r="A3391" s="1">
        <v>45722</v>
      </c>
      <c r="B3391" s="2">
        <v>45722.399918229166</v>
      </c>
      <c r="C3391" t="s">
        <v>8</v>
      </c>
      <c r="D3391" t="s">
        <v>1257</v>
      </c>
      <c r="E3391">
        <v>2106</v>
      </c>
      <c r="F3391" t="s">
        <v>5</v>
      </c>
    </row>
    <row r="3392" spans="1:6" x14ac:dyDescent="0.35">
      <c r="A3392" s="1">
        <v>45722</v>
      </c>
      <c r="B3392" s="2">
        <v>45722.450056793983</v>
      </c>
      <c r="C3392" t="s">
        <v>8</v>
      </c>
      <c r="D3392" t="s">
        <v>1257</v>
      </c>
      <c r="E3392">
        <v>3086</v>
      </c>
      <c r="F3392" t="s">
        <v>36</v>
      </c>
    </row>
    <row r="3393" spans="1:6" x14ac:dyDescent="0.35">
      <c r="A3393" s="1">
        <v>45722</v>
      </c>
      <c r="B3393" s="2">
        <v>45722.456103761571</v>
      </c>
      <c r="C3393" t="s">
        <v>8</v>
      </c>
      <c r="D3393" t="s">
        <v>33</v>
      </c>
      <c r="E3393">
        <v>2596</v>
      </c>
      <c r="F3393" t="s">
        <v>28</v>
      </c>
    </row>
    <row r="3394" spans="1:6" x14ac:dyDescent="0.35">
      <c r="A3394" s="1">
        <v>45722</v>
      </c>
      <c r="B3394" s="2">
        <v>45722.456655451388</v>
      </c>
      <c r="C3394" t="s">
        <v>8</v>
      </c>
      <c r="D3394" t="s">
        <v>33</v>
      </c>
      <c r="E3394">
        <v>2596</v>
      </c>
      <c r="F3394" t="s">
        <v>28</v>
      </c>
    </row>
    <row r="3395" spans="1:6" x14ac:dyDescent="0.35">
      <c r="A3395" s="1">
        <v>45722</v>
      </c>
      <c r="B3395" s="2">
        <v>45722.462310462965</v>
      </c>
      <c r="C3395" t="s">
        <v>8</v>
      </c>
      <c r="D3395" t="s">
        <v>1248</v>
      </c>
      <c r="E3395">
        <v>2596</v>
      </c>
      <c r="F3395" t="s">
        <v>28</v>
      </c>
    </row>
    <row r="3396" spans="1:6" x14ac:dyDescent="0.35">
      <c r="A3396" s="1">
        <v>45722</v>
      </c>
      <c r="B3396" s="2">
        <v>45722.470578912034</v>
      </c>
      <c r="C3396" t="s">
        <v>8</v>
      </c>
      <c r="D3396" t="s">
        <v>1315</v>
      </c>
      <c r="E3396">
        <v>3576</v>
      </c>
      <c r="F3396" t="s">
        <v>24</v>
      </c>
    </row>
    <row r="3397" spans="1:6" x14ac:dyDescent="0.35">
      <c r="A3397" s="1">
        <v>45722</v>
      </c>
      <c r="B3397" s="2">
        <v>45722.577466446761</v>
      </c>
      <c r="C3397" t="s">
        <v>8</v>
      </c>
      <c r="D3397" t="s">
        <v>1265</v>
      </c>
      <c r="E3397">
        <v>3576</v>
      </c>
      <c r="F3397" t="s">
        <v>32</v>
      </c>
    </row>
    <row r="3398" spans="1:6" x14ac:dyDescent="0.35">
      <c r="A3398" s="1">
        <v>45722</v>
      </c>
      <c r="B3398" s="2">
        <v>45722.671380821761</v>
      </c>
      <c r="C3398" t="s">
        <v>8</v>
      </c>
      <c r="D3398" t="s">
        <v>1266</v>
      </c>
      <c r="E3398">
        <v>3086</v>
      </c>
      <c r="F3398" t="s">
        <v>36</v>
      </c>
    </row>
    <row r="3399" spans="1:6" x14ac:dyDescent="0.35">
      <c r="A3399" s="1">
        <v>45722</v>
      </c>
      <c r="B3399" s="2">
        <v>45722.742490833334</v>
      </c>
      <c r="C3399" t="s">
        <v>8</v>
      </c>
      <c r="D3399" t="s">
        <v>33</v>
      </c>
      <c r="E3399">
        <v>3576</v>
      </c>
      <c r="F3399" t="s">
        <v>10</v>
      </c>
    </row>
    <row r="3400" spans="1:6" x14ac:dyDescent="0.35">
      <c r="A3400" s="1">
        <v>45722</v>
      </c>
      <c r="B3400" s="2">
        <v>45722.768885694444</v>
      </c>
      <c r="C3400" t="s">
        <v>8</v>
      </c>
      <c r="D3400" t="s">
        <v>1209</v>
      </c>
      <c r="E3400">
        <v>3576</v>
      </c>
      <c r="F3400" t="s">
        <v>24</v>
      </c>
    </row>
    <row r="3401" spans="1:6" x14ac:dyDescent="0.35">
      <c r="A3401" s="1">
        <v>45722</v>
      </c>
      <c r="B3401" s="2">
        <v>45722.807068506947</v>
      </c>
      <c r="C3401" t="s">
        <v>8</v>
      </c>
      <c r="D3401" t="s">
        <v>1204</v>
      </c>
      <c r="E3401">
        <v>3086</v>
      </c>
      <c r="F3401" t="s">
        <v>36</v>
      </c>
    </row>
    <row r="3402" spans="1:6" x14ac:dyDescent="0.35">
      <c r="A3402" s="1">
        <v>45723</v>
      </c>
      <c r="B3402" s="2">
        <v>45723.295628715277</v>
      </c>
      <c r="C3402" t="s">
        <v>8</v>
      </c>
      <c r="D3402" t="s">
        <v>1212</v>
      </c>
      <c r="E3402">
        <v>3576</v>
      </c>
      <c r="F3402" t="s">
        <v>24</v>
      </c>
    </row>
    <row r="3403" spans="1:6" x14ac:dyDescent="0.35">
      <c r="A3403" s="1">
        <v>45723</v>
      </c>
      <c r="B3403" s="2">
        <v>45723.364709340276</v>
      </c>
      <c r="C3403" t="s">
        <v>8</v>
      </c>
      <c r="D3403" t="s">
        <v>6</v>
      </c>
      <c r="E3403">
        <v>2596</v>
      </c>
      <c r="F3403" t="s">
        <v>28</v>
      </c>
    </row>
    <row r="3404" spans="1:6" x14ac:dyDescent="0.35">
      <c r="A3404" s="1">
        <v>45723</v>
      </c>
      <c r="B3404" s="2">
        <v>45723.365322083337</v>
      </c>
      <c r="C3404" t="s">
        <v>8</v>
      </c>
      <c r="D3404" t="s">
        <v>6</v>
      </c>
      <c r="E3404">
        <v>2596</v>
      </c>
      <c r="F3404" t="s">
        <v>28</v>
      </c>
    </row>
    <row r="3405" spans="1:6" x14ac:dyDescent="0.35">
      <c r="A3405" s="1">
        <v>45723</v>
      </c>
      <c r="B3405" s="2">
        <v>45723.376861018522</v>
      </c>
      <c r="C3405" t="s">
        <v>8</v>
      </c>
      <c r="D3405" t="s">
        <v>33</v>
      </c>
      <c r="E3405">
        <v>2596</v>
      </c>
      <c r="F3405" t="s">
        <v>28</v>
      </c>
    </row>
    <row r="3406" spans="1:6" x14ac:dyDescent="0.35">
      <c r="A3406" s="1">
        <v>45723</v>
      </c>
      <c r="B3406" s="2">
        <v>45723.423587164354</v>
      </c>
      <c r="C3406" t="s">
        <v>8</v>
      </c>
      <c r="D3406" t="s">
        <v>1206</v>
      </c>
      <c r="E3406">
        <v>3576</v>
      </c>
      <c r="F3406" t="s">
        <v>15</v>
      </c>
    </row>
    <row r="3407" spans="1:6" x14ac:dyDescent="0.35">
      <c r="A3407" s="1">
        <v>45723</v>
      </c>
      <c r="B3407" s="2">
        <v>45723.435126597222</v>
      </c>
      <c r="C3407" t="s">
        <v>8</v>
      </c>
      <c r="D3407" t="s">
        <v>1316</v>
      </c>
      <c r="E3407">
        <v>3086</v>
      </c>
      <c r="F3407" t="s">
        <v>36</v>
      </c>
    </row>
    <row r="3408" spans="1:6" x14ac:dyDescent="0.35">
      <c r="A3408" s="1">
        <v>45723</v>
      </c>
      <c r="B3408" s="2">
        <v>45723.435793298609</v>
      </c>
      <c r="C3408" t="s">
        <v>8</v>
      </c>
      <c r="D3408" t="s">
        <v>1316</v>
      </c>
      <c r="E3408">
        <v>3086</v>
      </c>
      <c r="F3408" t="s">
        <v>36</v>
      </c>
    </row>
    <row r="3409" spans="1:6" x14ac:dyDescent="0.35">
      <c r="A3409" s="1">
        <v>45723</v>
      </c>
      <c r="B3409" s="2">
        <v>45723.445668877313</v>
      </c>
      <c r="C3409" t="s">
        <v>8</v>
      </c>
      <c r="D3409" t="s">
        <v>1312</v>
      </c>
      <c r="E3409">
        <v>3576</v>
      </c>
      <c r="F3409" t="s">
        <v>10</v>
      </c>
    </row>
    <row r="3410" spans="1:6" x14ac:dyDescent="0.35">
      <c r="A3410" s="1">
        <v>45723</v>
      </c>
      <c r="B3410" s="2">
        <v>45723.493743680556</v>
      </c>
      <c r="C3410" t="s">
        <v>8</v>
      </c>
      <c r="D3410" t="s">
        <v>1239</v>
      </c>
      <c r="E3410">
        <v>3576</v>
      </c>
      <c r="F3410" t="s">
        <v>10</v>
      </c>
    </row>
    <row r="3411" spans="1:6" x14ac:dyDescent="0.35">
      <c r="A3411" s="1">
        <v>45723</v>
      </c>
      <c r="B3411" s="2">
        <v>45723.502618599538</v>
      </c>
      <c r="C3411" t="s">
        <v>8</v>
      </c>
      <c r="D3411" t="s">
        <v>1208</v>
      </c>
      <c r="E3411">
        <v>3086</v>
      </c>
      <c r="F3411" t="s">
        <v>36</v>
      </c>
    </row>
    <row r="3412" spans="1:6" x14ac:dyDescent="0.35">
      <c r="A3412" s="1">
        <v>45723</v>
      </c>
      <c r="B3412" s="2">
        <v>45723.572088483794</v>
      </c>
      <c r="C3412" t="s">
        <v>8</v>
      </c>
      <c r="D3412" t="s">
        <v>1260</v>
      </c>
      <c r="E3412">
        <v>3576</v>
      </c>
      <c r="F3412" t="s">
        <v>15</v>
      </c>
    </row>
    <row r="3413" spans="1:6" x14ac:dyDescent="0.35">
      <c r="A3413" s="1">
        <v>45723</v>
      </c>
      <c r="B3413" s="2">
        <v>45723.580226909726</v>
      </c>
      <c r="C3413" t="s">
        <v>8</v>
      </c>
      <c r="D3413" t="s">
        <v>1310</v>
      </c>
      <c r="E3413">
        <v>2596</v>
      </c>
      <c r="F3413" t="s">
        <v>28</v>
      </c>
    </row>
    <row r="3414" spans="1:6" x14ac:dyDescent="0.35">
      <c r="A3414" s="1">
        <v>45723</v>
      </c>
      <c r="B3414" s="2">
        <v>45723.620487962966</v>
      </c>
      <c r="C3414" t="s">
        <v>8</v>
      </c>
      <c r="D3414" t="s">
        <v>1234</v>
      </c>
      <c r="E3414">
        <v>3576</v>
      </c>
      <c r="F3414" t="s">
        <v>24</v>
      </c>
    </row>
    <row r="3415" spans="1:6" x14ac:dyDescent="0.35">
      <c r="A3415" s="1">
        <v>45723</v>
      </c>
      <c r="B3415" s="2">
        <v>45723.631300057874</v>
      </c>
      <c r="C3415" t="s">
        <v>8</v>
      </c>
      <c r="D3415" t="s">
        <v>1241</v>
      </c>
      <c r="E3415">
        <v>3576</v>
      </c>
      <c r="F3415" t="s">
        <v>32</v>
      </c>
    </row>
    <row r="3416" spans="1:6" x14ac:dyDescent="0.35">
      <c r="A3416" s="1">
        <v>45723</v>
      </c>
      <c r="B3416" s="2">
        <v>45723.661724409722</v>
      </c>
      <c r="C3416" t="s">
        <v>8</v>
      </c>
      <c r="D3416" t="s">
        <v>1214</v>
      </c>
      <c r="E3416">
        <v>3576</v>
      </c>
      <c r="F3416" t="s">
        <v>32</v>
      </c>
    </row>
    <row r="3417" spans="1:6" x14ac:dyDescent="0.35">
      <c r="A3417" s="1">
        <v>45723</v>
      </c>
      <c r="B3417" s="2">
        <v>45723.715616724534</v>
      </c>
      <c r="C3417" t="s">
        <v>8</v>
      </c>
      <c r="D3417" t="s">
        <v>1241</v>
      </c>
      <c r="E3417">
        <v>3576</v>
      </c>
      <c r="F3417" t="s">
        <v>32</v>
      </c>
    </row>
    <row r="3418" spans="1:6" x14ac:dyDescent="0.35">
      <c r="A3418" s="1">
        <v>45723</v>
      </c>
      <c r="B3418" s="2">
        <v>45723.716939907405</v>
      </c>
      <c r="C3418" t="s">
        <v>8</v>
      </c>
      <c r="D3418" t="s">
        <v>1215</v>
      </c>
      <c r="E3418">
        <v>3576</v>
      </c>
      <c r="F3418" t="s">
        <v>15</v>
      </c>
    </row>
    <row r="3419" spans="1:6" x14ac:dyDescent="0.35">
      <c r="A3419" s="1">
        <v>45724</v>
      </c>
      <c r="B3419" s="2">
        <v>45724.391487777779</v>
      </c>
      <c r="C3419" t="s">
        <v>8</v>
      </c>
      <c r="D3419" t="s">
        <v>1257</v>
      </c>
      <c r="E3419">
        <v>3086</v>
      </c>
      <c r="F3419" t="s">
        <v>36</v>
      </c>
    </row>
    <row r="3420" spans="1:6" x14ac:dyDescent="0.35">
      <c r="A3420" s="1">
        <v>45724</v>
      </c>
      <c r="B3420" s="2">
        <v>45724.404084490743</v>
      </c>
      <c r="C3420" t="s">
        <v>8</v>
      </c>
      <c r="D3420" t="s">
        <v>1213</v>
      </c>
      <c r="E3420">
        <v>3086</v>
      </c>
      <c r="F3420" t="s">
        <v>36</v>
      </c>
    </row>
    <row r="3421" spans="1:6" x14ac:dyDescent="0.35">
      <c r="A3421" s="1">
        <v>45724</v>
      </c>
      <c r="B3421" s="2">
        <v>45724.454324467595</v>
      </c>
      <c r="C3421" t="s">
        <v>8</v>
      </c>
      <c r="D3421" t="s">
        <v>33</v>
      </c>
      <c r="E3421">
        <v>2596</v>
      </c>
      <c r="F3421" t="s">
        <v>28</v>
      </c>
    </row>
    <row r="3422" spans="1:6" x14ac:dyDescent="0.35">
      <c r="A3422" s="1">
        <v>45724</v>
      </c>
      <c r="B3422" s="2">
        <v>45724.472055300925</v>
      </c>
      <c r="C3422" t="s">
        <v>8</v>
      </c>
      <c r="D3422" t="s">
        <v>1240</v>
      </c>
      <c r="E3422">
        <v>2596</v>
      </c>
      <c r="F3422" t="s">
        <v>28</v>
      </c>
    </row>
    <row r="3423" spans="1:6" x14ac:dyDescent="0.35">
      <c r="A3423" s="1">
        <v>45724</v>
      </c>
      <c r="B3423" s="2">
        <v>45724.472596956017</v>
      </c>
      <c r="C3423" t="s">
        <v>8</v>
      </c>
      <c r="D3423" t="s">
        <v>1240</v>
      </c>
      <c r="E3423">
        <v>2596</v>
      </c>
      <c r="F3423" t="s">
        <v>28</v>
      </c>
    </row>
    <row r="3424" spans="1:6" x14ac:dyDescent="0.35">
      <c r="A3424" s="1">
        <v>45724</v>
      </c>
      <c r="B3424" s="2">
        <v>45724.528701805553</v>
      </c>
      <c r="C3424" t="s">
        <v>8</v>
      </c>
      <c r="D3424" t="s">
        <v>1317</v>
      </c>
      <c r="E3424">
        <v>3086</v>
      </c>
      <c r="F3424" t="s">
        <v>36</v>
      </c>
    </row>
    <row r="3425" spans="1:6" x14ac:dyDescent="0.35">
      <c r="A3425" s="1">
        <v>45724</v>
      </c>
      <c r="B3425" s="2">
        <v>45724.531311770836</v>
      </c>
      <c r="C3425" t="s">
        <v>8</v>
      </c>
      <c r="D3425" t="s">
        <v>6</v>
      </c>
      <c r="E3425">
        <v>2596</v>
      </c>
      <c r="F3425" t="s">
        <v>28</v>
      </c>
    </row>
    <row r="3426" spans="1:6" x14ac:dyDescent="0.35">
      <c r="A3426" s="1">
        <v>45724</v>
      </c>
      <c r="B3426" s="2">
        <v>45724.569514513889</v>
      </c>
      <c r="C3426" t="s">
        <v>8</v>
      </c>
      <c r="D3426" t="s">
        <v>1213</v>
      </c>
      <c r="E3426">
        <v>3576</v>
      </c>
      <c r="F3426" t="s">
        <v>24</v>
      </c>
    </row>
    <row r="3427" spans="1:6" x14ac:dyDescent="0.35">
      <c r="A3427" s="1">
        <v>45725</v>
      </c>
      <c r="B3427" s="2">
        <v>45725.404211608795</v>
      </c>
      <c r="C3427" t="s">
        <v>8</v>
      </c>
      <c r="D3427" t="s">
        <v>1318</v>
      </c>
      <c r="E3427">
        <v>2106</v>
      </c>
      <c r="F3427" t="s">
        <v>5</v>
      </c>
    </row>
    <row r="3428" spans="1:6" x14ac:dyDescent="0.35">
      <c r="A3428" s="1">
        <v>45725</v>
      </c>
      <c r="B3428" s="2">
        <v>45725.476309999998</v>
      </c>
      <c r="C3428" t="s">
        <v>8</v>
      </c>
      <c r="D3428" t="s">
        <v>1319</v>
      </c>
      <c r="E3428">
        <v>3086</v>
      </c>
      <c r="F3428" t="s">
        <v>36</v>
      </c>
    </row>
    <row r="3429" spans="1:6" x14ac:dyDescent="0.35">
      <c r="A3429" s="1">
        <v>45725</v>
      </c>
      <c r="B3429" s="2">
        <v>45725.577734699073</v>
      </c>
      <c r="C3429" t="s">
        <v>8</v>
      </c>
      <c r="D3429" t="s">
        <v>1234</v>
      </c>
      <c r="E3429">
        <v>3576</v>
      </c>
      <c r="F3429" t="s">
        <v>24</v>
      </c>
    </row>
    <row r="3430" spans="1:6" x14ac:dyDescent="0.35">
      <c r="A3430" s="1">
        <v>45725</v>
      </c>
      <c r="B3430" s="2">
        <v>45725.596181273148</v>
      </c>
      <c r="C3430" t="s">
        <v>8</v>
      </c>
      <c r="D3430" t="s">
        <v>33</v>
      </c>
      <c r="E3430">
        <v>2596</v>
      </c>
      <c r="F3430" t="s">
        <v>28</v>
      </c>
    </row>
    <row r="3431" spans="1:6" x14ac:dyDescent="0.35">
      <c r="A3431" s="1">
        <v>45725</v>
      </c>
      <c r="B3431" s="2">
        <v>45725.633812546293</v>
      </c>
      <c r="C3431" t="s">
        <v>8</v>
      </c>
      <c r="D3431" t="s">
        <v>1204</v>
      </c>
      <c r="E3431">
        <v>3576</v>
      </c>
      <c r="F3431" t="s">
        <v>24</v>
      </c>
    </row>
    <row r="3432" spans="1:6" x14ac:dyDescent="0.35">
      <c r="A3432" s="1">
        <v>45725</v>
      </c>
      <c r="B3432" s="2">
        <v>45725.652165879626</v>
      </c>
      <c r="C3432" t="s">
        <v>8</v>
      </c>
      <c r="D3432" t="s">
        <v>6</v>
      </c>
      <c r="E3432">
        <v>2596</v>
      </c>
      <c r="F3432" t="s">
        <v>28</v>
      </c>
    </row>
    <row r="3433" spans="1:6" x14ac:dyDescent="0.35">
      <c r="A3433" s="1">
        <v>45725</v>
      </c>
      <c r="B3433" s="2">
        <v>45725.661566296294</v>
      </c>
      <c r="C3433" t="s">
        <v>8</v>
      </c>
      <c r="D3433" t="s">
        <v>1267</v>
      </c>
      <c r="E3433">
        <v>3086</v>
      </c>
      <c r="F3433" t="s">
        <v>36</v>
      </c>
    </row>
    <row r="3434" spans="1:6" x14ac:dyDescent="0.35">
      <c r="A3434" s="1">
        <v>45725</v>
      </c>
      <c r="B3434" s="2">
        <v>45725.662273078706</v>
      </c>
      <c r="C3434" t="s">
        <v>8</v>
      </c>
      <c r="D3434" t="s">
        <v>1320</v>
      </c>
      <c r="E3434">
        <v>3576</v>
      </c>
      <c r="F3434" t="s">
        <v>10</v>
      </c>
    </row>
    <row r="3435" spans="1:6" x14ac:dyDescent="0.35">
      <c r="A3435" s="1">
        <v>45726</v>
      </c>
      <c r="B3435" s="2">
        <v>45726.357447719907</v>
      </c>
      <c r="C3435" t="s">
        <v>8</v>
      </c>
      <c r="D3435" t="s">
        <v>1321</v>
      </c>
      <c r="E3435">
        <v>2596</v>
      </c>
      <c r="F3435" t="s">
        <v>28</v>
      </c>
    </row>
    <row r="3436" spans="1:6" x14ac:dyDescent="0.35">
      <c r="A3436" s="1">
        <v>45726</v>
      </c>
      <c r="B3436" s="2">
        <v>45726.358107384258</v>
      </c>
      <c r="C3436" t="s">
        <v>8</v>
      </c>
      <c r="D3436" t="s">
        <v>1321</v>
      </c>
      <c r="E3436">
        <v>3576</v>
      </c>
      <c r="F3436" t="s">
        <v>32</v>
      </c>
    </row>
    <row r="3437" spans="1:6" x14ac:dyDescent="0.35">
      <c r="A3437" s="1">
        <v>45726</v>
      </c>
      <c r="B3437" s="2">
        <v>45726.379486261576</v>
      </c>
      <c r="C3437" t="s">
        <v>8</v>
      </c>
      <c r="D3437" t="s">
        <v>1204</v>
      </c>
      <c r="E3437">
        <v>3086</v>
      </c>
      <c r="F3437" t="s">
        <v>36</v>
      </c>
    </row>
    <row r="3438" spans="1:6" x14ac:dyDescent="0.35">
      <c r="A3438" s="1">
        <v>45726</v>
      </c>
      <c r="B3438" s="2">
        <v>45726.388528784722</v>
      </c>
      <c r="C3438" t="s">
        <v>8</v>
      </c>
      <c r="D3438" t="s">
        <v>1260</v>
      </c>
      <c r="E3438">
        <v>3576</v>
      </c>
      <c r="F3438" t="s">
        <v>15</v>
      </c>
    </row>
    <row r="3439" spans="1:6" x14ac:dyDescent="0.35">
      <c r="A3439" s="1">
        <v>45726</v>
      </c>
      <c r="B3439" s="2">
        <v>45726.410348645833</v>
      </c>
      <c r="C3439" t="s">
        <v>8</v>
      </c>
      <c r="D3439" t="s">
        <v>1322</v>
      </c>
      <c r="E3439">
        <v>3576</v>
      </c>
      <c r="F3439" t="s">
        <v>10</v>
      </c>
    </row>
    <row r="3440" spans="1:6" x14ac:dyDescent="0.35">
      <c r="A3440" s="1">
        <v>45726</v>
      </c>
      <c r="B3440" s="2">
        <v>45726.429827083331</v>
      </c>
      <c r="C3440" t="s">
        <v>8</v>
      </c>
      <c r="D3440" t="s">
        <v>1323</v>
      </c>
      <c r="E3440">
        <v>3576</v>
      </c>
      <c r="F3440" t="s">
        <v>15</v>
      </c>
    </row>
    <row r="3441" spans="1:6" x14ac:dyDescent="0.35">
      <c r="A3441" s="1">
        <v>45726</v>
      </c>
      <c r="B3441" s="2">
        <v>45726.525171250003</v>
      </c>
      <c r="C3441" t="s">
        <v>8</v>
      </c>
      <c r="D3441" t="s">
        <v>1221</v>
      </c>
      <c r="E3441">
        <v>2596</v>
      </c>
      <c r="F3441" t="s">
        <v>28</v>
      </c>
    </row>
    <row r="3442" spans="1:6" x14ac:dyDescent="0.35">
      <c r="A3442" s="1">
        <v>45726</v>
      </c>
      <c r="B3442" s="2">
        <v>45726.64733190972</v>
      </c>
      <c r="C3442" t="s">
        <v>8</v>
      </c>
      <c r="D3442" t="s">
        <v>1220</v>
      </c>
      <c r="E3442">
        <v>2596</v>
      </c>
      <c r="F3442" t="s">
        <v>28</v>
      </c>
    </row>
    <row r="3443" spans="1:6" x14ac:dyDescent="0.35">
      <c r="A3443" s="1">
        <v>45726</v>
      </c>
      <c r="B3443" s="2">
        <v>45726.65414204861</v>
      </c>
      <c r="C3443" t="s">
        <v>8</v>
      </c>
      <c r="D3443" t="s">
        <v>1262</v>
      </c>
      <c r="E3443">
        <v>3576</v>
      </c>
      <c r="F3443" t="s">
        <v>15</v>
      </c>
    </row>
    <row r="3444" spans="1:6" x14ac:dyDescent="0.35">
      <c r="A3444" s="1">
        <v>45726</v>
      </c>
      <c r="B3444" s="2">
        <v>45726.679173530094</v>
      </c>
      <c r="C3444" t="s">
        <v>8</v>
      </c>
      <c r="D3444" t="s">
        <v>1241</v>
      </c>
      <c r="E3444">
        <v>3576</v>
      </c>
      <c r="F3444" t="s">
        <v>32</v>
      </c>
    </row>
    <row r="3445" spans="1:6" x14ac:dyDescent="0.35">
      <c r="A3445" s="1">
        <v>45726</v>
      </c>
      <c r="B3445" s="2">
        <v>45726.679794270836</v>
      </c>
      <c r="C3445" t="s">
        <v>8</v>
      </c>
      <c r="D3445" t="s">
        <v>1215</v>
      </c>
      <c r="E3445">
        <v>3576</v>
      </c>
      <c r="F3445" t="s">
        <v>32</v>
      </c>
    </row>
    <row r="3446" spans="1:6" x14ac:dyDescent="0.35">
      <c r="A3446" s="1">
        <v>45726</v>
      </c>
      <c r="B3446" s="2">
        <v>45726.683627766201</v>
      </c>
      <c r="C3446" t="s">
        <v>8</v>
      </c>
      <c r="D3446" t="s">
        <v>1324</v>
      </c>
      <c r="E3446">
        <v>3576</v>
      </c>
      <c r="F3446" t="s">
        <v>24</v>
      </c>
    </row>
    <row r="3447" spans="1:6" x14ac:dyDescent="0.35">
      <c r="A3447" s="1">
        <v>45726</v>
      </c>
      <c r="B3447" s="2">
        <v>45726.684403449071</v>
      </c>
      <c r="C3447" t="s">
        <v>8</v>
      </c>
      <c r="D3447" t="s">
        <v>1324</v>
      </c>
      <c r="E3447">
        <v>3086</v>
      </c>
      <c r="F3447" t="s">
        <v>36</v>
      </c>
    </row>
    <row r="3448" spans="1:6" x14ac:dyDescent="0.35">
      <c r="A3448" s="1">
        <v>45726</v>
      </c>
      <c r="B3448" s="2">
        <v>45726.76104445602</v>
      </c>
      <c r="C3448" t="s">
        <v>8</v>
      </c>
      <c r="D3448" t="s">
        <v>1220</v>
      </c>
      <c r="E3448">
        <v>2596</v>
      </c>
      <c r="F3448" t="s">
        <v>28</v>
      </c>
    </row>
    <row r="3449" spans="1:6" x14ac:dyDescent="0.35">
      <c r="A3449" s="1">
        <v>45726</v>
      </c>
      <c r="B3449" s="2">
        <v>45726.783683194444</v>
      </c>
      <c r="C3449" t="s">
        <v>8</v>
      </c>
      <c r="D3449" t="s">
        <v>1307</v>
      </c>
      <c r="E3449">
        <v>3576</v>
      </c>
      <c r="F3449" t="s">
        <v>32</v>
      </c>
    </row>
    <row r="3450" spans="1:6" x14ac:dyDescent="0.35">
      <c r="A3450" s="1">
        <v>45726</v>
      </c>
      <c r="B3450" s="2">
        <v>45726.784286076392</v>
      </c>
      <c r="C3450" t="s">
        <v>8</v>
      </c>
      <c r="D3450" t="s">
        <v>1307</v>
      </c>
      <c r="E3450">
        <v>3576</v>
      </c>
      <c r="F3450" t="s">
        <v>32</v>
      </c>
    </row>
    <row r="3451" spans="1:6" x14ac:dyDescent="0.35">
      <c r="A3451" s="1">
        <v>45726</v>
      </c>
      <c r="B3451" s="2">
        <v>45726.810218460647</v>
      </c>
      <c r="C3451" t="s">
        <v>8</v>
      </c>
      <c r="D3451" t="s">
        <v>1208</v>
      </c>
      <c r="E3451">
        <v>3086</v>
      </c>
      <c r="F3451" t="s">
        <v>36</v>
      </c>
    </row>
    <row r="3452" spans="1:6" x14ac:dyDescent="0.35">
      <c r="A3452" s="1">
        <v>45727</v>
      </c>
      <c r="B3452" s="2">
        <v>45727.365573750001</v>
      </c>
      <c r="C3452" t="s">
        <v>8</v>
      </c>
      <c r="D3452" t="s">
        <v>1220</v>
      </c>
      <c r="E3452">
        <v>2596</v>
      </c>
      <c r="F3452" t="s">
        <v>28</v>
      </c>
    </row>
    <row r="3453" spans="1:6" x14ac:dyDescent="0.35">
      <c r="A3453" s="1">
        <v>45727</v>
      </c>
      <c r="B3453" s="2">
        <v>45727.383653819445</v>
      </c>
      <c r="C3453" t="s">
        <v>8</v>
      </c>
      <c r="D3453" t="s">
        <v>33</v>
      </c>
      <c r="E3453">
        <v>3576</v>
      </c>
      <c r="F3453" t="s">
        <v>24</v>
      </c>
    </row>
    <row r="3454" spans="1:6" x14ac:dyDescent="0.35">
      <c r="A3454" s="1">
        <v>45727</v>
      </c>
      <c r="B3454" s="2">
        <v>45727.39380096065</v>
      </c>
      <c r="C3454" t="s">
        <v>8</v>
      </c>
      <c r="D3454" t="s">
        <v>1325</v>
      </c>
      <c r="E3454">
        <v>3576</v>
      </c>
      <c r="F3454" t="s">
        <v>32</v>
      </c>
    </row>
    <row r="3455" spans="1:6" x14ac:dyDescent="0.35">
      <c r="A3455" s="1">
        <v>45727</v>
      </c>
      <c r="B3455" s="2">
        <v>45727.43539136574</v>
      </c>
      <c r="C3455" t="s">
        <v>8</v>
      </c>
      <c r="D3455" t="s">
        <v>1220</v>
      </c>
      <c r="E3455">
        <v>2596</v>
      </c>
      <c r="F3455" t="s">
        <v>28</v>
      </c>
    </row>
    <row r="3456" spans="1:6" x14ac:dyDescent="0.35">
      <c r="A3456" s="1">
        <v>45727</v>
      </c>
      <c r="B3456" s="2">
        <v>45727.523152256945</v>
      </c>
      <c r="C3456" t="s">
        <v>8</v>
      </c>
      <c r="D3456" t="s">
        <v>1220</v>
      </c>
      <c r="E3456">
        <v>2596</v>
      </c>
      <c r="F3456" t="s">
        <v>28</v>
      </c>
    </row>
    <row r="3457" spans="1:6" x14ac:dyDescent="0.35">
      <c r="A3457" s="1">
        <v>45727</v>
      </c>
      <c r="B3457" s="2">
        <v>45727.553410763889</v>
      </c>
      <c r="C3457" t="s">
        <v>8</v>
      </c>
      <c r="D3457" t="s">
        <v>1221</v>
      </c>
      <c r="E3457">
        <v>2596</v>
      </c>
      <c r="F3457" t="s">
        <v>28</v>
      </c>
    </row>
    <row r="3458" spans="1:6" x14ac:dyDescent="0.35">
      <c r="A3458" s="1">
        <v>45727</v>
      </c>
      <c r="B3458" s="2">
        <v>45727.687165069445</v>
      </c>
      <c r="C3458" t="s">
        <v>8</v>
      </c>
      <c r="D3458" t="s">
        <v>1326</v>
      </c>
      <c r="E3458">
        <v>3576</v>
      </c>
      <c r="F3458" t="s">
        <v>15</v>
      </c>
    </row>
    <row r="3459" spans="1:6" x14ac:dyDescent="0.35">
      <c r="A3459" s="1">
        <v>45727</v>
      </c>
      <c r="B3459" s="2">
        <v>45727.687686215279</v>
      </c>
      <c r="C3459" t="s">
        <v>8</v>
      </c>
      <c r="D3459" t="s">
        <v>1326</v>
      </c>
      <c r="E3459">
        <v>3576</v>
      </c>
      <c r="F3459" t="s">
        <v>10</v>
      </c>
    </row>
    <row r="3460" spans="1:6" x14ac:dyDescent="0.35">
      <c r="A3460" s="1">
        <v>45727</v>
      </c>
      <c r="B3460" s="2">
        <v>45727.701166087965</v>
      </c>
      <c r="C3460" t="s">
        <v>8</v>
      </c>
      <c r="D3460" t="s">
        <v>1260</v>
      </c>
      <c r="E3460">
        <v>3576</v>
      </c>
      <c r="F3460" t="s">
        <v>15</v>
      </c>
    </row>
    <row r="3461" spans="1:6" x14ac:dyDescent="0.35">
      <c r="A3461" s="1">
        <v>45727</v>
      </c>
      <c r="B3461" s="2">
        <v>45727.740859178244</v>
      </c>
      <c r="C3461" t="s">
        <v>8</v>
      </c>
      <c r="D3461" t="s">
        <v>1234</v>
      </c>
      <c r="E3461">
        <v>3576</v>
      </c>
      <c r="F3461" t="s">
        <v>24</v>
      </c>
    </row>
    <row r="3462" spans="1:6" x14ac:dyDescent="0.35">
      <c r="A3462" s="1">
        <v>45727</v>
      </c>
      <c r="B3462" s="2">
        <v>45727.789492037038</v>
      </c>
      <c r="C3462" t="s">
        <v>8</v>
      </c>
      <c r="D3462" t="s">
        <v>1208</v>
      </c>
      <c r="E3462">
        <v>3086</v>
      </c>
      <c r="F3462" t="s">
        <v>36</v>
      </c>
    </row>
    <row r="3463" spans="1:6" x14ac:dyDescent="0.35">
      <c r="A3463" s="1">
        <v>45727</v>
      </c>
      <c r="B3463" s="2">
        <v>45727.796694143515</v>
      </c>
      <c r="C3463" t="s">
        <v>8</v>
      </c>
      <c r="D3463" t="s">
        <v>1259</v>
      </c>
      <c r="E3463">
        <v>3576</v>
      </c>
      <c r="F3463" t="s">
        <v>32</v>
      </c>
    </row>
    <row r="3464" spans="1:6" x14ac:dyDescent="0.35">
      <c r="A3464" s="1">
        <v>45727</v>
      </c>
      <c r="B3464" s="2">
        <v>45727.839540844907</v>
      </c>
      <c r="C3464" t="s">
        <v>8</v>
      </c>
      <c r="D3464" t="s">
        <v>1235</v>
      </c>
      <c r="E3464">
        <v>3576</v>
      </c>
      <c r="F3464" t="s">
        <v>10</v>
      </c>
    </row>
    <row r="3465" spans="1:6" x14ac:dyDescent="0.35">
      <c r="A3465" s="1">
        <v>45728</v>
      </c>
      <c r="B3465" s="2">
        <v>45728.46642877315</v>
      </c>
      <c r="C3465" t="s">
        <v>8</v>
      </c>
      <c r="D3465" t="s">
        <v>1327</v>
      </c>
      <c r="E3465">
        <v>3576</v>
      </c>
      <c r="F3465" t="s">
        <v>10</v>
      </c>
    </row>
    <row r="3466" spans="1:6" x14ac:dyDescent="0.35">
      <c r="A3466" s="1">
        <v>45728</v>
      </c>
      <c r="B3466" s="2">
        <v>45728.49136871528</v>
      </c>
      <c r="C3466" t="s">
        <v>8</v>
      </c>
      <c r="D3466" t="s">
        <v>1212</v>
      </c>
      <c r="E3466">
        <v>3086</v>
      </c>
      <c r="F3466" t="s">
        <v>36</v>
      </c>
    </row>
    <row r="3467" spans="1:6" x14ac:dyDescent="0.35">
      <c r="A3467" s="1">
        <v>45728</v>
      </c>
      <c r="B3467" s="2">
        <v>45728.49323378472</v>
      </c>
      <c r="C3467" t="s">
        <v>8</v>
      </c>
      <c r="D3467" t="s">
        <v>1212</v>
      </c>
      <c r="E3467">
        <v>3576</v>
      </c>
      <c r="F3467" t="s">
        <v>24</v>
      </c>
    </row>
    <row r="3468" spans="1:6" x14ac:dyDescent="0.35">
      <c r="A3468" s="1">
        <v>45728</v>
      </c>
      <c r="B3468" s="2">
        <v>45728.497174293982</v>
      </c>
      <c r="C3468" t="s">
        <v>8</v>
      </c>
      <c r="D3468" t="s">
        <v>33</v>
      </c>
      <c r="E3468">
        <v>2596</v>
      </c>
      <c r="F3468" t="s">
        <v>28</v>
      </c>
    </row>
    <row r="3469" spans="1:6" x14ac:dyDescent="0.35">
      <c r="A3469" s="1">
        <v>45728</v>
      </c>
      <c r="B3469" s="2">
        <v>45728.497788182867</v>
      </c>
      <c r="C3469" t="s">
        <v>8</v>
      </c>
      <c r="D3469" t="s">
        <v>33</v>
      </c>
      <c r="E3469">
        <v>2596</v>
      </c>
      <c r="F3469" t="s">
        <v>28</v>
      </c>
    </row>
    <row r="3470" spans="1:6" x14ac:dyDescent="0.35">
      <c r="A3470" s="1">
        <v>45728</v>
      </c>
      <c r="B3470" s="2">
        <v>45728.504294652776</v>
      </c>
      <c r="C3470" t="s">
        <v>8</v>
      </c>
      <c r="D3470" t="s">
        <v>1328</v>
      </c>
      <c r="E3470">
        <v>2596</v>
      </c>
      <c r="F3470" t="s">
        <v>28</v>
      </c>
    </row>
    <row r="3471" spans="1:6" x14ac:dyDescent="0.35">
      <c r="A3471" s="1">
        <v>45728</v>
      </c>
      <c r="B3471" s="2">
        <v>45728.538639027778</v>
      </c>
      <c r="C3471" t="s">
        <v>8</v>
      </c>
      <c r="D3471" t="s">
        <v>1329</v>
      </c>
      <c r="E3471">
        <v>3576</v>
      </c>
      <c r="F3471" t="s">
        <v>15</v>
      </c>
    </row>
    <row r="3472" spans="1:6" x14ac:dyDescent="0.35">
      <c r="A3472" s="1">
        <v>45728</v>
      </c>
      <c r="B3472" s="2">
        <v>45728.54293181713</v>
      </c>
      <c r="C3472" t="s">
        <v>8</v>
      </c>
      <c r="D3472" t="s">
        <v>1330</v>
      </c>
      <c r="E3472">
        <v>3576</v>
      </c>
      <c r="F3472" t="s">
        <v>32</v>
      </c>
    </row>
    <row r="3473" spans="1:6" x14ac:dyDescent="0.35">
      <c r="A3473" s="1">
        <v>45728</v>
      </c>
      <c r="B3473" s="2">
        <v>45728.580829178238</v>
      </c>
      <c r="C3473" t="s">
        <v>8</v>
      </c>
      <c r="D3473" t="s">
        <v>1249</v>
      </c>
      <c r="E3473">
        <v>3576</v>
      </c>
      <c r="F3473" t="s">
        <v>32</v>
      </c>
    </row>
    <row r="3474" spans="1:6" x14ac:dyDescent="0.35">
      <c r="A3474" s="1">
        <v>45728</v>
      </c>
      <c r="B3474" s="2">
        <v>45728.685847002314</v>
      </c>
      <c r="C3474" t="s">
        <v>8</v>
      </c>
      <c r="D3474" t="s">
        <v>1331</v>
      </c>
      <c r="E3474">
        <v>3576</v>
      </c>
      <c r="F3474" t="s">
        <v>24</v>
      </c>
    </row>
    <row r="3475" spans="1:6" x14ac:dyDescent="0.35">
      <c r="A3475" s="1">
        <v>45728</v>
      </c>
      <c r="B3475" s="2">
        <v>45728.691018287034</v>
      </c>
      <c r="C3475" t="s">
        <v>8</v>
      </c>
      <c r="D3475" t="s">
        <v>1241</v>
      </c>
      <c r="E3475">
        <v>3576</v>
      </c>
      <c r="F3475" t="s">
        <v>32</v>
      </c>
    </row>
    <row r="3476" spans="1:6" x14ac:dyDescent="0.35">
      <c r="A3476" s="1">
        <v>45728</v>
      </c>
      <c r="B3476" s="2">
        <v>45728.691674259258</v>
      </c>
      <c r="C3476" t="s">
        <v>8</v>
      </c>
      <c r="D3476" t="s">
        <v>1215</v>
      </c>
      <c r="E3476">
        <v>3576</v>
      </c>
      <c r="F3476" t="s">
        <v>32</v>
      </c>
    </row>
    <row r="3477" spans="1:6" x14ac:dyDescent="0.35">
      <c r="A3477" s="1">
        <v>45728</v>
      </c>
      <c r="B3477" s="2">
        <v>45728.757340381948</v>
      </c>
      <c r="C3477" t="s">
        <v>8</v>
      </c>
      <c r="D3477" t="s">
        <v>1220</v>
      </c>
      <c r="E3477">
        <v>2596</v>
      </c>
      <c r="F3477" t="s">
        <v>28</v>
      </c>
    </row>
    <row r="3478" spans="1:6" x14ac:dyDescent="0.35">
      <c r="A3478" s="1">
        <v>45728</v>
      </c>
      <c r="B3478" s="2">
        <v>45728.762012083331</v>
      </c>
      <c r="C3478" t="s">
        <v>8</v>
      </c>
      <c r="D3478" t="s">
        <v>1314</v>
      </c>
      <c r="E3478">
        <v>3576</v>
      </c>
      <c r="F3478" t="s">
        <v>10</v>
      </c>
    </row>
    <row r="3479" spans="1:6" x14ac:dyDescent="0.35">
      <c r="A3479" s="1">
        <v>45728</v>
      </c>
      <c r="B3479" s="2">
        <v>45728.767135312497</v>
      </c>
      <c r="C3479" t="s">
        <v>8</v>
      </c>
      <c r="D3479" t="s">
        <v>1332</v>
      </c>
      <c r="E3479">
        <v>2596</v>
      </c>
      <c r="F3479" t="s">
        <v>28</v>
      </c>
    </row>
    <row r="3480" spans="1:6" x14ac:dyDescent="0.35">
      <c r="A3480" s="1">
        <v>45728</v>
      </c>
      <c r="B3480" s="2">
        <v>45728.777044537041</v>
      </c>
      <c r="C3480" t="s">
        <v>8</v>
      </c>
      <c r="D3480" t="s">
        <v>1209</v>
      </c>
      <c r="E3480">
        <v>3576</v>
      </c>
      <c r="F3480" t="s">
        <v>24</v>
      </c>
    </row>
    <row r="3481" spans="1:6" x14ac:dyDescent="0.35">
      <c r="A3481" s="1">
        <v>45728</v>
      </c>
      <c r="B3481" s="2">
        <v>45728.779324722222</v>
      </c>
      <c r="C3481" t="s">
        <v>8</v>
      </c>
      <c r="D3481" t="s">
        <v>1220</v>
      </c>
      <c r="E3481">
        <v>2596</v>
      </c>
      <c r="F3481" t="s">
        <v>28</v>
      </c>
    </row>
    <row r="3482" spans="1:6" x14ac:dyDescent="0.35">
      <c r="A3482" s="1">
        <v>45729</v>
      </c>
      <c r="B3482" s="2">
        <v>45729.292782500001</v>
      </c>
      <c r="C3482" t="s">
        <v>8</v>
      </c>
      <c r="D3482" t="s">
        <v>1212</v>
      </c>
      <c r="E3482">
        <v>3576</v>
      </c>
      <c r="F3482" t="s">
        <v>24</v>
      </c>
    </row>
    <row r="3483" spans="1:6" x14ac:dyDescent="0.35">
      <c r="A3483" s="1">
        <v>45729</v>
      </c>
      <c r="B3483" s="2">
        <v>45729.349507824074</v>
      </c>
      <c r="C3483" t="s">
        <v>8</v>
      </c>
      <c r="D3483" t="s">
        <v>1204</v>
      </c>
      <c r="E3483">
        <v>3086</v>
      </c>
      <c r="F3483" t="s">
        <v>36</v>
      </c>
    </row>
    <row r="3484" spans="1:6" x14ac:dyDescent="0.35">
      <c r="A3484" s="1">
        <v>45729</v>
      </c>
      <c r="B3484" s="2">
        <v>45729.378325046295</v>
      </c>
      <c r="C3484" t="s">
        <v>8</v>
      </c>
      <c r="D3484" t="s">
        <v>33</v>
      </c>
      <c r="E3484">
        <v>3086</v>
      </c>
      <c r="F3484" t="s">
        <v>36</v>
      </c>
    </row>
    <row r="3485" spans="1:6" x14ac:dyDescent="0.35">
      <c r="A3485" s="1">
        <v>45729</v>
      </c>
      <c r="B3485" s="2">
        <v>45729.388998449074</v>
      </c>
      <c r="C3485" t="s">
        <v>8</v>
      </c>
      <c r="D3485" t="s">
        <v>1218</v>
      </c>
      <c r="E3485">
        <v>3576</v>
      </c>
      <c r="F3485" t="s">
        <v>32</v>
      </c>
    </row>
    <row r="3486" spans="1:6" x14ac:dyDescent="0.35">
      <c r="A3486" s="1">
        <v>45729</v>
      </c>
      <c r="B3486" s="2">
        <v>45729.390331261573</v>
      </c>
      <c r="C3486" t="s">
        <v>8</v>
      </c>
      <c r="D3486" t="s">
        <v>1257</v>
      </c>
      <c r="E3486">
        <v>2106</v>
      </c>
      <c r="F3486" t="s">
        <v>5</v>
      </c>
    </row>
    <row r="3487" spans="1:6" x14ac:dyDescent="0.35">
      <c r="A3487" s="1">
        <v>45729</v>
      </c>
      <c r="B3487" s="2">
        <v>45729.401616053241</v>
      </c>
      <c r="C3487" t="s">
        <v>8</v>
      </c>
      <c r="D3487" t="s">
        <v>1333</v>
      </c>
      <c r="E3487">
        <v>2596</v>
      </c>
      <c r="F3487" t="s">
        <v>28</v>
      </c>
    </row>
    <row r="3488" spans="1:6" x14ac:dyDescent="0.35">
      <c r="A3488" s="1">
        <v>45729</v>
      </c>
      <c r="B3488" s="2">
        <v>45729.402252175925</v>
      </c>
      <c r="C3488" t="s">
        <v>8</v>
      </c>
      <c r="D3488" t="s">
        <v>1334</v>
      </c>
      <c r="E3488">
        <v>3086</v>
      </c>
      <c r="F3488" t="s">
        <v>36</v>
      </c>
    </row>
    <row r="3489" spans="1:6" x14ac:dyDescent="0.35">
      <c r="A3489" s="1">
        <v>45729</v>
      </c>
      <c r="B3489" s="2">
        <v>45729.470860057867</v>
      </c>
      <c r="C3489" t="s">
        <v>8</v>
      </c>
      <c r="D3489" t="s">
        <v>1217</v>
      </c>
      <c r="E3489">
        <v>2596</v>
      </c>
      <c r="F3489" t="s">
        <v>28</v>
      </c>
    </row>
    <row r="3490" spans="1:6" x14ac:dyDescent="0.35">
      <c r="A3490" s="1">
        <v>45729</v>
      </c>
      <c r="B3490" s="2">
        <v>45729.509460243054</v>
      </c>
      <c r="C3490" t="s">
        <v>8</v>
      </c>
      <c r="D3490" t="s">
        <v>1241</v>
      </c>
      <c r="E3490">
        <v>3576</v>
      </c>
      <c r="F3490" t="s">
        <v>32</v>
      </c>
    </row>
    <row r="3491" spans="1:6" x14ac:dyDescent="0.35">
      <c r="A3491" s="1">
        <v>45729</v>
      </c>
      <c r="B3491" s="2">
        <v>45729.620717673613</v>
      </c>
      <c r="C3491" t="s">
        <v>8</v>
      </c>
      <c r="D3491" t="s">
        <v>1335</v>
      </c>
      <c r="E3491">
        <v>3086</v>
      </c>
      <c r="F3491" t="s">
        <v>36</v>
      </c>
    </row>
    <row r="3492" spans="1:6" x14ac:dyDescent="0.35">
      <c r="A3492" s="1">
        <v>45729</v>
      </c>
      <c r="B3492" s="2">
        <v>45729.621892986113</v>
      </c>
      <c r="C3492" t="s">
        <v>8</v>
      </c>
      <c r="D3492" t="s">
        <v>1244</v>
      </c>
      <c r="E3492">
        <v>2596</v>
      </c>
      <c r="F3492" t="s">
        <v>28</v>
      </c>
    </row>
    <row r="3493" spans="1:6" x14ac:dyDescent="0.35">
      <c r="A3493" s="1">
        <v>45729</v>
      </c>
      <c r="B3493" s="2">
        <v>45729.783144039349</v>
      </c>
      <c r="C3493" t="s">
        <v>8</v>
      </c>
      <c r="D3493" t="s">
        <v>1209</v>
      </c>
      <c r="E3493">
        <v>3576</v>
      </c>
      <c r="F3493" t="s">
        <v>24</v>
      </c>
    </row>
    <row r="3494" spans="1:6" x14ac:dyDescent="0.35">
      <c r="A3494" s="1">
        <v>45730</v>
      </c>
      <c r="B3494" s="2">
        <v>45730.32993</v>
      </c>
      <c r="C3494" t="s">
        <v>8</v>
      </c>
      <c r="D3494" t="s">
        <v>1220</v>
      </c>
      <c r="E3494">
        <v>2596</v>
      </c>
      <c r="F3494" t="s">
        <v>28</v>
      </c>
    </row>
    <row r="3495" spans="1:6" x14ac:dyDescent="0.35">
      <c r="A3495" s="1">
        <v>45730</v>
      </c>
      <c r="B3495" s="2">
        <v>45730.342826203705</v>
      </c>
      <c r="C3495" t="s">
        <v>8</v>
      </c>
      <c r="D3495" t="s">
        <v>1336</v>
      </c>
      <c r="E3495">
        <v>3086</v>
      </c>
      <c r="F3495" t="s">
        <v>36</v>
      </c>
    </row>
    <row r="3496" spans="1:6" x14ac:dyDescent="0.35">
      <c r="A3496" s="1">
        <v>45730</v>
      </c>
      <c r="B3496" s="2">
        <v>45730.374616064815</v>
      </c>
      <c r="C3496" t="s">
        <v>8</v>
      </c>
      <c r="D3496" t="s">
        <v>1321</v>
      </c>
      <c r="E3496">
        <v>2596</v>
      </c>
      <c r="F3496" t="s">
        <v>28</v>
      </c>
    </row>
    <row r="3497" spans="1:6" x14ac:dyDescent="0.35">
      <c r="A3497" s="1">
        <v>45730</v>
      </c>
      <c r="B3497" s="2">
        <v>45730.375345868059</v>
      </c>
      <c r="C3497" t="s">
        <v>8</v>
      </c>
      <c r="D3497" t="s">
        <v>1337</v>
      </c>
      <c r="E3497">
        <v>3576</v>
      </c>
      <c r="F3497" t="s">
        <v>32</v>
      </c>
    </row>
    <row r="3498" spans="1:6" x14ac:dyDescent="0.35">
      <c r="A3498" s="1">
        <v>45730</v>
      </c>
      <c r="B3498" s="2">
        <v>45730.393147037037</v>
      </c>
      <c r="C3498" t="s">
        <v>8</v>
      </c>
      <c r="D3498" t="s">
        <v>1257</v>
      </c>
      <c r="E3498">
        <v>2106</v>
      </c>
      <c r="F3498" t="s">
        <v>5</v>
      </c>
    </row>
    <row r="3499" spans="1:6" x14ac:dyDescent="0.35">
      <c r="A3499" s="1">
        <v>45730</v>
      </c>
      <c r="B3499" s="2">
        <v>45730.394875011574</v>
      </c>
      <c r="C3499" t="s">
        <v>8</v>
      </c>
      <c r="D3499" t="s">
        <v>1220</v>
      </c>
      <c r="E3499">
        <v>2596</v>
      </c>
      <c r="F3499" t="s">
        <v>28</v>
      </c>
    </row>
    <row r="3500" spans="1:6" x14ac:dyDescent="0.35">
      <c r="A3500" s="1">
        <v>45730</v>
      </c>
      <c r="B3500" s="2">
        <v>45730.431149826392</v>
      </c>
      <c r="C3500" t="s">
        <v>8</v>
      </c>
      <c r="D3500" t="s">
        <v>6</v>
      </c>
      <c r="E3500">
        <v>2596</v>
      </c>
      <c r="F3500" t="s">
        <v>28</v>
      </c>
    </row>
    <row r="3501" spans="1:6" x14ac:dyDescent="0.35">
      <c r="A3501" s="1">
        <v>45730</v>
      </c>
      <c r="B3501" s="2">
        <v>45730.450263935185</v>
      </c>
      <c r="C3501" t="s">
        <v>8</v>
      </c>
      <c r="D3501" t="s">
        <v>1338</v>
      </c>
      <c r="E3501">
        <v>3576</v>
      </c>
      <c r="F3501" t="s">
        <v>32</v>
      </c>
    </row>
    <row r="3502" spans="1:6" x14ac:dyDescent="0.35">
      <c r="A3502" s="1">
        <v>45730</v>
      </c>
      <c r="B3502" s="2">
        <v>45730.451016157407</v>
      </c>
      <c r="C3502" t="s">
        <v>8</v>
      </c>
      <c r="D3502" t="s">
        <v>1338</v>
      </c>
      <c r="E3502">
        <v>3576</v>
      </c>
      <c r="F3502" t="s">
        <v>24</v>
      </c>
    </row>
    <row r="3503" spans="1:6" x14ac:dyDescent="0.35">
      <c r="A3503" s="1">
        <v>45730</v>
      </c>
      <c r="B3503" s="2">
        <v>45730.607838912038</v>
      </c>
      <c r="C3503" t="s">
        <v>8</v>
      </c>
      <c r="D3503" t="s">
        <v>1220</v>
      </c>
      <c r="E3503">
        <v>2596</v>
      </c>
      <c r="F3503" t="s">
        <v>28</v>
      </c>
    </row>
    <row r="3504" spans="1:6" x14ac:dyDescent="0.35">
      <c r="A3504" s="1">
        <v>45730</v>
      </c>
      <c r="B3504" s="2">
        <v>45730.608585821756</v>
      </c>
      <c r="C3504" t="s">
        <v>8</v>
      </c>
      <c r="D3504" t="s">
        <v>1215</v>
      </c>
      <c r="E3504">
        <v>3576</v>
      </c>
      <c r="F3504" t="s">
        <v>32</v>
      </c>
    </row>
    <row r="3505" spans="1:6" x14ac:dyDescent="0.35">
      <c r="A3505" s="1">
        <v>45730</v>
      </c>
      <c r="B3505" s="2">
        <v>45730.662742812499</v>
      </c>
      <c r="C3505" t="s">
        <v>8</v>
      </c>
      <c r="D3505" t="s">
        <v>1241</v>
      </c>
      <c r="E3505">
        <v>3576</v>
      </c>
      <c r="F3505" t="s">
        <v>32</v>
      </c>
    </row>
    <row r="3506" spans="1:6" x14ac:dyDescent="0.35">
      <c r="A3506" s="1">
        <v>45730</v>
      </c>
      <c r="B3506" s="2">
        <v>45730.663667222223</v>
      </c>
      <c r="C3506" t="s">
        <v>8</v>
      </c>
      <c r="D3506" t="s">
        <v>1215</v>
      </c>
      <c r="E3506">
        <v>3576</v>
      </c>
      <c r="F3506" t="s">
        <v>32</v>
      </c>
    </row>
    <row r="3507" spans="1:6" x14ac:dyDescent="0.35">
      <c r="A3507" s="1">
        <v>45730</v>
      </c>
      <c r="B3507" s="2">
        <v>45730.685463148147</v>
      </c>
      <c r="C3507" t="s">
        <v>8</v>
      </c>
      <c r="D3507" t="s">
        <v>1220</v>
      </c>
      <c r="E3507">
        <v>2596</v>
      </c>
      <c r="F3507" t="s">
        <v>28</v>
      </c>
    </row>
    <row r="3508" spans="1:6" x14ac:dyDescent="0.35">
      <c r="A3508" s="1">
        <v>45730</v>
      </c>
      <c r="B3508" s="2">
        <v>45730.688196608797</v>
      </c>
      <c r="C3508" t="s">
        <v>8</v>
      </c>
      <c r="D3508" t="s">
        <v>1326</v>
      </c>
      <c r="E3508">
        <v>3576</v>
      </c>
      <c r="F3508" t="s">
        <v>10</v>
      </c>
    </row>
    <row r="3509" spans="1:6" x14ac:dyDescent="0.35">
      <c r="A3509" s="1">
        <v>45730</v>
      </c>
      <c r="B3509" s="2">
        <v>45730.688831921296</v>
      </c>
      <c r="C3509" t="s">
        <v>8</v>
      </c>
      <c r="D3509" t="s">
        <v>1339</v>
      </c>
      <c r="E3509">
        <v>3576</v>
      </c>
      <c r="F3509" t="s">
        <v>10</v>
      </c>
    </row>
    <row r="3510" spans="1:6" x14ac:dyDescent="0.35">
      <c r="A3510" s="1">
        <v>45730</v>
      </c>
      <c r="B3510" s="2">
        <v>45730.689354409726</v>
      </c>
      <c r="C3510" t="s">
        <v>8</v>
      </c>
      <c r="D3510" t="s">
        <v>1339</v>
      </c>
      <c r="E3510">
        <v>3576</v>
      </c>
      <c r="F3510" t="s">
        <v>10</v>
      </c>
    </row>
    <row r="3511" spans="1:6" x14ac:dyDescent="0.35">
      <c r="A3511" s="1">
        <v>45730</v>
      </c>
      <c r="B3511" s="2">
        <v>45730.712084641207</v>
      </c>
      <c r="C3511" t="s">
        <v>8</v>
      </c>
      <c r="D3511" t="s">
        <v>1340</v>
      </c>
      <c r="E3511">
        <v>2596</v>
      </c>
      <c r="F3511" t="s">
        <v>28</v>
      </c>
    </row>
    <row r="3512" spans="1:6" x14ac:dyDescent="0.35">
      <c r="A3512" s="1">
        <v>45730</v>
      </c>
      <c r="B3512" s="2">
        <v>45730.723780844906</v>
      </c>
      <c r="C3512" t="s">
        <v>8</v>
      </c>
      <c r="D3512" t="s">
        <v>1217</v>
      </c>
      <c r="E3512">
        <v>2596</v>
      </c>
      <c r="F3512" t="s">
        <v>28</v>
      </c>
    </row>
    <row r="3513" spans="1:6" x14ac:dyDescent="0.35">
      <c r="A3513" s="1">
        <v>45730</v>
      </c>
      <c r="B3513" s="2">
        <v>45730.727260185187</v>
      </c>
      <c r="C3513" t="s">
        <v>8</v>
      </c>
      <c r="D3513" t="s">
        <v>1241</v>
      </c>
      <c r="E3513">
        <v>3576</v>
      </c>
      <c r="F3513" t="s">
        <v>32</v>
      </c>
    </row>
    <row r="3514" spans="1:6" x14ac:dyDescent="0.35">
      <c r="A3514" s="1">
        <v>45730</v>
      </c>
      <c r="B3514" s="2">
        <v>45730.728221435187</v>
      </c>
      <c r="C3514" t="s">
        <v>8</v>
      </c>
      <c r="D3514" t="s">
        <v>1215</v>
      </c>
      <c r="E3514">
        <v>3576</v>
      </c>
      <c r="F3514" t="s">
        <v>32</v>
      </c>
    </row>
    <row r="3515" spans="1:6" x14ac:dyDescent="0.35">
      <c r="A3515" s="1">
        <v>45730</v>
      </c>
      <c r="B3515" s="2">
        <v>45730.847477106479</v>
      </c>
      <c r="C3515" t="s">
        <v>8</v>
      </c>
      <c r="D3515" t="s">
        <v>1341</v>
      </c>
      <c r="E3515">
        <v>2596</v>
      </c>
      <c r="F3515" t="s">
        <v>28</v>
      </c>
    </row>
    <row r="3516" spans="1:6" x14ac:dyDescent="0.35">
      <c r="A3516" s="1">
        <v>45730</v>
      </c>
      <c r="B3516" s="2">
        <v>45730.903282245374</v>
      </c>
      <c r="C3516" t="s">
        <v>8</v>
      </c>
      <c r="D3516" t="s">
        <v>1264</v>
      </c>
      <c r="E3516">
        <v>2596</v>
      </c>
      <c r="F3516" t="s">
        <v>28</v>
      </c>
    </row>
    <row r="3517" spans="1:6" x14ac:dyDescent="0.35">
      <c r="A3517" s="1">
        <v>45731</v>
      </c>
      <c r="B3517" s="2">
        <v>45731.412063379626</v>
      </c>
      <c r="C3517" t="s">
        <v>8</v>
      </c>
      <c r="D3517" t="s">
        <v>33</v>
      </c>
      <c r="E3517">
        <v>3086</v>
      </c>
      <c r="F3517" t="s">
        <v>36</v>
      </c>
    </row>
    <row r="3518" spans="1:6" x14ac:dyDescent="0.35">
      <c r="A3518" s="1">
        <v>45731</v>
      </c>
      <c r="B3518" s="2">
        <v>45731.419010902777</v>
      </c>
      <c r="C3518" t="s">
        <v>8</v>
      </c>
      <c r="D3518" t="s">
        <v>1209</v>
      </c>
      <c r="E3518">
        <v>3576</v>
      </c>
      <c r="F3518" t="s">
        <v>24</v>
      </c>
    </row>
    <row r="3519" spans="1:6" x14ac:dyDescent="0.35">
      <c r="A3519" s="1">
        <v>45731</v>
      </c>
      <c r="B3519" s="2">
        <v>45731.580346678238</v>
      </c>
      <c r="C3519" t="s">
        <v>8</v>
      </c>
      <c r="D3519" t="s">
        <v>1217</v>
      </c>
      <c r="E3519">
        <v>2596</v>
      </c>
      <c r="F3519" t="s">
        <v>28</v>
      </c>
    </row>
    <row r="3520" spans="1:6" x14ac:dyDescent="0.35">
      <c r="A3520" s="1">
        <v>45731</v>
      </c>
      <c r="B3520" s="2">
        <v>45731.71554863426</v>
      </c>
      <c r="C3520" t="s">
        <v>8</v>
      </c>
      <c r="D3520" t="s">
        <v>102</v>
      </c>
      <c r="E3520">
        <v>3576</v>
      </c>
      <c r="F3520" t="s">
        <v>24</v>
      </c>
    </row>
    <row r="3521" spans="1:6" x14ac:dyDescent="0.35">
      <c r="A3521" s="1">
        <v>45731</v>
      </c>
      <c r="B3521" s="2">
        <v>45731.716763414355</v>
      </c>
      <c r="C3521" t="s">
        <v>8</v>
      </c>
      <c r="D3521" t="s">
        <v>1203</v>
      </c>
      <c r="E3521">
        <v>3086</v>
      </c>
      <c r="F3521" t="s">
        <v>36</v>
      </c>
    </row>
    <row r="3522" spans="1:6" x14ac:dyDescent="0.35">
      <c r="A3522" s="1">
        <v>45731</v>
      </c>
      <c r="B3522" s="2">
        <v>45731.812922511577</v>
      </c>
      <c r="C3522" t="s">
        <v>8</v>
      </c>
      <c r="D3522" t="s">
        <v>1267</v>
      </c>
      <c r="E3522">
        <v>3086</v>
      </c>
      <c r="F3522" t="s">
        <v>36</v>
      </c>
    </row>
    <row r="3523" spans="1:6" x14ac:dyDescent="0.35">
      <c r="A3523" s="1">
        <v>45731</v>
      </c>
      <c r="B3523" s="2">
        <v>45731.827396863424</v>
      </c>
      <c r="C3523" t="s">
        <v>8</v>
      </c>
      <c r="D3523" t="s">
        <v>1342</v>
      </c>
      <c r="E3523">
        <v>3576</v>
      </c>
      <c r="F3523" t="s">
        <v>24</v>
      </c>
    </row>
    <row r="3524" spans="1:6" x14ac:dyDescent="0.35">
      <c r="A3524" s="1">
        <v>45732</v>
      </c>
      <c r="B3524" s="2">
        <v>45732.397422534719</v>
      </c>
      <c r="C3524" t="s">
        <v>8</v>
      </c>
      <c r="D3524" t="s">
        <v>1212</v>
      </c>
      <c r="E3524">
        <v>3576</v>
      </c>
      <c r="F3524" t="s">
        <v>24</v>
      </c>
    </row>
    <row r="3525" spans="1:6" x14ac:dyDescent="0.35">
      <c r="A3525" s="1">
        <v>45732</v>
      </c>
      <c r="B3525" s="2">
        <v>45732.400268460646</v>
      </c>
      <c r="C3525" t="s">
        <v>8</v>
      </c>
      <c r="D3525" t="s">
        <v>1343</v>
      </c>
      <c r="E3525">
        <v>3086</v>
      </c>
      <c r="F3525" t="s">
        <v>36</v>
      </c>
    </row>
    <row r="3526" spans="1:6" x14ac:dyDescent="0.35">
      <c r="A3526" s="1">
        <v>45732</v>
      </c>
      <c r="B3526" s="2">
        <v>45732.451497361108</v>
      </c>
      <c r="C3526" t="s">
        <v>8</v>
      </c>
      <c r="D3526" t="s">
        <v>1344</v>
      </c>
      <c r="E3526">
        <v>3576</v>
      </c>
      <c r="F3526" t="s">
        <v>32</v>
      </c>
    </row>
    <row r="3527" spans="1:6" x14ac:dyDescent="0.35">
      <c r="A3527" s="1">
        <v>45732</v>
      </c>
      <c r="B3527" s="2">
        <v>45732.500545543982</v>
      </c>
      <c r="C3527" t="s">
        <v>8</v>
      </c>
      <c r="D3527" t="s">
        <v>1344</v>
      </c>
      <c r="E3527">
        <v>3576</v>
      </c>
      <c r="F3527" t="s">
        <v>15</v>
      </c>
    </row>
    <row r="3528" spans="1:6" x14ac:dyDescent="0.35">
      <c r="A3528" s="1">
        <v>45732</v>
      </c>
      <c r="B3528" s="2">
        <v>45732.599104548608</v>
      </c>
      <c r="C3528" t="s">
        <v>8</v>
      </c>
      <c r="D3528" t="s">
        <v>1220</v>
      </c>
      <c r="E3528">
        <v>2596</v>
      </c>
      <c r="F3528" t="s">
        <v>28</v>
      </c>
    </row>
    <row r="3529" spans="1:6" x14ac:dyDescent="0.35">
      <c r="A3529" s="1">
        <v>45733</v>
      </c>
      <c r="B3529" s="2">
        <v>45733.287970289355</v>
      </c>
      <c r="C3529" t="s">
        <v>8</v>
      </c>
      <c r="D3529" t="s">
        <v>33</v>
      </c>
      <c r="E3529">
        <v>2596</v>
      </c>
      <c r="F3529" t="s">
        <v>28</v>
      </c>
    </row>
    <row r="3530" spans="1:6" x14ac:dyDescent="0.35">
      <c r="A3530" s="1">
        <v>45733</v>
      </c>
      <c r="B3530" s="2">
        <v>45733.340162685185</v>
      </c>
      <c r="C3530" t="s">
        <v>8</v>
      </c>
      <c r="D3530" t="s">
        <v>6</v>
      </c>
      <c r="E3530">
        <v>2596</v>
      </c>
      <c r="F3530" t="s">
        <v>28</v>
      </c>
    </row>
    <row r="3531" spans="1:6" x14ac:dyDescent="0.35">
      <c r="A3531" s="1">
        <v>45733</v>
      </c>
      <c r="B3531" s="2">
        <v>45733.345864097224</v>
      </c>
      <c r="C3531" t="s">
        <v>8</v>
      </c>
      <c r="D3531" t="s">
        <v>6</v>
      </c>
      <c r="E3531">
        <v>2596</v>
      </c>
      <c r="F3531" t="s">
        <v>28</v>
      </c>
    </row>
    <row r="3532" spans="1:6" x14ac:dyDescent="0.35">
      <c r="A3532" s="1">
        <v>45733</v>
      </c>
      <c r="B3532" s="2">
        <v>45733.377071226852</v>
      </c>
      <c r="C3532" t="s">
        <v>8</v>
      </c>
      <c r="D3532" t="s">
        <v>1204</v>
      </c>
      <c r="E3532">
        <v>3086</v>
      </c>
      <c r="F3532" t="s">
        <v>36</v>
      </c>
    </row>
    <row r="3533" spans="1:6" x14ac:dyDescent="0.35">
      <c r="A3533" s="1">
        <v>45733</v>
      </c>
      <c r="B3533" s="2">
        <v>45733.439346493054</v>
      </c>
      <c r="C3533" t="s">
        <v>8</v>
      </c>
      <c r="D3533" t="s">
        <v>33</v>
      </c>
      <c r="E3533">
        <v>2596</v>
      </c>
      <c r="F3533" t="s">
        <v>28</v>
      </c>
    </row>
    <row r="3534" spans="1:6" x14ac:dyDescent="0.35">
      <c r="A3534" s="1">
        <v>45733</v>
      </c>
      <c r="B3534" s="2">
        <v>45733.582650405093</v>
      </c>
      <c r="C3534" t="s">
        <v>8</v>
      </c>
      <c r="D3534" t="s">
        <v>1253</v>
      </c>
      <c r="E3534">
        <v>2596</v>
      </c>
      <c r="F3534" t="s">
        <v>28</v>
      </c>
    </row>
    <row r="3535" spans="1:6" x14ac:dyDescent="0.35">
      <c r="A3535" s="1">
        <v>45733</v>
      </c>
      <c r="B3535" s="2">
        <v>45733.598200775465</v>
      </c>
      <c r="C3535" t="s">
        <v>8</v>
      </c>
      <c r="D3535" t="s">
        <v>1326</v>
      </c>
      <c r="E3535">
        <v>3576</v>
      </c>
      <c r="F3535" t="s">
        <v>10</v>
      </c>
    </row>
    <row r="3536" spans="1:6" x14ac:dyDescent="0.35">
      <c r="A3536" s="1">
        <v>45733</v>
      </c>
      <c r="B3536" s="2">
        <v>45733.598839606479</v>
      </c>
      <c r="C3536" t="s">
        <v>8</v>
      </c>
      <c r="D3536" t="s">
        <v>1326</v>
      </c>
      <c r="E3536">
        <v>3576</v>
      </c>
      <c r="F3536" t="s">
        <v>10</v>
      </c>
    </row>
    <row r="3537" spans="1:6" x14ac:dyDescent="0.35">
      <c r="A3537" s="1">
        <v>45733</v>
      </c>
      <c r="B3537" s="2">
        <v>45733.616707384259</v>
      </c>
      <c r="C3537" t="s">
        <v>8</v>
      </c>
      <c r="D3537" t="s">
        <v>1345</v>
      </c>
      <c r="E3537">
        <v>3576</v>
      </c>
      <c r="F3537" t="s">
        <v>32</v>
      </c>
    </row>
    <row r="3538" spans="1:6" x14ac:dyDescent="0.35">
      <c r="A3538" s="1">
        <v>45733</v>
      </c>
      <c r="B3538" s="2">
        <v>45733.632838981481</v>
      </c>
      <c r="C3538" t="s">
        <v>8</v>
      </c>
      <c r="D3538" t="s">
        <v>1209</v>
      </c>
      <c r="E3538">
        <v>3576</v>
      </c>
      <c r="F3538" t="s">
        <v>24</v>
      </c>
    </row>
    <row r="3539" spans="1:6" x14ac:dyDescent="0.35">
      <c r="A3539" s="1">
        <v>45733</v>
      </c>
      <c r="B3539" s="2">
        <v>45733.657823067129</v>
      </c>
      <c r="C3539" t="s">
        <v>8</v>
      </c>
      <c r="D3539" t="s">
        <v>1215</v>
      </c>
      <c r="E3539">
        <v>3576</v>
      </c>
      <c r="F3539" t="s">
        <v>32</v>
      </c>
    </row>
    <row r="3540" spans="1:6" x14ac:dyDescent="0.35">
      <c r="A3540" s="1">
        <v>45733</v>
      </c>
      <c r="B3540" s="2">
        <v>45733.659009895833</v>
      </c>
      <c r="C3540" t="s">
        <v>8</v>
      </c>
      <c r="D3540" t="s">
        <v>1241</v>
      </c>
      <c r="E3540">
        <v>3576</v>
      </c>
      <c r="F3540" t="s">
        <v>32</v>
      </c>
    </row>
    <row r="3541" spans="1:6" x14ac:dyDescent="0.35">
      <c r="A3541" s="1">
        <v>45733</v>
      </c>
      <c r="B3541" s="2">
        <v>45733.699127025466</v>
      </c>
      <c r="C3541" t="s">
        <v>8</v>
      </c>
      <c r="D3541" t="s">
        <v>1217</v>
      </c>
      <c r="E3541">
        <v>2596</v>
      </c>
      <c r="F3541" t="s">
        <v>28</v>
      </c>
    </row>
    <row r="3542" spans="1:6" x14ac:dyDescent="0.35">
      <c r="A3542" s="1">
        <v>45734</v>
      </c>
      <c r="B3542" s="2">
        <v>45734.349432696756</v>
      </c>
      <c r="C3542" t="s">
        <v>8</v>
      </c>
      <c r="D3542" t="s">
        <v>1346</v>
      </c>
      <c r="E3542">
        <v>3086</v>
      </c>
      <c r="F3542" t="s">
        <v>36</v>
      </c>
    </row>
    <row r="3543" spans="1:6" x14ac:dyDescent="0.35">
      <c r="A3543" s="1">
        <v>45734</v>
      </c>
      <c r="B3543" s="2">
        <v>45734.356823599534</v>
      </c>
      <c r="C3543" t="s">
        <v>8</v>
      </c>
      <c r="D3543" t="s">
        <v>1218</v>
      </c>
      <c r="E3543">
        <v>3576</v>
      </c>
      <c r="F3543" t="s">
        <v>32</v>
      </c>
    </row>
    <row r="3544" spans="1:6" x14ac:dyDescent="0.35">
      <c r="A3544" s="1">
        <v>45734</v>
      </c>
      <c r="B3544" s="2">
        <v>45734.451289444441</v>
      </c>
      <c r="C3544" t="s">
        <v>8</v>
      </c>
      <c r="D3544" t="s">
        <v>1265</v>
      </c>
      <c r="E3544">
        <v>3576</v>
      </c>
      <c r="F3544" t="s">
        <v>32</v>
      </c>
    </row>
    <row r="3545" spans="1:6" x14ac:dyDescent="0.35">
      <c r="A3545" s="1">
        <v>45734</v>
      </c>
      <c r="B3545" s="2">
        <v>45734.452288356479</v>
      </c>
      <c r="C3545" t="s">
        <v>8</v>
      </c>
      <c r="D3545" t="s">
        <v>1265</v>
      </c>
      <c r="E3545">
        <v>2596</v>
      </c>
      <c r="F3545" t="s">
        <v>28</v>
      </c>
    </row>
    <row r="3546" spans="1:6" x14ac:dyDescent="0.35">
      <c r="A3546" s="1">
        <v>45734</v>
      </c>
      <c r="B3546" s="2">
        <v>45734.491203344907</v>
      </c>
      <c r="C3546" t="s">
        <v>8</v>
      </c>
      <c r="D3546" t="s">
        <v>1347</v>
      </c>
      <c r="E3546">
        <v>3576</v>
      </c>
      <c r="F3546" t="s">
        <v>15</v>
      </c>
    </row>
    <row r="3547" spans="1:6" x14ac:dyDescent="0.35">
      <c r="A3547" s="1">
        <v>45734</v>
      </c>
      <c r="B3547" s="2">
        <v>45734.492310810187</v>
      </c>
      <c r="C3547" t="s">
        <v>8</v>
      </c>
      <c r="D3547" t="s">
        <v>1347</v>
      </c>
      <c r="E3547">
        <v>3576</v>
      </c>
      <c r="F3547" t="s">
        <v>15</v>
      </c>
    </row>
    <row r="3548" spans="1:6" x14ac:dyDescent="0.35">
      <c r="A3548" s="1">
        <v>45734</v>
      </c>
      <c r="B3548" s="2">
        <v>45734.613600891207</v>
      </c>
      <c r="C3548" t="s">
        <v>8</v>
      </c>
      <c r="D3548" t="s">
        <v>1343</v>
      </c>
      <c r="E3548">
        <v>3086</v>
      </c>
      <c r="F3548" t="s">
        <v>36</v>
      </c>
    </row>
    <row r="3549" spans="1:6" x14ac:dyDescent="0.35">
      <c r="A3549" s="1">
        <v>45734</v>
      </c>
      <c r="B3549" s="2">
        <v>45734.627701689817</v>
      </c>
      <c r="C3549" t="s">
        <v>8</v>
      </c>
      <c r="D3549" t="s">
        <v>6</v>
      </c>
      <c r="E3549">
        <v>2596</v>
      </c>
      <c r="F3549" t="s">
        <v>28</v>
      </c>
    </row>
    <row r="3550" spans="1:6" x14ac:dyDescent="0.35">
      <c r="A3550" s="1">
        <v>45734</v>
      </c>
      <c r="B3550" s="2">
        <v>45734.632724467592</v>
      </c>
      <c r="C3550" t="s">
        <v>8</v>
      </c>
      <c r="D3550" t="s">
        <v>1216</v>
      </c>
      <c r="E3550">
        <v>3086</v>
      </c>
      <c r="F3550" t="s">
        <v>36</v>
      </c>
    </row>
    <row r="3551" spans="1:6" x14ac:dyDescent="0.35">
      <c r="A3551" s="1">
        <v>45734</v>
      </c>
      <c r="B3551" s="2">
        <v>45734.673004363423</v>
      </c>
      <c r="C3551" t="s">
        <v>8</v>
      </c>
      <c r="D3551" t="s">
        <v>1253</v>
      </c>
      <c r="E3551">
        <v>2596</v>
      </c>
      <c r="F3551" t="s">
        <v>28</v>
      </c>
    </row>
    <row r="3552" spans="1:6" x14ac:dyDescent="0.35">
      <c r="A3552" s="1">
        <v>45734</v>
      </c>
      <c r="B3552" s="2">
        <v>45734.67482803241</v>
      </c>
      <c r="C3552" t="s">
        <v>8</v>
      </c>
      <c r="D3552" t="s">
        <v>1215</v>
      </c>
      <c r="E3552">
        <v>3576</v>
      </c>
      <c r="F3552" t="s">
        <v>32</v>
      </c>
    </row>
    <row r="3553" spans="1:6" x14ac:dyDescent="0.35">
      <c r="A3553" s="1">
        <v>45734</v>
      </c>
      <c r="B3553" s="2">
        <v>45734.682877569445</v>
      </c>
      <c r="C3553" t="s">
        <v>8</v>
      </c>
      <c r="D3553" t="s">
        <v>1253</v>
      </c>
      <c r="E3553">
        <v>2106</v>
      </c>
      <c r="F3553" t="s">
        <v>5</v>
      </c>
    </row>
    <row r="3554" spans="1:6" x14ac:dyDescent="0.35">
      <c r="A3554" s="1">
        <v>45734</v>
      </c>
      <c r="B3554" s="2">
        <v>45734.779520902775</v>
      </c>
      <c r="C3554" t="s">
        <v>8</v>
      </c>
      <c r="D3554" t="s">
        <v>33</v>
      </c>
      <c r="E3554">
        <v>3576</v>
      </c>
      <c r="F3554" t="s">
        <v>10</v>
      </c>
    </row>
    <row r="3555" spans="1:6" x14ac:dyDescent="0.35">
      <c r="A3555" s="1">
        <v>45734</v>
      </c>
      <c r="B3555" s="2">
        <v>45734.780063587961</v>
      </c>
      <c r="C3555" t="s">
        <v>8</v>
      </c>
      <c r="D3555" t="s">
        <v>33</v>
      </c>
      <c r="E3555">
        <v>3576</v>
      </c>
      <c r="F3555" t="s">
        <v>10</v>
      </c>
    </row>
    <row r="3556" spans="1:6" x14ac:dyDescent="0.35">
      <c r="A3556" s="1">
        <v>45734</v>
      </c>
      <c r="B3556" s="2">
        <v>45734.833737997687</v>
      </c>
      <c r="C3556" t="s">
        <v>8</v>
      </c>
      <c r="D3556" t="s">
        <v>1326</v>
      </c>
      <c r="E3556">
        <v>3576</v>
      </c>
      <c r="F3556" t="s">
        <v>10</v>
      </c>
    </row>
    <row r="3557" spans="1:6" x14ac:dyDescent="0.35">
      <c r="A3557" s="1">
        <v>45734</v>
      </c>
      <c r="B3557" s="2">
        <v>45734.834464548614</v>
      </c>
      <c r="C3557" t="s">
        <v>8</v>
      </c>
      <c r="D3557" t="s">
        <v>1326</v>
      </c>
      <c r="E3557">
        <v>3576</v>
      </c>
      <c r="F3557" t="s">
        <v>10</v>
      </c>
    </row>
    <row r="3558" spans="1:6" x14ac:dyDescent="0.35">
      <c r="A3558" s="1">
        <v>45734</v>
      </c>
      <c r="B3558" s="2">
        <v>45734.889352210645</v>
      </c>
      <c r="C3558" t="s">
        <v>8</v>
      </c>
      <c r="D3558" t="s">
        <v>1348</v>
      </c>
      <c r="E3558">
        <v>3576</v>
      </c>
      <c r="F3558" t="s">
        <v>32</v>
      </c>
    </row>
    <row r="3559" spans="1:6" x14ac:dyDescent="0.35">
      <c r="A3559" s="1">
        <v>45735</v>
      </c>
      <c r="B3559" s="2">
        <v>45735.293831863426</v>
      </c>
      <c r="C3559" t="s">
        <v>8</v>
      </c>
      <c r="D3559" t="s">
        <v>1203</v>
      </c>
      <c r="E3559">
        <v>2596</v>
      </c>
      <c r="F3559" t="s">
        <v>28</v>
      </c>
    </row>
    <row r="3560" spans="1:6" x14ac:dyDescent="0.35">
      <c r="A3560" s="1">
        <v>45735</v>
      </c>
      <c r="B3560" s="2">
        <v>45735.294544189812</v>
      </c>
      <c r="C3560" t="s">
        <v>8</v>
      </c>
      <c r="D3560" t="s">
        <v>315</v>
      </c>
      <c r="E3560">
        <v>2596</v>
      </c>
      <c r="F3560" t="s">
        <v>28</v>
      </c>
    </row>
    <row r="3561" spans="1:6" x14ac:dyDescent="0.35">
      <c r="A3561" s="1">
        <v>45735</v>
      </c>
      <c r="B3561" s="2">
        <v>45735.296237418981</v>
      </c>
      <c r="C3561" t="s">
        <v>8</v>
      </c>
      <c r="D3561" t="s">
        <v>1212</v>
      </c>
      <c r="E3561">
        <v>3576</v>
      </c>
      <c r="F3561" t="s">
        <v>24</v>
      </c>
    </row>
    <row r="3562" spans="1:6" x14ac:dyDescent="0.35">
      <c r="A3562" s="1">
        <v>45735</v>
      </c>
      <c r="B3562" s="2">
        <v>45735.335628425928</v>
      </c>
      <c r="C3562" t="s">
        <v>8</v>
      </c>
      <c r="D3562" t="s">
        <v>76</v>
      </c>
      <c r="E3562">
        <v>2596</v>
      </c>
      <c r="F3562" t="s">
        <v>28</v>
      </c>
    </row>
    <row r="3563" spans="1:6" x14ac:dyDescent="0.35">
      <c r="A3563" s="1">
        <v>45735</v>
      </c>
      <c r="B3563" s="2">
        <v>45735.429620659721</v>
      </c>
      <c r="C3563" t="s">
        <v>8</v>
      </c>
      <c r="D3563" t="s">
        <v>1277</v>
      </c>
      <c r="E3563">
        <v>3576</v>
      </c>
      <c r="F3563" t="s">
        <v>15</v>
      </c>
    </row>
    <row r="3564" spans="1:6" x14ac:dyDescent="0.35">
      <c r="A3564" s="1">
        <v>45735</v>
      </c>
      <c r="B3564" s="2">
        <v>45735.496988715277</v>
      </c>
      <c r="C3564" t="s">
        <v>8</v>
      </c>
      <c r="D3564" t="s">
        <v>6</v>
      </c>
      <c r="E3564">
        <v>2596</v>
      </c>
      <c r="F3564" t="s">
        <v>28</v>
      </c>
    </row>
    <row r="3565" spans="1:6" x14ac:dyDescent="0.35">
      <c r="A3565" s="1">
        <v>45735</v>
      </c>
      <c r="B3565" s="2">
        <v>45735.54059232639</v>
      </c>
      <c r="C3565" t="s">
        <v>8</v>
      </c>
      <c r="D3565" t="s">
        <v>1349</v>
      </c>
      <c r="E3565">
        <v>2596</v>
      </c>
      <c r="F3565" t="s">
        <v>28</v>
      </c>
    </row>
    <row r="3566" spans="1:6" x14ac:dyDescent="0.35">
      <c r="A3566" s="1">
        <v>45735</v>
      </c>
      <c r="B3566" s="2">
        <v>45735.633948657407</v>
      </c>
      <c r="C3566" t="s">
        <v>8</v>
      </c>
      <c r="D3566" t="s">
        <v>1345</v>
      </c>
      <c r="E3566">
        <v>3576</v>
      </c>
      <c r="F3566" t="s">
        <v>32</v>
      </c>
    </row>
    <row r="3567" spans="1:6" x14ac:dyDescent="0.35">
      <c r="A3567" s="1">
        <v>45735</v>
      </c>
      <c r="B3567" s="2">
        <v>45735.63499327546</v>
      </c>
      <c r="C3567" t="s">
        <v>8</v>
      </c>
      <c r="D3567" t="s">
        <v>1350</v>
      </c>
      <c r="E3567">
        <v>3576</v>
      </c>
      <c r="F3567" t="s">
        <v>32</v>
      </c>
    </row>
    <row r="3568" spans="1:6" x14ac:dyDescent="0.35">
      <c r="A3568" s="1">
        <v>45735</v>
      </c>
      <c r="B3568" s="2">
        <v>45735.68025391204</v>
      </c>
      <c r="C3568" t="s">
        <v>8</v>
      </c>
      <c r="D3568" t="s">
        <v>1241</v>
      </c>
      <c r="E3568">
        <v>3576</v>
      </c>
      <c r="F3568" t="s">
        <v>32</v>
      </c>
    </row>
    <row r="3569" spans="1:6" x14ac:dyDescent="0.35">
      <c r="A3569" s="1">
        <v>45735</v>
      </c>
      <c r="B3569" s="2">
        <v>45735.687456898151</v>
      </c>
      <c r="C3569" t="s">
        <v>8</v>
      </c>
      <c r="D3569" t="s">
        <v>1217</v>
      </c>
      <c r="E3569">
        <v>2596</v>
      </c>
      <c r="F3569" t="s">
        <v>28</v>
      </c>
    </row>
    <row r="3570" spans="1:6" x14ac:dyDescent="0.35">
      <c r="A3570" s="1">
        <v>45735</v>
      </c>
      <c r="B3570" s="2">
        <v>45735.694835254631</v>
      </c>
      <c r="C3570" t="s">
        <v>8</v>
      </c>
      <c r="D3570" t="s">
        <v>1209</v>
      </c>
      <c r="E3570">
        <v>3576</v>
      </c>
      <c r="F3570" t="s">
        <v>24</v>
      </c>
    </row>
    <row r="3571" spans="1:6" x14ac:dyDescent="0.35">
      <c r="A3571" s="1">
        <v>45735</v>
      </c>
      <c r="B3571" s="2">
        <v>45735.696018923612</v>
      </c>
      <c r="C3571" t="s">
        <v>8</v>
      </c>
      <c r="D3571" t="s">
        <v>1209</v>
      </c>
      <c r="E3571">
        <v>3576</v>
      </c>
      <c r="F3571" t="s">
        <v>24</v>
      </c>
    </row>
    <row r="3572" spans="1:6" x14ac:dyDescent="0.35">
      <c r="A3572" s="1">
        <v>45735</v>
      </c>
      <c r="B3572" s="2">
        <v>45735.702490208336</v>
      </c>
      <c r="C3572" t="s">
        <v>8</v>
      </c>
      <c r="D3572" t="s">
        <v>1203</v>
      </c>
      <c r="E3572">
        <v>2596</v>
      </c>
      <c r="F3572" t="s">
        <v>28</v>
      </c>
    </row>
    <row r="3573" spans="1:6" x14ac:dyDescent="0.35">
      <c r="A3573" s="1">
        <v>45735</v>
      </c>
      <c r="B3573" s="2">
        <v>45735.703120983795</v>
      </c>
      <c r="C3573" t="s">
        <v>8</v>
      </c>
      <c r="D3573" t="s">
        <v>6</v>
      </c>
      <c r="E3573">
        <v>2596</v>
      </c>
      <c r="F3573" t="s">
        <v>28</v>
      </c>
    </row>
    <row r="3574" spans="1:6" x14ac:dyDescent="0.35">
      <c r="A3574" s="1">
        <v>45735</v>
      </c>
      <c r="B3574" s="2">
        <v>45735.708333252318</v>
      </c>
      <c r="C3574" t="s">
        <v>8</v>
      </c>
      <c r="D3574" t="s">
        <v>1325</v>
      </c>
      <c r="E3574">
        <v>3576</v>
      </c>
      <c r="F3574" t="s">
        <v>10</v>
      </c>
    </row>
    <row r="3575" spans="1:6" x14ac:dyDescent="0.35">
      <c r="A3575" s="1">
        <v>45735</v>
      </c>
      <c r="B3575" s="2">
        <v>45735.715220289349</v>
      </c>
      <c r="C3575" t="s">
        <v>8</v>
      </c>
      <c r="D3575" t="s">
        <v>1269</v>
      </c>
      <c r="E3575">
        <v>3086</v>
      </c>
      <c r="F3575" t="s">
        <v>36</v>
      </c>
    </row>
    <row r="3576" spans="1:6" x14ac:dyDescent="0.35">
      <c r="A3576" s="1">
        <v>45735</v>
      </c>
      <c r="B3576" s="2">
        <v>45735.727542488428</v>
      </c>
      <c r="C3576" t="s">
        <v>8</v>
      </c>
      <c r="D3576" t="s">
        <v>1272</v>
      </c>
      <c r="E3576">
        <v>3086</v>
      </c>
      <c r="F3576" t="s">
        <v>36</v>
      </c>
    </row>
    <row r="3577" spans="1:6" x14ac:dyDescent="0.35">
      <c r="A3577" s="1">
        <v>45735</v>
      </c>
      <c r="B3577" s="2">
        <v>45735.770721967594</v>
      </c>
      <c r="C3577" t="s">
        <v>8</v>
      </c>
      <c r="D3577" t="s">
        <v>1351</v>
      </c>
      <c r="E3577">
        <v>2596</v>
      </c>
      <c r="F3577" t="s">
        <v>20</v>
      </c>
    </row>
    <row r="3578" spans="1:6" x14ac:dyDescent="0.35">
      <c r="A3578" s="1">
        <v>45735</v>
      </c>
      <c r="B3578" s="2">
        <v>45735.771342673608</v>
      </c>
      <c r="C3578" t="s">
        <v>8</v>
      </c>
      <c r="D3578" t="s">
        <v>1352</v>
      </c>
      <c r="E3578">
        <v>2106</v>
      </c>
      <c r="F3578" t="s">
        <v>5</v>
      </c>
    </row>
    <row r="3579" spans="1:6" x14ac:dyDescent="0.35">
      <c r="A3579" s="1">
        <v>45735</v>
      </c>
      <c r="B3579" s="2">
        <v>45735.77182858796</v>
      </c>
      <c r="C3579" t="s">
        <v>8</v>
      </c>
      <c r="D3579" t="s">
        <v>1353</v>
      </c>
      <c r="E3579">
        <v>2106</v>
      </c>
      <c r="F3579" t="s">
        <v>5</v>
      </c>
    </row>
    <row r="3580" spans="1:6" x14ac:dyDescent="0.35">
      <c r="A3580" s="1">
        <v>45736</v>
      </c>
      <c r="B3580" s="2">
        <v>45736.34254957176</v>
      </c>
      <c r="C3580" t="s">
        <v>8</v>
      </c>
      <c r="D3580" t="s">
        <v>1354</v>
      </c>
      <c r="E3580">
        <v>3086</v>
      </c>
      <c r="F3580" t="s">
        <v>36</v>
      </c>
    </row>
    <row r="3581" spans="1:6" x14ac:dyDescent="0.35">
      <c r="A3581" s="1">
        <v>45736</v>
      </c>
      <c r="B3581" s="2">
        <v>45736.411166319442</v>
      </c>
      <c r="C3581" t="s">
        <v>8</v>
      </c>
      <c r="D3581" t="s">
        <v>1203</v>
      </c>
      <c r="E3581">
        <v>3086</v>
      </c>
      <c r="F3581" t="s">
        <v>36</v>
      </c>
    </row>
    <row r="3582" spans="1:6" x14ac:dyDescent="0.35">
      <c r="A3582" s="1">
        <v>45736</v>
      </c>
      <c r="B3582" s="2">
        <v>45736.421346249997</v>
      </c>
      <c r="C3582" t="s">
        <v>8</v>
      </c>
      <c r="D3582" t="s">
        <v>1343</v>
      </c>
      <c r="E3582">
        <v>3086</v>
      </c>
      <c r="F3582" t="s">
        <v>36</v>
      </c>
    </row>
    <row r="3583" spans="1:6" x14ac:dyDescent="0.35">
      <c r="A3583" s="1">
        <v>45736</v>
      </c>
      <c r="B3583" s="2">
        <v>45736.448428090276</v>
      </c>
      <c r="C3583" t="s">
        <v>8</v>
      </c>
      <c r="D3583" t="s">
        <v>1355</v>
      </c>
      <c r="E3583">
        <v>2596</v>
      </c>
      <c r="F3583" t="s">
        <v>28</v>
      </c>
    </row>
    <row r="3584" spans="1:6" x14ac:dyDescent="0.35">
      <c r="A3584" s="1">
        <v>45736</v>
      </c>
      <c r="B3584" s="2">
        <v>45736.455062986111</v>
      </c>
      <c r="C3584" t="s">
        <v>8</v>
      </c>
      <c r="D3584" t="s">
        <v>6</v>
      </c>
      <c r="E3584">
        <v>2596</v>
      </c>
      <c r="F3584" t="s">
        <v>28</v>
      </c>
    </row>
    <row r="3585" spans="1:6" x14ac:dyDescent="0.35">
      <c r="A3585" s="1">
        <v>45736</v>
      </c>
      <c r="B3585" s="2">
        <v>45736.533615613429</v>
      </c>
      <c r="C3585" t="s">
        <v>8</v>
      </c>
      <c r="D3585" t="s">
        <v>1356</v>
      </c>
      <c r="E3585">
        <v>2596</v>
      </c>
      <c r="F3585" t="s">
        <v>28</v>
      </c>
    </row>
    <row r="3586" spans="1:6" x14ac:dyDescent="0.35">
      <c r="A3586" s="1">
        <v>45736</v>
      </c>
      <c r="B3586" s="2">
        <v>45736.586618877314</v>
      </c>
      <c r="C3586" t="s">
        <v>8</v>
      </c>
      <c r="D3586" t="s">
        <v>1203</v>
      </c>
      <c r="E3586">
        <v>2596</v>
      </c>
      <c r="F3586" t="s">
        <v>28</v>
      </c>
    </row>
    <row r="3587" spans="1:6" x14ac:dyDescent="0.35">
      <c r="A3587" s="1">
        <v>45736</v>
      </c>
      <c r="B3587" s="2">
        <v>45736.597660624997</v>
      </c>
      <c r="C3587" t="s">
        <v>8</v>
      </c>
      <c r="D3587" t="s">
        <v>1340</v>
      </c>
      <c r="E3587">
        <v>2596</v>
      </c>
      <c r="F3587" t="s">
        <v>28</v>
      </c>
    </row>
    <row r="3588" spans="1:6" x14ac:dyDescent="0.35">
      <c r="A3588" s="1">
        <v>45736</v>
      </c>
      <c r="B3588" s="2">
        <v>45736.598401631942</v>
      </c>
      <c r="C3588" t="s">
        <v>8</v>
      </c>
      <c r="D3588" t="s">
        <v>1340</v>
      </c>
      <c r="E3588">
        <v>2106</v>
      </c>
      <c r="F3588" t="s">
        <v>5</v>
      </c>
    </row>
    <row r="3589" spans="1:6" x14ac:dyDescent="0.35">
      <c r="A3589" s="1">
        <v>45736</v>
      </c>
      <c r="B3589" s="2">
        <v>45736.600748726851</v>
      </c>
      <c r="C3589" t="s">
        <v>8</v>
      </c>
      <c r="D3589" t="s">
        <v>1357</v>
      </c>
      <c r="E3589">
        <v>2596</v>
      </c>
      <c r="F3589" t="s">
        <v>20</v>
      </c>
    </row>
    <row r="3590" spans="1:6" x14ac:dyDescent="0.35">
      <c r="A3590" s="1">
        <v>45736</v>
      </c>
      <c r="B3590" s="2">
        <v>45736.601929571756</v>
      </c>
      <c r="C3590" t="s">
        <v>8</v>
      </c>
      <c r="D3590" t="s">
        <v>1358</v>
      </c>
      <c r="E3590">
        <v>3576</v>
      </c>
      <c r="F3590" t="s">
        <v>24</v>
      </c>
    </row>
    <row r="3591" spans="1:6" x14ac:dyDescent="0.35">
      <c r="A3591" s="1">
        <v>45736</v>
      </c>
      <c r="B3591" s="2">
        <v>45736.624854756941</v>
      </c>
      <c r="C3591" t="s">
        <v>8</v>
      </c>
      <c r="D3591" t="s">
        <v>1212</v>
      </c>
      <c r="E3591">
        <v>3576</v>
      </c>
      <c r="F3591" t="s">
        <v>24</v>
      </c>
    </row>
    <row r="3592" spans="1:6" x14ac:dyDescent="0.35">
      <c r="A3592" s="1">
        <v>45736</v>
      </c>
      <c r="B3592" s="2">
        <v>45736.628731423611</v>
      </c>
      <c r="C3592" t="s">
        <v>8</v>
      </c>
      <c r="D3592" t="s">
        <v>1220</v>
      </c>
      <c r="E3592">
        <v>2596</v>
      </c>
      <c r="F3592" t="s">
        <v>28</v>
      </c>
    </row>
    <row r="3593" spans="1:6" x14ac:dyDescent="0.35">
      <c r="A3593" s="1">
        <v>45736</v>
      </c>
      <c r="B3593" s="2">
        <v>45736.640183124997</v>
      </c>
      <c r="C3593" t="s">
        <v>8</v>
      </c>
      <c r="D3593" t="s">
        <v>1326</v>
      </c>
      <c r="E3593">
        <v>2596</v>
      </c>
      <c r="F3593" t="s">
        <v>28</v>
      </c>
    </row>
    <row r="3594" spans="1:6" x14ac:dyDescent="0.35">
      <c r="A3594" s="1">
        <v>45736</v>
      </c>
      <c r="B3594" s="2">
        <v>45736.698437175924</v>
      </c>
      <c r="C3594" t="s">
        <v>8</v>
      </c>
      <c r="D3594" t="s">
        <v>1209</v>
      </c>
      <c r="E3594">
        <v>3576</v>
      </c>
      <c r="F3594" t="s">
        <v>24</v>
      </c>
    </row>
    <row r="3595" spans="1:6" x14ac:dyDescent="0.35">
      <c r="A3595" s="1">
        <v>45736</v>
      </c>
      <c r="B3595" s="2">
        <v>45736.724900706016</v>
      </c>
      <c r="C3595" t="s">
        <v>8</v>
      </c>
      <c r="D3595" t="s">
        <v>1359</v>
      </c>
      <c r="E3595">
        <v>2596</v>
      </c>
      <c r="F3595" t="s">
        <v>28</v>
      </c>
    </row>
    <row r="3596" spans="1:6" x14ac:dyDescent="0.35">
      <c r="A3596" s="1">
        <v>45736</v>
      </c>
      <c r="B3596" s="2">
        <v>45736.788873518519</v>
      </c>
      <c r="C3596" t="s">
        <v>8</v>
      </c>
      <c r="D3596" t="s">
        <v>1283</v>
      </c>
      <c r="E3596">
        <v>3576</v>
      </c>
      <c r="F3596" t="s">
        <v>15</v>
      </c>
    </row>
    <row r="3597" spans="1:6" x14ac:dyDescent="0.35">
      <c r="A3597" s="1">
        <v>45736</v>
      </c>
      <c r="B3597" s="2">
        <v>45736.817148148148</v>
      </c>
      <c r="C3597" t="s">
        <v>8</v>
      </c>
      <c r="D3597" t="s">
        <v>1360</v>
      </c>
      <c r="E3597">
        <v>3576</v>
      </c>
      <c r="F3597" t="s">
        <v>10</v>
      </c>
    </row>
    <row r="3598" spans="1:6" x14ac:dyDescent="0.35">
      <c r="A3598" s="1">
        <v>45736</v>
      </c>
      <c r="B3598" s="2">
        <v>45736.831811099539</v>
      </c>
      <c r="C3598" t="s">
        <v>8</v>
      </c>
      <c r="D3598" t="s">
        <v>1209</v>
      </c>
      <c r="E3598">
        <v>3576</v>
      </c>
      <c r="F3598" t="s">
        <v>24</v>
      </c>
    </row>
    <row r="3599" spans="1:6" x14ac:dyDescent="0.35">
      <c r="A3599" s="1">
        <v>45736</v>
      </c>
      <c r="B3599" s="2">
        <v>45736.909902928244</v>
      </c>
      <c r="C3599" t="s">
        <v>8</v>
      </c>
      <c r="D3599" t="s">
        <v>1348</v>
      </c>
      <c r="E3599">
        <v>3576</v>
      </c>
      <c r="F3599" t="s">
        <v>32</v>
      </c>
    </row>
    <row r="3600" spans="1:6" x14ac:dyDescent="0.35">
      <c r="A3600" s="1">
        <v>45737</v>
      </c>
      <c r="B3600" s="2">
        <v>45737.295971979169</v>
      </c>
      <c r="C3600" t="s">
        <v>8</v>
      </c>
      <c r="D3600" t="s">
        <v>33</v>
      </c>
      <c r="E3600">
        <v>3086</v>
      </c>
      <c r="F3600" t="s">
        <v>36</v>
      </c>
    </row>
    <row r="3601" spans="1:6" x14ac:dyDescent="0.35">
      <c r="A3601" s="1">
        <v>45737</v>
      </c>
      <c r="B3601" s="2">
        <v>45737.298010486113</v>
      </c>
      <c r="C3601" t="s">
        <v>8</v>
      </c>
      <c r="D3601" t="s">
        <v>33</v>
      </c>
      <c r="E3601">
        <v>3086</v>
      </c>
      <c r="F3601" t="s">
        <v>36</v>
      </c>
    </row>
    <row r="3602" spans="1:6" x14ac:dyDescent="0.35">
      <c r="A3602" s="1">
        <v>45737</v>
      </c>
      <c r="B3602" s="2">
        <v>45737.344950451392</v>
      </c>
      <c r="C3602" t="s">
        <v>8</v>
      </c>
      <c r="D3602" t="s">
        <v>1356</v>
      </c>
      <c r="E3602">
        <v>2596</v>
      </c>
      <c r="F3602" t="s">
        <v>28</v>
      </c>
    </row>
    <row r="3603" spans="1:6" x14ac:dyDescent="0.35">
      <c r="A3603" s="1">
        <v>45737</v>
      </c>
      <c r="B3603" s="2">
        <v>45737.35320046296</v>
      </c>
      <c r="C3603" t="s">
        <v>8</v>
      </c>
      <c r="D3603" t="s">
        <v>6</v>
      </c>
      <c r="E3603">
        <v>2596</v>
      </c>
      <c r="F3603" t="s">
        <v>28</v>
      </c>
    </row>
    <row r="3604" spans="1:6" x14ac:dyDescent="0.35">
      <c r="A3604" s="1">
        <v>45737</v>
      </c>
      <c r="B3604" s="2">
        <v>45737.353714097226</v>
      </c>
      <c r="C3604" t="s">
        <v>8</v>
      </c>
      <c r="D3604" t="s">
        <v>6</v>
      </c>
      <c r="E3604">
        <v>2596</v>
      </c>
      <c r="F3604" t="s">
        <v>28</v>
      </c>
    </row>
    <row r="3605" spans="1:6" x14ac:dyDescent="0.35">
      <c r="A3605" s="1">
        <v>45737</v>
      </c>
      <c r="B3605" s="2">
        <v>45737.357858750001</v>
      </c>
      <c r="C3605" t="s">
        <v>8</v>
      </c>
      <c r="D3605" t="s">
        <v>1361</v>
      </c>
      <c r="E3605">
        <v>3576</v>
      </c>
      <c r="F3605" t="s">
        <v>24</v>
      </c>
    </row>
    <row r="3606" spans="1:6" x14ac:dyDescent="0.35">
      <c r="A3606" s="1">
        <v>45737</v>
      </c>
      <c r="B3606" s="2">
        <v>45737.49316322917</v>
      </c>
      <c r="C3606" t="s">
        <v>8</v>
      </c>
      <c r="D3606" t="s">
        <v>33</v>
      </c>
      <c r="E3606">
        <v>2596</v>
      </c>
      <c r="F3606" t="s">
        <v>28</v>
      </c>
    </row>
    <row r="3607" spans="1:6" x14ac:dyDescent="0.35">
      <c r="A3607" s="1">
        <v>45737</v>
      </c>
      <c r="B3607" s="2">
        <v>45737.493837152775</v>
      </c>
      <c r="C3607" t="s">
        <v>8</v>
      </c>
      <c r="D3607" t="s">
        <v>76</v>
      </c>
      <c r="E3607">
        <v>3576</v>
      </c>
      <c r="F3607" t="s">
        <v>32</v>
      </c>
    </row>
    <row r="3608" spans="1:6" x14ac:dyDescent="0.35">
      <c r="A3608" s="1">
        <v>45737</v>
      </c>
      <c r="B3608" s="2">
        <v>45737.543615127317</v>
      </c>
      <c r="C3608" t="s">
        <v>8</v>
      </c>
      <c r="D3608" t="s">
        <v>1356</v>
      </c>
      <c r="E3608">
        <v>2596</v>
      </c>
      <c r="F3608" t="s">
        <v>28</v>
      </c>
    </row>
    <row r="3609" spans="1:6" x14ac:dyDescent="0.35">
      <c r="A3609" s="1">
        <v>45737</v>
      </c>
      <c r="B3609" s="2">
        <v>45737.558298634256</v>
      </c>
      <c r="C3609" t="s">
        <v>8</v>
      </c>
      <c r="D3609" t="s">
        <v>1325</v>
      </c>
      <c r="E3609">
        <v>3576</v>
      </c>
      <c r="F3609" t="s">
        <v>32</v>
      </c>
    </row>
    <row r="3610" spans="1:6" x14ac:dyDescent="0.35">
      <c r="A3610" s="1">
        <v>45737</v>
      </c>
      <c r="B3610" s="2">
        <v>45737.591482118056</v>
      </c>
      <c r="C3610" t="s">
        <v>8</v>
      </c>
      <c r="D3610" t="s">
        <v>1209</v>
      </c>
      <c r="E3610">
        <v>3576</v>
      </c>
      <c r="F3610" t="s">
        <v>24</v>
      </c>
    </row>
    <row r="3611" spans="1:6" x14ac:dyDescent="0.35">
      <c r="A3611" s="1">
        <v>45737</v>
      </c>
      <c r="B3611" s="2">
        <v>45737.631284976851</v>
      </c>
      <c r="C3611" t="s">
        <v>8</v>
      </c>
      <c r="D3611" t="s">
        <v>1362</v>
      </c>
      <c r="E3611">
        <v>3576</v>
      </c>
      <c r="F3611" t="s">
        <v>24</v>
      </c>
    </row>
    <row r="3612" spans="1:6" x14ac:dyDescent="0.35">
      <c r="A3612" s="1">
        <v>45737</v>
      </c>
      <c r="B3612" s="2">
        <v>45737.642158738425</v>
      </c>
      <c r="C3612" t="s">
        <v>8</v>
      </c>
      <c r="D3612" t="s">
        <v>1220</v>
      </c>
      <c r="E3612">
        <v>2596</v>
      </c>
      <c r="F3612" t="s">
        <v>28</v>
      </c>
    </row>
    <row r="3613" spans="1:6" x14ac:dyDescent="0.35">
      <c r="A3613" s="1">
        <v>45737</v>
      </c>
      <c r="B3613" s="2">
        <v>45737.644670879628</v>
      </c>
      <c r="C3613" t="s">
        <v>8</v>
      </c>
      <c r="D3613" t="s">
        <v>6</v>
      </c>
      <c r="E3613">
        <v>3576</v>
      </c>
      <c r="F3613" t="s">
        <v>32</v>
      </c>
    </row>
    <row r="3614" spans="1:6" x14ac:dyDescent="0.35">
      <c r="A3614" s="1">
        <v>45737</v>
      </c>
      <c r="B3614" s="2">
        <v>45737.645513078707</v>
      </c>
      <c r="C3614" t="s">
        <v>8</v>
      </c>
      <c r="D3614" t="s">
        <v>33</v>
      </c>
      <c r="E3614">
        <v>3576</v>
      </c>
      <c r="F3614" t="s">
        <v>24</v>
      </c>
    </row>
    <row r="3615" spans="1:6" x14ac:dyDescent="0.35">
      <c r="A3615" s="1">
        <v>45737</v>
      </c>
      <c r="B3615" s="2">
        <v>45737.709360775465</v>
      </c>
      <c r="C3615" t="s">
        <v>8</v>
      </c>
      <c r="D3615" t="s">
        <v>1309</v>
      </c>
      <c r="E3615">
        <v>3576</v>
      </c>
      <c r="F3615" t="s">
        <v>15</v>
      </c>
    </row>
    <row r="3616" spans="1:6" x14ac:dyDescent="0.35">
      <c r="A3616" s="1">
        <v>45737</v>
      </c>
      <c r="B3616" s="2">
        <v>45737.723112615742</v>
      </c>
      <c r="C3616" t="s">
        <v>8</v>
      </c>
      <c r="D3616" t="s">
        <v>1215</v>
      </c>
      <c r="E3616">
        <v>3576</v>
      </c>
      <c r="F3616" t="s">
        <v>32</v>
      </c>
    </row>
    <row r="3617" spans="1:6" x14ac:dyDescent="0.35">
      <c r="A3617" s="1">
        <v>45737</v>
      </c>
      <c r="B3617" s="2">
        <v>45737.724188368054</v>
      </c>
      <c r="C3617" t="s">
        <v>8</v>
      </c>
      <c r="D3617" t="s">
        <v>1241</v>
      </c>
      <c r="E3617">
        <v>3576</v>
      </c>
      <c r="F3617" t="s">
        <v>32</v>
      </c>
    </row>
    <row r="3618" spans="1:6" x14ac:dyDescent="0.35">
      <c r="A3618" s="1">
        <v>45737</v>
      </c>
      <c r="B3618" s="2">
        <v>45737.786257708336</v>
      </c>
      <c r="C3618" t="s">
        <v>8</v>
      </c>
      <c r="D3618" t="s">
        <v>21</v>
      </c>
      <c r="E3618">
        <v>3576</v>
      </c>
      <c r="F3618" t="s">
        <v>32</v>
      </c>
    </row>
    <row r="3619" spans="1:6" x14ac:dyDescent="0.35">
      <c r="A3619" s="1">
        <v>45737</v>
      </c>
      <c r="B3619" s="2">
        <v>45737.791253136573</v>
      </c>
      <c r="C3619" t="s">
        <v>8</v>
      </c>
      <c r="D3619" t="s">
        <v>1220</v>
      </c>
      <c r="E3619">
        <v>2596</v>
      </c>
      <c r="F3619" t="s">
        <v>28</v>
      </c>
    </row>
    <row r="3620" spans="1:6" x14ac:dyDescent="0.35">
      <c r="A3620" s="1">
        <v>45738</v>
      </c>
      <c r="B3620" s="2">
        <v>45738.378623368058</v>
      </c>
      <c r="C3620" t="s">
        <v>8</v>
      </c>
      <c r="D3620" t="s">
        <v>1324</v>
      </c>
      <c r="E3620">
        <v>3086</v>
      </c>
      <c r="F3620" t="s">
        <v>36</v>
      </c>
    </row>
    <row r="3621" spans="1:6" x14ac:dyDescent="0.35">
      <c r="A3621" s="1">
        <v>45738</v>
      </c>
      <c r="B3621" s="2">
        <v>45738.437608831016</v>
      </c>
      <c r="C3621" t="s">
        <v>8</v>
      </c>
      <c r="D3621" t="s">
        <v>1203</v>
      </c>
      <c r="E3621">
        <v>3086</v>
      </c>
      <c r="F3621" t="s">
        <v>36</v>
      </c>
    </row>
    <row r="3622" spans="1:6" x14ac:dyDescent="0.35">
      <c r="A3622" s="1">
        <v>45738</v>
      </c>
      <c r="B3622" s="2">
        <v>45738.468124537038</v>
      </c>
      <c r="C3622" t="s">
        <v>8</v>
      </c>
      <c r="D3622" t="s">
        <v>1309</v>
      </c>
      <c r="E3622">
        <v>3576</v>
      </c>
      <c r="F3622" t="s">
        <v>15</v>
      </c>
    </row>
    <row r="3623" spans="1:6" x14ac:dyDescent="0.35">
      <c r="A3623" s="1">
        <v>45738</v>
      </c>
      <c r="B3623" s="2">
        <v>45738.487043738423</v>
      </c>
      <c r="C3623" t="s">
        <v>8</v>
      </c>
      <c r="D3623" t="s">
        <v>1329</v>
      </c>
      <c r="E3623">
        <v>3576</v>
      </c>
      <c r="F3623" t="s">
        <v>10</v>
      </c>
    </row>
    <row r="3624" spans="1:6" x14ac:dyDescent="0.35">
      <c r="A3624" s="1">
        <v>45738</v>
      </c>
      <c r="B3624" s="2">
        <v>45738.51281818287</v>
      </c>
      <c r="C3624" t="s">
        <v>8</v>
      </c>
      <c r="D3624" t="s">
        <v>1363</v>
      </c>
      <c r="E3624">
        <v>3086</v>
      </c>
      <c r="F3624" t="s">
        <v>36</v>
      </c>
    </row>
    <row r="3625" spans="1:6" x14ac:dyDescent="0.35">
      <c r="A3625" s="1">
        <v>45738</v>
      </c>
      <c r="B3625" s="2">
        <v>45738.518051805557</v>
      </c>
      <c r="C3625" t="s">
        <v>8</v>
      </c>
      <c r="D3625" t="s">
        <v>1356</v>
      </c>
      <c r="E3625">
        <v>2596</v>
      </c>
      <c r="F3625" t="s">
        <v>28</v>
      </c>
    </row>
    <row r="3626" spans="1:6" x14ac:dyDescent="0.35">
      <c r="A3626" s="1">
        <v>45738</v>
      </c>
      <c r="B3626" s="2">
        <v>45738.546083217596</v>
      </c>
      <c r="C3626" t="s">
        <v>8</v>
      </c>
      <c r="D3626" t="s">
        <v>1359</v>
      </c>
      <c r="E3626">
        <v>2596</v>
      </c>
      <c r="F3626" t="s">
        <v>28</v>
      </c>
    </row>
    <row r="3627" spans="1:6" x14ac:dyDescent="0.35">
      <c r="A3627" s="1">
        <v>45738</v>
      </c>
      <c r="B3627" s="2">
        <v>45738.55784627315</v>
      </c>
      <c r="C3627" t="s">
        <v>8</v>
      </c>
      <c r="D3627" t="s">
        <v>1317</v>
      </c>
      <c r="E3627">
        <v>3086</v>
      </c>
      <c r="F3627" t="s">
        <v>36</v>
      </c>
    </row>
    <row r="3628" spans="1:6" x14ac:dyDescent="0.35">
      <c r="A3628" s="1">
        <v>45738</v>
      </c>
      <c r="B3628" s="2">
        <v>45738.665256747685</v>
      </c>
      <c r="C3628" t="s">
        <v>8</v>
      </c>
      <c r="D3628" t="s">
        <v>1352</v>
      </c>
      <c r="E3628">
        <v>2106</v>
      </c>
      <c r="F3628" t="s">
        <v>5</v>
      </c>
    </row>
    <row r="3629" spans="1:6" x14ac:dyDescent="0.35">
      <c r="A3629" s="1">
        <v>45738</v>
      </c>
      <c r="B3629" s="2">
        <v>45738.68541395833</v>
      </c>
      <c r="C3629" t="s">
        <v>8</v>
      </c>
      <c r="D3629" t="s">
        <v>1324</v>
      </c>
      <c r="E3629">
        <v>3576</v>
      </c>
      <c r="F3629" t="s">
        <v>32</v>
      </c>
    </row>
    <row r="3630" spans="1:6" x14ac:dyDescent="0.35">
      <c r="A3630" s="1">
        <v>45738</v>
      </c>
      <c r="B3630" s="2">
        <v>45738.745554884263</v>
      </c>
      <c r="C3630" t="s">
        <v>8</v>
      </c>
      <c r="D3630" t="s">
        <v>1324</v>
      </c>
      <c r="E3630">
        <v>3086</v>
      </c>
      <c r="F3630" t="s">
        <v>36</v>
      </c>
    </row>
    <row r="3631" spans="1:6" x14ac:dyDescent="0.35">
      <c r="A3631" s="1">
        <v>45738</v>
      </c>
      <c r="B3631" s="2">
        <v>45738.803388043983</v>
      </c>
      <c r="C3631" t="s">
        <v>8</v>
      </c>
      <c r="D3631" t="s">
        <v>1364</v>
      </c>
      <c r="E3631">
        <v>3086</v>
      </c>
      <c r="F3631" t="s">
        <v>36</v>
      </c>
    </row>
    <row r="3632" spans="1:6" x14ac:dyDescent="0.35">
      <c r="A3632" s="1">
        <v>45739</v>
      </c>
      <c r="B3632" s="2">
        <v>45739.421658310188</v>
      </c>
      <c r="C3632" t="s">
        <v>8</v>
      </c>
      <c r="D3632" t="s">
        <v>1246</v>
      </c>
      <c r="E3632">
        <v>3576</v>
      </c>
      <c r="F3632" t="s">
        <v>32</v>
      </c>
    </row>
    <row r="3633" spans="1:6" x14ac:dyDescent="0.35">
      <c r="A3633" s="1">
        <v>45739</v>
      </c>
      <c r="B3633" s="2">
        <v>45739.440913124999</v>
      </c>
      <c r="C3633" t="s">
        <v>8</v>
      </c>
      <c r="D3633" t="s">
        <v>1209</v>
      </c>
      <c r="E3633">
        <v>3576</v>
      </c>
      <c r="F3633" t="s">
        <v>24</v>
      </c>
    </row>
    <row r="3634" spans="1:6" x14ac:dyDescent="0.35">
      <c r="A3634" s="1">
        <v>45739</v>
      </c>
      <c r="B3634" s="2">
        <v>45739.613626874998</v>
      </c>
      <c r="C3634" t="s">
        <v>8</v>
      </c>
      <c r="D3634" t="s">
        <v>1365</v>
      </c>
      <c r="E3634">
        <v>3576</v>
      </c>
      <c r="F3634" t="s">
        <v>10</v>
      </c>
    </row>
    <row r="3635" spans="1:6" x14ac:dyDescent="0.35">
      <c r="A3635" s="1">
        <v>45739</v>
      </c>
      <c r="B3635" s="2">
        <v>45739.614084074077</v>
      </c>
      <c r="C3635" t="s">
        <v>8</v>
      </c>
      <c r="D3635" t="s">
        <v>1365</v>
      </c>
      <c r="E3635">
        <v>3576</v>
      </c>
      <c r="F3635" t="s">
        <v>10</v>
      </c>
    </row>
    <row r="3636" spans="1:6" x14ac:dyDescent="0.35">
      <c r="A3636" s="1">
        <v>45739</v>
      </c>
      <c r="B3636" s="2">
        <v>45739.65797133102</v>
      </c>
      <c r="C3636" t="s">
        <v>8</v>
      </c>
      <c r="D3636" t="s">
        <v>1366</v>
      </c>
      <c r="E3636">
        <v>2596</v>
      </c>
      <c r="F3636" t="s">
        <v>28</v>
      </c>
    </row>
    <row r="3637" spans="1:6" x14ac:dyDescent="0.35">
      <c r="A3637" s="1">
        <v>45739</v>
      </c>
      <c r="B3637" s="2">
        <v>45739.75808605324</v>
      </c>
      <c r="C3637" t="s">
        <v>8</v>
      </c>
      <c r="D3637" t="s">
        <v>1325</v>
      </c>
      <c r="E3637">
        <v>3576</v>
      </c>
      <c r="F3637"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0467-AC77-4D17-983C-1986237B27AA}">
  <sheetPr>
    <tabColor rgb="FF99CCFF"/>
  </sheetPr>
  <dimension ref="A1:K3637"/>
  <sheetViews>
    <sheetView workbookViewId="0">
      <selection activeCell="D3" sqref="D3"/>
    </sheetView>
  </sheetViews>
  <sheetFormatPr defaultRowHeight="14.5" x14ac:dyDescent="0.35"/>
  <cols>
    <col min="1" max="1" width="10.08984375" style="5" bestFit="1" customWidth="1"/>
    <col min="2" max="2" width="11.26953125" style="3" bestFit="1" customWidth="1"/>
    <col min="3" max="3" width="17.81640625" bestFit="1" customWidth="1"/>
    <col min="4" max="4" width="20" bestFit="1" customWidth="1"/>
    <col min="5" max="5" width="7.26953125" style="4" bestFit="1" customWidth="1"/>
    <col min="6" max="6" width="18.08984375" bestFit="1" customWidth="1"/>
    <col min="7" max="7" width="8.90625" bestFit="1" customWidth="1"/>
    <col min="8" max="8" width="7.26953125" bestFit="1" customWidth="1"/>
    <col min="9" max="9" width="11.36328125" bestFit="1" customWidth="1"/>
    <col min="10" max="10" width="14.453125" bestFit="1" customWidth="1"/>
    <col min="11" max="11" width="15.6328125" bestFit="1" customWidth="1"/>
  </cols>
  <sheetData>
    <row r="1" spans="1:11" x14ac:dyDescent="0.35">
      <c r="A1" s="5" t="s">
        <v>54</v>
      </c>
      <c r="B1" s="3" t="s">
        <v>55</v>
      </c>
      <c r="C1" t="s">
        <v>56</v>
      </c>
      <c r="D1" t="s">
        <v>57</v>
      </c>
      <c r="E1" s="4" t="s">
        <v>58</v>
      </c>
      <c r="F1" t="s">
        <v>59</v>
      </c>
      <c r="G1" t="s">
        <v>2</v>
      </c>
      <c r="H1" t="s">
        <v>1373</v>
      </c>
      <c r="I1" t="s">
        <v>1374</v>
      </c>
      <c r="J1" t="s">
        <v>1378</v>
      </c>
      <c r="K1" t="s">
        <v>1381</v>
      </c>
    </row>
    <row r="2" spans="1:11" x14ac:dyDescent="0.35">
      <c r="A2" s="5">
        <v>45352</v>
      </c>
      <c r="B2" s="3">
        <v>0.42766203703703703</v>
      </c>
      <c r="C2" t="s">
        <v>8</v>
      </c>
      <c r="D2" t="s">
        <v>60</v>
      </c>
      <c r="E2" s="4">
        <v>38.700000000000003</v>
      </c>
      <c r="F2" t="s">
        <v>32</v>
      </c>
      <c r="G2" t="str">
        <f>TEXT(Transform_Data[[#This Row],[Date]],"mmm yyyy")</f>
        <v>Mar 2024</v>
      </c>
      <c r="H2">
        <f>HOUR(Transform_Data[[#This Row],[Time]])</f>
        <v>10</v>
      </c>
      <c r="I2" s="10" t="str">
        <f>IF(COUNTIF('Transform Data'!$D:$D,'Transform Data'!D2)&gt;1,"Repeat","Single")</f>
        <v>Repeat</v>
      </c>
      <c r="J2" s="10" t="str">
        <f>IF('Transform Data'!D2="Cash","Cash",IF(COUNTIF('Transform Data'!$D:$D,'Transform Data'!D2)&gt;1,"Repeat","Single"))</f>
        <v>Repeat</v>
      </c>
      <c r="K2" s="10" t="str">
        <f t="shared" ref="K2:K65" si="0">"TRANS-"&amp;TEXT(ROW(A1),"0000")</f>
        <v>TRANS-0001</v>
      </c>
    </row>
    <row r="3" spans="1:11" x14ac:dyDescent="0.35">
      <c r="A3" s="5">
        <v>45352</v>
      </c>
      <c r="B3" s="3">
        <v>0.51344907407407403</v>
      </c>
      <c r="C3" t="s">
        <v>8</v>
      </c>
      <c r="D3" t="s">
        <v>61</v>
      </c>
      <c r="E3" s="4">
        <v>38.700000000000003</v>
      </c>
      <c r="F3" t="s">
        <v>15</v>
      </c>
      <c r="G3" s="10" t="str">
        <f>TEXT(Transform_Data[[#This Row],[Date]],"mmm yyyy")</f>
        <v>Mar 2024</v>
      </c>
      <c r="H3" s="10">
        <f>HOUR(Transform_Data[[#This Row],[Time]])</f>
        <v>12</v>
      </c>
      <c r="I3" s="10" t="str">
        <f>IF(COUNTIF('Transform Data'!$D:$D,'Transform Data'!D3)&gt;1,"Repeat","Single")</f>
        <v>Repeat</v>
      </c>
      <c r="J3" s="10" t="str">
        <f>IF('Transform Data'!D3="Cash","Cash",IF(COUNTIF('Transform Data'!$D:$D,'Transform Data'!D3)&gt;1,"Repeat","Single"))</f>
        <v>Repeat</v>
      </c>
      <c r="K3" s="10" t="str">
        <f t="shared" si="0"/>
        <v>TRANS-0002</v>
      </c>
    </row>
    <row r="4" spans="1:11" x14ac:dyDescent="0.35">
      <c r="A4" s="5">
        <v>45352</v>
      </c>
      <c r="B4" s="3">
        <v>0.51409722222222221</v>
      </c>
      <c r="C4" t="s">
        <v>8</v>
      </c>
      <c r="D4" t="s">
        <v>61</v>
      </c>
      <c r="E4" s="4">
        <v>38.700000000000003</v>
      </c>
      <c r="F4" t="s">
        <v>15</v>
      </c>
      <c r="G4" s="10" t="str">
        <f>TEXT(Transform_Data[[#This Row],[Date]],"mmm yyyy")</f>
        <v>Mar 2024</v>
      </c>
      <c r="H4" s="10">
        <f>HOUR(Transform_Data[[#This Row],[Time]])</f>
        <v>12</v>
      </c>
      <c r="I4" s="10" t="str">
        <f>IF(COUNTIF('Transform Data'!$D:$D,'Transform Data'!D4)&gt;1,"Repeat","Single")</f>
        <v>Repeat</v>
      </c>
      <c r="J4" s="10" t="str">
        <f>IF('Transform Data'!D4="Cash","Cash",IF(COUNTIF('Transform Data'!$D:$D,'Transform Data'!D4)&gt;1,"Repeat","Single"))</f>
        <v>Repeat</v>
      </c>
      <c r="K4" s="10" t="str">
        <f t="shared" si="0"/>
        <v>TRANS-0003</v>
      </c>
    </row>
    <row r="5" spans="1:11" x14ac:dyDescent="0.35">
      <c r="A5" s="5">
        <v>45352</v>
      </c>
      <c r="B5" s="3">
        <v>0.57399305555555558</v>
      </c>
      <c r="C5" t="s">
        <v>8</v>
      </c>
      <c r="D5" t="s">
        <v>62</v>
      </c>
      <c r="E5" s="4">
        <v>28.9</v>
      </c>
      <c r="F5" t="s">
        <v>28</v>
      </c>
      <c r="G5" s="10" t="str">
        <f>TEXT(Transform_Data[[#This Row],[Date]],"mmm yyyy")</f>
        <v>Mar 2024</v>
      </c>
      <c r="H5" s="10">
        <f>HOUR(Transform_Data[[#This Row],[Time]])</f>
        <v>13</v>
      </c>
      <c r="I5" s="10" t="str">
        <f>IF(COUNTIF('Transform Data'!$D:$D,'Transform Data'!D5)&gt;1,"Repeat","Single")</f>
        <v>Repeat</v>
      </c>
      <c r="J5" s="10" t="str">
        <f>IF('Transform Data'!D5="Cash","Cash",IF(COUNTIF('Transform Data'!$D:$D,'Transform Data'!D5)&gt;1,"Repeat","Single"))</f>
        <v>Repeat</v>
      </c>
      <c r="K5" s="10" t="str">
        <f t="shared" si="0"/>
        <v>TRANS-0004</v>
      </c>
    </row>
    <row r="6" spans="1:11" x14ac:dyDescent="0.35">
      <c r="A6" s="5">
        <v>45352</v>
      </c>
      <c r="B6" s="3">
        <v>0.57516203703703705</v>
      </c>
      <c r="C6" t="s">
        <v>8</v>
      </c>
      <c r="D6" t="s">
        <v>63</v>
      </c>
      <c r="E6" s="4">
        <v>38.700000000000003</v>
      </c>
      <c r="F6" t="s">
        <v>32</v>
      </c>
      <c r="G6" s="10" t="str">
        <f>TEXT(Transform_Data[[#This Row],[Date]],"mmm yyyy")</f>
        <v>Mar 2024</v>
      </c>
      <c r="H6" s="10">
        <f>HOUR(Transform_Data[[#This Row],[Time]])</f>
        <v>13</v>
      </c>
      <c r="I6" s="10" t="str">
        <f>IF(COUNTIF('Transform Data'!$D:$D,'Transform Data'!D6)&gt;1,"Repeat","Single")</f>
        <v>Repeat</v>
      </c>
      <c r="J6" s="10" t="str">
        <f>IF('Transform Data'!D6="Cash","Cash",IF(COUNTIF('Transform Data'!$D:$D,'Transform Data'!D6)&gt;1,"Repeat","Single"))</f>
        <v>Repeat</v>
      </c>
      <c r="K6" s="10" t="str">
        <f t="shared" si="0"/>
        <v>TRANS-0005</v>
      </c>
    </row>
    <row r="7" spans="1:11" x14ac:dyDescent="0.35">
      <c r="A7" s="5">
        <v>45352</v>
      </c>
      <c r="B7" s="3">
        <v>0.65262731481481484</v>
      </c>
      <c r="C7" t="s">
        <v>8</v>
      </c>
      <c r="D7" t="s">
        <v>64</v>
      </c>
      <c r="E7" s="4">
        <v>33.799999999999997</v>
      </c>
      <c r="F7" t="s">
        <v>36</v>
      </c>
      <c r="G7" s="10" t="str">
        <f>TEXT(Transform_Data[[#This Row],[Date]],"mmm yyyy")</f>
        <v>Mar 2024</v>
      </c>
      <c r="H7" s="10">
        <f>HOUR(Transform_Data[[#This Row],[Time]])</f>
        <v>15</v>
      </c>
      <c r="I7" s="10" t="str">
        <f>IF(COUNTIF('Transform Data'!$D:$D,'Transform Data'!D7)&gt;1,"Repeat","Single")</f>
        <v>Single</v>
      </c>
      <c r="J7" s="10" t="str">
        <f>IF('Transform Data'!D7="Cash","Cash",IF(COUNTIF('Transform Data'!$D:$D,'Transform Data'!D7)&gt;1,"Repeat","Single"))</f>
        <v>Single</v>
      </c>
      <c r="K7" s="10" t="str">
        <f t="shared" si="0"/>
        <v>TRANS-0006</v>
      </c>
    </row>
    <row r="8" spans="1:11" x14ac:dyDescent="0.35">
      <c r="A8" s="5">
        <v>45352</v>
      </c>
      <c r="B8" s="3">
        <v>0.67988425925925922</v>
      </c>
      <c r="C8" t="s">
        <v>8</v>
      </c>
      <c r="D8" t="s">
        <v>65</v>
      </c>
      <c r="E8" s="4">
        <v>38.700000000000003</v>
      </c>
      <c r="F8" t="s">
        <v>15</v>
      </c>
      <c r="G8" s="10" t="str">
        <f>TEXT(Transform_Data[[#This Row],[Date]],"mmm yyyy")</f>
        <v>Mar 2024</v>
      </c>
      <c r="H8" s="10">
        <f>HOUR(Transform_Data[[#This Row],[Time]])</f>
        <v>16</v>
      </c>
      <c r="I8" s="10" t="str">
        <f>IF(COUNTIF('Transform Data'!$D:$D,'Transform Data'!D8)&gt;1,"Repeat","Single")</f>
        <v>Single</v>
      </c>
      <c r="J8" s="10" t="str">
        <f>IF('Transform Data'!D8="Cash","Cash",IF(COUNTIF('Transform Data'!$D:$D,'Transform Data'!D8)&gt;1,"Repeat","Single"))</f>
        <v>Single</v>
      </c>
      <c r="K8" s="10" t="str">
        <f t="shared" si="0"/>
        <v>TRANS-0007</v>
      </c>
    </row>
    <row r="9" spans="1:11" x14ac:dyDescent="0.35">
      <c r="A9" s="5">
        <v>45352</v>
      </c>
      <c r="B9" s="3">
        <v>0.77711805555555558</v>
      </c>
      <c r="C9" t="s">
        <v>8</v>
      </c>
      <c r="D9" t="s">
        <v>66</v>
      </c>
      <c r="E9" s="4">
        <v>33.799999999999997</v>
      </c>
      <c r="F9" t="s">
        <v>36</v>
      </c>
      <c r="G9" s="10" t="str">
        <f>TEXT(Transform_Data[[#This Row],[Date]],"mmm yyyy")</f>
        <v>Mar 2024</v>
      </c>
      <c r="H9" s="10">
        <f>HOUR(Transform_Data[[#This Row],[Time]])</f>
        <v>18</v>
      </c>
      <c r="I9" s="10" t="str">
        <f>IF(COUNTIF('Transform Data'!$D:$D,'Transform Data'!D9)&gt;1,"Repeat","Single")</f>
        <v>Single</v>
      </c>
      <c r="J9" s="10" t="str">
        <f>IF('Transform Data'!D9="Cash","Cash",IF(COUNTIF('Transform Data'!$D:$D,'Transform Data'!D9)&gt;1,"Repeat","Single"))</f>
        <v>Single</v>
      </c>
      <c r="K9" s="10" t="str">
        <f t="shared" si="0"/>
        <v>TRANS-0008</v>
      </c>
    </row>
    <row r="10" spans="1:11" x14ac:dyDescent="0.35">
      <c r="A10" s="5">
        <v>45352</v>
      </c>
      <c r="B10" s="3">
        <v>0.8069560185185185</v>
      </c>
      <c r="C10" t="s">
        <v>8</v>
      </c>
      <c r="D10" t="s">
        <v>67</v>
      </c>
      <c r="E10" s="4">
        <v>38.700000000000003</v>
      </c>
      <c r="F10" t="s">
        <v>10</v>
      </c>
      <c r="G10" s="10" t="str">
        <f>TEXT(Transform_Data[[#This Row],[Date]],"mmm yyyy")</f>
        <v>Mar 2024</v>
      </c>
      <c r="H10" s="10">
        <f>HOUR(Transform_Data[[#This Row],[Time]])</f>
        <v>19</v>
      </c>
      <c r="I10" s="10" t="str">
        <f>IF(COUNTIF('Transform Data'!$D:$D,'Transform Data'!D10)&gt;1,"Repeat","Single")</f>
        <v>Repeat</v>
      </c>
      <c r="J10" s="10" t="str">
        <f>IF('Transform Data'!D10="Cash","Cash",IF(COUNTIF('Transform Data'!$D:$D,'Transform Data'!D10)&gt;1,"Repeat","Single"))</f>
        <v>Repeat</v>
      </c>
      <c r="K10" s="10" t="str">
        <f t="shared" si="0"/>
        <v>TRANS-0009</v>
      </c>
    </row>
    <row r="11" spans="1:11" x14ac:dyDescent="0.35">
      <c r="A11" s="5">
        <v>45352</v>
      </c>
      <c r="B11" s="3">
        <v>0.80781250000000004</v>
      </c>
      <c r="C11" t="s">
        <v>8</v>
      </c>
      <c r="D11" t="s">
        <v>67</v>
      </c>
      <c r="E11" s="4">
        <v>33.799999999999997</v>
      </c>
      <c r="F11" t="s">
        <v>36</v>
      </c>
      <c r="G11" s="10" t="str">
        <f>TEXT(Transform_Data[[#This Row],[Date]],"mmm yyyy")</f>
        <v>Mar 2024</v>
      </c>
      <c r="H11" s="10">
        <f>HOUR(Transform_Data[[#This Row],[Time]])</f>
        <v>19</v>
      </c>
      <c r="I11" s="10" t="str">
        <f>IF(COUNTIF('Transform Data'!$D:$D,'Transform Data'!D11)&gt;1,"Repeat","Single")</f>
        <v>Repeat</v>
      </c>
      <c r="J11" s="10" t="str">
        <f>IF('Transform Data'!D11="Cash","Cash",IF(COUNTIF('Transform Data'!$D:$D,'Transform Data'!D11)&gt;1,"Repeat","Single"))</f>
        <v>Repeat</v>
      </c>
      <c r="K11" s="10" t="str">
        <f t="shared" si="0"/>
        <v>TRANS-0010</v>
      </c>
    </row>
    <row r="12" spans="1:11" x14ac:dyDescent="0.35">
      <c r="A12" s="5">
        <v>45352</v>
      </c>
      <c r="B12" s="3">
        <v>0.81200231481481477</v>
      </c>
      <c r="C12" t="s">
        <v>8</v>
      </c>
      <c r="D12" t="s">
        <v>25</v>
      </c>
      <c r="E12" s="4">
        <v>33.799999999999997</v>
      </c>
      <c r="F12" t="s">
        <v>36</v>
      </c>
      <c r="G12" s="10" t="str">
        <f>TEXT(Transform_Data[[#This Row],[Date]],"mmm yyyy")</f>
        <v>Mar 2024</v>
      </c>
      <c r="H12" s="10">
        <f>HOUR(Transform_Data[[#This Row],[Time]])</f>
        <v>19</v>
      </c>
      <c r="I12" s="10" t="str">
        <f>IF(COUNTIF('Transform Data'!$D:$D,'Transform Data'!D12)&gt;1,"Repeat","Single")</f>
        <v>Repeat</v>
      </c>
      <c r="J12" s="10" t="str">
        <f>IF('Transform Data'!D12="Cash","Cash",IF(COUNTIF('Transform Data'!$D:$D,'Transform Data'!D12)&gt;1,"Repeat","Single"))</f>
        <v>Repeat</v>
      </c>
      <c r="K12" s="10" t="str">
        <f t="shared" si="0"/>
        <v>TRANS-0011</v>
      </c>
    </row>
    <row r="13" spans="1:11" x14ac:dyDescent="0.35">
      <c r="A13" s="5">
        <v>45353</v>
      </c>
      <c r="B13" s="3">
        <v>0.43201388888888886</v>
      </c>
      <c r="C13" t="s">
        <v>8</v>
      </c>
      <c r="D13" t="s">
        <v>68</v>
      </c>
      <c r="E13" s="4">
        <v>28.9</v>
      </c>
      <c r="F13" t="s">
        <v>28</v>
      </c>
      <c r="G13" s="10" t="str">
        <f>TEXT(Transform_Data[[#This Row],[Date]],"mmm yyyy")</f>
        <v>Mar 2024</v>
      </c>
      <c r="H13" s="10">
        <f>HOUR(Transform_Data[[#This Row],[Time]])</f>
        <v>10</v>
      </c>
      <c r="I13" s="10" t="str">
        <f>IF(COUNTIF('Transform Data'!$D:$D,'Transform Data'!D13)&gt;1,"Repeat","Single")</f>
        <v>Single</v>
      </c>
      <c r="J13" s="10" t="str">
        <f>IF('Transform Data'!D13="Cash","Cash",IF(COUNTIF('Transform Data'!$D:$D,'Transform Data'!D13)&gt;1,"Repeat","Single"))</f>
        <v>Single</v>
      </c>
      <c r="K13" s="10" t="str">
        <f t="shared" si="0"/>
        <v>TRANS-0012</v>
      </c>
    </row>
    <row r="14" spans="1:11" x14ac:dyDescent="0.35">
      <c r="A14" s="5">
        <v>45353</v>
      </c>
      <c r="B14" s="3">
        <v>0.43790509259259258</v>
      </c>
      <c r="C14" t="s">
        <v>13</v>
      </c>
      <c r="D14" t="s">
        <v>37</v>
      </c>
      <c r="E14" s="4">
        <v>40</v>
      </c>
      <c r="F14" t="s">
        <v>32</v>
      </c>
      <c r="G14" s="10" t="str">
        <f>TEXT(Transform_Data[[#This Row],[Date]],"mmm yyyy")</f>
        <v>Mar 2024</v>
      </c>
      <c r="H14" s="10">
        <f>HOUR(Transform_Data[[#This Row],[Time]])</f>
        <v>10</v>
      </c>
      <c r="I14" s="10" t="str">
        <f>IF(COUNTIF('Transform Data'!$D:$D,'Transform Data'!D14)&gt;1,"Repeat","Single")</f>
        <v>Repeat</v>
      </c>
      <c r="J14" s="10" t="str">
        <f>IF('Transform Data'!D14="Cash","Cash",IF(COUNTIF('Transform Data'!$D:$D,'Transform Data'!D14)&gt;1,"Repeat","Single"))</f>
        <v>Repeat</v>
      </c>
      <c r="K14" s="10" t="str">
        <f t="shared" si="0"/>
        <v>TRANS-0013</v>
      </c>
    </row>
    <row r="15" spans="1:11" x14ac:dyDescent="0.35">
      <c r="A15" s="5">
        <v>45353</v>
      </c>
      <c r="B15" s="3">
        <v>0.4456134259259259</v>
      </c>
      <c r="C15" t="s">
        <v>8</v>
      </c>
      <c r="D15" t="s">
        <v>69</v>
      </c>
      <c r="E15" s="4">
        <v>33.799999999999997</v>
      </c>
      <c r="F15" t="s">
        <v>36</v>
      </c>
      <c r="G15" s="10" t="str">
        <f>TEXT(Transform_Data[[#This Row],[Date]],"mmm yyyy")</f>
        <v>Mar 2024</v>
      </c>
      <c r="H15" s="10">
        <f>HOUR(Transform_Data[[#This Row],[Time]])</f>
        <v>10</v>
      </c>
      <c r="I15" s="10" t="str">
        <f>IF(COUNTIF('Transform Data'!$D:$D,'Transform Data'!D15)&gt;1,"Repeat","Single")</f>
        <v>Single</v>
      </c>
      <c r="J15" s="10" t="str">
        <f>IF('Transform Data'!D15="Cash","Cash",IF(COUNTIF('Transform Data'!$D:$D,'Transform Data'!D15)&gt;1,"Repeat","Single"))</f>
        <v>Single</v>
      </c>
      <c r="K15" s="10" t="str">
        <f t="shared" si="0"/>
        <v>TRANS-0014</v>
      </c>
    </row>
    <row r="16" spans="1:11" x14ac:dyDescent="0.35">
      <c r="A16" s="5">
        <v>45353</v>
      </c>
      <c r="B16" s="3">
        <v>0.49982638888888886</v>
      </c>
      <c r="C16" t="s">
        <v>8</v>
      </c>
      <c r="D16" t="s">
        <v>43</v>
      </c>
      <c r="E16" s="4">
        <v>33.799999999999997</v>
      </c>
      <c r="F16" t="s">
        <v>36</v>
      </c>
      <c r="G16" s="10" t="str">
        <f>TEXT(Transform_Data[[#This Row],[Date]],"mmm yyyy")</f>
        <v>Mar 2024</v>
      </c>
      <c r="H16" s="10">
        <f>HOUR(Transform_Data[[#This Row],[Time]])</f>
        <v>11</v>
      </c>
      <c r="I16" s="10" t="str">
        <f>IF(COUNTIF('Transform Data'!$D:$D,'Transform Data'!D16)&gt;1,"Repeat","Single")</f>
        <v>Repeat</v>
      </c>
      <c r="J16" s="10" t="str">
        <f>IF('Transform Data'!D16="Cash","Cash",IF(COUNTIF('Transform Data'!$D:$D,'Transform Data'!D16)&gt;1,"Repeat","Single"))</f>
        <v>Repeat</v>
      </c>
      <c r="K16" s="10" t="str">
        <f t="shared" si="0"/>
        <v>TRANS-0015</v>
      </c>
    </row>
    <row r="17" spans="1:11" x14ac:dyDescent="0.35">
      <c r="A17" s="5">
        <v>45353</v>
      </c>
      <c r="B17" s="3">
        <v>0.61012731481481486</v>
      </c>
      <c r="C17" t="s">
        <v>8</v>
      </c>
      <c r="D17" t="s">
        <v>70</v>
      </c>
      <c r="E17" s="4">
        <v>28.9</v>
      </c>
      <c r="F17" t="s">
        <v>28</v>
      </c>
      <c r="G17" s="10" t="str">
        <f>TEXT(Transform_Data[[#This Row],[Date]],"mmm yyyy")</f>
        <v>Mar 2024</v>
      </c>
      <c r="H17" s="10">
        <f>HOUR(Transform_Data[[#This Row],[Time]])</f>
        <v>14</v>
      </c>
      <c r="I17" s="10" t="str">
        <f>IF(COUNTIF('Transform Data'!$D:$D,'Transform Data'!D17)&gt;1,"Repeat","Single")</f>
        <v>Single</v>
      </c>
      <c r="J17" s="10" t="str">
        <f>IF('Transform Data'!D17="Cash","Cash",IF(COUNTIF('Transform Data'!$D:$D,'Transform Data'!D17)&gt;1,"Repeat","Single"))</f>
        <v>Single</v>
      </c>
      <c r="K17" s="10" t="str">
        <f t="shared" si="0"/>
        <v>TRANS-0016</v>
      </c>
    </row>
    <row r="18" spans="1:11" x14ac:dyDescent="0.35">
      <c r="A18" s="5">
        <v>45353</v>
      </c>
      <c r="B18" s="3">
        <v>0.69263888888888892</v>
      </c>
      <c r="C18" t="s">
        <v>8</v>
      </c>
      <c r="D18" t="s">
        <v>71</v>
      </c>
      <c r="E18" s="4">
        <v>33.799999999999997</v>
      </c>
      <c r="F18" t="s">
        <v>36</v>
      </c>
      <c r="G18" s="10" t="str">
        <f>TEXT(Transform_Data[[#This Row],[Date]],"mmm yyyy")</f>
        <v>Mar 2024</v>
      </c>
      <c r="H18" s="10">
        <f>HOUR(Transform_Data[[#This Row],[Time]])</f>
        <v>16</v>
      </c>
      <c r="I18" s="10" t="str">
        <f>IF(COUNTIF('Transform Data'!$D:$D,'Transform Data'!D18)&gt;1,"Repeat","Single")</f>
        <v>Single</v>
      </c>
      <c r="J18" s="10" t="str">
        <f>IF('Transform Data'!D18="Cash","Cash",IF(COUNTIF('Transform Data'!$D:$D,'Transform Data'!D18)&gt;1,"Repeat","Single"))</f>
        <v>Single</v>
      </c>
      <c r="K18" s="10" t="str">
        <f t="shared" si="0"/>
        <v>TRANS-0017</v>
      </c>
    </row>
    <row r="19" spans="1:11" x14ac:dyDescent="0.35">
      <c r="A19" s="5">
        <v>45353</v>
      </c>
      <c r="B19" s="3">
        <v>0.7325694444444445</v>
      </c>
      <c r="C19" t="s">
        <v>8</v>
      </c>
      <c r="D19" t="s">
        <v>63</v>
      </c>
      <c r="E19" s="4">
        <v>28.9</v>
      </c>
      <c r="F19" t="s">
        <v>28</v>
      </c>
      <c r="G19" s="10" t="str">
        <f>TEXT(Transform_Data[[#This Row],[Date]],"mmm yyyy")</f>
        <v>Mar 2024</v>
      </c>
      <c r="H19" s="10">
        <f>HOUR(Transform_Data[[#This Row],[Time]])</f>
        <v>17</v>
      </c>
      <c r="I19" s="10" t="str">
        <f>IF(COUNTIF('Transform Data'!$D:$D,'Transform Data'!D19)&gt;1,"Repeat","Single")</f>
        <v>Repeat</v>
      </c>
      <c r="J19" s="10" t="str">
        <f>IF('Transform Data'!D19="Cash","Cash",IF(COUNTIF('Transform Data'!$D:$D,'Transform Data'!D19)&gt;1,"Repeat","Single"))</f>
        <v>Repeat</v>
      </c>
      <c r="K19" s="10" t="str">
        <f t="shared" si="0"/>
        <v>TRANS-0018</v>
      </c>
    </row>
    <row r="20" spans="1:11" x14ac:dyDescent="0.35">
      <c r="A20" s="5">
        <v>45354</v>
      </c>
      <c r="B20" s="3">
        <v>0.42410879629629628</v>
      </c>
      <c r="C20" t="s">
        <v>13</v>
      </c>
      <c r="D20" t="s">
        <v>37</v>
      </c>
      <c r="E20" s="4">
        <v>40</v>
      </c>
      <c r="F20" t="s">
        <v>32</v>
      </c>
      <c r="G20" s="10" t="str">
        <f>TEXT(Transform_Data[[#This Row],[Date]],"mmm yyyy")</f>
        <v>Mar 2024</v>
      </c>
      <c r="H20" s="10">
        <f>HOUR(Transform_Data[[#This Row],[Time]])</f>
        <v>10</v>
      </c>
      <c r="I20" s="10" t="str">
        <f>IF(COUNTIF('Transform Data'!$D:$D,'Transform Data'!D20)&gt;1,"Repeat","Single")</f>
        <v>Repeat</v>
      </c>
      <c r="J20" s="10" t="str">
        <f>IF('Transform Data'!D20="Cash","Cash",IF(COUNTIF('Transform Data'!$D:$D,'Transform Data'!D20)&gt;1,"Repeat","Single"))</f>
        <v>Repeat</v>
      </c>
      <c r="K20" s="10" t="str">
        <f t="shared" si="0"/>
        <v>TRANS-0019</v>
      </c>
    </row>
    <row r="21" spans="1:11" x14ac:dyDescent="0.35">
      <c r="A21" s="5">
        <v>45354</v>
      </c>
      <c r="B21" s="3">
        <v>0.43562499999999998</v>
      </c>
      <c r="C21" t="s">
        <v>8</v>
      </c>
      <c r="D21" t="s">
        <v>72</v>
      </c>
      <c r="E21" s="4">
        <v>38.700000000000003</v>
      </c>
      <c r="F21" t="s">
        <v>32</v>
      </c>
      <c r="G21" s="10" t="str">
        <f>TEXT(Transform_Data[[#This Row],[Date]],"mmm yyyy")</f>
        <v>Mar 2024</v>
      </c>
      <c r="H21" s="10">
        <f>HOUR(Transform_Data[[#This Row],[Time]])</f>
        <v>10</v>
      </c>
      <c r="I21" s="10" t="str">
        <f>IF(COUNTIF('Transform Data'!$D:$D,'Transform Data'!D21)&gt;1,"Repeat","Single")</f>
        <v>Single</v>
      </c>
      <c r="J21" s="10" t="str">
        <f>IF('Transform Data'!D21="Cash","Cash",IF(COUNTIF('Transform Data'!$D:$D,'Transform Data'!D21)&gt;1,"Repeat","Single"))</f>
        <v>Single</v>
      </c>
      <c r="K21" s="10" t="str">
        <f t="shared" si="0"/>
        <v>TRANS-0020</v>
      </c>
    </row>
    <row r="22" spans="1:11" x14ac:dyDescent="0.35">
      <c r="A22" s="5">
        <v>45354</v>
      </c>
      <c r="B22" s="3">
        <v>0.48189814814814813</v>
      </c>
      <c r="C22" t="s">
        <v>8</v>
      </c>
      <c r="D22" t="s">
        <v>73</v>
      </c>
      <c r="E22" s="4">
        <v>28.9</v>
      </c>
      <c r="F22" t="s">
        <v>20</v>
      </c>
      <c r="G22" s="10" t="str">
        <f>TEXT(Transform_Data[[#This Row],[Date]],"mmm yyyy")</f>
        <v>Mar 2024</v>
      </c>
      <c r="H22" s="10">
        <f>HOUR(Transform_Data[[#This Row],[Time]])</f>
        <v>11</v>
      </c>
      <c r="I22" s="10" t="str">
        <f>IF(COUNTIF('Transform Data'!$D:$D,'Transform Data'!D22)&gt;1,"Repeat","Single")</f>
        <v>Single</v>
      </c>
      <c r="J22" s="10" t="str">
        <f>IF('Transform Data'!D22="Cash","Cash",IF(COUNTIF('Transform Data'!$D:$D,'Transform Data'!D22)&gt;1,"Repeat","Single"))</f>
        <v>Single</v>
      </c>
      <c r="K22" s="10" t="str">
        <f t="shared" si="0"/>
        <v>TRANS-0021</v>
      </c>
    </row>
    <row r="23" spans="1:11" x14ac:dyDescent="0.35">
      <c r="A23" s="5">
        <v>45354</v>
      </c>
      <c r="B23" s="3">
        <v>0.51870370370370367</v>
      </c>
      <c r="C23" t="s">
        <v>8</v>
      </c>
      <c r="D23" t="s">
        <v>43</v>
      </c>
      <c r="E23" s="4">
        <v>28.9</v>
      </c>
      <c r="F23" t="s">
        <v>28</v>
      </c>
      <c r="G23" s="10" t="str">
        <f>TEXT(Transform_Data[[#This Row],[Date]],"mmm yyyy")</f>
        <v>Mar 2024</v>
      </c>
      <c r="H23" s="10">
        <f>HOUR(Transform_Data[[#This Row],[Time]])</f>
        <v>12</v>
      </c>
      <c r="I23" s="10" t="str">
        <f>IF(COUNTIF('Transform Data'!$D:$D,'Transform Data'!D23)&gt;1,"Repeat","Single")</f>
        <v>Repeat</v>
      </c>
      <c r="J23" s="10" t="str">
        <f>IF('Transform Data'!D23="Cash","Cash",IF(COUNTIF('Transform Data'!$D:$D,'Transform Data'!D23)&gt;1,"Repeat","Single"))</f>
        <v>Repeat</v>
      </c>
      <c r="K23" s="10" t="str">
        <f t="shared" si="0"/>
        <v>TRANS-0022</v>
      </c>
    </row>
    <row r="24" spans="1:11" x14ac:dyDescent="0.35">
      <c r="A24" s="5">
        <v>45354</v>
      </c>
      <c r="B24" s="3">
        <v>0.54833333333333334</v>
      </c>
      <c r="C24" t="s">
        <v>8</v>
      </c>
      <c r="D24" t="s">
        <v>74</v>
      </c>
      <c r="E24" s="4">
        <v>38.700000000000003</v>
      </c>
      <c r="F24" t="s">
        <v>15</v>
      </c>
      <c r="G24" s="10" t="str">
        <f>TEXT(Transform_Data[[#This Row],[Date]],"mmm yyyy")</f>
        <v>Mar 2024</v>
      </c>
      <c r="H24" s="10">
        <f>HOUR(Transform_Data[[#This Row],[Time]])</f>
        <v>13</v>
      </c>
      <c r="I24" s="10" t="str">
        <f>IF(COUNTIF('Transform Data'!$D:$D,'Transform Data'!D24)&gt;1,"Repeat","Single")</f>
        <v>Repeat</v>
      </c>
      <c r="J24" s="10" t="str">
        <f>IF('Transform Data'!D24="Cash","Cash",IF(COUNTIF('Transform Data'!$D:$D,'Transform Data'!D24)&gt;1,"Repeat","Single"))</f>
        <v>Repeat</v>
      </c>
      <c r="K24" s="10" t="str">
        <f t="shared" si="0"/>
        <v>TRANS-0023</v>
      </c>
    </row>
    <row r="25" spans="1:11" x14ac:dyDescent="0.35">
      <c r="A25" s="5">
        <v>45354</v>
      </c>
      <c r="B25" s="3">
        <v>0.71296296296296291</v>
      </c>
      <c r="C25" t="s">
        <v>8</v>
      </c>
      <c r="D25" t="s">
        <v>75</v>
      </c>
      <c r="E25" s="4">
        <v>38.700000000000003</v>
      </c>
      <c r="F25" t="s">
        <v>10</v>
      </c>
      <c r="G25" s="10" t="str">
        <f>TEXT(Transform_Data[[#This Row],[Date]],"mmm yyyy")</f>
        <v>Mar 2024</v>
      </c>
      <c r="H25" s="10">
        <f>HOUR(Transform_Data[[#This Row],[Time]])</f>
        <v>17</v>
      </c>
      <c r="I25" s="10" t="str">
        <f>IF(COUNTIF('Transform Data'!$D:$D,'Transform Data'!D25)&gt;1,"Repeat","Single")</f>
        <v>Single</v>
      </c>
      <c r="J25" s="10" t="str">
        <f>IF('Transform Data'!D25="Cash","Cash",IF(COUNTIF('Transform Data'!$D:$D,'Transform Data'!D25)&gt;1,"Repeat","Single"))</f>
        <v>Single</v>
      </c>
      <c r="K25" s="10" t="str">
        <f t="shared" si="0"/>
        <v>TRANS-0024</v>
      </c>
    </row>
    <row r="26" spans="1:11" x14ac:dyDescent="0.35">
      <c r="A26" s="5">
        <v>45354</v>
      </c>
      <c r="B26" s="3">
        <v>0.71440972222222221</v>
      </c>
      <c r="C26" t="s">
        <v>8</v>
      </c>
      <c r="D26" t="s">
        <v>76</v>
      </c>
      <c r="E26" s="4">
        <v>28.9</v>
      </c>
      <c r="F26" t="s">
        <v>20</v>
      </c>
      <c r="G26" s="10" t="str">
        <f>TEXT(Transform_Data[[#This Row],[Date]],"mmm yyyy")</f>
        <v>Mar 2024</v>
      </c>
      <c r="H26" s="10">
        <f>HOUR(Transform_Data[[#This Row],[Time]])</f>
        <v>17</v>
      </c>
      <c r="I26" s="10" t="str">
        <f>IF(COUNTIF('Transform Data'!$D:$D,'Transform Data'!D26)&gt;1,"Repeat","Single")</f>
        <v>Repeat</v>
      </c>
      <c r="J26" s="10" t="str">
        <f>IF('Transform Data'!D26="Cash","Cash",IF(COUNTIF('Transform Data'!$D:$D,'Transform Data'!D26)&gt;1,"Repeat","Single"))</f>
        <v>Repeat</v>
      </c>
      <c r="K26" s="10" t="str">
        <f t="shared" si="0"/>
        <v>TRANS-0025</v>
      </c>
    </row>
    <row r="27" spans="1:11" x14ac:dyDescent="0.35">
      <c r="A27" s="5">
        <v>45354</v>
      </c>
      <c r="B27" s="3">
        <v>0.752349537037037</v>
      </c>
      <c r="C27" t="s">
        <v>8</v>
      </c>
      <c r="D27" t="s">
        <v>77</v>
      </c>
      <c r="E27" s="4">
        <v>33.799999999999997</v>
      </c>
      <c r="F27" t="s">
        <v>36</v>
      </c>
      <c r="G27" s="10" t="str">
        <f>TEXT(Transform_Data[[#This Row],[Date]],"mmm yyyy")</f>
        <v>Mar 2024</v>
      </c>
      <c r="H27" s="10">
        <f>HOUR(Transform_Data[[#This Row],[Time]])</f>
        <v>18</v>
      </c>
      <c r="I27" s="10" t="str">
        <f>IF(COUNTIF('Transform Data'!$D:$D,'Transform Data'!D27)&gt;1,"Repeat","Single")</f>
        <v>Repeat</v>
      </c>
      <c r="J27" s="10" t="str">
        <f>IF('Transform Data'!D27="Cash","Cash",IF(COUNTIF('Transform Data'!$D:$D,'Transform Data'!D27)&gt;1,"Repeat","Single"))</f>
        <v>Repeat</v>
      </c>
      <c r="K27" s="10" t="str">
        <f t="shared" si="0"/>
        <v>TRANS-0026</v>
      </c>
    </row>
    <row r="28" spans="1:11" x14ac:dyDescent="0.35">
      <c r="A28" s="5">
        <v>45354</v>
      </c>
      <c r="B28" s="3">
        <v>0.75309027777777782</v>
      </c>
      <c r="C28" t="s">
        <v>8</v>
      </c>
      <c r="D28" t="s">
        <v>77</v>
      </c>
      <c r="E28" s="4">
        <v>33.799999999999997</v>
      </c>
      <c r="F28" t="s">
        <v>36</v>
      </c>
      <c r="G28" s="10" t="str">
        <f>TEXT(Transform_Data[[#This Row],[Date]],"mmm yyyy")</f>
        <v>Mar 2024</v>
      </c>
      <c r="H28" s="10">
        <f>HOUR(Transform_Data[[#This Row],[Time]])</f>
        <v>18</v>
      </c>
      <c r="I28" s="10" t="str">
        <f>IF(COUNTIF('Transform Data'!$D:$D,'Transform Data'!D28)&gt;1,"Repeat","Single")</f>
        <v>Repeat</v>
      </c>
      <c r="J28" s="10" t="str">
        <f>IF('Transform Data'!D28="Cash","Cash",IF(COUNTIF('Transform Data'!$D:$D,'Transform Data'!D28)&gt;1,"Repeat","Single"))</f>
        <v>Repeat</v>
      </c>
      <c r="K28" s="10" t="str">
        <f t="shared" si="0"/>
        <v>TRANS-0027</v>
      </c>
    </row>
    <row r="29" spans="1:11" x14ac:dyDescent="0.35">
      <c r="A29" s="5">
        <v>45354</v>
      </c>
      <c r="B29" s="3">
        <v>0.7556018518518518</v>
      </c>
      <c r="C29" t="s">
        <v>8</v>
      </c>
      <c r="D29" t="s">
        <v>77</v>
      </c>
      <c r="E29" s="4">
        <v>38.700000000000003</v>
      </c>
      <c r="F29" t="s">
        <v>15</v>
      </c>
      <c r="G29" s="10" t="str">
        <f>TEXT(Transform_Data[[#This Row],[Date]],"mmm yyyy")</f>
        <v>Mar 2024</v>
      </c>
      <c r="H29" s="10">
        <f>HOUR(Transform_Data[[#This Row],[Time]])</f>
        <v>18</v>
      </c>
      <c r="I29" s="10" t="str">
        <f>IF(COUNTIF('Transform Data'!$D:$D,'Transform Data'!D29)&gt;1,"Repeat","Single")</f>
        <v>Repeat</v>
      </c>
      <c r="J29" s="10" t="str">
        <f>IF('Transform Data'!D29="Cash","Cash",IF(COUNTIF('Transform Data'!$D:$D,'Transform Data'!D29)&gt;1,"Repeat","Single"))</f>
        <v>Repeat</v>
      </c>
      <c r="K29" s="10" t="str">
        <f t="shared" si="0"/>
        <v>TRANS-0028</v>
      </c>
    </row>
    <row r="30" spans="1:11" x14ac:dyDescent="0.35">
      <c r="A30" s="5">
        <v>45355</v>
      </c>
      <c r="B30" s="3">
        <v>0.41934027777777777</v>
      </c>
      <c r="C30" t="s">
        <v>8</v>
      </c>
      <c r="D30" t="s">
        <v>60</v>
      </c>
      <c r="E30" s="4">
        <v>38.700000000000003</v>
      </c>
      <c r="F30" t="s">
        <v>32</v>
      </c>
      <c r="G30" s="10" t="str">
        <f>TEXT(Transform_Data[[#This Row],[Date]],"mmm yyyy")</f>
        <v>Mar 2024</v>
      </c>
      <c r="H30" s="10">
        <f>HOUR(Transform_Data[[#This Row],[Time]])</f>
        <v>10</v>
      </c>
      <c r="I30" s="10" t="str">
        <f>IF(COUNTIF('Transform Data'!$D:$D,'Transform Data'!D30)&gt;1,"Repeat","Single")</f>
        <v>Repeat</v>
      </c>
      <c r="J30" s="10" t="str">
        <f>IF('Transform Data'!D30="Cash","Cash",IF(COUNTIF('Transform Data'!$D:$D,'Transform Data'!D30)&gt;1,"Repeat","Single"))</f>
        <v>Repeat</v>
      </c>
      <c r="K30" s="10" t="str">
        <f t="shared" si="0"/>
        <v>TRANS-0029</v>
      </c>
    </row>
    <row r="31" spans="1:11" x14ac:dyDescent="0.35">
      <c r="A31" s="5">
        <v>45355</v>
      </c>
      <c r="B31" s="3">
        <v>0.45474537037037038</v>
      </c>
      <c r="C31" t="s">
        <v>8</v>
      </c>
      <c r="D31" t="s">
        <v>78</v>
      </c>
      <c r="E31" s="4">
        <v>38.700000000000003</v>
      </c>
      <c r="F31" t="s">
        <v>32</v>
      </c>
      <c r="G31" s="10" t="str">
        <f>TEXT(Transform_Data[[#This Row],[Date]],"mmm yyyy")</f>
        <v>Mar 2024</v>
      </c>
      <c r="H31" s="10">
        <f>HOUR(Transform_Data[[#This Row],[Time]])</f>
        <v>10</v>
      </c>
      <c r="I31" s="10" t="str">
        <f>IF(COUNTIF('Transform Data'!$D:$D,'Transform Data'!D31)&gt;1,"Repeat","Single")</f>
        <v>Single</v>
      </c>
      <c r="J31" s="10" t="str">
        <f>IF('Transform Data'!D31="Cash","Cash",IF(COUNTIF('Transform Data'!$D:$D,'Transform Data'!D31)&gt;1,"Repeat","Single"))</f>
        <v>Single</v>
      </c>
      <c r="K31" s="10" t="str">
        <f t="shared" si="0"/>
        <v>TRANS-0030</v>
      </c>
    </row>
    <row r="32" spans="1:11" x14ac:dyDescent="0.35">
      <c r="A32" s="5">
        <v>45355</v>
      </c>
      <c r="B32" s="3">
        <v>0.46199074074074076</v>
      </c>
      <c r="C32" t="s">
        <v>8</v>
      </c>
      <c r="D32" t="s">
        <v>43</v>
      </c>
      <c r="E32" s="4">
        <v>33.799999999999997</v>
      </c>
      <c r="F32" t="s">
        <v>36</v>
      </c>
      <c r="G32" s="10" t="str">
        <f>TEXT(Transform_Data[[#This Row],[Date]],"mmm yyyy")</f>
        <v>Mar 2024</v>
      </c>
      <c r="H32" s="10">
        <f>HOUR(Transform_Data[[#This Row],[Time]])</f>
        <v>11</v>
      </c>
      <c r="I32" s="10" t="str">
        <f>IF(COUNTIF('Transform Data'!$D:$D,'Transform Data'!D32)&gt;1,"Repeat","Single")</f>
        <v>Repeat</v>
      </c>
      <c r="J32" s="10" t="str">
        <f>IF('Transform Data'!D32="Cash","Cash",IF(COUNTIF('Transform Data'!$D:$D,'Transform Data'!D32)&gt;1,"Repeat","Single"))</f>
        <v>Repeat</v>
      </c>
      <c r="K32" s="10" t="str">
        <f t="shared" si="0"/>
        <v>TRANS-0031</v>
      </c>
    </row>
    <row r="33" spans="1:11" x14ac:dyDescent="0.35">
      <c r="A33" s="5">
        <v>45355</v>
      </c>
      <c r="B33" s="3">
        <v>0.5865393518518518</v>
      </c>
      <c r="C33" t="s">
        <v>8</v>
      </c>
      <c r="D33" t="s">
        <v>79</v>
      </c>
      <c r="E33" s="4">
        <v>24</v>
      </c>
      <c r="F33" t="s">
        <v>5</v>
      </c>
      <c r="G33" s="10" t="str">
        <f>TEXT(Transform_Data[[#This Row],[Date]],"mmm yyyy")</f>
        <v>Mar 2024</v>
      </c>
      <c r="H33" s="10">
        <f>HOUR(Transform_Data[[#This Row],[Time]])</f>
        <v>14</v>
      </c>
      <c r="I33" s="10" t="str">
        <f>IF(COUNTIF('Transform Data'!$D:$D,'Transform Data'!D33)&gt;1,"Repeat","Single")</f>
        <v>Single</v>
      </c>
      <c r="J33" s="10" t="str">
        <f>IF('Transform Data'!D33="Cash","Cash",IF(COUNTIF('Transform Data'!$D:$D,'Transform Data'!D33)&gt;1,"Repeat","Single"))</f>
        <v>Single</v>
      </c>
      <c r="K33" s="10" t="str">
        <f t="shared" si="0"/>
        <v>TRANS-0032</v>
      </c>
    </row>
    <row r="34" spans="1:11" x14ac:dyDescent="0.35">
      <c r="A34" s="5">
        <v>45356</v>
      </c>
      <c r="B34" s="3">
        <v>0.4165740740740741</v>
      </c>
      <c r="C34" t="s">
        <v>8</v>
      </c>
      <c r="D34" t="s">
        <v>60</v>
      </c>
      <c r="E34" s="4">
        <v>38.700000000000003</v>
      </c>
      <c r="F34" t="s">
        <v>32</v>
      </c>
      <c r="G34" s="10" t="str">
        <f>TEXT(Transform_Data[[#This Row],[Date]],"mmm yyyy")</f>
        <v>Mar 2024</v>
      </c>
      <c r="H34" s="10">
        <f>HOUR(Transform_Data[[#This Row],[Time]])</f>
        <v>9</v>
      </c>
      <c r="I34" s="10" t="str">
        <f>IF(COUNTIF('Transform Data'!$D:$D,'Transform Data'!D34)&gt;1,"Repeat","Single")</f>
        <v>Repeat</v>
      </c>
      <c r="J34" s="10" t="str">
        <f>IF('Transform Data'!D34="Cash","Cash",IF(COUNTIF('Transform Data'!$D:$D,'Transform Data'!D34)&gt;1,"Repeat","Single"))</f>
        <v>Repeat</v>
      </c>
      <c r="K34" s="10" t="str">
        <f t="shared" si="0"/>
        <v>TRANS-0033</v>
      </c>
    </row>
    <row r="35" spans="1:11" x14ac:dyDescent="0.35">
      <c r="A35" s="5">
        <v>45356</v>
      </c>
      <c r="B35" s="3">
        <v>0.60758101851851853</v>
      </c>
      <c r="C35" t="s">
        <v>8</v>
      </c>
      <c r="D35" t="s">
        <v>80</v>
      </c>
      <c r="E35" s="4">
        <v>38.700000000000003</v>
      </c>
      <c r="F35" t="s">
        <v>32</v>
      </c>
      <c r="G35" s="10" t="str">
        <f>TEXT(Transform_Data[[#This Row],[Date]],"mmm yyyy")</f>
        <v>Mar 2024</v>
      </c>
      <c r="H35" s="10">
        <f>HOUR(Transform_Data[[#This Row],[Time]])</f>
        <v>14</v>
      </c>
      <c r="I35" s="10" t="str">
        <f>IF(COUNTIF('Transform Data'!$D:$D,'Transform Data'!D35)&gt;1,"Repeat","Single")</f>
        <v>Single</v>
      </c>
      <c r="J35" s="10" t="str">
        <f>IF('Transform Data'!D35="Cash","Cash",IF(COUNTIF('Transform Data'!$D:$D,'Transform Data'!D35)&gt;1,"Repeat","Single"))</f>
        <v>Single</v>
      </c>
      <c r="K35" s="10" t="str">
        <f t="shared" si="0"/>
        <v>TRANS-0034</v>
      </c>
    </row>
    <row r="36" spans="1:11" x14ac:dyDescent="0.35">
      <c r="A36" s="5">
        <v>45356</v>
      </c>
      <c r="B36" s="3">
        <v>0.73201388888888885</v>
      </c>
      <c r="C36" t="s">
        <v>8</v>
      </c>
      <c r="D36" t="s">
        <v>81</v>
      </c>
      <c r="E36" s="4">
        <v>38.700000000000003</v>
      </c>
      <c r="F36" t="s">
        <v>32</v>
      </c>
      <c r="G36" s="10" t="str">
        <f>TEXT(Transform_Data[[#This Row],[Date]],"mmm yyyy")</f>
        <v>Mar 2024</v>
      </c>
      <c r="H36" s="10">
        <f>HOUR(Transform_Data[[#This Row],[Time]])</f>
        <v>17</v>
      </c>
      <c r="I36" s="10" t="str">
        <f>IF(COUNTIF('Transform Data'!$D:$D,'Transform Data'!D36)&gt;1,"Repeat","Single")</f>
        <v>Repeat</v>
      </c>
      <c r="J36" s="10" t="str">
        <f>IF('Transform Data'!D36="Cash","Cash",IF(COUNTIF('Transform Data'!$D:$D,'Transform Data'!D36)&gt;1,"Repeat","Single"))</f>
        <v>Repeat</v>
      </c>
      <c r="K36" s="10" t="str">
        <f t="shared" si="0"/>
        <v>TRANS-0035</v>
      </c>
    </row>
    <row r="37" spans="1:11" x14ac:dyDescent="0.35">
      <c r="A37" s="5">
        <v>45356</v>
      </c>
      <c r="B37" s="3">
        <v>0.7329282407407407</v>
      </c>
      <c r="C37" t="s">
        <v>8</v>
      </c>
      <c r="D37" t="s">
        <v>82</v>
      </c>
      <c r="E37" s="4">
        <v>38.700000000000003</v>
      </c>
      <c r="F37" t="s">
        <v>15</v>
      </c>
      <c r="G37" s="10" t="str">
        <f>TEXT(Transform_Data[[#This Row],[Date]],"mmm yyyy")</f>
        <v>Mar 2024</v>
      </c>
      <c r="H37" s="10">
        <f>HOUR(Transform_Data[[#This Row],[Time]])</f>
        <v>17</v>
      </c>
      <c r="I37" s="10" t="str">
        <f>IF(COUNTIF('Transform Data'!$D:$D,'Transform Data'!D37)&gt;1,"Repeat","Single")</f>
        <v>Repeat</v>
      </c>
      <c r="J37" s="10" t="str">
        <f>IF('Transform Data'!D37="Cash","Cash",IF(COUNTIF('Transform Data'!$D:$D,'Transform Data'!D37)&gt;1,"Repeat","Single"))</f>
        <v>Repeat</v>
      </c>
      <c r="K37" s="10" t="str">
        <f t="shared" si="0"/>
        <v>TRANS-0036</v>
      </c>
    </row>
    <row r="38" spans="1:11" x14ac:dyDescent="0.35">
      <c r="A38" s="5">
        <v>45356</v>
      </c>
      <c r="B38" s="3">
        <v>0.73365740740740737</v>
      </c>
      <c r="C38" t="s">
        <v>8</v>
      </c>
      <c r="D38" t="s">
        <v>83</v>
      </c>
      <c r="E38" s="4">
        <v>38.700000000000003</v>
      </c>
      <c r="F38" t="s">
        <v>10</v>
      </c>
      <c r="G38" s="10" t="str">
        <f>TEXT(Transform_Data[[#This Row],[Date]],"mmm yyyy")</f>
        <v>Mar 2024</v>
      </c>
      <c r="H38" s="10">
        <f>HOUR(Transform_Data[[#This Row],[Time]])</f>
        <v>17</v>
      </c>
      <c r="I38" s="10" t="str">
        <f>IF(COUNTIF('Transform Data'!$D:$D,'Transform Data'!D38)&gt;1,"Repeat","Single")</f>
        <v>Repeat</v>
      </c>
      <c r="J38" s="10" t="str">
        <f>IF('Transform Data'!D38="Cash","Cash",IF(COUNTIF('Transform Data'!$D:$D,'Transform Data'!D38)&gt;1,"Repeat","Single"))</f>
        <v>Repeat</v>
      </c>
      <c r="K38" s="10" t="str">
        <f t="shared" si="0"/>
        <v>TRANS-0037</v>
      </c>
    </row>
    <row r="39" spans="1:11" x14ac:dyDescent="0.35">
      <c r="A39" s="5">
        <v>45356</v>
      </c>
      <c r="B39" s="3">
        <v>0.73417824074074078</v>
      </c>
      <c r="C39" t="s">
        <v>8</v>
      </c>
      <c r="D39" t="s">
        <v>84</v>
      </c>
      <c r="E39" s="4">
        <v>38.700000000000003</v>
      </c>
      <c r="F39" t="s">
        <v>15</v>
      </c>
      <c r="G39" s="10" t="str">
        <f>TEXT(Transform_Data[[#This Row],[Date]],"mmm yyyy")</f>
        <v>Mar 2024</v>
      </c>
      <c r="H39" s="10">
        <f>HOUR(Transform_Data[[#This Row],[Time]])</f>
        <v>17</v>
      </c>
      <c r="I39" s="10" t="str">
        <f>IF(COUNTIF('Transform Data'!$D:$D,'Transform Data'!D39)&gt;1,"Repeat","Single")</f>
        <v>Single</v>
      </c>
      <c r="J39" s="10" t="str">
        <f>IF('Transform Data'!D39="Cash","Cash",IF(COUNTIF('Transform Data'!$D:$D,'Transform Data'!D39)&gt;1,"Repeat","Single"))</f>
        <v>Single</v>
      </c>
      <c r="K39" s="10" t="str">
        <f t="shared" si="0"/>
        <v>TRANS-0038</v>
      </c>
    </row>
    <row r="40" spans="1:11" x14ac:dyDescent="0.35">
      <c r="A40" s="5">
        <v>45356</v>
      </c>
      <c r="B40" s="3">
        <v>0.73482638888888885</v>
      </c>
      <c r="C40" t="s">
        <v>8</v>
      </c>
      <c r="D40" t="s">
        <v>25</v>
      </c>
      <c r="E40" s="4">
        <v>38.700000000000003</v>
      </c>
      <c r="F40" t="s">
        <v>15</v>
      </c>
      <c r="G40" s="10" t="str">
        <f>TEXT(Transform_Data[[#This Row],[Date]],"mmm yyyy")</f>
        <v>Mar 2024</v>
      </c>
      <c r="H40" s="10">
        <f>HOUR(Transform_Data[[#This Row],[Time]])</f>
        <v>17</v>
      </c>
      <c r="I40" s="10" t="str">
        <f>IF(COUNTIF('Transform Data'!$D:$D,'Transform Data'!D40)&gt;1,"Repeat","Single")</f>
        <v>Repeat</v>
      </c>
      <c r="J40" s="10" t="str">
        <f>IF('Transform Data'!D40="Cash","Cash",IF(COUNTIF('Transform Data'!$D:$D,'Transform Data'!D40)&gt;1,"Repeat","Single"))</f>
        <v>Repeat</v>
      </c>
      <c r="K40" s="10" t="str">
        <f t="shared" si="0"/>
        <v>TRANS-0039</v>
      </c>
    </row>
    <row r="41" spans="1:11" x14ac:dyDescent="0.35">
      <c r="A41" s="5">
        <v>45356</v>
      </c>
      <c r="B41" s="3">
        <v>0.74739583333333337</v>
      </c>
      <c r="C41" t="s">
        <v>8</v>
      </c>
      <c r="D41" t="s">
        <v>85</v>
      </c>
      <c r="E41" s="4">
        <v>28.9</v>
      </c>
      <c r="F41" t="s">
        <v>20</v>
      </c>
      <c r="G41" s="10" t="str">
        <f>TEXT(Transform_Data[[#This Row],[Date]],"mmm yyyy")</f>
        <v>Mar 2024</v>
      </c>
      <c r="H41" s="10">
        <f>HOUR(Transform_Data[[#This Row],[Time]])</f>
        <v>17</v>
      </c>
      <c r="I41" s="10" t="str">
        <f>IF(COUNTIF('Transform Data'!$D:$D,'Transform Data'!D41)&gt;1,"Repeat","Single")</f>
        <v>Repeat</v>
      </c>
      <c r="J41" s="10" t="str">
        <f>IF('Transform Data'!D41="Cash","Cash",IF(COUNTIF('Transform Data'!$D:$D,'Transform Data'!D41)&gt;1,"Repeat","Single"))</f>
        <v>Repeat</v>
      </c>
      <c r="K41" s="10" t="str">
        <f t="shared" si="0"/>
        <v>TRANS-0040</v>
      </c>
    </row>
    <row r="42" spans="1:11" x14ac:dyDescent="0.35">
      <c r="A42" s="5">
        <v>45356</v>
      </c>
      <c r="B42" s="3">
        <v>0.75105324074074076</v>
      </c>
      <c r="C42" t="s">
        <v>8</v>
      </c>
      <c r="D42" t="s">
        <v>85</v>
      </c>
      <c r="E42" s="4">
        <v>38.700000000000003</v>
      </c>
      <c r="F42" t="s">
        <v>15</v>
      </c>
      <c r="G42" s="10" t="str">
        <f>TEXT(Transform_Data[[#This Row],[Date]],"mmm yyyy")</f>
        <v>Mar 2024</v>
      </c>
      <c r="H42" s="10">
        <f>HOUR(Transform_Data[[#This Row],[Time]])</f>
        <v>18</v>
      </c>
      <c r="I42" s="10" t="str">
        <f>IF(COUNTIF('Transform Data'!$D:$D,'Transform Data'!D42)&gt;1,"Repeat","Single")</f>
        <v>Repeat</v>
      </c>
      <c r="J42" s="10" t="str">
        <f>IF('Transform Data'!D42="Cash","Cash",IF(COUNTIF('Transform Data'!$D:$D,'Transform Data'!D42)&gt;1,"Repeat","Single"))</f>
        <v>Repeat</v>
      </c>
      <c r="K42" s="10" t="str">
        <f t="shared" si="0"/>
        <v>TRANS-0041</v>
      </c>
    </row>
    <row r="43" spans="1:11" x14ac:dyDescent="0.35">
      <c r="A43" s="5">
        <v>45357</v>
      </c>
      <c r="B43" s="3">
        <v>0.52114583333333331</v>
      </c>
      <c r="C43" t="s">
        <v>13</v>
      </c>
      <c r="D43" t="s">
        <v>37</v>
      </c>
      <c r="E43" s="4">
        <v>35</v>
      </c>
      <c r="F43" t="s">
        <v>36</v>
      </c>
      <c r="G43" s="10" t="str">
        <f>TEXT(Transform_Data[[#This Row],[Date]],"mmm yyyy")</f>
        <v>Mar 2024</v>
      </c>
      <c r="H43" s="10">
        <f>HOUR(Transform_Data[[#This Row],[Time]])</f>
        <v>12</v>
      </c>
      <c r="I43" s="10" t="str">
        <f>IF(COUNTIF('Transform Data'!$D:$D,'Transform Data'!D43)&gt;1,"Repeat","Single")</f>
        <v>Repeat</v>
      </c>
      <c r="J43" s="10" t="str">
        <f>IF('Transform Data'!D43="Cash","Cash",IF(COUNTIF('Transform Data'!$D:$D,'Transform Data'!D43)&gt;1,"Repeat","Single"))</f>
        <v>Repeat</v>
      </c>
      <c r="K43" s="10" t="str">
        <f t="shared" si="0"/>
        <v>TRANS-0042</v>
      </c>
    </row>
    <row r="44" spans="1:11" x14ac:dyDescent="0.35">
      <c r="A44" s="5">
        <v>45357</v>
      </c>
      <c r="B44" s="3">
        <v>0.55841435185185184</v>
      </c>
      <c r="C44" t="s">
        <v>8</v>
      </c>
      <c r="D44" t="s">
        <v>43</v>
      </c>
      <c r="E44" s="4">
        <v>28.9</v>
      </c>
      <c r="F44" t="s">
        <v>28</v>
      </c>
      <c r="G44" s="10" t="str">
        <f>TEXT(Transform_Data[[#This Row],[Date]],"mmm yyyy")</f>
        <v>Mar 2024</v>
      </c>
      <c r="H44" s="10">
        <f>HOUR(Transform_Data[[#This Row],[Time]])</f>
        <v>13</v>
      </c>
      <c r="I44" s="10" t="str">
        <f>IF(COUNTIF('Transform Data'!$D:$D,'Transform Data'!D44)&gt;1,"Repeat","Single")</f>
        <v>Repeat</v>
      </c>
      <c r="J44" s="10" t="str">
        <f>IF('Transform Data'!D44="Cash","Cash",IF(COUNTIF('Transform Data'!$D:$D,'Transform Data'!D44)&gt;1,"Repeat","Single"))</f>
        <v>Repeat</v>
      </c>
      <c r="K44" s="10" t="str">
        <f t="shared" si="0"/>
        <v>TRANS-0043</v>
      </c>
    </row>
    <row r="45" spans="1:11" x14ac:dyDescent="0.35">
      <c r="A45" s="5">
        <v>45357</v>
      </c>
      <c r="B45" s="3">
        <v>0.55918981481481478</v>
      </c>
      <c r="C45" t="s">
        <v>8</v>
      </c>
      <c r="D45" t="s">
        <v>43</v>
      </c>
      <c r="E45" s="4">
        <v>28.9</v>
      </c>
      <c r="F45" t="s">
        <v>20</v>
      </c>
      <c r="G45" s="10" t="str">
        <f>TEXT(Transform_Data[[#This Row],[Date]],"mmm yyyy")</f>
        <v>Mar 2024</v>
      </c>
      <c r="H45" s="10">
        <f>HOUR(Transform_Data[[#This Row],[Time]])</f>
        <v>13</v>
      </c>
      <c r="I45" s="10" t="str">
        <f>IF(COUNTIF('Transform Data'!$D:$D,'Transform Data'!D45)&gt;1,"Repeat","Single")</f>
        <v>Repeat</v>
      </c>
      <c r="J45" s="10" t="str">
        <f>IF('Transform Data'!D45="Cash","Cash",IF(COUNTIF('Transform Data'!$D:$D,'Transform Data'!D45)&gt;1,"Repeat","Single"))</f>
        <v>Repeat</v>
      </c>
      <c r="K45" s="10" t="str">
        <f t="shared" si="0"/>
        <v>TRANS-0044</v>
      </c>
    </row>
    <row r="46" spans="1:11" x14ac:dyDescent="0.35">
      <c r="A46" s="5">
        <v>45357</v>
      </c>
      <c r="B46" s="3">
        <v>0.6194560185185185</v>
      </c>
      <c r="C46" t="s">
        <v>8</v>
      </c>
      <c r="D46" t="s">
        <v>86</v>
      </c>
      <c r="E46" s="4">
        <v>38.700000000000003</v>
      </c>
      <c r="F46" t="s">
        <v>24</v>
      </c>
      <c r="G46" s="10" t="str">
        <f>TEXT(Transform_Data[[#This Row],[Date]],"mmm yyyy")</f>
        <v>Mar 2024</v>
      </c>
      <c r="H46" s="10">
        <f>HOUR(Transform_Data[[#This Row],[Time]])</f>
        <v>14</v>
      </c>
      <c r="I46" s="10" t="str">
        <f>IF(COUNTIF('Transform Data'!$D:$D,'Transform Data'!D46)&gt;1,"Repeat","Single")</f>
        <v>Repeat</v>
      </c>
      <c r="J46" s="10" t="str">
        <f>IF('Transform Data'!D46="Cash","Cash",IF(COUNTIF('Transform Data'!$D:$D,'Transform Data'!D46)&gt;1,"Repeat","Single"))</f>
        <v>Repeat</v>
      </c>
      <c r="K46" s="10" t="str">
        <f t="shared" si="0"/>
        <v>TRANS-0045</v>
      </c>
    </row>
    <row r="47" spans="1:11" x14ac:dyDescent="0.35">
      <c r="A47" s="5">
        <v>45357</v>
      </c>
      <c r="B47" s="3">
        <v>0.62034722222222227</v>
      </c>
      <c r="C47" t="s">
        <v>8</v>
      </c>
      <c r="D47" t="s">
        <v>86</v>
      </c>
      <c r="E47" s="4">
        <v>38.700000000000003</v>
      </c>
      <c r="F47" t="s">
        <v>24</v>
      </c>
      <c r="G47" s="10" t="str">
        <f>TEXT(Transform_Data[[#This Row],[Date]],"mmm yyyy")</f>
        <v>Mar 2024</v>
      </c>
      <c r="H47" s="10">
        <f>HOUR(Transform_Data[[#This Row],[Time]])</f>
        <v>14</v>
      </c>
      <c r="I47" s="10" t="str">
        <f>IF(COUNTIF('Transform Data'!$D:$D,'Transform Data'!D47)&gt;1,"Repeat","Single")</f>
        <v>Repeat</v>
      </c>
      <c r="J47" s="10" t="str">
        <f>IF('Transform Data'!D47="Cash","Cash",IF(COUNTIF('Transform Data'!$D:$D,'Transform Data'!D47)&gt;1,"Repeat","Single"))</f>
        <v>Repeat</v>
      </c>
      <c r="K47" s="10" t="str">
        <f t="shared" si="0"/>
        <v>TRANS-0046</v>
      </c>
    </row>
    <row r="48" spans="1:11" x14ac:dyDescent="0.35">
      <c r="A48" s="5">
        <v>45358</v>
      </c>
      <c r="B48" s="3">
        <v>0.42289351851851853</v>
      </c>
      <c r="C48" t="s">
        <v>13</v>
      </c>
      <c r="D48" t="s">
        <v>37</v>
      </c>
      <c r="E48" s="4">
        <v>40</v>
      </c>
      <c r="F48" t="s">
        <v>32</v>
      </c>
      <c r="G48" s="10" t="str">
        <f>TEXT(Transform_Data[[#This Row],[Date]],"mmm yyyy")</f>
        <v>Mar 2024</v>
      </c>
      <c r="H48" s="10">
        <f>HOUR(Transform_Data[[#This Row],[Time]])</f>
        <v>10</v>
      </c>
      <c r="I48" s="10" t="str">
        <f>IF(COUNTIF('Transform Data'!$D:$D,'Transform Data'!D48)&gt;1,"Repeat","Single")</f>
        <v>Repeat</v>
      </c>
      <c r="J48" s="10" t="str">
        <f>IF('Transform Data'!D48="Cash","Cash",IF(COUNTIF('Transform Data'!$D:$D,'Transform Data'!D48)&gt;1,"Repeat","Single"))</f>
        <v>Repeat</v>
      </c>
      <c r="K48" s="10" t="str">
        <f t="shared" si="0"/>
        <v>TRANS-0047</v>
      </c>
    </row>
    <row r="49" spans="1:11" x14ac:dyDescent="0.35">
      <c r="A49" s="5">
        <v>45358</v>
      </c>
      <c r="B49" s="3">
        <v>0.42962962962962964</v>
      </c>
      <c r="C49" t="s">
        <v>8</v>
      </c>
      <c r="D49" t="s">
        <v>87</v>
      </c>
      <c r="E49" s="4">
        <v>38.700000000000003</v>
      </c>
      <c r="F49" t="s">
        <v>15</v>
      </c>
      <c r="G49" s="10" t="str">
        <f>TEXT(Transform_Data[[#This Row],[Date]],"mmm yyyy")</f>
        <v>Mar 2024</v>
      </c>
      <c r="H49" s="10">
        <f>HOUR(Transform_Data[[#This Row],[Time]])</f>
        <v>10</v>
      </c>
      <c r="I49" s="10" t="str">
        <f>IF(COUNTIF('Transform Data'!$D:$D,'Transform Data'!D49)&gt;1,"Repeat","Single")</f>
        <v>Single</v>
      </c>
      <c r="J49" s="10" t="str">
        <f>IF('Transform Data'!D49="Cash","Cash",IF(COUNTIF('Transform Data'!$D:$D,'Transform Data'!D49)&gt;1,"Repeat","Single"))</f>
        <v>Single</v>
      </c>
      <c r="K49" s="10" t="str">
        <f t="shared" si="0"/>
        <v>TRANS-0048</v>
      </c>
    </row>
    <row r="50" spans="1:11" x14ac:dyDescent="0.35">
      <c r="A50" s="5">
        <v>45358</v>
      </c>
      <c r="B50" s="3">
        <v>0.46108796296296295</v>
      </c>
      <c r="C50" t="s">
        <v>8</v>
      </c>
      <c r="D50" t="s">
        <v>88</v>
      </c>
      <c r="E50" s="4">
        <v>38.700000000000003</v>
      </c>
      <c r="F50" t="s">
        <v>32</v>
      </c>
      <c r="G50" s="10" t="str">
        <f>TEXT(Transform_Data[[#This Row],[Date]],"mmm yyyy")</f>
        <v>Mar 2024</v>
      </c>
      <c r="H50" s="10">
        <f>HOUR(Transform_Data[[#This Row],[Time]])</f>
        <v>11</v>
      </c>
      <c r="I50" s="10" t="str">
        <f>IF(COUNTIF('Transform Data'!$D:$D,'Transform Data'!D50)&gt;1,"Repeat","Single")</f>
        <v>Single</v>
      </c>
      <c r="J50" s="10" t="str">
        <f>IF('Transform Data'!D50="Cash","Cash",IF(COUNTIF('Transform Data'!$D:$D,'Transform Data'!D50)&gt;1,"Repeat","Single"))</f>
        <v>Single</v>
      </c>
      <c r="K50" s="10" t="str">
        <f t="shared" si="0"/>
        <v>TRANS-0049</v>
      </c>
    </row>
    <row r="51" spans="1:11" x14ac:dyDescent="0.35">
      <c r="A51" s="5">
        <v>45358</v>
      </c>
      <c r="B51" s="3">
        <v>0.47619212962962965</v>
      </c>
      <c r="C51" t="s">
        <v>13</v>
      </c>
      <c r="D51" t="s">
        <v>37</v>
      </c>
      <c r="E51" s="4">
        <v>40</v>
      </c>
      <c r="F51" t="s">
        <v>32</v>
      </c>
      <c r="G51" s="10" t="str">
        <f>TEXT(Transform_Data[[#This Row],[Date]],"mmm yyyy")</f>
        <v>Mar 2024</v>
      </c>
      <c r="H51" s="10">
        <f>HOUR(Transform_Data[[#This Row],[Time]])</f>
        <v>11</v>
      </c>
      <c r="I51" s="10" t="str">
        <f>IF(COUNTIF('Transform Data'!$D:$D,'Transform Data'!D51)&gt;1,"Repeat","Single")</f>
        <v>Repeat</v>
      </c>
      <c r="J51" s="10" t="str">
        <f>IF('Transform Data'!D51="Cash","Cash",IF(COUNTIF('Transform Data'!$D:$D,'Transform Data'!D51)&gt;1,"Repeat","Single"))</f>
        <v>Repeat</v>
      </c>
      <c r="K51" s="10" t="str">
        <f t="shared" si="0"/>
        <v>TRANS-0050</v>
      </c>
    </row>
    <row r="52" spans="1:11" x14ac:dyDescent="0.35">
      <c r="A52" s="5">
        <v>45358</v>
      </c>
      <c r="B52" s="3">
        <v>0.65303240740740742</v>
      </c>
      <c r="C52" t="s">
        <v>8</v>
      </c>
      <c r="D52" t="s">
        <v>89</v>
      </c>
      <c r="E52" s="4">
        <v>28.9</v>
      </c>
      <c r="F52" t="s">
        <v>28</v>
      </c>
      <c r="G52" s="10" t="str">
        <f>TEXT(Transform_Data[[#This Row],[Date]],"mmm yyyy")</f>
        <v>Mar 2024</v>
      </c>
      <c r="H52" s="10">
        <f>HOUR(Transform_Data[[#This Row],[Time]])</f>
        <v>15</v>
      </c>
      <c r="I52" s="10" t="str">
        <f>IF(COUNTIF('Transform Data'!$D:$D,'Transform Data'!D52)&gt;1,"Repeat","Single")</f>
        <v>Repeat</v>
      </c>
      <c r="J52" s="10" t="str">
        <f>IF('Transform Data'!D52="Cash","Cash",IF(COUNTIF('Transform Data'!$D:$D,'Transform Data'!D52)&gt;1,"Repeat","Single"))</f>
        <v>Repeat</v>
      </c>
      <c r="K52" s="10" t="str">
        <f t="shared" si="0"/>
        <v>TRANS-0051</v>
      </c>
    </row>
    <row r="53" spans="1:11" x14ac:dyDescent="0.35">
      <c r="A53" s="5">
        <v>45358</v>
      </c>
      <c r="B53" s="3">
        <v>0.65379629629629632</v>
      </c>
      <c r="C53" t="s">
        <v>8</v>
      </c>
      <c r="D53" t="s">
        <v>90</v>
      </c>
      <c r="E53" s="4">
        <v>33.799999999999997</v>
      </c>
      <c r="F53" t="s">
        <v>36</v>
      </c>
      <c r="G53" s="10" t="str">
        <f>TEXT(Transform_Data[[#This Row],[Date]],"mmm yyyy")</f>
        <v>Mar 2024</v>
      </c>
      <c r="H53" s="10">
        <f>HOUR(Transform_Data[[#This Row],[Time]])</f>
        <v>15</v>
      </c>
      <c r="I53" s="10" t="str">
        <f>IF(COUNTIF('Transform Data'!$D:$D,'Transform Data'!D53)&gt;1,"Repeat","Single")</f>
        <v>Repeat</v>
      </c>
      <c r="J53" s="10" t="str">
        <f>IF('Transform Data'!D53="Cash","Cash",IF(COUNTIF('Transform Data'!$D:$D,'Transform Data'!D53)&gt;1,"Repeat","Single"))</f>
        <v>Repeat</v>
      </c>
      <c r="K53" s="10" t="str">
        <f t="shared" si="0"/>
        <v>TRANS-0052</v>
      </c>
    </row>
    <row r="54" spans="1:11" x14ac:dyDescent="0.35">
      <c r="A54" s="5">
        <v>45359</v>
      </c>
      <c r="B54" s="3">
        <v>0.44075231481481481</v>
      </c>
      <c r="C54" t="s">
        <v>8</v>
      </c>
      <c r="D54" t="s">
        <v>43</v>
      </c>
      <c r="E54" s="4">
        <v>28.9</v>
      </c>
      <c r="F54" t="s">
        <v>20</v>
      </c>
      <c r="G54" s="10" t="str">
        <f>TEXT(Transform_Data[[#This Row],[Date]],"mmm yyyy")</f>
        <v>Mar 2024</v>
      </c>
      <c r="H54" s="10">
        <f>HOUR(Transform_Data[[#This Row],[Time]])</f>
        <v>10</v>
      </c>
      <c r="I54" s="10" t="str">
        <f>IF(COUNTIF('Transform Data'!$D:$D,'Transform Data'!D54)&gt;1,"Repeat","Single")</f>
        <v>Repeat</v>
      </c>
      <c r="J54" s="10" t="str">
        <f>IF('Transform Data'!D54="Cash","Cash",IF(COUNTIF('Transform Data'!$D:$D,'Transform Data'!D54)&gt;1,"Repeat","Single"))</f>
        <v>Repeat</v>
      </c>
      <c r="K54" s="10" t="str">
        <f t="shared" si="0"/>
        <v>TRANS-0053</v>
      </c>
    </row>
    <row r="55" spans="1:11" x14ac:dyDescent="0.35">
      <c r="A55" s="5">
        <v>45359</v>
      </c>
      <c r="B55" s="3">
        <v>0.51560185185185181</v>
      </c>
      <c r="C55" t="s">
        <v>8</v>
      </c>
      <c r="D55" t="s">
        <v>91</v>
      </c>
      <c r="E55" s="4">
        <v>38.700000000000003</v>
      </c>
      <c r="F55" t="s">
        <v>24</v>
      </c>
      <c r="G55" s="10" t="str">
        <f>TEXT(Transform_Data[[#This Row],[Date]],"mmm yyyy")</f>
        <v>Mar 2024</v>
      </c>
      <c r="H55" s="10">
        <f>HOUR(Transform_Data[[#This Row],[Time]])</f>
        <v>12</v>
      </c>
      <c r="I55" s="10" t="str">
        <f>IF(COUNTIF('Transform Data'!$D:$D,'Transform Data'!D55)&gt;1,"Repeat","Single")</f>
        <v>Single</v>
      </c>
      <c r="J55" s="10" t="str">
        <f>IF('Transform Data'!D55="Cash","Cash",IF(COUNTIF('Transform Data'!$D:$D,'Transform Data'!D55)&gt;1,"Repeat","Single"))</f>
        <v>Single</v>
      </c>
      <c r="K55" s="10" t="str">
        <f t="shared" si="0"/>
        <v>TRANS-0054</v>
      </c>
    </row>
    <row r="56" spans="1:11" x14ac:dyDescent="0.35">
      <c r="A56" s="5">
        <v>45359</v>
      </c>
      <c r="B56" s="3">
        <v>0.57849537037037035</v>
      </c>
      <c r="C56" t="s">
        <v>8</v>
      </c>
      <c r="D56" t="s">
        <v>92</v>
      </c>
      <c r="E56" s="4">
        <v>28.9</v>
      </c>
      <c r="F56" t="s">
        <v>28</v>
      </c>
      <c r="G56" s="10" t="str">
        <f>TEXT(Transform_Data[[#This Row],[Date]],"mmm yyyy")</f>
        <v>Mar 2024</v>
      </c>
      <c r="H56" s="10">
        <f>HOUR(Transform_Data[[#This Row],[Time]])</f>
        <v>13</v>
      </c>
      <c r="I56" s="10" t="str">
        <f>IF(COUNTIF('Transform Data'!$D:$D,'Transform Data'!D56)&gt;1,"Repeat","Single")</f>
        <v>Repeat</v>
      </c>
      <c r="J56" s="10" t="str">
        <f>IF('Transform Data'!D56="Cash","Cash",IF(COUNTIF('Transform Data'!$D:$D,'Transform Data'!D56)&gt;1,"Repeat","Single"))</f>
        <v>Repeat</v>
      </c>
      <c r="K56" s="10" t="str">
        <f t="shared" si="0"/>
        <v>TRANS-0055</v>
      </c>
    </row>
    <row r="57" spans="1:11" x14ac:dyDescent="0.35">
      <c r="A57" s="5">
        <v>45359</v>
      </c>
      <c r="B57" s="3">
        <v>0.61402777777777773</v>
      </c>
      <c r="C57" t="s">
        <v>8</v>
      </c>
      <c r="D57" t="s">
        <v>43</v>
      </c>
      <c r="E57" s="4">
        <v>28.9</v>
      </c>
      <c r="F57" t="s">
        <v>28</v>
      </c>
      <c r="G57" s="10" t="str">
        <f>TEXT(Transform_Data[[#This Row],[Date]],"mmm yyyy")</f>
        <v>Mar 2024</v>
      </c>
      <c r="H57" s="10">
        <f>HOUR(Transform_Data[[#This Row],[Time]])</f>
        <v>14</v>
      </c>
      <c r="I57" s="10" t="str">
        <f>IF(COUNTIF('Transform Data'!$D:$D,'Transform Data'!D57)&gt;1,"Repeat","Single")</f>
        <v>Repeat</v>
      </c>
      <c r="J57" s="10" t="str">
        <f>IF('Transform Data'!D57="Cash","Cash",IF(COUNTIF('Transform Data'!$D:$D,'Transform Data'!D57)&gt;1,"Repeat","Single"))</f>
        <v>Repeat</v>
      </c>
      <c r="K57" s="10" t="str">
        <f t="shared" si="0"/>
        <v>TRANS-0056</v>
      </c>
    </row>
    <row r="58" spans="1:11" x14ac:dyDescent="0.35">
      <c r="A58" s="5">
        <v>45359</v>
      </c>
      <c r="B58" s="3">
        <v>0.61471064814814813</v>
      </c>
      <c r="C58" t="s">
        <v>8</v>
      </c>
      <c r="D58" t="s">
        <v>90</v>
      </c>
      <c r="E58" s="4">
        <v>28.9</v>
      </c>
      <c r="F58" t="s">
        <v>28</v>
      </c>
      <c r="G58" s="10" t="str">
        <f>TEXT(Transform_Data[[#This Row],[Date]],"mmm yyyy")</f>
        <v>Mar 2024</v>
      </c>
      <c r="H58" s="10">
        <f>HOUR(Transform_Data[[#This Row],[Time]])</f>
        <v>14</v>
      </c>
      <c r="I58" s="10" t="str">
        <f>IF(COUNTIF('Transform Data'!$D:$D,'Transform Data'!D58)&gt;1,"Repeat","Single")</f>
        <v>Repeat</v>
      </c>
      <c r="J58" s="10" t="str">
        <f>IF('Transform Data'!D58="Cash","Cash",IF(COUNTIF('Transform Data'!$D:$D,'Transform Data'!D58)&gt;1,"Repeat","Single"))</f>
        <v>Repeat</v>
      </c>
      <c r="K58" s="10" t="str">
        <f t="shared" si="0"/>
        <v>TRANS-0057</v>
      </c>
    </row>
    <row r="59" spans="1:11" x14ac:dyDescent="0.35">
      <c r="A59" s="5">
        <v>45359</v>
      </c>
      <c r="B59" s="3">
        <v>0.61540509259259257</v>
      </c>
      <c r="C59" t="s">
        <v>8</v>
      </c>
      <c r="D59" t="s">
        <v>43</v>
      </c>
      <c r="E59" s="4">
        <v>33.799999999999997</v>
      </c>
      <c r="F59" t="s">
        <v>36</v>
      </c>
      <c r="G59" s="10" t="str">
        <f>TEXT(Transform_Data[[#This Row],[Date]],"mmm yyyy")</f>
        <v>Mar 2024</v>
      </c>
      <c r="H59" s="10">
        <f>HOUR(Transform_Data[[#This Row],[Time]])</f>
        <v>14</v>
      </c>
      <c r="I59" s="10" t="str">
        <f>IF(COUNTIF('Transform Data'!$D:$D,'Transform Data'!D59)&gt;1,"Repeat","Single")</f>
        <v>Repeat</v>
      </c>
      <c r="J59" s="10" t="str">
        <f>IF('Transform Data'!D59="Cash","Cash",IF(COUNTIF('Transform Data'!$D:$D,'Transform Data'!D59)&gt;1,"Repeat","Single"))</f>
        <v>Repeat</v>
      </c>
      <c r="K59" s="10" t="str">
        <f t="shared" si="0"/>
        <v>TRANS-0058</v>
      </c>
    </row>
    <row r="60" spans="1:11" x14ac:dyDescent="0.35">
      <c r="A60" s="5">
        <v>45359</v>
      </c>
      <c r="B60" s="3">
        <v>0.79017361111111106</v>
      </c>
      <c r="C60" t="s">
        <v>8</v>
      </c>
      <c r="D60" t="s">
        <v>93</v>
      </c>
      <c r="E60" s="4">
        <v>38.700000000000003</v>
      </c>
      <c r="F60" t="s">
        <v>32</v>
      </c>
      <c r="G60" s="10" t="str">
        <f>TEXT(Transform_Data[[#This Row],[Date]],"mmm yyyy")</f>
        <v>Mar 2024</v>
      </c>
      <c r="H60" s="10">
        <f>HOUR(Transform_Data[[#This Row],[Time]])</f>
        <v>18</v>
      </c>
      <c r="I60" s="10" t="str">
        <f>IF(COUNTIF('Transform Data'!$D:$D,'Transform Data'!D60)&gt;1,"Repeat","Single")</f>
        <v>Single</v>
      </c>
      <c r="J60" s="10" t="str">
        <f>IF('Transform Data'!D60="Cash","Cash",IF(COUNTIF('Transform Data'!$D:$D,'Transform Data'!D60)&gt;1,"Repeat","Single"))</f>
        <v>Single</v>
      </c>
      <c r="K60" s="10" t="str">
        <f t="shared" si="0"/>
        <v>TRANS-0059</v>
      </c>
    </row>
    <row r="61" spans="1:11" x14ac:dyDescent="0.35">
      <c r="A61" s="5">
        <v>45359</v>
      </c>
      <c r="B61" s="3">
        <v>0.79125000000000001</v>
      </c>
      <c r="C61" t="s">
        <v>8</v>
      </c>
      <c r="D61" t="s">
        <v>94</v>
      </c>
      <c r="E61" s="4">
        <v>38.700000000000003</v>
      </c>
      <c r="F61" t="s">
        <v>32</v>
      </c>
      <c r="G61" s="10" t="str">
        <f>TEXT(Transform_Data[[#This Row],[Date]],"mmm yyyy")</f>
        <v>Mar 2024</v>
      </c>
      <c r="H61" s="10">
        <f>HOUR(Transform_Data[[#This Row],[Time]])</f>
        <v>18</v>
      </c>
      <c r="I61" s="10" t="str">
        <f>IF(COUNTIF('Transform Data'!$D:$D,'Transform Data'!D61)&gt;1,"Repeat","Single")</f>
        <v>Single</v>
      </c>
      <c r="J61" s="10" t="str">
        <f>IF('Transform Data'!D61="Cash","Cash",IF(COUNTIF('Transform Data'!$D:$D,'Transform Data'!D61)&gt;1,"Repeat","Single"))</f>
        <v>Single</v>
      </c>
      <c r="K61" s="10" t="str">
        <f t="shared" si="0"/>
        <v>TRANS-0060</v>
      </c>
    </row>
    <row r="62" spans="1:11" x14ac:dyDescent="0.35">
      <c r="A62" s="5">
        <v>45360</v>
      </c>
      <c r="B62" s="3">
        <v>0.49278935185185185</v>
      </c>
      <c r="C62" t="s">
        <v>13</v>
      </c>
      <c r="D62" t="s">
        <v>37</v>
      </c>
      <c r="E62" s="4">
        <v>40</v>
      </c>
      <c r="F62" t="s">
        <v>15</v>
      </c>
      <c r="G62" s="10" t="str">
        <f>TEXT(Transform_Data[[#This Row],[Date]],"mmm yyyy")</f>
        <v>Mar 2024</v>
      </c>
      <c r="H62" s="10">
        <f>HOUR(Transform_Data[[#This Row],[Time]])</f>
        <v>11</v>
      </c>
      <c r="I62" s="10" t="str">
        <f>IF(COUNTIF('Transform Data'!$D:$D,'Transform Data'!D62)&gt;1,"Repeat","Single")</f>
        <v>Repeat</v>
      </c>
      <c r="J62" s="10" t="str">
        <f>IF('Transform Data'!D62="Cash","Cash",IF(COUNTIF('Transform Data'!$D:$D,'Transform Data'!D62)&gt;1,"Repeat","Single"))</f>
        <v>Repeat</v>
      </c>
      <c r="K62" s="10" t="str">
        <f t="shared" si="0"/>
        <v>TRANS-0061</v>
      </c>
    </row>
    <row r="63" spans="1:11" x14ac:dyDescent="0.35">
      <c r="A63" s="5">
        <v>45360</v>
      </c>
      <c r="B63" s="3">
        <v>0.50364583333333335</v>
      </c>
      <c r="C63" t="s">
        <v>8</v>
      </c>
      <c r="D63" t="s">
        <v>95</v>
      </c>
      <c r="E63" s="4">
        <v>24</v>
      </c>
      <c r="F63" t="s">
        <v>5</v>
      </c>
      <c r="G63" s="10" t="str">
        <f>TEXT(Transform_Data[[#This Row],[Date]],"mmm yyyy")</f>
        <v>Mar 2024</v>
      </c>
      <c r="H63" s="10">
        <f>HOUR(Transform_Data[[#This Row],[Time]])</f>
        <v>12</v>
      </c>
      <c r="I63" s="10" t="str">
        <f>IF(COUNTIF('Transform Data'!$D:$D,'Transform Data'!D63)&gt;1,"Repeat","Single")</f>
        <v>Single</v>
      </c>
      <c r="J63" s="10" t="str">
        <f>IF('Transform Data'!D63="Cash","Cash",IF(COUNTIF('Transform Data'!$D:$D,'Transform Data'!D63)&gt;1,"Repeat","Single"))</f>
        <v>Single</v>
      </c>
      <c r="K63" s="10" t="str">
        <f t="shared" si="0"/>
        <v>TRANS-0062</v>
      </c>
    </row>
    <row r="64" spans="1:11" x14ac:dyDescent="0.35">
      <c r="A64" s="5">
        <v>45360</v>
      </c>
      <c r="B64" s="3">
        <v>0.5053009259259259</v>
      </c>
      <c r="C64" t="s">
        <v>8</v>
      </c>
      <c r="D64" t="s">
        <v>96</v>
      </c>
      <c r="E64" s="4">
        <v>28.9</v>
      </c>
      <c r="F64" t="s">
        <v>28</v>
      </c>
      <c r="G64" s="10" t="str">
        <f>TEXT(Transform_Data[[#This Row],[Date]],"mmm yyyy")</f>
        <v>Mar 2024</v>
      </c>
      <c r="H64" s="10">
        <f>HOUR(Transform_Data[[#This Row],[Time]])</f>
        <v>12</v>
      </c>
      <c r="I64" s="10" t="str">
        <f>IF(COUNTIF('Transform Data'!$D:$D,'Transform Data'!D64)&gt;1,"Repeat","Single")</f>
        <v>Single</v>
      </c>
      <c r="J64" s="10" t="str">
        <f>IF('Transform Data'!D64="Cash","Cash",IF(COUNTIF('Transform Data'!$D:$D,'Transform Data'!D64)&gt;1,"Repeat","Single"))</f>
        <v>Single</v>
      </c>
      <c r="K64" s="10" t="str">
        <f t="shared" si="0"/>
        <v>TRANS-0063</v>
      </c>
    </row>
    <row r="65" spans="1:11" x14ac:dyDescent="0.35">
      <c r="A65" s="5">
        <v>45360</v>
      </c>
      <c r="B65" s="3">
        <v>0.50679398148148147</v>
      </c>
      <c r="C65" t="s">
        <v>8</v>
      </c>
      <c r="D65" t="s">
        <v>43</v>
      </c>
      <c r="E65" s="4">
        <v>38.700000000000003</v>
      </c>
      <c r="F65" t="s">
        <v>24</v>
      </c>
      <c r="G65" s="10" t="str">
        <f>TEXT(Transform_Data[[#This Row],[Date]],"mmm yyyy")</f>
        <v>Mar 2024</v>
      </c>
      <c r="H65" s="10">
        <f>HOUR(Transform_Data[[#This Row],[Time]])</f>
        <v>12</v>
      </c>
      <c r="I65" s="10" t="str">
        <f>IF(COUNTIF('Transform Data'!$D:$D,'Transform Data'!D65)&gt;1,"Repeat","Single")</f>
        <v>Repeat</v>
      </c>
      <c r="J65" s="10" t="str">
        <f>IF('Transform Data'!D65="Cash","Cash",IF(COUNTIF('Transform Data'!$D:$D,'Transform Data'!D65)&gt;1,"Repeat","Single"))</f>
        <v>Repeat</v>
      </c>
      <c r="K65" s="10" t="str">
        <f t="shared" si="0"/>
        <v>TRANS-0064</v>
      </c>
    </row>
    <row r="66" spans="1:11" x14ac:dyDescent="0.35">
      <c r="A66" s="5">
        <v>45360</v>
      </c>
      <c r="B66" s="3">
        <v>0.50906249999999997</v>
      </c>
      <c r="C66" t="s">
        <v>8</v>
      </c>
      <c r="D66" t="s">
        <v>16</v>
      </c>
      <c r="E66" s="4">
        <v>28.9</v>
      </c>
      <c r="F66" t="s">
        <v>28</v>
      </c>
      <c r="G66" s="10" t="str">
        <f>TEXT(Transform_Data[[#This Row],[Date]],"mmm yyyy")</f>
        <v>Mar 2024</v>
      </c>
      <c r="H66" s="10">
        <f>HOUR(Transform_Data[[#This Row],[Time]])</f>
        <v>12</v>
      </c>
      <c r="I66" s="10" t="str">
        <f>IF(COUNTIF('Transform Data'!$D:$D,'Transform Data'!D66)&gt;1,"Repeat","Single")</f>
        <v>Repeat</v>
      </c>
      <c r="J66" s="10" t="str">
        <f>IF('Transform Data'!D66="Cash","Cash",IF(COUNTIF('Transform Data'!$D:$D,'Transform Data'!D66)&gt;1,"Repeat","Single"))</f>
        <v>Repeat</v>
      </c>
      <c r="K66" s="10" t="str">
        <f t="shared" ref="K66:K129" si="1">"TRANS-"&amp;TEXT(ROW(A65),"0000")</f>
        <v>TRANS-0065</v>
      </c>
    </row>
    <row r="67" spans="1:11" x14ac:dyDescent="0.35">
      <c r="A67" s="5">
        <v>45360</v>
      </c>
      <c r="B67" s="3">
        <v>0.5100231481481482</v>
      </c>
      <c r="C67" t="s">
        <v>8</v>
      </c>
      <c r="D67" t="s">
        <v>16</v>
      </c>
      <c r="E67" s="4">
        <v>28.9</v>
      </c>
      <c r="F67" t="s">
        <v>28</v>
      </c>
      <c r="G67" s="10" t="str">
        <f>TEXT(Transform_Data[[#This Row],[Date]],"mmm yyyy")</f>
        <v>Mar 2024</v>
      </c>
      <c r="H67" s="10">
        <f>HOUR(Transform_Data[[#This Row],[Time]])</f>
        <v>12</v>
      </c>
      <c r="I67" s="10" t="str">
        <f>IF(COUNTIF('Transform Data'!$D:$D,'Transform Data'!D67)&gt;1,"Repeat","Single")</f>
        <v>Repeat</v>
      </c>
      <c r="J67" s="10" t="str">
        <f>IF('Transform Data'!D67="Cash","Cash",IF(COUNTIF('Transform Data'!$D:$D,'Transform Data'!D67)&gt;1,"Repeat","Single"))</f>
        <v>Repeat</v>
      </c>
      <c r="K67" s="10" t="str">
        <f t="shared" si="1"/>
        <v>TRANS-0066</v>
      </c>
    </row>
    <row r="68" spans="1:11" x14ac:dyDescent="0.35">
      <c r="A68" s="5">
        <v>45360</v>
      </c>
      <c r="B68" s="3">
        <v>0.54817129629629635</v>
      </c>
      <c r="C68" t="s">
        <v>8</v>
      </c>
      <c r="D68" t="s">
        <v>97</v>
      </c>
      <c r="E68" s="4">
        <v>38.700000000000003</v>
      </c>
      <c r="F68" t="s">
        <v>32</v>
      </c>
      <c r="G68" s="10" t="str">
        <f>TEXT(Transform_Data[[#This Row],[Date]],"mmm yyyy")</f>
        <v>Mar 2024</v>
      </c>
      <c r="H68" s="10">
        <f>HOUR(Transform_Data[[#This Row],[Time]])</f>
        <v>13</v>
      </c>
      <c r="I68" s="10" t="str">
        <f>IF(COUNTIF('Transform Data'!$D:$D,'Transform Data'!D68)&gt;1,"Repeat","Single")</f>
        <v>Single</v>
      </c>
      <c r="J68" s="10" t="str">
        <f>IF('Transform Data'!D68="Cash","Cash",IF(COUNTIF('Transform Data'!$D:$D,'Transform Data'!D68)&gt;1,"Repeat","Single"))</f>
        <v>Single</v>
      </c>
      <c r="K68" s="10" t="str">
        <f t="shared" si="1"/>
        <v>TRANS-0067</v>
      </c>
    </row>
    <row r="69" spans="1:11" x14ac:dyDescent="0.35">
      <c r="A69" s="5">
        <v>45360</v>
      </c>
      <c r="B69" s="3">
        <v>0.57020833333333332</v>
      </c>
      <c r="C69" t="s">
        <v>8</v>
      </c>
      <c r="D69" t="s">
        <v>98</v>
      </c>
      <c r="E69" s="4">
        <v>33.799999999999997</v>
      </c>
      <c r="F69" t="s">
        <v>36</v>
      </c>
      <c r="G69" s="10" t="str">
        <f>TEXT(Transform_Data[[#This Row],[Date]],"mmm yyyy")</f>
        <v>Mar 2024</v>
      </c>
      <c r="H69" s="10">
        <f>HOUR(Transform_Data[[#This Row],[Time]])</f>
        <v>13</v>
      </c>
      <c r="I69" s="10" t="str">
        <f>IF(COUNTIF('Transform Data'!$D:$D,'Transform Data'!D69)&gt;1,"Repeat","Single")</f>
        <v>Repeat</v>
      </c>
      <c r="J69" s="10" t="str">
        <f>IF('Transform Data'!D69="Cash","Cash",IF(COUNTIF('Transform Data'!$D:$D,'Transform Data'!D69)&gt;1,"Repeat","Single"))</f>
        <v>Repeat</v>
      </c>
      <c r="K69" s="10" t="str">
        <f t="shared" si="1"/>
        <v>TRANS-0068</v>
      </c>
    </row>
    <row r="70" spans="1:11" x14ac:dyDescent="0.35">
      <c r="A70" s="5">
        <v>45360</v>
      </c>
      <c r="B70" s="3">
        <v>0.578587962962963</v>
      </c>
      <c r="C70" t="s">
        <v>8</v>
      </c>
      <c r="D70" t="s">
        <v>99</v>
      </c>
      <c r="E70" s="4">
        <v>28.9</v>
      </c>
      <c r="F70" t="s">
        <v>20</v>
      </c>
      <c r="G70" s="10" t="str">
        <f>TEXT(Transform_Data[[#This Row],[Date]],"mmm yyyy")</f>
        <v>Mar 2024</v>
      </c>
      <c r="H70" s="10">
        <f>HOUR(Transform_Data[[#This Row],[Time]])</f>
        <v>13</v>
      </c>
      <c r="I70" s="10" t="str">
        <f>IF(COUNTIF('Transform Data'!$D:$D,'Transform Data'!D70)&gt;1,"Repeat","Single")</f>
        <v>Repeat</v>
      </c>
      <c r="J70" s="10" t="str">
        <f>IF('Transform Data'!D70="Cash","Cash",IF(COUNTIF('Transform Data'!$D:$D,'Transform Data'!D70)&gt;1,"Repeat","Single"))</f>
        <v>Repeat</v>
      </c>
      <c r="K70" s="10" t="str">
        <f t="shared" si="1"/>
        <v>TRANS-0069</v>
      </c>
    </row>
    <row r="71" spans="1:11" x14ac:dyDescent="0.35">
      <c r="A71" s="5">
        <v>45360</v>
      </c>
      <c r="B71" s="3">
        <v>0.57958333333333334</v>
      </c>
      <c r="C71" t="s">
        <v>8</v>
      </c>
      <c r="D71" t="s">
        <v>99</v>
      </c>
      <c r="E71" s="4">
        <v>38.700000000000003</v>
      </c>
      <c r="F71" t="s">
        <v>24</v>
      </c>
      <c r="G71" s="10" t="str">
        <f>TEXT(Transform_Data[[#This Row],[Date]],"mmm yyyy")</f>
        <v>Mar 2024</v>
      </c>
      <c r="H71" s="10">
        <f>HOUR(Transform_Data[[#This Row],[Time]])</f>
        <v>13</v>
      </c>
      <c r="I71" s="10" t="str">
        <f>IF(COUNTIF('Transform Data'!$D:$D,'Transform Data'!D71)&gt;1,"Repeat","Single")</f>
        <v>Repeat</v>
      </c>
      <c r="J71" s="10" t="str">
        <f>IF('Transform Data'!D71="Cash","Cash",IF(COUNTIF('Transform Data'!$D:$D,'Transform Data'!D71)&gt;1,"Repeat","Single"))</f>
        <v>Repeat</v>
      </c>
      <c r="K71" s="10" t="str">
        <f t="shared" si="1"/>
        <v>TRANS-0070</v>
      </c>
    </row>
    <row r="72" spans="1:11" x14ac:dyDescent="0.35">
      <c r="A72" s="5">
        <v>45360</v>
      </c>
      <c r="B72" s="3">
        <v>0.58890046296296295</v>
      </c>
      <c r="C72" t="s">
        <v>8</v>
      </c>
      <c r="D72" t="s">
        <v>25</v>
      </c>
      <c r="E72" s="4">
        <v>33.799999999999997</v>
      </c>
      <c r="F72" t="s">
        <v>36</v>
      </c>
      <c r="G72" s="10" t="str">
        <f>TEXT(Transform_Data[[#This Row],[Date]],"mmm yyyy")</f>
        <v>Mar 2024</v>
      </c>
      <c r="H72" s="10">
        <f>HOUR(Transform_Data[[#This Row],[Time]])</f>
        <v>14</v>
      </c>
      <c r="I72" s="10" t="str">
        <f>IF(COUNTIF('Transform Data'!$D:$D,'Transform Data'!D72)&gt;1,"Repeat","Single")</f>
        <v>Repeat</v>
      </c>
      <c r="J72" s="10" t="str">
        <f>IF('Transform Data'!D72="Cash","Cash",IF(COUNTIF('Transform Data'!$D:$D,'Transform Data'!D72)&gt;1,"Repeat","Single"))</f>
        <v>Repeat</v>
      </c>
      <c r="K72" s="10" t="str">
        <f t="shared" si="1"/>
        <v>TRANS-0071</v>
      </c>
    </row>
    <row r="73" spans="1:11" x14ac:dyDescent="0.35">
      <c r="A73" s="5">
        <v>45360</v>
      </c>
      <c r="B73" s="3">
        <v>0.60199074074074077</v>
      </c>
      <c r="C73" t="s">
        <v>8</v>
      </c>
      <c r="D73" t="s">
        <v>100</v>
      </c>
      <c r="E73" s="4">
        <v>38.700000000000003</v>
      </c>
      <c r="F73" t="s">
        <v>15</v>
      </c>
      <c r="G73" s="10" t="str">
        <f>TEXT(Transform_Data[[#This Row],[Date]],"mmm yyyy")</f>
        <v>Mar 2024</v>
      </c>
      <c r="H73" s="10">
        <f>HOUR(Transform_Data[[#This Row],[Time]])</f>
        <v>14</v>
      </c>
      <c r="I73" s="10" t="str">
        <f>IF(COUNTIF('Transform Data'!$D:$D,'Transform Data'!D73)&gt;1,"Repeat","Single")</f>
        <v>Single</v>
      </c>
      <c r="J73" s="10" t="str">
        <f>IF('Transform Data'!D73="Cash","Cash",IF(COUNTIF('Transform Data'!$D:$D,'Transform Data'!D73)&gt;1,"Repeat","Single"))</f>
        <v>Single</v>
      </c>
      <c r="K73" s="10" t="str">
        <f t="shared" si="1"/>
        <v>TRANS-0072</v>
      </c>
    </row>
    <row r="74" spans="1:11" x14ac:dyDescent="0.35">
      <c r="A74" s="5">
        <v>45360</v>
      </c>
      <c r="B74" s="3">
        <v>0.80413194444444447</v>
      </c>
      <c r="C74" t="s">
        <v>8</v>
      </c>
      <c r="D74" t="s">
        <v>25</v>
      </c>
      <c r="E74" s="4">
        <v>38.700000000000003</v>
      </c>
      <c r="F74" t="s">
        <v>24</v>
      </c>
      <c r="G74" s="10" t="str">
        <f>TEXT(Transform_Data[[#This Row],[Date]],"mmm yyyy")</f>
        <v>Mar 2024</v>
      </c>
      <c r="H74" s="10">
        <f>HOUR(Transform_Data[[#This Row],[Time]])</f>
        <v>19</v>
      </c>
      <c r="I74" s="10" t="str">
        <f>IF(COUNTIF('Transform Data'!$D:$D,'Transform Data'!D74)&gt;1,"Repeat","Single")</f>
        <v>Repeat</v>
      </c>
      <c r="J74" s="10" t="str">
        <f>IF('Transform Data'!D74="Cash","Cash",IF(COUNTIF('Transform Data'!$D:$D,'Transform Data'!D74)&gt;1,"Repeat","Single"))</f>
        <v>Repeat</v>
      </c>
      <c r="K74" s="10" t="str">
        <f t="shared" si="1"/>
        <v>TRANS-0073</v>
      </c>
    </row>
    <row r="75" spans="1:11" x14ac:dyDescent="0.35">
      <c r="A75" s="5">
        <v>45360</v>
      </c>
      <c r="B75" s="3">
        <v>0.80497685185185186</v>
      </c>
      <c r="C75" t="s">
        <v>8</v>
      </c>
      <c r="D75" t="s">
        <v>25</v>
      </c>
      <c r="E75" s="4">
        <v>38.700000000000003</v>
      </c>
      <c r="F75" t="s">
        <v>15</v>
      </c>
      <c r="G75" s="10" t="str">
        <f>TEXT(Transform_Data[[#This Row],[Date]],"mmm yyyy")</f>
        <v>Mar 2024</v>
      </c>
      <c r="H75" s="10">
        <f>HOUR(Transform_Data[[#This Row],[Time]])</f>
        <v>19</v>
      </c>
      <c r="I75" s="10" t="str">
        <f>IF(COUNTIF('Transform Data'!$D:$D,'Transform Data'!D75)&gt;1,"Repeat","Single")</f>
        <v>Repeat</v>
      </c>
      <c r="J75" s="10" t="str">
        <f>IF('Transform Data'!D75="Cash","Cash",IF(COUNTIF('Transform Data'!$D:$D,'Transform Data'!D75)&gt;1,"Repeat","Single"))</f>
        <v>Repeat</v>
      </c>
      <c r="K75" s="10" t="str">
        <f t="shared" si="1"/>
        <v>TRANS-0074</v>
      </c>
    </row>
    <row r="76" spans="1:11" x14ac:dyDescent="0.35">
      <c r="A76" s="5">
        <v>45361</v>
      </c>
      <c r="B76" s="3">
        <v>0.32243055555555555</v>
      </c>
      <c r="C76" t="s">
        <v>13</v>
      </c>
      <c r="D76" t="s">
        <v>37</v>
      </c>
      <c r="E76" s="4">
        <v>30</v>
      </c>
      <c r="F76" t="s">
        <v>28</v>
      </c>
      <c r="G76" s="10" t="str">
        <f>TEXT(Transform_Data[[#This Row],[Date]],"mmm yyyy")</f>
        <v>Mar 2024</v>
      </c>
      <c r="H76" s="10">
        <f>HOUR(Transform_Data[[#This Row],[Time]])</f>
        <v>7</v>
      </c>
      <c r="I76" s="10" t="str">
        <f>IF(COUNTIF('Transform Data'!$D:$D,'Transform Data'!D76)&gt;1,"Repeat","Single")</f>
        <v>Repeat</v>
      </c>
      <c r="J76" s="10" t="str">
        <f>IF('Transform Data'!D76="Cash","Cash",IF(COUNTIF('Transform Data'!$D:$D,'Transform Data'!D76)&gt;1,"Repeat","Single"))</f>
        <v>Repeat</v>
      </c>
      <c r="K76" s="10" t="str">
        <f t="shared" si="1"/>
        <v>TRANS-0075</v>
      </c>
    </row>
    <row r="77" spans="1:11" x14ac:dyDescent="0.35">
      <c r="A77" s="5">
        <v>45361</v>
      </c>
      <c r="B77" s="3">
        <v>0.32325231481481481</v>
      </c>
      <c r="C77" t="s">
        <v>13</v>
      </c>
      <c r="D77" t="s">
        <v>37</v>
      </c>
      <c r="E77" s="4">
        <v>35</v>
      </c>
      <c r="F77" t="s">
        <v>36</v>
      </c>
      <c r="G77" s="10" t="str">
        <f>TEXT(Transform_Data[[#This Row],[Date]],"mmm yyyy")</f>
        <v>Mar 2024</v>
      </c>
      <c r="H77" s="10">
        <f>HOUR(Transform_Data[[#This Row],[Time]])</f>
        <v>7</v>
      </c>
      <c r="I77" s="10" t="str">
        <f>IF(COUNTIF('Transform Data'!$D:$D,'Transform Data'!D77)&gt;1,"Repeat","Single")</f>
        <v>Repeat</v>
      </c>
      <c r="J77" s="10" t="str">
        <f>IF('Transform Data'!D77="Cash","Cash",IF(COUNTIF('Transform Data'!$D:$D,'Transform Data'!D77)&gt;1,"Repeat","Single"))</f>
        <v>Repeat</v>
      </c>
      <c r="K77" s="10" t="str">
        <f t="shared" si="1"/>
        <v>TRANS-0076</v>
      </c>
    </row>
    <row r="78" spans="1:11" x14ac:dyDescent="0.35">
      <c r="A78" s="5">
        <v>45361</v>
      </c>
      <c r="B78" s="3">
        <v>0.42085648148148147</v>
      </c>
      <c r="C78" t="s">
        <v>13</v>
      </c>
      <c r="D78" t="s">
        <v>37</v>
      </c>
      <c r="E78" s="4">
        <v>40</v>
      </c>
      <c r="F78" t="s">
        <v>32</v>
      </c>
      <c r="G78" s="10" t="str">
        <f>TEXT(Transform_Data[[#This Row],[Date]],"mmm yyyy")</f>
        <v>Mar 2024</v>
      </c>
      <c r="H78" s="10">
        <f>HOUR(Transform_Data[[#This Row],[Time]])</f>
        <v>10</v>
      </c>
      <c r="I78" s="10" t="str">
        <f>IF(COUNTIF('Transform Data'!$D:$D,'Transform Data'!D78)&gt;1,"Repeat","Single")</f>
        <v>Repeat</v>
      </c>
      <c r="J78" s="10" t="str">
        <f>IF('Transform Data'!D78="Cash","Cash",IF(COUNTIF('Transform Data'!$D:$D,'Transform Data'!D78)&gt;1,"Repeat","Single"))</f>
        <v>Repeat</v>
      </c>
      <c r="K78" s="10" t="str">
        <f t="shared" si="1"/>
        <v>TRANS-0077</v>
      </c>
    </row>
    <row r="79" spans="1:11" x14ac:dyDescent="0.35">
      <c r="A79" s="5">
        <v>45361</v>
      </c>
      <c r="B79" s="3">
        <v>0.47175925925925927</v>
      </c>
      <c r="C79" t="s">
        <v>8</v>
      </c>
      <c r="D79" t="s">
        <v>101</v>
      </c>
      <c r="E79" s="4">
        <v>24</v>
      </c>
      <c r="F79" t="s">
        <v>5</v>
      </c>
      <c r="G79" s="10" t="str">
        <f>TEXT(Transform_Data[[#This Row],[Date]],"mmm yyyy")</f>
        <v>Mar 2024</v>
      </c>
      <c r="H79" s="10">
        <f>HOUR(Transform_Data[[#This Row],[Time]])</f>
        <v>11</v>
      </c>
      <c r="I79" s="10" t="str">
        <f>IF(COUNTIF('Transform Data'!$D:$D,'Transform Data'!D79)&gt;1,"Repeat","Single")</f>
        <v>Single</v>
      </c>
      <c r="J79" s="10" t="str">
        <f>IF('Transform Data'!D79="Cash","Cash",IF(COUNTIF('Transform Data'!$D:$D,'Transform Data'!D79)&gt;1,"Repeat","Single"))</f>
        <v>Single</v>
      </c>
      <c r="K79" s="10" t="str">
        <f t="shared" si="1"/>
        <v>TRANS-0078</v>
      </c>
    </row>
    <row r="80" spans="1:11" x14ac:dyDescent="0.35">
      <c r="A80" s="5">
        <v>45361</v>
      </c>
      <c r="B80" s="3">
        <v>0.74378472222222225</v>
      </c>
      <c r="C80" t="s">
        <v>13</v>
      </c>
      <c r="D80" t="s">
        <v>37</v>
      </c>
      <c r="E80" s="4">
        <v>35</v>
      </c>
      <c r="F80" t="s">
        <v>36</v>
      </c>
      <c r="G80" s="10" t="str">
        <f>TEXT(Transform_Data[[#This Row],[Date]],"mmm yyyy")</f>
        <v>Mar 2024</v>
      </c>
      <c r="H80" s="10">
        <f>HOUR(Transform_Data[[#This Row],[Time]])</f>
        <v>17</v>
      </c>
      <c r="I80" s="10" t="str">
        <f>IF(COUNTIF('Transform Data'!$D:$D,'Transform Data'!D80)&gt;1,"Repeat","Single")</f>
        <v>Repeat</v>
      </c>
      <c r="J80" s="10" t="str">
        <f>IF('Transform Data'!D80="Cash","Cash",IF(COUNTIF('Transform Data'!$D:$D,'Transform Data'!D80)&gt;1,"Repeat","Single"))</f>
        <v>Repeat</v>
      </c>
      <c r="K80" s="10" t="str">
        <f t="shared" si="1"/>
        <v>TRANS-0079</v>
      </c>
    </row>
    <row r="81" spans="1:11" x14ac:dyDescent="0.35">
      <c r="A81" s="5">
        <v>45361</v>
      </c>
      <c r="B81" s="3">
        <v>0.81527777777777777</v>
      </c>
      <c r="C81" t="s">
        <v>8</v>
      </c>
      <c r="D81" t="s">
        <v>102</v>
      </c>
      <c r="E81" s="4">
        <v>38.700000000000003</v>
      </c>
      <c r="F81" t="s">
        <v>32</v>
      </c>
      <c r="G81" s="10" t="str">
        <f>TEXT(Transform_Data[[#This Row],[Date]],"mmm yyyy")</f>
        <v>Mar 2024</v>
      </c>
      <c r="H81" s="10">
        <f>HOUR(Transform_Data[[#This Row],[Time]])</f>
        <v>19</v>
      </c>
      <c r="I81" s="10" t="str">
        <f>IF(COUNTIF('Transform Data'!$D:$D,'Transform Data'!D81)&gt;1,"Repeat","Single")</f>
        <v>Repeat</v>
      </c>
      <c r="J81" s="10" t="str">
        <f>IF('Transform Data'!D81="Cash","Cash",IF(COUNTIF('Transform Data'!$D:$D,'Transform Data'!D81)&gt;1,"Repeat","Single"))</f>
        <v>Repeat</v>
      </c>
      <c r="K81" s="10" t="str">
        <f t="shared" si="1"/>
        <v>TRANS-0080</v>
      </c>
    </row>
    <row r="82" spans="1:11" x14ac:dyDescent="0.35">
      <c r="A82" s="5">
        <v>45361</v>
      </c>
      <c r="B82" s="3">
        <v>0.8165972222222222</v>
      </c>
      <c r="C82" t="s">
        <v>8</v>
      </c>
      <c r="D82" t="s">
        <v>102</v>
      </c>
      <c r="E82" s="4">
        <v>28.9</v>
      </c>
      <c r="F82" t="s">
        <v>20</v>
      </c>
      <c r="G82" s="10" t="str">
        <f>TEXT(Transform_Data[[#This Row],[Date]],"mmm yyyy")</f>
        <v>Mar 2024</v>
      </c>
      <c r="H82" s="10">
        <f>HOUR(Transform_Data[[#This Row],[Time]])</f>
        <v>19</v>
      </c>
      <c r="I82" s="10" t="str">
        <f>IF(COUNTIF('Transform Data'!$D:$D,'Transform Data'!D82)&gt;1,"Repeat","Single")</f>
        <v>Repeat</v>
      </c>
      <c r="J82" s="10" t="str">
        <f>IF('Transform Data'!D82="Cash","Cash",IF(COUNTIF('Transform Data'!$D:$D,'Transform Data'!D82)&gt;1,"Repeat","Single"))</f>
        <v>Repeat</v>
      </c>
      <c r="K82" s="10" t="str">
        <f t="shared" si="1"/>
        <v>TRANS-0081</v>
      </c>
    </row>
    <row r="83" spans="1:11" x14ac:dyDescent="0.35">
      <c r="A83" s="5">
        <v>45362</v>
      </c>
      <c r="B83" s="3">
        <v>0.42969907407407409</v>
      </c>
      <c r="C83" t="s">
        <v>13</v>
      </c>
      <c r="D83" t="s">
        <v>37</v>
      </c>
      <c r="E83" s="4">
        <v>40</v>
      </c>
      <c r="F83" t="s">
        <v>32</v>
      </c>
      <c r="G83" s="10" t="str">
        <f>TEXT(Transform_Data[[#This Row],[Date]],"mmm yyyy")</f>
        <v>Mar 2024</v>
      </c>
      <c r="H83" s="10">
        <f>HOUR(Transform_Data[[#This Row],[Time]])</f>
        <v>10</v>
      </c>
      <c r="I83" s="10" t="str">
        <f>IF(COUNTIF('Transform Data'!$D:$D,'Transform Data'!D83)&gt;1,"Repeat","Single")</f>
        <v>Repeat</v>
      </c>
      <c r="J83" s="10" t="str">
        <f>IF('Transform Data'!D83="Cash","Cash",IF(COUNTIF('Transform Data'!$D:$D,'Transform Data'!D83)&gt;1,"Repeat","Single"))</f>
        <v>Repeat</v>
      </c>
      <c r="K83" s="10" t="str">
        <f t="shared" si="1"/>
        <v>TRANS-0082</v>
      </c>
    </row>
    <row r="84" spans="1:11" x14ac:dyDescent="0.35">
      <c r="A84" s="5">
        <v>45362</v>
      </c>
      <c r="B84" s="3">
        <v>0.47517361111111112</v>
      </c>
      <c r="C84" t="s">
        <v>13</v>
      </c>
      <c r="D84" t="s">
        <v>37</v>
      </c>
      <c r="E84" s="4">
        <v>40</v>
      </c>
      <c r="F84" t="s">
        <v>24</v>
      </c>
      <c r="G84" s="10" t="str">
        <f>TEXT(Transform_Data[[#This Row],[Date]],"mmm yyyy")</f>
        <v>Mar 2024</v>
      </c>
      <c r="H84" s="10">
        <f>HOUR(Transform_Data[[#This Row],[Time]])</f>
        <v>11</v>
      </c>
      <c r="I84" s="10" t="str">
        <f>IF(COUNTIF('Transform Data'!$D:$D,'Transform Data'!D84)&gt;1,"Repeat","Single")</f>
        <v>Repeat</v>
      </c>
      <c r="J84" s="10" t="str">
        <f>IF('Transform Data'!D84="Cash","Cash",IF(COUNTIF('Transform Data'!$D:$D,'Transform Data'!D84)&gt;1,"Repeat","Single"))</f>
        <v>Repeat</v>
      </c>
      <c r="K84" s="10" t="str">
        <f t="shared" si="1"/>
        <v>TRANS-0083</v>
      </c>
    </row>
    <row r="85" spans="1:11" x14ac:dyDescent="0.35">
      <c r="A85" s="5">
        <v>45362</v>
      </c>
      <c r="B85" s="3">
        <v>0.47559027777777779</v>
      </c>
      <c r="C85" t="s">
        <v>13</v>
      </c>
      <c r="D85" t="s">
        <v>37</v>
      </c>
      <c r="E85" s="4">
        <v>30</v>
      </c>
      <c r="F85" t="s">
        <v>20</v>
      </c>
      <c r="G85" s="10" t="str">
        <f>TEXT(Transform_Data[[#This Row],[Date]],"mmm yyyy")</f>
        <v>Mar 2024</v>
      </c>
      <c r="H85" s="10">
        <f>HOUR(Transform_Data[[#This Row],[Time]])</f>
        <v>11</v>
      </c>
      <c r="I85" s="10" t="str">
        <f>IF(COUNTIF('Transform Data'!$D:$D,'Transform Data'!D85)&gt;1,"Repeat","Single")</f>
        <v>Repeat</v>
      </c>
      <c r="J85" s="10" t="str">
        <f>IF('Transform Data'!D85="Cash","Cash",IF(COUNTIF('Transform Data'!$D:$D,'Transform Data'!D85)&gt;1,"Repeat","Single"))</f>
        <v>Repeat</v>
      </c>
      <c r="K85" s="10" t="str">
        <f t="shared" si="1"/>
        <v>TRANS-0084</v>
      </c>
    </row>
    <row r="86" spans="1:11" x14ac:dyDescent="0.35">
      <c r="A86" s="5">
        <v>45362</v>
      </c>
      <c r="B86" s="3">
        <v>0.47689814814814813</v>
      </c>
      <c r="C86" t="s">
        <v>13</v>
      </c>
      <c r="D86" t="s">
        <v>37</v>
      </c>
      <c r="E86" s="4">
        <v>30</v>
      </c>
      <c r="F86" t="s">
        <v>28</v>
      </c>
      <c r="G86" s="10" t="str">
        <f>TEXT(Transform_Data[[#This Row],[Date]],"mmm yyyy")</f>
        <v>Mar 2024</v>
      </c>
      <c r="H86" s="10">
        <f>HOUR(Transform_Data[[#This Row],[Time]])</f>
        <v>11</v>
      </c>
      <c r="I86" s="10" t="str">
        <f>IF(COUNTIF('Transform Data'!$D:$D,'Transform Data'!D86)&gt;1,"Repeat","Single")</f>
        <v>Repeat</v>
      </c>
      <c r="J86" s="10" t="str">
        <f>IF('Transform Data'!D86="Cash","Cash",IF(COUNTIF('Transform Data'!$D:$D,'Transform Data'!D86)&gt;1,"Repeat","Single"))</f>
        <v>Repeat</v>
      </c>
      <c r="K86" s="10" t="str">
        <f t="shared" si="1"/>
        <v>TRANS-0085</v>
      </c>
    </row>
    <row r="87" spans="1:11" x14ac:dyDescent="0.35">
      <c r="A87" s="5">
        <v>45362</v>
      </c>
      <c r="B87" s="3">
        <v>0.48122685185185188</v>
      </c>
      <c r="C87" t="s">
        <v>8</v>
      </c>
      <c r="D87" t="s">
        <v>92</v>
      </c>
      <c r="E87" s="4">
        <v>38.700000000000003</v>
      </c>
      <c r="F87" t="s">
        <v>24</v>
      </c>
      <c r="G87" s="10" t="str">
        <f>TEXT(Transform_Data[[#This Row],[Date]],"mmm yyyy")</f>
        <v>Mar 2024</v>
      </c>
      <c r="H87" s="10">
        <f>HOUR(Transform_Data[[#This Row],[Time]])</f>
        <v>11</v>
      </c>
      <c r="I87" s="10" t="str">
        <f>IF(COUNTIF('Transform Data'!$D:$D,'Transform Data'!D87)&gt;1,"Repeat","Single")</f>
        <v>Repeat</v>
      </c>
      <c r="J87" s="10" t="str">
        <f>IF('Transform Data'!D87="Cash","Cash",IF(COUNTIF('Transform Data'!$D:$D,'Transform Data'!D87)&gt;1,"Repeat","Single"))</f>
        <v>Repeat</v>
      </c>
      <c r="K87" s="10" t="str">
        <f t="shared" si="1"/>
        <v>TRANS-0086</v>
      </c>
    </row>
    <row r="88" spans="1:11" x14ac:dyDescent="0.35">
      <c r="A88" s="5">
        <v>45362</v>
      </c>
      <c r="B88" s="3">
        <v>0.68363425925925925</v>
      </c>
      <c r="C88" t="s">
        <v>8</v>
      </c>
      <c r="D88" t="s">
        <v>103</v>
      </c>
      <c r="E88" s="4">
        <v>28.9</v>
      </c>
      <c r="F88" t="s">
        <v>28</v>
      </c>
      <c r="G88" s="10" t="str">
        <f>TEXT(Transform_Data[[#This Row],[Date]],"mmm yyyy")</f>
        <v>Mar 2024</v>
      </c>
      <c r="H88" s="10">
        <f>HOUR(Transform_Data[[#This Row],[Time]])</f>
        <v>16</v>
      </c>
      <c r="I88" s="10" t="str">
        <f>IF(COUNTIF('Transform Data'!$D:$D,'Transform Data'!D88)&gt;1,"Repeat","Single")</f>
        <v>Repeat</v>
      </c>
      <c r="J88" s="10" t="str">
        <f>IF('Transform Data'!D88="Cash","Cash",IF(COUNTIF('Transform Data'!$D:$D,'Transform Data'!D88)&gt;1,"Repeat","Single"))</f>
        <v>Repeat</v>
      </c>
      <c r="K88" s="10" t="str">
        <f t="shared" si="1"/>
        <v>TRANS-0087</v>
      </c>
    </row>
    <row r="89" spans="1:11" x14ac:dyDescent="0.35">
      <c r="A89" s="5">
        <v>45362</v>
      </c>
      <c r="B89" s="3">
        <v>0.68454861111111109</v>
      </c>
      <c r="C89" t="s">
        <v>8</v>
      </c>
      <c r="D89" t="s">
        <v>103</v>
      </c>
      <c r="E89" s="4">
        <v>38.700000000000003</v>
      </c>
      <c r="F89" t="s">
        <v>32</v>
      </c>
      <c r="G89" s="10" t="str">
        <f>TEXT(Transform_Data[[#This Row],[Date]],"mmm yyyy")</f>
        <v>Mar 2024</v>
      </c>
      <c r="H89" s="10">
        <f>HOUR(Transform_Data[[#This Row],[Time]])</f>
        <v>16</v>
      </c>
      <c r="I89" s="10" t="str">
        <f>IF(COUNTIF('Transform Data'!$D:$D,'Transform Data'!D89)&gt;1,"Repeat","Single")</f>
        <v>Repeat</v>
      </c>
      <c r="J89" s="10" t="str">
        <f>IF('Transform Data'!D89="Cash","Cash",IF(COUNTIF('Transform Data'!$D:$D,'Transform Data'!D89)&gt;1,"Repeat","Single"))</f>
        <v>Repeat</v>
      </c>
      <c r="K89" s="10" t="str">
        <f t="shared" si="1"/>
        <v>TRANS-0088</v>
      </c>
    </row>
    <row r="90" spans="1:11" x14ac:dyDescent="0.35">
      <c r="A90" s="5">
        <v>45362</v>
      </c>
      <c r="B90" s="3">
        <v>0.70195601851851852</v>
      </c>
      <c r="C90" t="s">
        <v>8</v>
      </c>
      <c r="D90" t="s">
        <v>104</v>
      </c>
      <c r="E90" s="4">
        <v>28.9</v>
      </c>
      <c r="F90" t="s">
        <v>20</v>
      </c>
      <c r="G90" s="10" t="str">
        <f>TEXT(Transform_Data[[#This Row],[Date]],"mmm yyyy")</f>
        <v>Mar 2024</v>
      </c>
      <c r="H90" s="10">
        <f>HOUR(Transform_Data[[#This Row],[Time]])</f>
        <v>16</v>
      </c>
      <c r="I90" s="10" t="str">
        <f>IF(COUNTIF('Transform Data'!$D:$D,'Transform Data'!D90)&gt;1,"Repeat","Single")</f>
        <v>Repeat</v>
      </c>
      <c r="J90" s="10" t="str">
        <f>IF('Transform Data'!D90="Cash","Cash",IF(COUNTIF('Transform Data'!$D:$D,'Transform Data'!D90)&gt;1,"Repeat","Single"))</f>
        <v>Repeat</v>
      </c>
      <c r="K90" s="10" t="str">
        <f t="shared" si="1"/>
        <v>TRANS-0089</v>
      </c>
    </row>
    <row r="91" spans="1:11" x14ac:dyDescent="0.35">
      <c r="A91" s="5">
        <v>45363</v>
      </c>
      <c r="B91" s="3">
        <v>0.42708333333333331</v>
      </c>
      <c r="C91" t="s">
        <v>13</v>
      </c>
      <c r="D91" t="s">
        <v>37</v>
      </c>
      <c r="E91" s="4">
        <v>40</v>
      </c>
      <c r="F91" t="s">
        <v>32</v>
      </c>
      <c r="G91" s="10" t="str">
        <f>TEXT(Transform_Data[[#This Row],[Date]],"mmm yyyy")</f>
        <v>Mar 2024</v>
      </c>
      <c r="H91" s="10">
        <f>HOUR(Transform_Data[[#This Row],[Time]])</f>
        <v>10</v>
      </c>
      <c r="I91" s="10" t="str">
        <f>IF(COUNTIF('Transform Data'!$D:$D,'Transform Data'!D91)&gt;1,"Repeat","Single")</f>
        <v>Repeat</v>
      </c>
      <c r="J91" s="10" t="str">
        <f>IF('Transform Data'!D91="Cash","Cash",IF(COUNTIF('Transform Data'!$D:$D,'Transform Data'!D91)&gt;1,"Repeat","Single"))</f>
        <v>Repeat</v>
      </c>
      <c r="K91" s="10" t="str">
        <f t="shared" si="1"/>
        <v>TRANS-0090</v>
      </c>
    </row>
    <row r="92" spans="1:11" x14ac:dyDescent="0.35">
      <c r="A92" s="5">
        <v>45363</v>
      </c>
      <c r="B92" s="3">
        <v>0.42747685185185186</v>
      </c>
      <c r="C92" t="s">
        <v>8</v>
      </c>
      <c r="D92" t="s">
        <v>90</v>
      </c>
      <c r="E92" s="4">
        <v>28.9</v>
      </c>
      <c r="F92" t="s">
        <v>28</v>
      </c>
      <c r="G92" s="10" t="str">
        <f>TEXT(Transform_Data[[#This Row],[Date]],"mmm yyyy")</f>
        <v>Mar 2024</v>
      </c>
      <c r="H92" s="10">
        <f>HOUR(Transform_Data[[#This Row],[Time]])</f>
        <v>10</v>
      </c>
      <c r="I92" s="10" t="str">
        <f>IF(COUNTIF('Transform Data'!$D:$D,'Transform Data'!D92)&gt;1,"Repeat","Single")</f>
        <v>Repeat</v>
      </c>
      <c r="J92" s="10" t="str">
        <f>IF('Transform Data'!D92="Cash","Cash",IF(COUNTIF('Transform Data'!$D:$D,'Transform Data'!D92)&gt;1,"Repeat","Single"))</f>
        <v>Repeat</v>
      </c>
      <c r="K92" s="10" t="str">
        <f t="shared" si="1"/>
        <v>TRANS-0091</v>
      </c>
    </row>
    <row r="93" spans="1:11" x14ac:dyDescent="0.35">
      <c r="A93" s="5">
        <v>45363</v>
      </c>
      <c r="B93" s="3">
        <v>0.42805555555555558</v>
      </c>
      <c r="C93" t="s">
        <v>8</v>
      </c>
      <c r="D93" t="s">
        <v>90</v>
      </c>
      <c r="E93" s="4">
        <v>28.9</v>
      </c>
      <c r="F93" t="s">
        <v>20</v>
      </c>
      <c r="G93" s="10" t="str">
        <f>TEXT(Transform_Data[[#This Row],[Date]],"mmm yyyy")</f>
        <v>Mar 2024</v>
      </c>
      <c r="H93" s="10">
        <f>HOUR(Transform_Data[[#This Row],[Time]])</f>
        <v>10</v>
      </c>
      <c r="I93" s="10" t="str">
        <f>IF(COUNTIF('Transform Data'!$D:$D,'Transform Data'!D93)&gt;1,"Repeat","Single")</f>
        <v>Repeat</v>
      </c>
      <c r="J93" s="10" t="str">
        <f>IF('Transform Data'!D93="Cash","Cash",IF(COUNTIF('Transform Data'!$D:$D,'Transform Data'!D93)&gt;1,"Repeat","Single"))</f>
        <v>Repeat</v>
      </c>
      <c r="K93" s="10" t="str">
        <f t="shared" si="1"/>
        <v>TRANS-0092</v>
      </c>
    </row>
    <row r="94" spans="1:11" x14ac:dyDescent="0.35">
      <c r="A94" s="5">
        <v>45363</v>
      </c>
      <c r="B94" s="3">
        <v>0.47274305555555557</v>
      </c>
      <c r="C94" t="s">
        <v>8</v>
      </c>
      <c r="D94" t="s">
        <v>105</v>
      </c>
      <c r="E94" s="4">
        <v>38.700000000000003</v>
      </c>
      <c r="F94" t="s">
        <v>15</v>
      </c>
      <c r="G94" s="10" t="str">
        <f>TEXT(Transform_Data[[#This Row],[Date]],"mmm yyyy")</f>
        <v>Mar 2024</v>
      </c>
      <c r="H94" s="10">
        <f>HOUR(Transform_Data[[#This Row],[Time]])</f>
        <v>11</v>
      </c>
      <c r="I94" s="10" t="str">
        <f>IF(COUNTIF('Transform Data'!$D:$D,'Transform Data'!D94)&gt;1,"Repeat","Single")</f>
        <v>Repeat</v>
      </c>
      <c r="J94" s="10" t="str">
        <f>IF('Transform Data'!D94="Cash","Cash",IF(COUNTIF('Transform Data'!$D:$D,'Transform Data'!D94)&gt;1,"Repeat","Single"))</f>
        <v>Repeat</v>
      </c>
      <c r="K94" s="10" t="str">
        <f t="shared" si="1"/>
        <v>TRANS-0093</v>
      </c>
    </row>
    <row r="95" spans="1:11" x14ac:dyDescent="0.35">
      <c r="A95" s="5">
        <v>45363</v>
      </c>
      <c r="B95" s="3">
        <v>0.53221064814814811</v>
      </c>
      <c r="C95" t="s">
        <v>8</v>
      </c>
      <c r="D95" t="s">
        <v>63</v>
      </c>
      <c r="E95" s="4">
        <v>33.799999999999997</v>
      </c>
      <c r="F95" t="s">
        <v>36</v>
      </c>
      <c r="G95" s="10" t="str">
        <f>TEXT(Transform_Data[[#This Row],[Date]],"mmm yyyy")</f>
        <v>Mar 2024</v>
      </c>
      <c r="H95" s="10">
        <f>HOUR(Transform_Data[[#This Row],[Time]])</f>
        <v>12</v>
      </c>
      <c r="I95" s="10" t="str">
        <f>IF(COUNTIF('Transform Data'!$D:$D,'Transform Data'!D95)&gt;1,"Repeat","Single")</f>
        <v>Repeat</v>
      </c>
      <c r="J95" s="10" t="str">
        <f>IF('Transform Data'!D95="Cash","Cash",IF(COUNTIF('Transform Data'!$D:$D,'Transform Data'!D95)&gt;1,"Repeat","Single"))</f>
        <v>Repeat</v>
      </c>
      <c r="K95" s="10" t="str">
        <f t="shared" si="1"/>
        <v>TRANS-0094</v>
      </c>
    </row>
    <row r="96" spans="1:11" x14ac:dyDescent="0.35">
      <c r="A96" s="5">
        <v>45363</v>
      </c>
      <c r="B96" s="3">
        <v>0.53293981481481478</v>
      </c>
      <c r="C96" t="s">
        <v>8</v>
      </c>
      <c r="D96" t="s">
        <v>63</v>
      </c>
      <c r="E96" s="4">
        <v>28.9</v>
      </c>
      <c r="F96" t="s">
        <v>28</v>
      </c>
      <c r="G96" s="10" t="str">
        <f>TEXT(Transform_Data[[#This Row],[Date]],"mmm yyyy")</f>
        <v>Mar 2024</v>
      </c>
      <c r="H96" s="10">
        <f>HOUR(Transform_Data[[#This Row],[Time]])</f>
        <v>12</v>
      </c>
      <c r="I96" s="10" t="str">
        <f>IF(COUNTIF('Transform Data'!$D:$D,'Transform Data'!D96)&gt;1,"Repeat","Single")</f>
        <v>Repeat</v>
      </c>
      <c r="J96" s="10" t="str">
        <f>IF('Transform Data'!D96="Cash","Cash",IF(COUNTIF('Transform Data'!$D:$D,'Transform Data'!D96)&gt;1,"Repeat","Single"))</f>
        <v>Repeat</v>
      </c>
      <c r="K96" s="10" t="str">
        <f t="shared" si="1"/>
        <v>TRANS-0095</v>
      </c>
    </row>
    <row r="97" spans="1:11" x14ac:dyDescent="0.35">
      <c r="A97" s="5">
        <v>45363</v>
      </c>
      <c r="B97" s="3">
        <v>0.67758101851851849</v>
      </c>
      <c r="C97" t="s">
        <v>8</v>
      </c>
      <c r="D97" t="s">
        <v>106</v>
      </c>
      <c r="E97" s="4">
        <v>28.9</v>
      </c>
      <c r="F97" t="s">
        <v>28</v>
      </c>
      <c r="G97" s="10" t="str">
        <f>TEXT(Transform_Data[[#This Row],[Date]],"mmm yyyy")</f>
        <v>Mar 2024</v>
      </c>
      <c r="H97" s="10">
        <f>HOUR(Transform_Data[[#This Row],[Time]])</f>
        <v>16</v>
      </c>
      <c r="I97" s="10" t="str">
        <f>IF(COUNTIF('Transform Data'!$D:$D,'Transform Data'!D97)&gt;1,"Repeat","Single")</f>
        <v>Repeat</v>
      </c>
      <c r="J97" s="10" t="str">
        <f>IF('Transform Data'!D97="Cash","Cash",IF(COUNTIF('Transform Data'!$D:$D,'Transform Data'!D97)&gt;1,"Repeat","Single"))</f>
        <v>Repeat</v>
      </c>
      <c r="K97" s="10" t="str">
        <f t="shared" si="1"/>
        <v>TRANS-0096</v>
      </c>
    </row>
    <row r="98" spans="1:11" x14ac:dyDescent="0.35">
      <c r="A98" s="5">
        <v>45364</v>
      </c>
      <c r="B98" s="3">
        <v>0.46299768518518519</v>
      </c>
      <c r="C98" t="s">
        <v>8</v>
      </c>
      <c r="D98" t="s">
        <v>104</v>
      </c>
      <c r="E98" s="4">
        <v>38.700000000000003</v>
      </c>
      <c r="F98" t="s">
        <v>15</v>
      </c>
      <c r="G98" s="10" t="str">
        <f>TEXT(Transform_Data[[#This Row],[Date]],"mmm yyyy")</f>
        <v>Mar 2024</v>
      </c>
      <c r="H98" s="10">
        <f>HOUR(Transform_Data[[#This Row],[Time]])</f>
        <v>11</v>
      </c>
      <c r="I98" s="10" t="str">
        <f>IF(COUNTIF('Transform Data'!$D:$D,'Transform Data'!D98)&gt;1,"Repeat","Single")</f>
        <v>Repeat</v>
      </c>
      <c r="J98" s="10" t="str">
        <f>IF('Transform Data'!D98="Cash","Cash",IF(COUNTIF('Transform Data'!$D:$D,'Transform Data'!D98)&gt;1,"Repeat","Single"))</f>
        <v>Repeat</v>
      </c>
      <c r="K98" s="10" t="str">
        <f t="shared" si="1"/>
        <v>TRANS-0097</v>
      </c>
    </row>
    <row r="99" spans="1:11" x14ac:dyDescent="0.35">
      <c r="A99" s="5">
        <v>45364</v>
      </c>
      <c r="B99" s="3">
        <v>0.49185185185185187</v>
      </c>
      <c r="C99" t="s">
        <v>8</v>
      </c>
      <c r="D99" t="s">
        <v>63</v>
      </c>
      <c r="E99" s="4">
        <v>28.9</v>
      </c>
      <c r="F99" t="s">
        <v>28</v>
      </c>
      <c r="G99" s="10" t="str">
        <f>TEXT(Transform_Data[[#This Row],[Date]],"mmm yyyy")</f>
        <v>Mar 2024</v>
      </c>
      <c r="H99" s="10">
        <f>HOUR(Transform_Data[[#This Row],[Time]])</f>
        <v>11</v>
      </c>
      <c r="I99" s="10" t="str">
        <f>IF(COUNTIF('Transform Data'!$D:$D,'Transform Data'!D99)&gt;1,"Repeat","Single")</f>
        <v>Repeat</v>
      </c>
      <c r="J99" s="10" t="str">
        <f>IF('Transform Data'!D99="Cash","Cash",IF(COUNTIF('Transform Data'!$D:$D,'Transform Data'!D99)&gt;1,"Repeat","Single"))</f>
        <v>Repeat</v>
      </c>
      <c r="K99" s="10" t="str">
        <f t="shared" si="1"/>
        <v>TRANS-0098</v>
      </c>
    </row>
    <row r="100" spans="1:11" x14ac:dyDescent="0.35">
      <c r="A100" s="5">
        <v>45364</v>
      </c>
      <c r="B100" s="3">
        <v>0.51256944444444441</v>
      </c>
      <c r="C100" t="s">
        <v>8</v>
      </c>
      <c r="D100" t="s">
        <v>107</v>
      </c>
      <c r="E100" s="4">
        <v>28.9</v>
      </c>
      <c r="F100" t="s">
        <v>28</v>
      </c>
      <c r="G100" s="10" t="str">
        <f>TEXT(Transform_Data[[#This Row],[Date]],"mmm yyyy")</f>
        <v>Mar 2024</v>
      </c>
      <c r="H100" s="10">
        <f>HOUR(Transform_Data[[#This Row],[Time]])</f>
        <v>12</v>
      </c>
      <c r="I100" s="10" t="str">
        <f>IF(COUNTIF('Transform Data'!$D:$D,'Transform Data'!D100)&gt;1,"Repeat","Single")</f>
        <v>Repeat</v>
      </c>
      <c r="J100" s="10" t="str">
        <f>IF('Transform Data'!D100="Cash","Cash",IF(COUNTIF('Transform Data'!$D:$D,'Transform Data'!D100)&gt;1,"Repeat","Single"))</f>
        <v>Repeat</v>
      </c>
      <c r="K100" s="10" t="str">
        <f t="shared" si="1"/>
        <v>TRANS-0099</v>
      </c>
    </row>
    <row r="101" spans="1:11" x14ac:dyDescent="0.35">
      <c r="A101" s="5">
        <v>45364</v>
      </c>
      <c r="B101" s="3">
        <v>0.51325231481481481</v>
      </c>
      <c r="C101" t="s">
        <v>8</v>
      </c>
      <c r="D101" t="s">
        <v>107</v>
      </c>
      <c r="E101" s="4">
        <v>28.9</v>
      </c>
      <c r="F101" t="s">
        <v>28</v>
      </c>
      <c r="G101" s="10" t="str">
        <f>TEXT(Transform_Data[[#This Row],[Date]],"mmm yyyy")</f>
        <v>Mar 2024</v>
      </c>
      <c r="H101" s="10">
        <f>HOUR(Transform_Data[[#This Row],[Time]])</f>
        <v>12</v>
      </c>
      <c r="I101" s="10" t="str">
        <f>IF(COUNTIF('Transform Data'!$D:$D,'Transform Data'!D101)&gt;1,"Repeat","Single")</f>
        <v>Repeat</v>
      </c>
      <c r="J101" s="10" t="str">
        <f>IF('Transform Data'!D101="Cash","Cash",IF(COUNTIF('Transform Data'!$D:$D,'Transform Data'!D101)&gt;1,"Repeat","Single"))</f>
        <v>Repeat</v>
      </c>
      <c r="K101" s="10" t="str">
        <f t="shared" si="1"/>
        <v>TRANS-0100</v>
      </c>
    </row>
    <row r="102" spans="1:11" x14ac:dyDescent="0.35">
      <c r="A102" s="5">
        <v>45364</v>
      </c>
      <c r="B102" s="3">
        <v>0.5239583333333333</v>
      </c>
      <c r="C102" t="s">
        <v>13</v>
      </c>
      <c r="D102" t="s">
        <v>37</v>
      </c>
      <c r="E102" s="4">
        <v>25</v>
      </c>
      <c r="F102" t="s">
        <v>5</v>
      </c>
      <c r="G102" s="10" t="str">
        <f>TEXT(Transform_Data[[#This Row],[Date]],"mmm yyyy")</f>
        <v>Mar 2024</v>
      </c>
      <c r="H102" s="10">
        <f>HOUR(Transform_Data[[#This Row],[Time]])</f>
        <v>12</v>
      </c>
      <c r="I102" s="10" t="str">
        <f>IF(COUNTIF('Transform Data'!$D:$D,'Transform Data'!D102)&gt;1,"Repeat","Single")</f>
        <v>Repeat</v>
      </c>
      <c r="J102" s="10" t="str">
        <f>IF('Transform Data'!D102="Cash","Cash",IF(COUNTIF('Transform Data'!$D:$D,'Transform Data'!D102)&gt;1,"Repeat","Single"))</f>
        <v>Repeat</v>
      </c>
      <c r="K102" s="10" t="str">
        <f t="shared" si="1"/>
        <v>TRANS-0101</v>
      </c>
    </row>
    <row r="103" spans="1:11" x14ac:dyDescent="0.35">
      <c r="A103" s="5">
        <v>45364</v>
      </c>
      <c r="B103" s="3">
        <v>0.60185185185185186</v>
      </c>
      <c r="C103" t="s">
        <v>8</v>
      </c>
      <c r="D103" t="s">
        <v>108</v>
      </c>
      <c r="E103" s="4">
        <v>33.799999999999997</v>
      </c>
      <c r="F103" t="s">
        <v>36</v>
      </c>
      <c r="G103" s="10" t="str">
        <f>TEXT(Transform_Data[[#This Row],[Date]],"mmm yyyy")</f>
        <v>Mar 2024</v>
      </c>
      <c r="H103" s="10">
        <f>HOUR(Transform_Data[[#This Row],[Time]])</f>
        <v>14</v>
      </c>
      <c r="I103" s="10" t="str">
        <f>IF(COUNTIF('Transform Data'!$D:$D,'Transform Data'!D103)&gt;1,"Repeat","Single")</f>
        <v>Single</v>
      </c>
      <c r="J103" s="10" t="str">
        <f>IF('Transform Data'!D103="Cash","Cash",IF(COUNTIF('Transform Data'!$D:$D,'Transform Data'!D103)&gt;1,"Repeat","Single"))</f>
        <v>Single</v>
      </c>
      <c r="K103" s="10" t="str">
        <f t="shared" si="1"/>
        <v>TRANS-0102</v>
      </c>
    </row>
    <row r="104" spans="1:11" x14ac:dyDescent="0.35">
      <c r="A104" s="5">
        <v>45364</v>
      </c>
      <c r="B104" s="3">
        <v>0.65303240740740742</v>
      </c>
      <c r="C104" t="s">
        <v>8</v>
      </c>
      <c r="D104" t="s">
        <v>109</v>
      </c>
      <c r="E104" s="4">
        <v>24</v>
      </c>
      <c r="F104" t="s">
        <v>5</v>
      </c>
      <c r="G104" s="10" t="str">
        <f>TEXT(Transform_Data[[#This Row],[Date]],"mmm yyyy")</f>
        <v>Mar 2024</v>
      </c>
      <c r="H104" s="10">
        <f>HOUR(Transform_Data[[#This Row],[Time]])</f>
        <v>15</v>
      </c>
      <c r="I104" s="10" t="str">
        <f>IF(COUNTIF('Transform Data'!$D:$D,'Transform Data'!D104)&gt;1,"Repeat","Single")</f>
        <v>Repeat</v>
      </c>
      <c r="J104" s="10" t="str">
        <f>IF('Transform Data'!D104="Cash","Cash",IF(COUNTIF('Transform Data'!$D:$D,'Transform Data'!D104)&gt;1,"Repeat","Single"))</f>
        <v>Repeat</v>
      </c>
      <c r="K104" s="10" t="str">
        <f t="shared" si="1"/>
        <v>TRANS-0103</v>
      </c>
    </row>
    <row r="105" spans="1:11" x14ac:dyDescent="0.35">
      <c r="A105" s="5">
        <v>45364</v>
      </c>
      <c r="B105" s="3">
        <v>0.65370370370370368</v>
      </c>
      <c r="C105" t="s">
        <v>8</v>
      </c>
      <c r="D105" t="s">
        <v>109</v>
      </c>
      <c r="E105" s="4">
        <v>24</v>
      </c>
      <c r="F105" t="s">
        <v>5</v>
      </c>
      <c r="G105" s="10" t="str">
        <f>TEXT(Transform_Data[[#This Row],[Date]],"mmm yyyy")</f>
        <v>Mar 2024</v>
      </c>
      <c r="H105" s="10">
        <f>HOUR(Transform_Data[[#This Row],[Time]])</f>
        <v>15</v>
      </c>
      <c r="I105" s="10" t="str">
        <f>IF(COUNTIF('Transform Data'!$D:$D,'Transform Data'!D105)&gt;1,"Repeat","Single")</f>
        <v>Repeat</v>
      </c>
      <c r="J105" s="10" t="str">
        <f>IF('Transform Data'!D105="Cash","Cash",IF(COUNTIF('Transform Data'!$D:$D,'Transform Data'!D105)&gt;1,"Repeat","Single"))</f>
        <v>Repeat</v>
      </c>
      <c r="K105" s="10" t="str">
        <f t="shared" si="1"/>
        <v>TRANS-0104</v>
      </c>
    </row>
    <row r="106" spans="1:11" x14ac:dyDescent="0.35">
      <c r="A106" s="5">
        <v>45364</v>
      </c>
      <c r="B106" s="3">
        <v>0.6994097222222222</v>
      </c>
      <c r="C106" t="s">
        <v>8</v>
      </c>
      <c r="D106" t="s">
        <v>110</v>
      </c>
      <c r="E106" s="4">
        <v>24</v>
      </c>
      <c r="F106" t="s">
        <v>5</v>
      </c>
      <c r="G106" s="10" t="str">
        <f>TEXT(Transform_Data[[#This Row],[Date]],"mmm yyyy")</f>
        <v>Mar 2024</v>
      </c>
      <c r="H106" s="10">
        <f>HOUR(Transform_Data[[#This Row],[Time]])</f>
        <v>16</v>
      </c>
      <c r="I106" s="10" t="str">
        <f>IF(COUNTIF('Transform Data'!$D:$D,'Transform Data'!D106)&gt;1,"Repeat","Single")</f>
        <v>Repeat</v>
      </c>
      <c r="J106" s="10" t="str">
        <f>IF('Transform Data'!D106="Cash","Cash",IF(COUNTIF('Transform Data'!$D:$D,'Transform Data'!D106)&gt;1,"Repeat","Single"))</f>
        <v>Repeat</v>
      </c>
      <c r="K106" s="10" t="str">
        <f t="shared" si="1"/>
        <v>TRANS-0105</v>
      </c>
    </row>
    <row r="107" spans="1:11" x14ac:dyDescent="0.35">
      <c r="A107" s="5">
        <v>45365</v>
      </c>
      <c r="B107" s="3">
        <v>0.41819444444444442</v>
      </c>
      <c r="C107" t="s">
        <v>13</v>
      </c>
      <c r="D107" t="s">
        <v>37</v>
      </c>
      <c r="E107" s="4">
        <v>40</v>
      </c>
      <c r="F107" t="s">
        <v>32</v>
      </c>
      <c r="G107" s="10" t="str">
        <f>TEXT(Transform_Data[[#This Row],[Date]],"mmm yyyy")</f>
        <v>Mar 2024</v>
      </c>
      <c r="H107" s="10">
        <f>HOUR(Transform_Data[[#This Row],[Time]])</f>
        <v>10</v>
      </c>
      <c r="I107" s="10" t="str">
        <f>IF(COUNTIF('Transform Data'!$D:$D,'Transform Data'!D107)&gt;1,"Repeat","Single")</f>
        <v>Repeat</v>
      </c>
      <c r="J107" s="10" t="str">
        <f>IF('Transform Data'!D107="Cash","Cash",IF(COUNTIF('Transform Data'!$D:$D,'Transform Data'!D107)&gt;1,"Repeat","Single"))</f>
        <v>Repeat</v>
      </c>
      <c r="K107" s="10" t="str">
        <f t="shared" si="1"/>
        <v>TRANS-0106</v>
      </c>
    </row>
    <row r="108" spans="1:11" x14ac:dyDescent="0.35">
      <c r="A108" s="5">
        <v>45365</v>
      </c>
      <c r="B108" s="3">
        <v>0.43649305555555556</v>
      </c>
      <c r="C108" t="s">
        <v>8</v>
      </c>
      <c r="D108" t="s">
        <v>111</v>
      </c>
      <c r="E108" s="4">
        <v>38.700000000000003</v>
      </c>
      <c r="F108" t="s">
        <v>32</v>
      </c>
      <c r="G108" s="10" t="str">
        <f>TEXT(Transform_Data[[#This Row],[Date]],"mmm yyyy")</f>
        <v>Mar 2024</v>
      </c>
      <c r="H108" s="10">
        <f>HOUR(Transform_Data[[#This Row],[Time]])</f>
        <v>10</v>
      </c>
      <c r="I108" s="10" t="str">
        <f>IF(COUNTIF('Transform Data'!$D:$D,'Transform Data'!D108)&gt;1,"Repeat","Single")</f>
        <v>Repeat</v>
      </c>
      <c r="J108" s="10" t="str">
        <f>IF('Transform Data'!D108="Cash","Cash",IF(COUNTIF('Transform Data'!$D:$D,'Transform Data'!D108)&gt;1,"Repeat","Single"))</f>
        <v>Repeat</v>
      </c>
      <c r="K108" s="10" t="str">
        <f t="shared" si="1"/>
        <v>TRANS-0107</v>
      </c>
    </row>
    <row r="109" spans="1:11" x14ac:dyDescent="0.35">
      <c r="A109" s="5">
        <v>45365</v>
      </c>
      <c r="B109" s="3">
        <v>0.4371990740740741</v>
      </c>
      <c r="C109" t="s">
        <v>8</v>
      </c>
      <c r="D109" t="s">
        <v>111</v>
      </c>
      <c r="E109" s="4">
        <v>38.700000000000003</v>
      </c>
      <c r="F109" t="s">
        <v>15</v>
      </c>
      <c r="G109" s="10" t="str">
        <f>TEXT(Transform_Data[[#This Row],[Date]],"mmm yyyy")</f>
        <v>Mar 2024</v>
      </c>
      <c r="H109" s="10">
        <f>HOUR(Transform_Data[[#This Row],[Time]])</f>
        <v>10</v>
      </c>
      <c r="I109" s="10" t="str">
        <f>IF(COUNTIF('Transform Data'!$D:$D,'Transform Data'!D109)&gt;1,"Repeat","Single")</f>
        <v>Repeat</v>
      </c>
      <c r="J109" s="10" t="str">
        <f>IF('Transform Data'!D109="Cash","Cash",IF(COUNTIF('Transform Data'!$D:$D,'Transform Data'!D109)&gt;1,"Repeat","Single"))</f>
        <v>Repeat</v>
      </c>
      <c r="K109" s="10" t="str">
        <f t="shared" si="1"/>
        <v>TRANS-0108</v>
      </c>
    </row>
    <row r="110" spans="1:11" x14ac:dyDescent="0.35">
      <c r="A110" s="5">
        <v>45365</v>
      </c>
      <c r="B110" s="3">
        <v>0.5607523148148148</v>
      </c>
      <c r="C110" t="s">
        <v>8</v>
      </c>
      <c r="D110" t="s">
        <v>43</v>
      </c>
      <c r="E110" s="4">
        <v>28.9</v>
      </c>
      <c r="F110" t="s">
        <v>20</v>
      </c>
      <c r="G110" s="10" t="str">
        <f>TEXT(Transform_Data[[#This Row],[Date]],"mmm yyyy")</f>
        <v>Mar 2024</v>
      </c>
      <c r="H110" s="10">
        <f>HOUR(Transform_Data[[#This Row],[Time]])</f>
        <v>13</v>
      </c>
      <c r="I110" s="10" t="str">
        <f>IF(COUNTIF('Transform Data'!$D:$D,'Transform Data'!D110)&gt;1,"Repeat","Single")</f>
        <v>Repeat</v>
      </c>
      <c r="J110" s="10" t="str">
        <f>IF('Transform Data'!D110="Cash","Cash",IF(COUNTIF('Transform Data'!$D:$D,'Transform Data'!D110)&gt;1,"Repeat","Single"))</f>
        <v>Repeat</v>
      </c>
      <c r="K110" s="10" t="str">
        <f t="shared" si="1"/>
        <v>TRANS-0109</v>
      </c>
    </row>
    <row r="111" spans="1:11" x14ac:dyDescent="0.35">
      <c r="A111" s="5">
        <v>45365</v>
      </c>
      <c r="B111" s="3">
        <v>0.56138888888888894</v>
      </c>
      <c r="C111" t="s">
        <v>8</v>
      </c>
      <c r="D111" t="s">
        <v>43</v>
      </c>
      <c r="E111" s="4">
        <v>28.9</v>
      </c>
      <c r="F111" t="s">
        <v>28</v>
      </c>
      <c r="G111" s="10" t="str">
        <f>TEXT(Transform_Data[[#This Row],[Date]],"mmm yyyy")</f>
        <v>Mar 2024</v>
      </c>
      <c r="H111" s="10">
        <f>HOUR(Transform_Data[[#This Row],[Time]])</f>
        <v>13</v>
      </c>
      <c r="I111" s="10" t="str">
        <f>IF(COUNTIF('Transform Data'!$D:$D,'Transform Data'!D111)&gt;1,"Repeat","Single")</f>
        <v>Repeat</v>
      </c>
      <c r="J111" s="10" t="str">
        <f>IF('Transform Data'!D111="Cash","Cash",IF(COUNTIF('Transform Data'!$D:$D,'Transform Data'!D111)&gt;1,"Repeat","Single"))</f>
        <v>Repeat</v>
      </c>
      <c r="K111" s="10" t="str">
        <f t="shared" si="1"/>
        <v>TRANS-0110</v>
      </c>
    </row>
    <row r="112" spans="1:11" x14ac:dyDescent="0.35">
      <c r="A112" s="5">
        <v>45365</v>
      </c>
      <c r="B112" s="3">
        <v>0.57776620370370368</v>
      </c>
      <c r="C112" t="s">
        <v>8</v>
      </c>
      <c r="D112" t="s">
        <v>112</v>
      </c>
      <c r="E112" s="4">
        <v>33.799999999999997</v>
      </c>
      <c r="F112" t="s">
        <v>36</v>
      </c>
      <c r="G112" s="10" t="str">
        <f>TEXT(Transform_Data[[#This Row],[Date]],"mmm yyyy")</f>
        <v>Mar 2024</v>
      </c>
      <c r="H112" s="10">
        <f>HOUR(Transform_Data[[#This Row],[Time]])</f>
        <v>13</v>
      </c>
      <c r="I112" s="10" t="str">
        <f>IF(COUNTIF('Transform Data'!$D:$D,'Transform Data'!D112)&gt;1,"Repeat","Single")</f>
        <v>Single</v>
      </c>
      <c r="J112" s="10" t="str">
        <f>IF('Transform Data'!D112="Cash","Cash",IF(COUNTIF('Transform Data'!$D:$D,'Transform Data'!D112)&gt;1,"Repeat","Single"))</f>
        <v>Single</v>
      </c>
      <c r="K112" s="10" t="str">
        <f t="shared" si="1"/>
        <v>TRANS-0111</v>
      </c>
    </row>
    <row r="113" spans="1:11" x14ac:dyDescent="0.35">
      <c r="A113" s="5">
        <v>45365</v>
      </c>
      <c r="B113" s="3">
        <v>0.5784259259259259</v>
      </c>
      <c r="C113" t="s">
        <v>8</v>
      </c>
      <c r="D113" t="s">
        <v>113</v>
      </c>
      <c r="E113" s="4">
        <v>24</v>
      </c>
      <c r="F113" t="s">
        <v>5</v>
      </c>
      <c r="G113" s="10" t="str">
        <f>TEXT(Transform_Data[[#This Row],[Date]],"mmm yyyy")</f>
        <v>Mar 2024</v>
      </c>
      <c r="H113" s="10">
        <f>HOUR(Transform_Data[[#This Row],[Time]])</f>
        <v>13</v>
      </c>
      <c r="I113" s="10" t="str">
        <f>IF(COUNTIF('Transform Data'!$D:$D,'Transform Data'!D113)&gt;1,"Repeat","Single")</f>
        <v>Single</v>
      </c>
      <c r="J113" s="10" t="str">
        <f>IF('Transform Data'!D113="Cash","Cash",IF(COUNTIF('Transform Data'!$D:$D,'Transform Data'!D113)&gt;1,"Repeat","Single"))</f>
        <v>Single</v>
      </c>
      <c r="K113" s="10" t="str">
        <f t="shared" si="1"/>
        <v>TRANS-0112</v>
      </c>
    </row>
    <row r="114" spans="1:11" x14ac:dyDescent="0.35">
      <c r="A114" s="5">
        <v>45365</v>
      </c>
      <c r="B114" s="3">
        <v>0.63932870370370365</v>
      </c>
      <c r="C114" t="s">
        <v>8</v>
      </c>
      <c r="D114" t="s">
        <v>114</v>
      </c>
      <c r="E114" s="4">
        <v>38.700000000000003</v>
      </c>
      <c r="F114" t="s">
        <v>32</v>
      </c>
      <c r="G114" s="10" t="str">
        <f>TEXT(Transform_Data[[#This Row],[Date]],"mmm yyyy")</f>
        <v>Mar 2024</v>
      </c>
      <c r="H114" s="10">
        <f>HOUR(Transform_Data[[#This Row],[Time]])</f>
        <v>15</v>
      </c>
      <c r="I114" s="10" t="str">
        <f>IF(COUNTIF('Transform Data'!$D:$D,'Transform Data'!D114)&gt;1,"Repeat","Single")</f>
        <v>Repeat</v>
      </c>
      <c r="J114" s="10" t="str">
        <f>IF('Transform Data'!D114="Cash","Cash",IF(COUNTIF('Transform Data'!$D:$D,'Transform Data'!D114)&gt;1,"Repeat","Single"))</f>
        <v>Repeat</v>
      </c>
      <c r="K114" s="10" t="str">
        <f t="shared" si="1"/>
        <v>TRANS-0113</v>
      </c>
    </row>
    <row r="115" spans="1:11" x14ac:dyDescent="0.35">
      <c r="A115" s="5">
        <v>45365</v>
      </c>
      <c r="B115" s="3">
        <v>0.66954861111111108</v>
      </c>
      <c r="C115" t="s">
        <v>8</v>
      </c>
      <c r="D115" t="s">
        <v>115</v>
      </c>
      <c r="E115" s="4">
        <v>33.799999999999997</v>
      </c>
      <c r="F115" t="s">
        <v>36</v>
      </c>
      <c r="G115" s="10" t="str">
        <f>TEXT(Transform_Data[[#This Row],[Date]],"mmm yyyy")</f>
        <v>Mar 2024</v>
      </c>
      <c r="H115" s="10">
        <f>HOUR(Transform_Data[[#This Row],[Time]])</f>
        <v>16</v>
      </c>
      <c r="I115" s="10" t="str">
        <f>IF(COUNTIF('Transform Data'!$D:$D,'Transform Data'!D115)&gt;1,"Repeat","Single")</f>
        <v>Repeat</v>
      </c>
      <c r="J115" s="10" t="str">
        <f>IF('Transform Data'!D115="Cash","Cash",IF(COUNTIF('Transform Data'!$D:$D,'Transform Data'!D115)&gt;1,"Repeat","Single"))</f>
        <v>Repeat</v>
      </c>
      <c r="K115" s="10" t="str">
        <f t="shared" si="1"/>
        <v>TRANS-0114</v>
      </c>
    </row>
    <row r="116" spans="1:11" x14ac:dyDescent="0.35">
      <c r="A116" s="5">
        <v>45365</v>
      </c>
      <c r="B116" s="3">
        <v>0.70460648148148153</v>
      </c>
      <c r="C116" t="s">
        <v>8</v>
      </c>
      <c r="D116" t="s">
        <v>106</v>
      </c>
      <c r="E116" s="4">
        <v>24</v>
      </c>
      <c r="F116" t="s">
        <v>5</v>
      </c>
      <c r="G116" s="10" t="str">
        <f>TEXT(Transform_Data[[#This Row],[Date]],"mmm yyyy")</f>
        <v>Mar 2024</v>
      </c>
      <c r="H116" s="10">
        <f>HOUR(Transform_Data[[#This Row],[Time]])</f>
        <v>16</v>
      </c>
      <c r="I116" s="10" t="str">
        <f>IF(COUNTIF('Transform Data'!$D:$D,'Transform Data'!D116)&gt;1,"Repeat","Single")</f>
        <v>Repeat</v>
      </c>
      <c r="J116" s="10" t="str">
        <f>IF('Transform Data'!D116="Cash","Cash",IF(COUNTIF('Transform Data'!$D:$D,'Transform Data'!D116)&gt;1,"Repeat","Single"))</f>
        <v>Repeat</v>
      </c>
      <c r="K116" s="10" t="str">
        <f t="shared" si="1"/>
        <v>TRANS-0115</v>
      </c>
    </row>
    <row r="117" spans="1:11" x14ac:dyDescent="0.35">
      <c r="A117" s="5">
        <v>45365</v>
      </c>
      <c r="B117" s="3">
        <v>0.79091435185185188</v>
      </c>
      <c r="C117" t="s">
        <v>8</v>
      </c>
      <c r="D117" t="s">
        <v>76</v>
      </c>
      <c r="E117" s="4">
        <v>38.700000000000003</v>
      </c>
      <c r="F117" t="s">
        <v>15</v>
      </c>
      <c r="G117" s="10" t="str">
        <f>TEXT(Transform_Data[[#This Row],[Date]],"mmm yyyy")</f>
        <v>Mar 2024</v>
      </c>
      <c r="H117" s="10">
        <f>HOUR(Transform_Data[[#This Row],[Time]])</f>
        <v>18</v>
      </c>
      <c r="I117" s="10" t="str">
        <f>IF(COUNTIF('Transform Data'!$D:$D,'Transform Data'!D117)&gt;1,"Repeat","Single")</f>
        <v>Repeat</v>
      </c>
      <c r="J117" s="10" t="str">
        <f>IF('Transform Data'!D117="Cash","Cash",IF(COUNTIF('Transform Data'!$D:$D,'Transform Data'!D117)&gt;1,"Repeat","Single"))</f>
        <v>Repeat</v>
      </c>
      <c r="K117" s="10" t="str">
        <f t="shared" si="1"/>
        <v>TRANS-0116</v>
      </c>
    </row>
    <row r="118" spans="1:11" x14ac:dyDescent="0.35">
      <c r="A118" s="5">
        <v>45365</v>
      </c>
      <c r="B118" s="3">
        <v>0.79175925925925927</v>
      </c>
      <c r="C118" t="s">
        <v>8</v>
      </c>
      <c r="D118" t="s">
        <v>43</v>
      </c>
      <c r="E118" s="4">
        <v>28.9</v>
      </c>
      <c r="F118" t="s">
        <v>20</v>
      </c>
      <c r="G118" s="10" t="str">
        <f>TEXT(Transform_Data[[#This Row],[Date]],"mmm yyyy")</f>
        <v>Mar 2024</v>
      </c>
      <c r="H118" s="10">
        <f>HOUR(Transform_Data[[#This Row],[Time]])</f>
        <v>19</v>
      </c>
      <c r="I118" s="10" t="str">
        <f>IF(COUNTIF('Transform Data'!$D:$D,'Transform Data'!D118)&gt;1,"Repeat","Single")</f>
        <v>Repeat</v>
      </c>
      <c r="J118" s="10" t="str">
        <f>IF('Transform Data'!D118="Cash","Cash",IF(COUNTIF('Transform Data'!$D:$D,'Transform Data'!D118)&gt;1,"Repeat","Single"))</f>
        <v>Repeat</v>
      </c>
      <c r="K118" s="10" t="str">
        <f t="shared" si="1"/>
        <v>TRANS-0117</v>
      </c>
    </row>
    <row r="119" spans="1:11" x14ac:dyDescent="0.35">
      <c r="A119" s="5">
        <v>45366</v>
      </c>
      <c r="B119" s="3">
        <v>0.41824074074074075</v>
      </c>
      <c r="C119" t="s">
        <v>13</v>
      </c>
      <c r="D119" t="s">
        <v>37</v>
      </c>
      <c r="E119" s="4">
        <v>40</v>
      </c>
      <c r="F119" t="s">
        <v>32</v>
      </c>
      <c r="G119" s="10" t="str">
        <f>TEXT(Transform_Data[[#This Row],[Date]],"mmm yyyy")</f>
        <v>Mar 2024</v>
      </c>
      <c r="H119" s="10">
        <f>HOUR(Transform_Data[[#This Row],[Time]])</f>
        <v>10</v>
      </c>
      <c r="I119" s="10" t="str">
        <f>IF(COUNTIF('Transform Data'!$D:$D,'Transform Data'!D119)&gt;1,"Repeat","Single")</f>
        <v>Repeat</v>
      </c>
      <c r="J119" s="10" t="str">
        <f>IF('Transform Data'!D119="Cash","Cash",IF(COUNTIF('Transform Data'!$D:$D,'Transform Data'!D119)&gt;1,"Repeat","Single"))</f>
        <v>Repeat</v>
      </c>
      <c r="K119" s="10" t="str">
        <f t="shared" si="1"/>
        <v>TRANS-0118</v>
      </c>
    </row>
    <row r="120" spans="1:11" x14ac:dyDescent="0.35">
      <c r="A120" s="5">
        <v>45366</v>
      </c>
      <c r="B120" s="3">
        <v>0.45349537037037035</v>
      </c>
      <c r="C120" t="s">
        <v>8</v>
      </c>
      <c r="D120" t="s">
        <v>116</v>
      </c>
      <c r="E120" s="4">
        <v>38.700000000000003</v>
      </c>
      <c r="F120" t="s">
        <v>15</v>
      </c>
      <c r="G120" s="10" t="str">
        <f>TEXT(Transform_Data[[#This Row],[Date]],"mmm yyyy")</f>
        <v>Mar 2024</v>
      </c>
      <c r="H120" s="10">
        <f>HOUR(Transform_Data[[#This Row],[Time]])</f>
        <v>10</v>
      </c>
      <c r="I120" s="10" t="str">
        <f>IF(COUNTIF('Transform Data'!$D:$D,'Transform Data'!D120)&gt;1,"Repeat","Single")</f>
        <v>Single</v>
      </c>
      <c r="J120" s="10" t="str">
        <f>IF('Transform Data'!D120="Cash","Cash",IF(COUNTIF('Transform Data'!$D:$D,'Transform Data'!D120)&gt;1,"Repeat","Single"))</f>
        <v>Single</v>
      </c>
      <c r="K120" s="10" t="str">
        <f t="shared" si="1"/>
        <v>TRANS-0119</v>
      </c>
    </row>
    <row r="121" spans="1:11" x14ac:dyDescent="0.35">
      <c r="A121" s="5">
        <v>45366</v>
      </c>
      <c r="B121" s="3">
        <v>0.76350694444444445</v>
      </c>
      <c r="C121" t="s">
        <v>8</v>
      </c>
      <c r="D121" t="s">
        <v>43</v>
      </c>
      <c r="E121" s="4">
        <v>28.9</v>
      </c>
      <c r="F121" t="s">
        <v>28</v>
      </c>
      <c r="G121" s="10" t="str">
        <f>TEXT(Transform_Data[[#This Row],[Date]],"mmm yyyy")</f>
        <v>Mar 2024</v>
      </c>
      <c r="H121" s="10">
        <f>HOUR(Transform_Data[[#This Row],[Time]])</f>
        <v>18</v>
      </c>
      <c r="I121" s="10" t="str">
        <f>IF(COUNTIF('Transform Data'!$D:$D,'Transform Data'!D121)&gt;1,"Repeat","Single")</f>
        <v>Repeat</v>
      </c>
      <c r="J121" s="10" t="str">
        <f>IF('Transform Data'!D121="Cash","Cash",IF(COUNTIF('Transform Data'!$D:$D,'Transform Data'!D121)&gt;1,"Repeat","Single"))</f>
        <v>Repeat</v>
      </c>
      <c r="K121" s="10" t="str">
        <f t="shared" si="1"/>
        <v>TRANS-0120</v>
      </c>
    </row>
    <row r="122" spans="1:11" x14ac:dyDescent="0.35">
      <c r="A122" s="5">
        <v>45367</v>
      </c>
      <c r="B122" s="3">
        <v>0.50480324074074079</v>
      </c>
      <c r="C122" t="s">
        <v>8</v>
      </c>
      <c r="D122" t="s">
        <v>117</v>
      </c>
      <c r="E122" s="4">
        <v>33.799999999999997</v>
      </c>
      <c r="F122" t="s">
        <v>36</v>
      </c>
      <c r="G122" s="10" t="str">
        <f>TEXT(Transform_Data[[#This Row],[Date]],"mmm yyyy")</f>
        <v>Mar 2024</v>
      </c>
      <c r="H122" s="10">
        <f>HOUR(Transform_Data[[#This Row],[Time]])</f>
        <v>12</v>
      </c>
      <c r="I122" s="10" t="str">
        <f>IF(COUNTIF('Transform Data'!$D:$D,'Transform Data'!D122)&gt;1,"Repeat","Single")</f>
        <v>Repeat</v>
      </c>
      <c r="J122" s="10" t="str">
        <f>IF('Transform Data'!D122="Cash","Cash",IF(COUNTIF('Transform Data'!$D:$D,'Transform Data'!D122)&gt;1,"Repeat","Single"))</f>
        <v>Repeat</v>
      </c>
      <c r="K122" s="10" t="str">
        <f t="shared" si="1"/>
        <v>TRANS-0121</v>
      </c>
    </row>
    <row r="123" spans="1:11" x14ac:dyDescent="0.35">
      <c r="A123" s="5">
        <v>45367</v>
      </c>
      <c r="B123" s="3">
        <v>0.50547453703703704</v>
      </c>
      <c r="C123" t="s">
        <v>8</v>
      </c>
      <c r="D123" t="s">
        <v>117</v>
      </c>
      <c r="E123" s="4">
        <v>28.9</v>
      </c>
      <c r="F123" t="s">
        <v>28</v>
      </c>
      <c r="G123" s="10" t="str">
        <f>TEXT(Transform_Data[[#This Row],[Date]],"mmm yyyy")</f>
        <v>Mar 2024</v>
      </c>
      <c r="H123" s="10">
        <f>HOUR(Transform_Data[[#This Row],[Time]])</f>
        <v>12</v>
      </c>
      <c r="I123" s="10" t="str">
        <f>IF(COUNTIF('Transform Data'!$D:$D,'Transform Data'!D123)&gt;1,"Repeat","Single")</f>
        <v>Repeat</v>
      </c>
      <c r="J123" s="10" t="str">
        <f>IF('Transform Data'!D123="Cash","Cash",IF(COUNTIF('Transform Data'!$D:$D,'Transform Data'!D123)&gt;1,"Repeat","Single"))</f>
        <v>Repeat</v>
      </c>
      <c r="K123" s="10" t="str">
        <f t="shared" si="1"/>
        <v>TRANS-0122</v>
      </c>
    </row>
    <row r="124" spans="1:11" x14ac:dyDescent="0.35">
      <c r="A124" s="5">
        <v>45367</v>
      </c>
      <c r="B124" s="3">
        <v>0.66548611111111111</v>
      </c>
      <c r="C124" t="s">
        <v>8</v>
      </c>
      <c r="D124" t="s">
        <v>25</v>
      </c>
      <c r="E124" s="4">
        <v>28.9</v>
      </c>
      <c r="F124" t="s">
        <v>20</v>
      </c>
      <c r="G124" s="10" t="str">
        <f>TEXT(Transform_Data[[#This Row],[Date]],"mmm yyyy")</f>
        <v>Mar 2024</v>
      </c>
      <c r="H124" s="10">
        <f>HOUR(Transform_Data[[#This Row],[Time]])</f>
        <v>15</v>
      </c>
      <c r="I124" s="10" t="str">
        <f>IF(COUNTIF('Transform Data'!$D:$D,'Transform Data'!D124)&gt;1,"Repeat","Single")</f>
        <v>Repeat</v>
      </c>
      <c r="J124" s="10" t="str">
        <f>IF('Transform Data'!D124="Cash","Cash",IF(COUNTIF('Transform Data'!$D:$D,'Transform Data'!D124)&gt;1,"Repeat","Single"))</f>
        <v>Repeat</v>
      </c>
      <c r="K124" s="10" t="str">
        <f t="shared" si="1"/>
        <v>TRANS-0123</v>
      </c>
    </row>
    <row r="125" spans="1:11" x14ac:dyDescent="0.35">
      <c r="A125" s="5">
        <v>45367</v>
      </c>
      <c r="B125" s="3">
        <v>0.66899305555555555</v>
      </c>
      <c r="C125" t="s">
        <v>8</v>
      </c>
      <c r="D125" t="s">
        <v>25</v>
      </c>
      <c r="E125" s="4">
        <v>28.9</v>
      </c>
      <c r="F125" t="s">
        <v>20</v>
      </c>
      <c r="G125" s="10" t="str">
        <f>TEXT(Transform_Data[[#This Row],[Date]],"mmm yyyy")</f>
        <v>Mar 2024</v>
      </c>
      <c r="H125" s="10">
        <f>HOUR(Transform_Data[[#This Row],[Time]])</f>
        <v>16</v>
      </c>
      <c r="I125" s="10" t="str">
        <f>IF(COUNTIF('Transform Data'!$D:$D,'Transform Data'!D125)&gt;1,"Repeat","Single")</f>
        <v>Repeat</v>
      </c>
      <c r="J125" s="10" t="str">
        <f>IF('Transform Data'!D125="Cash","Cash",IF(COUNTIF('Transform Data'!$D:$D,'Transform Data'!D125)&gt;1,"Repeat","Single"))</f>
        <v>Repeat</v>
      </c>
      <c r="K125" s="10" t="str">
        <f t="shared" si="1"/>
        <v>TRANS-0124</v>
      </c>
    </row>
    <row r="126" spans="1:11" x14ac:dyDescent="0.35">
      <c r="A126" s="5">
        <v>45367</v>
      </c>
      <c r="B126" s="3">
        <v>0.66957175925925927</v>
      </c>
      <c r="C126" t="s">
        <v>8</v>
      </c>
      <c r="D126" t="s">
        <v>43</v>
      </c>
      <c r="E126" s="4">
        <v>28.9</v>
      </c>
      <c r="F126" t="s">
        <v>20</v>
      </c>
      <c r="G126" s="10" t="str">
        <f>TEXT(Transform_Data[[#This Row],[Date]],"mmm yyyy")</f>
        <v>Mar 2024</v>
      </c>
      <c r="H126" s="10">
        <f>HOUR(Transform_Data[[#This Row],[Time]])</f>
        <v>16</v>
      </c>
      <c r="I126" s="10" t="str">
        <f>IF(COUNTIF('Transform Data'!$D:$D,'Transform Data'!D126)&gt;1,"Repeat","Single")</f>
        <v>Repeat</v>
      </c>
      <c r="J126" s="10" t="str">
        <f>IF('Transform Data'!D126="Cash","Cash",IF(COUNTIF('Transform Data'!$D:$D,'Transform Data'!D126)&gt;1,"Repeat","Single"))</f>
        <v>Repeat</v>
      </c>
      <c r="K126" s="10" t="str">
        <f t="shared" si="1"/>
        <v>TRANS-0125</v>
      </c>
    </row>
    <row r="127" spans="1:11" x14ac:dyDescent="0.35">
      <c r="A127" s="5">
        <v>45367</v>
      </c>
      <c r="B127" s="3">
        <v>0.74869212962962961</v>
      </c>
      <c r="C127" t="s">
        <v>8</v>
      </c>
      <c r="D127" t="s">
        <v>118</v>
      </c>
      <c r="E127" s="4">
        <v>33.799999999999997</v>
      </c>
      <c r="F127" t="s">
        <v>36</v>
      </c>
      <c r="G127" s="10" t="str">
        <f>TEXT(Transform_Data[[#This Row],[Date]],"mmm yyyy")</f>
        <v>Mar 2024</v>
      </c>
      <c r="H127" s="10">
        <f>HOUR(Transform_Data[[#This Row],[Time]])</f>
        <v>17</v>
      </c>
      <c r="I127" s="10" t="str">
        <f>IF(COUNTIF('Transform Data'!$D:$D,'Transform Data'!D127)&gt;1,"Repeat","Single")</f>
        <v>Single</v>
      </c>
      <c r="J127" s="10" t="str">
        <f>IF('Transform Data'!D127="Cash","Cash",IF(COUNTIF('Transform Data'!$D:$D,'Transform Data'!D127)&gt;1,"Repeat","Single"))</f>
        <v>Single</v>
      </c>
      <c r="K127" s="10" t="str">
        <f t="shared" si="1"/>
        <v>TRANS-0126</v>
      </c>
    </row>
    <row r="128" spans="1:11" x14ac:dyDescent="0.35">
      <c r="A128" s="5">
        <v>45368</v>
      </c>
      <c r="B128" s="3">
        <v>0.42385416666666664</v>
      </c>
      <c r="C128" t="s">
        <v>13</v>
      </c>
      <c r="D128" t="s">
        <v>37</v>
      </c>
      <c r="E128" s="4">
        <v>40</v>
      </c>
      <c r="F128" t="s">
        <v>32</v>
      </c>
      <c r="G128" s="10" t="str">
        <f>TEXT(Transform_Data[[#This Row],[Date]],"mmm yyyy")</f>
        <v>Mar 2024</v>
      </c>
      <c r="H128" s="10">
        <f>HOUR(Transform_Data[[#This Row],[Time]])</f>
        <v>10</v>
      </c>
      <c r="I128" s="10" t="str">
        <f>IF(COUNTIF('Transform Data'!$D:$D,'Transform Data'!D128)&gt;1,"Repeat","Single")</f>
        <v>Repeat</v>
      </c>
      <c r="J128" s="10" t="str">
        <f>IF('Transform Data'!D128="Cash","Cash",IF(COUNTIF('Transform Data'!$D:$D,'Transform Data'!D128)&gt;1,"Repeat","Single"))</f>
        <v>Repeat</v>
      </c>
      <c r="K128" s="10" t="str">
        <f t="shared" si="1"/>
        <v>TRANS-0127</v>
      </c>
    </row>
    <row r="129" spans="1:11" x14ac:dyDescent="0.35">
      <c r="A129" s="5">
        <v>45368</v>
      </c>
      <c r="B129" s="3">
        <v>0.53849537037037032</v>
      </c>
      <c r="C129" t="s">
        <v>8</v>
      </c>
      <c r="D129" t="s">
        <v>119</v>
      </c>
      <c r="E129" s="4">
        <v>28.9</v>
      </c>
      <c r="F129" t="s">
        <v>20</v>
      </c>
      <c r="G129" s="10" t="str">
        <f>TEXT(Transform_Data[[#This Row],[Date]],"mmm yyyy")</f>
        <v>Mar 2024</v>
      </c>
      <c r="H129" s="10">
        <f>HOUR(Transform_Data[[#This Row],[Time]])</f>
        <v>12</v>
      </c>
      <c r="I129" s="10" t="str">
        <f>IF(COUNTIF('Transform Data'!$D:$D,'Transform Data'!D129)&gt;1,"Repeat","Single")</f>
        <v>Single</v>
      </c>
      <c r="J129" s="10" t="str">
        <f>IF('Transform Data'!D129="Cash","Cash",IF(COUNTIF('Transform Data'!$D:$D,'Transform Data'!D129)&gt;1,"Repeat","Single"))</f>
        <v>Single</v>
      </c>
      <c r="K129" s="10" t="str">
        <f t="shared" si="1"/>
        <v>TRANS-0128</v>
      </c>
    </row>
    <row r="130" spans="1:11" x14ac:dyDescent="0.35">
      <c r="A130" s="5">
        <v>45369</v>
      </c>
      <c r="B130" s="3">
        <v>0.47082175925925923</v>
      </c>
      <c r="C130" t="s">
        <v>8</v>
      </c>
      <c r="D130" t="s">
        <v>120</v>
      </c>
      <c r="E130" s="4">
        <v>28.9</v>
      </c>
      <c r="F130" t="s">
        <v>20</v>
      </c>
      <c r="G130" s="10" t="str">
        <f>TEXT(Transform_Data[[#This Row],[Date]],"mmm yyyy")</f>
        <v>Mar 2024</v>
      </c>
      <c r="H130" s="10">
        <f>HOUR(Transform_Data[[#This Row],[Time]])</f>
        <v>11</v>
      </c>
      <c r="I130" s="10" t="str">
        <f>IF(COUNTIF('Transform Data'!$D:$D,'Transform Data'!D130)&gt;1,"Repeat","Single")</f>
        <v>Repeat</v>
      </c>
      <c r="J130" s="10" t="str">
        <f>IF('Transform Data'!D130="Cash","Cash",IF(COUNTIF('Transform Data'!$D:$D,'Transform Data'!D130)&gt;1,"Repeat","Single"))</f>
        <v>Repeat</v>
      </c>
      <c r="K130" s="10" t="str">
        <f t="shared" ref="K130:K193" si="2">"TRANS-"&amp;TEXT(ROW(A129),"0000")</f>
        <v>TRANS-0129</v>
      </c>
    </row>
    <row r="131" spans="1:11" x14ac:dyDescent="0.35">
      <c r="A131" s="5">
        <v>45369</v>
      </c>
      <c r="B131" s="3">
        <v>0.64697916666666666</v>
      </c>
      <c r="C131" t="s">
        <v>8</v>
      </c>
      <c r="D131" t="s">
        <v>62</v>
      </c>
      <c r="E131" s="4">
        <v>28.9</v>
      </c>
      <c r="F131" t="s">
        <v>28</v>
      </c>
      <c r="G131" s="10" t="str">
        <f>TEXT(Transform_Data[[#This Row],[Date]],"mmm yyyy")</f>
        <v>Mar 2024</v>
      </c>
      <c r="H131" s="10">
        <f>HOUR(Transform_Data[[#This Row],[Time]])</f>
        <v>15</v>
      </c>
      <c r="I131" s="10" t="str">
        <f>IF(COUNTIF('Transform Data'!$D:$D,'Transform Data'!D131)&gt;1,"Repeat","Single")</f>
        <v>Repeat</v>
      </c>
      <c r="J131" s="10" t="str">
        <f>IF('Transform Data'!D131="Cash","Cash",IF(COUNTIF('Transform Data'!$D:$D,'Transform Data'!D131)&gt;1,"Repeat","Single"))</f>
        <v>Repeat</v>
      </c>
      <c r="K131" s="10" t="str">
        <f t="shared" si="2"/>
        <v>TRANS-0130</v>
      </c>
    </row>
    <row r="132" spans="1:11" x14ac:dyDescent="0.35">
      <c r="A132" s="5">
        <v>45369</v>
      </c>
      <c r="B132" s="3">
        <v>0.64766203703703706</v>
      </c>
      <c r="C132" t="s">
        <v>8</v>
      </c>
      <c r="D132" t="s">
        <v>62</v>
      </c>
      <c r="E132" s="4">
        <v>28.9</v>
      </c>
      <c r="F132" t="s">
        <v>28</v>
      </c>
      <c r="G132" s="10" t="str">
        <f>TEXT(Transform_Data[[#This Row],[Date]],"mmm yyyy")</f>
        <v>Mar 2024</v>
      </c>
      <c r="H132" s="10">
        <f>HOUR(Transform_Data[[#This Row],[Time]])</f>
        <v>15</v>
      </c>
      <c r="I132" s="10" t="str">
        <f>IF(COUNTIF('Transform Data'!$D:$D,'Transform Data'!D132)&gt;1,"Repeat","Single")</f>
        <v>Repeat</v>
      </c>
      <c r="J132" s="10" t="str">
        <f>IF('Transform Data'!D132="Cash","Cash",IF(COUNTIF('Transform Data'!$D:$D,'Transform Data'!D132)&gt;1,"Repeat","Single"))</f>
        <v>Repeat</v>
      </c>
      <c r="K132" s="10" t="str">
        <f t="shared" si="2"/>
        <v>TRANS-0131</v>
      </c>
    </row>
    <row r="133" spans="1:11" x14ac:dyDescent="0.35">
      <c r="A133" s="5">
        <v>45369</v>
      </c>
      <c r="B133" s="3">
        <v>0.64833333333333332</v>
      </c>
      <c r="C133" t="s">
        <v>8</v>
      </c>
      <c r="D133" t="s">
        <v>62</v>
      </c>
      <c r="E133" s="4">
        <v>28.9</v>
      </c>
      <c r="F133" t="s">
        <v>28</v>
      </c>
      <c r="G133" s="10" t="str">
        <f>TEXT(Transform_Data[[#This Row],[Date]],"mmm yyyy")</f>
        <v>Mar 2024</v>
      </c>
      <c r="H133" s="10">
        <f>HOUR(Transform_Data[[#This Row],[Time]])</f>
        <v>15</v>
      </c>
      <c r="I133" s="10" t="str">
        <f>IF(COUNTIF('Transform Data'!$D:$D,'Transform Data'!D133)&gt;1,"Repeat","Single")</f>
        <v>Repeat</v>
      </c>
      <c r="J133" s="10" t="str">
        <f>IF('Transform Data'!D133="Cash","Cash",IF(COUNTIF('Transform Data'!$D:$D,'Transform Data'!D133)&gt;1,"Repeat","Single"))</f>
        <v>Repeat</v>
      </c>
      <c r="K133" s="10" t="str">
        <f t="shared" si="2"/>
        <v>TRANS-0132</v>
      </c>
    </row>
    <row r="134" spans="1:11" x14ac:dyDescent="0.35">
      <c r="A134" s="5">
        <v>45370</v>
      </c>
      <c r="B134" s="3">
        <v>0.43084490740740738</v>
      </c>
      <c r="C134" t="s">
        <v>13</v>
      </c>
      <c r="D134" t="s">
        <v>37</v>
      </c>
      <c r="E134" s="4">
        <v>30</v>
      </c>
      <c r="F134" t="s">
        <v>20</v>
      </c>
      <c r="G134" s="10" t="str">
        <f>TEXT(Transform_Data[[#This Row],[Date]],"mmm yyyy")</f>
        <v>Mar 2024</v>
      </c>
      <c r="H134" s="10">
        <f>HOUR(Transform_Data[[#This Row],[Time]])</f>
        <v>10</v>
      </c>
      <c r="I134" s="10" t="str">
        <f>IF(COUNTIF('Transform Data'!$D:$D,'Transform Data'!D134)&gt;1,"Repeat","Single")</f>
        <v>Repeat</v>
      </c>
      <c r="J134" s="10" t="str">
        <f>IF('Transform Data'!D134="Cash","Cash",IF(COUNTIF('Transform Data'!$D:$D,'Transform Data'!D134)&gt;1,"Repeat","Single"))</f>
        <v>Repeat</v>
      </c>
      <c r="K134" s="10" t="str">
        <f t="shared" si="2"/>
        <v>TRANS-0133</v>
      </c>
    </row>
    <row r="135" spans="1:11" x14ac:dyDescent="0.35">
      <c r="A135" s="5">
        <v>45370</v>
      </c>
      <c r="B135" s="3">
        <v>0.58496527777777774</v>
      </c>
      <c r="C135" t="s">
        <v>8</v>
      </c>
      <c r="D135" t="s">
        <v>121</v>
      </c>
      <c r="E135" s="4">
        <v>38.700000000000003</v>
      </c>
      <c r="F135" t="s">
        <v>32</v>
      </c>
      <c r="G135" s="10" t="str">
        <f>TEXT(Transform_Data[[#This Row],[Date]],"mmm yyyy")</f>
        <v>Mar 2024</v>
      </c>
      <c r="H135" s="10">
        <f>HOUR(Transform_Data[[#This Row],[Time]])</f>
        <v>14</v>
      </c>
      <c r="I135" s="10" t="str">
        <f>IF(COUNTIF('Transform Data'!$D:$D,'Transform Data'!D135)&gt;1,"Repeat","Single")</f>
        <v>Repeat</v>
      </c>
      <c r="J135" s="10" t="str">
        <f>IF('Transform Data'!D135="Cash","Cash",IF(COUNTIF('Transform Data'!$D:$D,'Transform Data'!D135)&gt;1,"Repeat","Single"))</f>
        <v>Repeat</v>
      </c>
      <c r="K135" s="10" t="str">
        <f t="shared" si="2"/>
        <v>TRANS-0134</v>
      </c>
    </row>
    <row r="136" spans="1:11" x14ac:dyDescent="0.35">
      <c r="A136" s="5">
        <v>45370</v>
      </c>
      <c r="B136" s="3">
        <v>0.5856365740740741</v>
      </c>
      <c r="C136" t="s">
        <v>8</v>
      </c>
      <c r="D136" t="s">
        <v>121</v>
      </c>
      <c r="E136" s="4">
        <v>38.700000000000003</v>
      </c>
      <c r="F136" t="s">
        <v>32</v>
      </c>
      <c r="G136" s="10" t="str">
        <f>TEXT(Transform_Data[[#This Row],[Date]],"mmm yyyy")</f>
        <v>Mar 2024</v>
      </c>
      <c r="H136" s="10">
        <f>HOUR(Transform_Data[[#This Row],[Time]])</f>
        <v>14</v>
      </c>
      <c r="I136" s="10" t="str">
        <f>IF(COUNTIF('Transform Data'!$D:$D,'Transform Data'!D136)&gt;1,"Repeat","Single")</f>
        <v>Repeat</v>
      </c>
      <c r="J136" s="10" t="str">
        <f>IF('Transform Data'!D136="Cash","Cash",IF(COUNTIF('Transform Data'!$D:$D,'Transform Data'!D136)&gt;1,"Repeat","Single"))</f>
        <v>Repeat</v>
      </c>
      <c r="K136" s="10" t="str">
        <f t="shared" si="2"/>
        <v>TRANS-0135</v>
      </c>
    </row>
    <row r="137" spans="1:11" x14ac:dyDescent="0.35">
      <c r="A137" s="5">
        <v>45370</v>
      </c>
      <c r="B137" s="3">
        <v>0.6281944444444445</v>
      </c>
      <c r="C137" t="s">
        <v>8</v>
      </c>
      <c r="D137" t="s">
        <v>105</v>
      </c>
      <c r="E137" s="4">
        <v>38.700000000000003</v>
      </c>
      <c r="F137" t="s">
        <v>15</v>
      </c>
      <c r="G137" s="10" t="str">
        <f>TEXT(Transform_Data[[#This Row],[Date]],"mmm yyyy")</f>
        <v>Mar 2024</v>
      </c>
      <c r="H137" s="10">
        <f>HOUR(Transform_Data[[#This Row],[Time]])</f>
        <v>15</v>
      </c>
      <c r="I137" s="10" t="str">
        <f>IF(COUNTIF('Transform Data'!$D:$D,'Transform Data'!D137)&gt;1,"Repeat","Single")</f>
        <v>Repeat</v>
      </c>
      <c r="J137" s="10" t="str">
        <f>IF('Transform Data'!D137="Cash","Cash",IF(COUNTIF('Transform Data'!$D:$D,'Transform Data'!D137)&gt;1,"Repeat","Single"))</f>
        <v>Repeat</v>
      </c>
      <c r="K137" s="10" t="str">
        <f t="shared" si="2"/>
        <v>TRANS-0136</v>
      </c>
    </row>
    <row r="138" spans="1:11" x14ac:dyDescent="0.35">
      <c r="A138" s="5">
        <v>45370</v>
      </c>
      <c r="B138" s="3">
        <v>0.70402777777777781</v>
      </c>
      <c r="C138" t="s">
        <v>8</v>
      </c>
      <c r="D138" t="s">
        <v>122</v>
      </c>
      <c r="E138" s="4">
        <v>33.799999999999997</v>
      </c>
      <c r="F138" t="s">
        <v>36</v>
      </c>
      <c r="G138" s="10" t="str">
        <f>TEXT(Transform_Data[[#This Row],[Date]],"mmm yyyy")</f>
        <v>Mar 2024</v>
      </c>
      <c r="H138" s="10">
        <f>HOUR(Transform_Data[[#This Row],[Time]])</f>
        <v>16</v>
      </c>
      <c r="I138" s="10" t="str">
        <f>IF(COUNTIF('Transform Data'!$D:$D,'Transform Data'!D138)&gt;1,"Repeat","Single")</f>
        <v>Single</v>
      </c>
      <c r="J138" s="10" t="str">
        <f>IF('Transform Data'!D138="Cash","Cash",IF(COUNTIF('Transform Data'!$D:$D,'Transform Data'!D138)&gt;1,"Repeat","Single"))</f>
        <v>Single</v>
      </c>
      <c r="K138" s="10" t="str">
        <f t="shared" si="2"/>
        <v>TRANS-0137</v>
      </c>
    </row>
    <row r="139" spans="1:11" x14ac:dyDescent="0.35">
      <c r="A139" s="5">
        <v>45370</v>
      </c>
      <c r="B139" s="3">
        <v>0.81009259259259259</v>
      </c>
      <c r="C139" t="s">
        <v>13</v>
      </c>
      <c r="D139" t="s">
        <v>37</v>
      </c>
      <c r="E139" s="4">
        <v>40</v>
      </c>
      <c r="F139" t="s">
        <v>15</v>
      </c>
      <c r="G139" s="10" t="str">
        <f>TEXT(Transform_Data[[#This Row],[Date]],"mmm yyyy")</f>
        <v>Mar 2024</v>
      </c>
      <c r="H139" s="10">
        <f>HOUR(Transform_Data[[#This Row],[Time]])</f>
        <v>19</v>
      </c>
      <c r="I139" s="10" t="str">
        <f>IF(COUNTIF('Transform Data'!$D:$D,'Transform Data'!D139)&gt;1,"Repeat","Single")</f>
        <v>Repeat</v>
      </c>
      <c r="J139" s="10" t="str">
        <f>IF('Transform Data'!D139="Cash","Cash",IF(COUNTIF('Transform Data'!$D:$D,'Transform Data'!D139)&gt;1,"Repeat","Single"))</f>
        <v>Repeat</v>
      </c>
      <c r="K139" s="10" t="str">
        <f t="shared" si="2"/>
        <v>TRANS-0138</v>
      </c>
    </row>
    <row r="140" spans="1:11" x14ac:dyDescent="0.35">
      <c r="A140" s="5">
        <v>45371</v>
      </c>
      <c r="B140" s="3">
        <v>0.48699074074074072</v>
      </c>
      <c r="C140" t="s">
        <v>8</v>
      </c>
      <c r="D140" t="s">
        <v>43</v>
      </c>
      <c r="E140" s="4">
        <v>28.9</v>
      </c>
      <c r="F140" t="s">
        <v>20</v>
      </c>
      <c r="G140" s="10" t="str">
        <f>TEXT(Transform_Data[[#This Row],[Date]],"mmm yyyy")</f>
        <v>Mar 2024</v>
      </c>
      <c r="H140" s="10">
        <f>HOUR(Transform_Data[[#This Row],[Time]])</f>
        <v>11</v>
      </c>
      <c r="I140" s="10" t="str">
        <f>IF(COUNTIF('Transform Data'!$D:$D,'Transform Data'!D140)&gt;1,"Repeat","Single")</f>
        <v>Repeat</v>
      </c>
      <c r="J140" s="10" t="str">
        <f>IF('Transform Data'!D140="Cash","Cash",IF(COUNTIF('Transform Data'!$D:$D,'Transform Data'!D140)&gt;1,"Repeat","Single"))</f>
        <v>Repeat</v>
      </c>
      <c r="K140" s="10" t="str">
        <f t="shared" si="2"/>
        <v>TRANS-0139</v>
      </c>
    </row>
    <row r="141" spans="1:11" x14ac:dyDescent="0.35">
      <c r="A141" s="5">
        <v>45371</v>
      </c>
      <c r="B141" s="3">
        <v>0.51466435185185189</v>
      </c>
      <c r="C141" t="s">
        <v>13</v>
      </c>
      <c r="D141" t="s">
        <v>37</v>
      </c>
      <c r="E141" s="4">
        <v>40</v>
      </c>
      <c r="F141" t="s">
        <v>32</v>
      </c>
      <c r="G141" s="10" t="str">
        <f>TEXT(Transform_Data[[#This Row],[Date]],"mmm yyyy")</f>
        <v>Mar 2024</v>
      </c>
      <c r="H141" s="10">
        <f>HOUR(Transform_Data[[#This Row],[Time]])</f>
        <v>12</v>
      </c>
      <c r="I141" s="10" t="str">
        <f>IF(COUNTIF('Transform Data'!$D:$D,'Transform Data'!D141)&gt;1,"Repeat","Single")</f>
        <v>Repeat</v>
      </c>
      <c r="J141" s="10" t="str">
        <f>IF('Transform Data'!D141="Cash","Cash",IF(COUNTIF('Transform Data'!$D:$D,'Transform Data'!D141)&gt;1,"Repeat","Single"))</f>
        <v>Repeat</v>
      </c>
      <c r="K141" s="10" t="str">
        <f t="shared" si="2"/>
        <v>TRANS-0140</v>
      </c>
    </row>
    <row r="142" spans="1:11" x14ac:dyDescent="0.35">
      <c r="A142" s="5">
        <v>45371</v>
      </c>
      <c r="B142" s="3">
        <v>0.5213888888888889</v>
      </c>
      <c r="C142" t="s">
        <v>8</v>
      </c>
      <c r="D142" t="s">
        <v>105</v>
      </c>
      <c r="E142" s="4">
        <v>28.9</v>
      </c>
      <c r="F142" t="s">
        <v>20</v>
      </c>
      <c r="G142" s="10" t="str">
        <f>TEXT(Transform_Data[[#This Row],[Date]],"mmm yyyy")</f>
        <v>Mar 2024</v>
      </c>
      <c r="H142" s="10">
        <f>HOUR(Transform_Data[[#This Row],[Time]])</f>
        <v>12</v>
      </c>
      <c r="I142" s="10" t="str">
        <f>IF(COUNTIF('Transform Data'!$D:$D,'Transform Data'!D142)&gt;1,"Repeat","Single")</f>
        <v>Repeat</v>
      </c>
      <c r="J142" s="10" t="str">
        <f>IF('Transform Data'!D142="Cash","Cash",IF(COUNTIF('Transform Data'!$D:$D,'Transform Data'!D142)&gt;1,"Repeat","Single"))</f>
        <v>Repeat</v>
      </c>
      <c r="K142" s="10" t="str">
        <f t="shared" si="2"/>
        <v>TRANS-0141</v>
      </c>
    </row>
    <row r="143" spans="1:11" x14ac:dyDescent="0.35">
      <c r="A143" s="5">
        <v>45371</v>
      </c>
      <c r="B143" s="3">
        <v>0.5533217592592593</v>
      </c>
      <c r="C143" t="s">
        <v>8</v>
      </c>
      <c r="D143" t="s">
        <v>123</v>
      </c>
      <c r="E143" s="4">
        <v>38.700000000000003</v>
      </c>
      <c r="F143" t="s">
        <v>24</v>
      </c>
      <c r="G143" s="10" t="str">
        <f>TEXT(Transform_Data[[#This Row],[Date]],"mmm yyyy")</f>
        <v>Mar 2024</v>
      </c>
      <c r="H143" s="10">
        <f>HOUR(Transform_Data[[#This Row],[Time]])</f>
        <v>13</v>
      </c>
      <c r="I143" s="10" t="str">
        <f>IF(COUNTIF('Transform Data'!$D:$D,'Transform Data'!D143)&gt;1,"Repeat","Single")</f>
        <v>Single</v>
      </c>
      <c r="J143" s="10" t="str">
        <f>IF('Transform Data'!D143="Cash","Cash",IF(COUNTIF('Transform Data'!$D:$D,'Transform Data'!D143)&gt;1,"Repeat","Single"))</f>
        <v>Single</v>
      </c>
      <c r="K143" s="10" t="str">
        <f t="shared" si="2"/>
        <v>TRANS-0142</v>
      </c>
    </row>
    <row r="144" spans="1:11" x14ac:dyDescent="0.35">
      <c r="A144" s="5">
        <v>45371</v>
      </c>
      <c r="B144" s="3">
        <v>0.69627314814814811</v>
      </c>
      <c r="C144" t="s">
        <v>8</v>
      </c>
      <c r="D144" t="s">
        <v>106</v>
      </c>
      <c r="E144" s="4">
        <v>38.700000000000003</v>
      </c>
      <c r="F144" t="s">
        <v>10</v>
      </c>
      <c r="G144" s="10" t="str">
        <f>TEXT(Transform_Data[[#This Row],[Date]],"mmm yyyy")</f>
        <v>Mar 2024</v>
      </c>
      <c r="H144" s="10">
        <f>HOUR(Transform_Data[[#This Row],[Time]])</f>
        <v>16</v>
      </c>
      <c r="I144" s="10" t="str">
        <f>IF(COUNTIF('Transform Data'!$D:$D,'Transform Data'!D144)&gt;1,"Repeat","Single")</f>
        <v>Repeat</v>
      </c>
      <c r="J144" s="10" t="str">
        <f>IF('Transform Data'!D144="Cash","Cash",IF(COUNTIF('Transform Data'!$D:$D,'Transform Data'!D144)&gt;1,"Repeat","Single"))</f>
        <v>Repeat</v>
      </c>
      <c r="K144" s="10" t="str">
        <f t="shared" si="2"/>
        <v>TRANS-0143</v>
      </c>
    </row>
    <row r="145" spans="1:11" x14ac:dyDescent="0.35">
      <c r="A145" s="5">
        <v>45371</v>
      </c>
      <c r="B145" s="3">
        <v>0.74337962962962967</v>
      </c>
      <c r="C145" t="s">
        <v>8</v>
      </c>
      <c r="D145" t="s">
        <v>124</v>
      </c>
      <c r="E145" s="4">
        <v>38.700000000000003</v>
      </c>
      <c r="F145" t="s">
        <v>32</v>
      </c>
      <c r="G145" s="10" t="str">
        <f>TEXT(Transform_Data[[#This Row],[Date]],"mmm yyyy")</f>
        <v>Mar 2024</v>
      </c>
      <c r="H145" s="10">
        <f>HOUR(Transform_Data[[#This Row],[Time]])</f>
        <v>17</v>
      </c>
      <c r="I145" s="10" t="str">
        <f>IF(COUNTIF('Transform Data'!$D:$D,'Transform Data'!D145)&gt;1,"Repeat","Single")</f>
        <v>Single</v>
      </c>
      <c r="J145" s="10" t="str">
        <f>IF('Transform Data'!D145="Cash","Cash",IF(COUNTIF('Transform Data'!$D:$D,'Transform Data'!D145)&gt;1,"Repeat","Single"))</f>
        <v>Single</v>
      </c>
      <c r="K145" s="10" t="str">
        <f t="shared" si="2"/>
        <v>TRANS-0144</v>
      </c>
    </row>
    <row r="146" spans="1:11" x14ac:dyDescent="0.35">
      <c r="A146" s="5">
        <v>45372</v>
      </c>
      <c r="B146" s="3">
        <v>0.42981481481481482</v>
      </c>
      <c r="C146" t="s">
        <v>13</v>
      </c>
      <c r="D146" t="s">
        <v>37</v>
      </c>
      <c r="E146" s="4">
        <v>40</v>
      </c>
      <c r="F146" t="s">
        <v>24</v>
      </c>
      <c r="G146" s="10" t="str">
        <f>TEXT(Transform_Data[[#This Row],[Date]],"mmm yyyy")</f>
        <v>Mar 2024</v>
      </c>
      <c r="H146" s="10">
        <f>HOUR(Transform_Data[[#This Row],[Time]])</f>
        <v>10</v>
      </c>
      <c r="I146" s="10" t="str">
        <f>IF(COUNTIF('Transform Data'!$D:$D,'Transform Data'!D146)&gt;1,"Repeat","Single")</f>
        <v>Repeat</v>
      </c>
      <c r="J146" s="10" t="str">
        <f>IF('Transform Data'!D146="Cash","Cash",IF(COUNTIF('Transform Data'!$D:$D,'Transform Data'!D146)&gt;1,"Repeat","Single"))</f>
        <v>Repeat</v>
      </c>
      <c r="K146" s="10" t="str">
        <f t="shared" si="2"/>
        <v>TRANS-0145</v>
      </c>
    </row>
    <row r="147" spans="1:11" x14ac:dyDescent="0.35">
      <c r="A147" s="5">
        <v>45372</v>
      </c>
      <c r="B147" s="3">
        <v>0.51746527777777773</v>
      </c>
      <c r="C147" t="s">
        <v>8</v>
      </c>
      <c r="D147" t="s">
        <v>43</v>
      </c>
      <c r="E147" s="4">
        <v>28.9</v>
      </c>
      <c r="F147" t="s">
        <v>20</v>
      </c>
      <c r="G147" s="10" t="str">
        <f>TEXT(Transform_Data[[#This Row],[Date]],"mmm yyyy")</f>
        <v>Mar 2024</v>
      </c>
      <c r="H147" s="10">
        <f>HOUR(Transform_Data[[#This Row],[Time]])</f>
        <v>12</v>
      </c>
      <c r="I147" s="10" t="str">
        <f>IF(COUNTIF('Transform Data'!$D:$D,'Transform Data'!D147)&gt;1,"Repeat","Single")</f>
        <v>Repeat</v>
      </c>
      <c r="J147" s="10" t="str">
        <f>IF('Transform Data'!D147="Cash","Cash",IF(COUNTIF('Transform Data'!$D:$D,'Transform Data'!D147)&gt;1,"Repeat","Single"))</f>
        <v>Repeat</v>
      </c>
      <c r="K147" s="10" t="str">
        <f t="shared" si="2"/>
        <v>TRANS-0146</v>
      </c>
    </row>
    <row r="148" spans="1:11" x14ac:dyDescent="0.35">
      <c r="A148" s="5">
        <v>45372</v>
      </c>
      <c r="B148" s="3">
        <v>0.51825231481481482</v>
      </c>
      <c r="C148" t="s">
        <v>8</v>
      </c>
      <c r="D148" t="s">
        <v>43</v>
      </c>
      <c r="E148" s="4">
        <v>38.700000000000003</v>
      </c>
      <c r="F148" t="s">
        <v>24</v>
      </c>
      <c r="G148" s="10" t="str">
        <f>TEXT(Transform_Data[[#This Row],[Date]],"mmm yyyy")</f>
        <v>Mar 2024</v>
      </c>
      <c r="H148" s="10">
        <f>HOUR(Transform_Data[[#This Row],[Time]])</f>
        <v>12</v>
      </c>
      <c r="I148" s="10" t="str">
        <f>IF(COUNTIF('Transform Data'!$D:$D,'Transform Data'!D148)&gt;1,"Repeat","Single")</f>
        <v>Repeat</v>
      </c>
      <c r="J148" s="10" t="str">
        <f>IF('Transform Data'!D148="Cash","Cash",IF(COUNTIF('Transform Data'!$D:$D,'Transform Data'!D148)&gt;1,"Repeat","Single"))</f>
        <v>Repeat</v>
      </c>
      <c r="K148" s="10" t="str">
        <f t="shared" si="2"/>
        <v>TRANS-0147</v>
      </c>
    </row>
    <row r="149" spans="1:11" x14ac:dyDescent="0.35">
      <c r="A149" s="5">
        <v>45372</v>
      </c>
      <c r="B149" s="3">
        <v>0.72292824074074069</v>
      </c>
      <c r="C149" t="s">
        <v>13</v>
      </c>
      <c r="D149" t="s">
        <v>37</v>
      </c>
      <c r="E149" s="4">
        <v>30</v>
      </c>
      <c r="F149" t="s">
        <v>28</v>
      </c>
      <c r="G149" s="10" t="str">
        <f>TEXT(Transform_Data[[#This Row],[Date]],"mmm yyyy")</f>
        <v>Mar 2024</v>
      </c>
      <c r="H149" s="10">
        <f>HOUR(Transform_Data[[#This Row],[Time]])</f>
        <v>17</v>
      </c>
      <c r="I149" s="10" t="str">
        <f>IF(COUNTIF('Transform Data'!$D:$D,'Transform Data'!D149)&gt;1,"Repeat","Single")</f>
        <v>Repeat</v>
      </c>
      <c r="J149" s="10" t="str">
        <f>IF('Transform Data'!D149="Cash","Cash",IF(COUNTIF('Transform Data'!$D:$D,'Transform Data'!D149)&gt;1,"Repeat","Single"))</f>
        <v>Repeat</v>
      </c>
      <c r="K149" s="10" t="str">
        <f t="shared" si="2"/>
        <v>TRANS-0148</v>
      </c>
    </row>
    <row r="150" spans="1:11" x14ac:dyDescent="0.35">
      <c r="A150" s="5">
        <v>45372</v>
      </c>
      <c r="B150" s="3">
        <v>0.72362268518518513</v>
      </c>
      <c r="C150" t="s">
        <v>8</v>
      </c>
      <c r="D150" t="s">
        <v>43</v>
      </c>
      <c r="E150" s="4">
        <v>28.9</v>
      </c>
      <c r="F150" t="s">
        <v>20</v>
      </c>
      <c r="G150" s="10" t="str">
        <f>TEXT(Transform_Data[[#This Row],[Date]],"mmm yyyy")</f>
        <v>Mar 2024</v>
      </c>
      <c r="H150" s="10">
        <f>HOUR(Transform_Data[[#This Row],[Time]])</f>
        <v>17</v>
      </c>
      <c r="I150" s="10" t="str">
        <f>IF(COUNTIF('Transform Data'!$D:$D,'Transform Data'!D150)&gt;1,"Repeat","Single")</f>
        <v>Repeat</v>
      </c>
      <c r="J150" s="10" t="str">
        <f>IF('Transform Data'!D150="Cash","Cash",IF(COUNTIF('Transform Data'!$D:$D,'Transform Data'!D150)&gt;1,"Repeat","Single"))</f>
        <v>Repeat</v>
      </c>
      <c r="K150" s="10" t="str">
        <f t="shared" si="2"/>
        <v>TRANS-0149</v>
      </c>
    </row>
    <row r="151" spans="1:11" x14ac:dyDescent="0.35">
      <c r="A151" s="5">
        <v>45372</v>
      </c>
      <c r="B151" s="3">
        <v>0.8059722222222222</v>
      </c>
      <c r="C151" t="s">
        <v>8</v>
      </c>
      <c r="D151" t="s">
        <v>125</v>
      </c>
      <c r="E151" s="4">
        <v>38.700000000000003</v>
      </c>
      <c r="F151" t="s">
        <v>32</v>
      </c>
      <c r="G151" s="10" t="str">
        <f>TEXT(Transform_Data[[#This Row],[Date]],"mmm yyyy")</f>
        <v>Mar 2024</v>
      </c>
      <c r="H151" s="10">
        <f>HOUR(Transform_Data[[#This Row],[Time]])</f>
        <v>19</v>
      </c>
      <c r="I151" s="10" t="str">
        <f>IF(COUNTIF('Transform Data'!$D:$D,'Transform Data'!D151)&gt;1,"Repeat","Single")</f>
        <v>Repeat</v>
      </c>
      <c r="J151" s="10" t="str">
        <f>IF('Transform Data'!D151="Cash","Cash",IF(COUNTIF('Transform Data'!$D:$D,'Transform Data'!D151)&gt;1,"Repeat","Single"))</f>
        <v>Repeat</v>
      </c>
      <c r="K151" s="10" t="str">
        <f t="shared" si="2"/>
        <v>TRANS-0150</v>
      </c>
    </row>
    <row r="152" spans="1:11" x14ac:dyDescent="0.35">
      <c r="A152" s="5">
        <v>45373</v>
      </c>
      <c r="B152" s="3">
        <v>0.44158564814814816</v>
      </c>
      <c r="C152" t="s">
        <v>8</v>
      </c>
      <c r="D152" t="s">
        <v>126</v>
      </c>
      <c r="E152" s="4">
        <v>33.799999999999997</v>
      </c>
      <c r="F152" t="s">
        <v>36</v>
      </c>
      <c r="G152" s="10" t="str">
        <f>TEXT(Transform_Data[[#This Row],[Date]],"mmm yyyy")</f>
        <v>Mar 2024</v>
      </c>
      <c r="H152" s="10">
        <f>HOUR(Transform_Data[[#This Row],[Time]])</f>
        <v>10</v>
      </c>
      <c r="I152" s="10" t="str">
        <f>IF(COUNTIF('Transform Data'!$D:$D,'Transform Data'!D152)&gt;1,"Repeat","Single")</f>
        <v>Single</v>
      </c>
      <c r="J152" s="10" t="str">
        <f>IF('Transform Data'!D152="Cash","Cash",IF(COUNTIF('Transform Data'!$D:$D,'Transform Data'!D152)&gt;1,"Repeat","Single"))</f>
        <v>Single</v>
      </c>
      <c r="K152" s="10" t="str">
        <f t="shared" si="2"/>
        <v>TRANS-0151</v>
      </c>
    </row>
    <row r="153" spans="1:11" x14ac:dyDescent="0.35">
      <c r="A153" s="5">
        <v>45373</v>
      </c>
      <c r="B153" s="3">
        <v>0.562037037037037</v>
      </c>
      <c r="C153" t="s">
        <v>8</v>
      </c>
      <c r="D153" t="s">
        <v>127</v>
      </c>
      <c r="E153" s="4">
        <v>33.799999999999997</v>
      </c>
      <c r="F153" t="s">
        <v>36</v>
      </c>
      <c r="G153" s="10" t="str">
        <f>TEXT(Transform_Data[[#This Row],[Date]],"mmm yyyy")</f>
        <v>Mar 2024</v>
      </c>
      <c r="H153" s="10">
        <f>HOUR(Transform_Data[[#This Row],[Time]])</f>
        <v>13</v>
      </c>
      <c r="I153" s="10" t="str">
        <f>IF(COUNTIF('Transform Data'!$D:$D,'Transform Data'!D153)&gt;1,"Repeat","Single")</f>
        <v>Single</v>
      </c>
      <c r="J153" s="10" t="str">
        <f>IF('Transform Data'!D153="Cash","Cash",IF(COUNTIF('Transform Data'!$D:$D,'Transform Data'!D153)&gt;1,"Repeat","Single"))</f>
        <v>Single</v>
      </c>
      <c r="K153" s="10" t="str">
        <f t="shared" si="2"/>
        <v>TRANS-0152</v>
      </c>
    </row>
    <row r="154" spans="1:11" x14ac:dyDescent="0.35">
      <c r="A154" s="5">
        <v>45373</v>
      </c>
      <c r="B154" s="3">
        <v>0.67724537037037036</v>
      </c>
      <c r="C154" t="s">
        <v>13</v>
      </c>
      <c r="D154" t="s">
        <v>37</v>
      </c>
      <c r="E154" s="4">
        <v>40</v>
      </c>
      <c r="F154" t="s">
        <v>24</v>
      </c>
      <c r="G154" s="10" t="str">
        <f>TEXT(Transform_Data[[#This Row],[Date]],"mmm yyyy")</f>
        <v>Mar 2024</v>
      </c>
      <c r="H154" s="10">
        <f>HOUR(Transform_Data[[#This Row],[Time]])</f>
        <v>16</v>
      </c>
      <c r="I154" s="10" t="str">
        <f>IF(COUNTIF('Transform Data'!$D:$D,'Transform Data'!D154)&gt;1,"Repeat","Single")</f>
        <v>Repeat</v>
      </c>
      <c r="J154" s="10" t="str">
        <f>IF('Transform Data'!D154="Cash","Cash",IF(COUNTIF('Transform Data'!$D:$D,'Transform Data'!D154)&gt;1,"Repeat","Single"))</f>
        <v>Repeat</v>
      </c>
      <c r="K154" s="10" t="str">
        <f t="shared" si="2"/>
        <v>TRANS-0153</v>
      </c>
    </row>
    <row r="155" spans="1:11" x14ac:dyDescent="0.35">
      <c r="A155" s="5">
        <v>45373</v>
      </c>
      <c r="B155" s="3">
        <v>0.72017361111111111</v>
      </c>
      <c r="C155" t="s">
        <v>8</v>
      </c>
      <c r="D155" t="s">
        <v>43</v>
      </c>
      <c r="E155" s="4">
        <v>28.9</v>
      </c>
      <c r="F155" t="s">
        <v>28</v>
      </c>
      <c r="G155" s="10" t="str">
        <f>TEXT(Transform_Data[[#This Row],[Date]],"mmm yyyy")</f>
        <v>Mar 2024</v>
      </c>
      <c r="H155" s="10">
        <f>HOUR(Transform_Data[[#This Row],[Time]])</f>
        <v>17</v>
      </c>
      <c r="I155" s="10" t="str">
        <f>IF(COUNTIF('Transform Data'!$D:$D,'Transform Data'!D155)&gt;1,"Repeat","Single")</f>
        <v>Repeat</v>
      </c>
      <c r="J155" s="10" t="str">
        <f>IF('Transform Data'!D155="Cash","Cash",IF(COUNTIF('Transform Data'!$D:$D,'Transform Data'!D155)&gt;1,"Repeat","Single"))</f>
        <v>Repeat</v>
      </c>
      <c r="K155" s="10" t="str">
        <f t="shared" si="2"/>
        <v>TRANS-0154</v>
      </c>
    </row>
    <row r="156" spans="1:11" x14ac:dyDescent="0.35">
      <c r="A156" s="5">
        <v>45373</v>
      </c>
      <c r="B156" s="3">
        <v>0.72081018518518514</v>
      </c>
      <c r="C156" t="s">
        <v>8</v>
      </c>
      <c r="D156" t="s">
        <v>43</v>
      </c>
      <c r="E156" s="4">
        <v>24</v>
      </c>
      <c r="F156" t="s">
        <v>5</v>
      </c>
      <c r="G156" s="10" t="str">
        <f>TEXT(Transform_Data[[#This Row],[Date]],"mmm yyyy")</f>
        <v>Mar 2024</v>
      </c>
      <c r="H156" s="10">
        <f>HOUR(Transform_Data[[#This Row],[Time]])</f>
        <v>17</v>
      </c>
      <c r="I156" s="10" t="str">
        <f>IF(COUNTIF('Transform Data'!$D:$D,'Transform Data'!D156)&gt;1,"Repeat","Single")</f>
        <v>Repeat</v>
      </c>
      <c r="J156" s="10" t="str">
        <f>IF('Transform Data'!D156="Cash","Cash",IF(COUNTIF('Transform Data'!$D:$D,'Transform Data'!D156)&gt;1,"Repeat","Single"))</f>
        <v>Repeat</v>
      </c>
      <c r="K156" s="10" t="str">
        <f t="shared" si="2"/>
        <v>TRANS-0155</v>
      </c>
    </row>
    <row r="157" spans="1:11" x14ac:dyDescent="0.35">
      <c r="A157" s="5">
        <v>45373</v>
      </c>
      <c r="B157" s="3">
        <v>0.72278935185185189</v>
      </c>
      <c r="C157" t="s">
        <v>8</v>
      </c>
      <c r="D157" t="s">
        <v>106</v>
      </c>
      <c r="E157" s="4">
        <v>28.9</v>
      </c>
      <c r="F157" t="s">
        <v>28</v>
      </c>
      <c r="G157" s="10" t="str">
        <f>TEXT(Transform_Data[[#This Row],[Date]],"mmm yyyy")</f>
        <v>Mar 2024</v>
      </c>
      <c r="H157" s="10">
        <f>HOUR(Transform_Data[[#This Row],[Time]])</f>
        <v>17</v>
      </c>
      <c r="I157" s="10" t="str">
        <f>IF(COUNTIF('Transform Data'!$D:$D,'Transform Data'!D157)&gt;1,"Repeat","Single")</f>
        <v>Repeat</v>
      </c>
      <c r="J157" s="10" t="str">
        <f>IF('Transform Data'!D157="Cash","Cash",IF(COUNTIF('Transform Data'!$D:$D,'Transform Data'!D157)&gt;1,"Repeat","Single"))</f>
        <v>Repeat</v>
      </c>
      <c r="K157" s="10" t="str">
        <f t="shared" si="2"/>
        <v>TRANS-0156</v>
      </c>
    </row>
    <row r="158" spans="1:11" x14ac:dyDescent="0.35">
      <c r="A158" s="5">
        <v>45374</v>
      </c>
      <c r="B158" s="3">
        <v>0.44721064814814815</v>
      </c>
      <c r="C158" t="s">
        <v>8</v>
      </c>
      <c r="D158" t="s">
        <v>128</v>
      </c>
      <c r="E158" s="4">
        <v>38.700000000000003</v>
      </c>
      <c r="F158" t="s">
        <v>32</v>
      </c>
      <c r="G158" s="10" t="str">
        <f>TEXT(Transform_Data[[#This Row],[Date]],"mmm yyyy")</f>
        <v>Mar 2024</v>
      </c>
      <c r="H158" s="10">
        <f>HOUR(Transform_Data[[#This Row],[Time]])</f>
        <v>10</v>
      </c>
      <c r="I158" s="10" t="str">
        <f>IF(COUNTIF('Transform Data'!$D:$D,'Transform Data'!D158)&gt;1,"Repeat","Single")</f>
        <v>Single</v>
      </c>
      <c r="J158" s="10" t="str">
        <f>IF('Transform Data'!D158="Cash","Cash",IF(COUNTIF('Transform Data'!$D:$D,'Transform Data'!D158)&gt;1,"Repeat","Single"))</f>
        <v>Single</v>
      </c>
      <c r="K158" s="10" t="str">
        <f t="shared" si="2"/>
        <v>TRANS-0157</v>
      </c>
    </row>
    <row r="159" spans="1:11" x14ac:dyDescent="0.35">
      <c r="A159" s="5">
        <v>45374</v>
      </c>
      <c r="B159" s="3">
        <v>0.44799768518518518</v>
      </c>
      <c r="C159" t="s">
        <v>8</v>
      </c>
      <c r="D159" t="s">
        <v>129</v>
      </c>
      <c r="E159" s="4">
        <v>33.799999999999997</v>
      </c>
      <c r="F159" t="s">
        <v>36</v>
      </c>
      <c r="G159" s="10" t="str">
        <f>TEXT(Transform_Data[[#This Row],[Date]],"mmm yyyy")</f>
        <v>Mar 2024</v>
      </c>
      <c r="H159" s="10">
        <f>HOUR(Transform_Data[[#This Row],[Time]])</f>
        <v>10</v>
      </c>
      <c r="I159" s="10" t="str">
        <f>IF(COUNTIF('Transform Data'!$D:$D,'Transform Data'!D159)&gt;1,"Repeat","Single")</f>
        <v>Single</v>
      </c>
      <c r="J159" s="10" t="str">
        <f>IF('Transform Data'!D159="Cash","Cash",IF(COUNTIF('Transform Data'!$D:$D,'Transform Data'!D159)&gt;1,"Repeat","Single"))</f>
        <v>Single</v>
      </c>
      <c r="K159" s="10" t="str">
        <f t="shared" si="2"/>
        <v>TRANS-0158</v>
      </c>
    </row>
    <row r="160" spans="1:11" x14ac:dyDescent="0.35">
      <c r="A160" s="5">
        <v>45374</v>
      </c>
      <c r="B160" s="3">
        <v>0.54869212962962965</v>
      </c>
      <c r="C160" t="s">
        <v>8</v>
      </c>
      <c r="D160" t="s">
        <v>130</v>
      </c>
      <c r="E160" s="4">
        <v>38.700000000000003</v>
      </c>
      <c r="F160" t="s">
        <v>24</v>
      </c>
      <c r="G160" s="10" t="str">
        <f>TEXT(Transform_Data[[#This Row],[Date]],"mmm yyyy")</f>
        <v>Mar 2024</v>
      </c>
      <c r="H160" s="10">
        <f>HOUR(Transform_Data[[#This Row],[Time]])</f>
        <v>13</v>
      </c>
      <c r="I160" s="10" t="str">
        <f>IF(COUNTIF('Transform Data'!$D:$D,'Transform Data'!D160)&gt;1,"Repeat","Single")</f>
        <v>Repeat</v>
      </c>
      <c r="J160" s="10" t="str">
        <f>IF('Transform Data'!D160="Cash","Cash",IF(COUNTIF('Transform Data'!$D:$D,'Transform Data'!D160)&gt;1,"Repeat","Single"))</f>
        <v>Repeat</v>
      </c>
      <c r="K160" s="10" t="str">
        <f t="shared" si="2"/>
        <v>TRANS-0159</v>
      </c>
    </row>
    <row r="161" spans="1:11" x14ac:dyDescent="0.35">
      <c r="A161" s="5">
        <v>45374</v>
      </c>
      <c r="B161" s="3">
        <v>0.5494444444444444</v>
      </c>
      <c r="C161" t="s">
        <v>8</v>
      </c>
      <c r="D161" t="s">
        <v>130</v>
      </c>
      <c r="E161" s="4">
        <v>38.700000000000003</v>
      </c>
      <c r="F161" t="s">
        <v>10</v>
      </c>
      <c r="G161" s="10" t="str">
        <f>TEXT(Transform_Data[[#This Row],[Date]],"mmm yyyy")</f>
        <v>Mar 2024</v>
      </c>
      <c r="H161" s="10">
        <f>HOUR(Transform_Data[[#This Row],[Time]])</f>
        <v>13</v>
      </c>
      <c r="I161" s="10" t="str">
        <f>IF(COUNTIF('Transform Data'!$D:$D,'Transform Data'!D161)&gt;1,"Repeat","Single")</f>
        <v>Repeat</v>
      </c>
      <c r="J161" s="10" t="str">
        <f>IF('Transform Data'!D161="Cash","Cash",IF(COUNTIF('Transform Data'!$D:$D,'Transform Data'!D161)&gt;1,"Repeat","Single"))</f>
        <v>Repeat</v>
      </c>
      <c r="K161" s="10" t="str">
        <f t="shared" si="2"/>
        <v>TRANS-0160</v>
      </c>
    </row>
    <row r="162" spans="1:11" x14ac:dyDescent="0.35">
      <c r="A162" s="5">
        <v>45374</v>
      </c>
      <c r="B162" s="3">
        <v>0.61436342592592597</v>
      </c>
      <c r="C162" t="s">
        <v>8</v>
      </c>
      <c r="D162" t="s">
        <v>131</v>
      </c>
      <c r="E162" s="4">
        <v>33.799999999999997</v>
      </c>
      <c r="F162" t="s">
        <v>36</v>
      </c>
      <c r="G162" s="10" t="str">
        <f>TEXT(Transform_Data[[#This Row],[Date]],"mmm yyyy")</f>
        <v>Mar 2024</v>
      </c>
      <c r="H162" s="10">
        <f>HOUR(Transform_Data[[#This Row],[Time]])</f>
        <v>14</v>
      </c>
      <c r="I162" s="10" t="str">
        <f>IF(COUNTIF('Transform Data'!$D:$D,'Transform Data'!D162)&gt;1,"Repeat","Single")</f>
        <v>Single</v>
      </c>
      <c r="J162" s="10" t="str">
        <f>IF('Transform Data'!D162="Cash","Cash",IF(COUNTIF('Transform Data'!$D:$D,'Transform Data'!D162)&gt;1,"Repeat","Single"))</f>
        <v>Single</v>
      </c>
      <c r="K162" s="10" t="str">
        <f t="shared" si="2"/>
        <v>TRANS-0161</v>
      </c>
    </row>
    <row r="163" spans="1:11" x14ac:dyDescent="0.35">
      <c r="A163" s="5">
        <v>45374</v>
      </c>
      <c r="B163" s="3">
        <v>0.65785879629629629</v>
      </c>
      <c r="C163" t="s">
        <v>8</v>
      </c>
      <c r="D163" t="s">
        <v>132</v>
      </c>
      <c r="E163" s="4">
        <v>38.700000000000003</v>
      </c>
      <c r="F163" t="s">
        <v>32</v>
      </c>
      <c r="G163" s="10" t="str">
        <f>TEXT(Transform_Data[[#This Row],[Date]],"mmm yyyy")</f>
        <v>Mar 2024</v>
      </c>
      <c r="H163" s="10">
        <f>HOUR(Transform_Data[[#This Row],[Time]])</f>
        <v>15</v>
      </c>
      <c r="I163" s="10" t="str">
        <f>IF(COUNTIF('Transform Data'!$D:$D,'Transform Data'!D163)&gt;1,"Repeat","Single")</f>
        <v>Repeat</v>
      </c>
      <c r="J163" s="10" t="str">
        <f>IF('Transform Data'!D163="Cash","Cash",IF(COUNTIF('Transform Data'!$D:$D,'Transform Data'!D163)&gt;1,"Repeat","Single"))</f>
        <v>Repeat</v>
      </c>
      <c r="K163" s="10" t="str">
        <f t="shared" si="2"/>
        <v>TRANS-0162</v>
      </c>
    </row>
    <row r="164" spans="1:11" x14ac:dyDescent="0.35">
      <c r="A164" s="5">
        <v>45374</v>
      </c>
      <c r="B164" s="3">
        <v>0.65940972222222227</v>
      </c>
      <c r="C164" t="s">
        <v>8</v>
      </c>
      <c r="D164" t="s">
        <v>132</v>
      </c>
      <c r="E164" s="4">
        <v>33.799999999999997</v>
      </c>
      <c r="F164" t="s">
        <v>36</v>
      </c>
      <c r="G164" s="10" t="str">
        <f>TEXT(Transform_Data[[#This Row],[Date]],"mmm yyyy")</f>
        <v>Mar 2024</v>
      </c>
      <c r="H164" s="10">
        <f>HOUR(Transform_Data[[#This Row],[Time]])</f>
        <v>15</v>
      </c>
      <c r="I164" s="10" t="str">
        <f>IF(COUNTIF('Transform Data'!$D:$D,'Transform Data'!D164)&gt;1,"Repeat","Single")</f>
        <v>Repeat</v>
      </c>
      <c r="J164" s="10" t="str">
        <f>IF('Transform Data'!D164="Cash","Cash",IF(COUNTIF('Transform Data'!$D:$D,'Transform Data'!D164)&gt;1,"Repeat","Single"))</f>
        <v>Repeat</v>
      </c>
      <c r="K164" s="10" t="str">
        <f t="shared" si="2"/>
        <v>TRANS-0163</v>
      </c>
    </row>
    <row r="165" spans="1:11" x14ac:dyDescent="0.35">
      <c r="A165" s="5">
        <v>45374</v>
      </c>
      <c r="B165" s="3">
        <v>0.66733796296296299</v>
      </c>
      <c r="C165" t="s">
        <v>8</v>
      </c>
      <c r="D165" t="s">
        <v>25</v>
      </c>
      <c r="E165" s="4">
        <v>28.9</v>
      </c>
      <c r="F165" t="s">
        <v>20</v>
      </c>
      <c r="G165" s="10" t="str">
        <f>TEXT(Transform_Data[[#This Row],[Date]],"mmm yyyy")</f>
        <v>Mar 2024</v>
      </c>
      <c r="H165" s="10">
        <f>HOUR(Transform_Data[[#This Row],[Time]])</f>
        <v>16</v>
      </c>
      <c r="I165" s="10" t="str">
        <f>IF(COUNTIF('Transform Data'!$D:$D,'Transform Data'!D165)&gt;1,"Repeat","Single")</f>
        <v>Repeat</v>
      </c>
      <c r="J165" s="10" t="str">
        <f>IF('Transform Data'!D165="Cash","Cash",IF(COUNTIF('Transform Data'!$D:$D,'Transform Data'!D165)&gt;1,"Repeat","Single"))</f>
        <v>Repeat</v>
      </c>
      <c r="K165" s="10" t="str">
        <f t="shared" si="2"/>
        <v>TRANS-0164</v>
      </c>
    </row>
    <row r="166" spans="1:11" x14ac:dyDescent="0.35">
      <c r="A166" s="5">
        <v>45375</v>
      </c>
      <c r="B166" s="3">
        <v>0.41939814814814813</v>
      </c>
      <c r="C166" t="s">
        <v>13</v>
      </c>
      <c r="D166" t="s">
        <v>37</v>
      </c>
      <c r="E166" s="4">
        <v>40</v>
      </c>
      <c r="F166" t="s">
        <v>32</v>
      </c>
      <c r="G166" s="10" t="str">
        <f>TEXT(Transform_Data[[#This Row],[Date]],"mmm yyyy")</f>
        <v>Mar 2024</v>
      </c>
      <c r="H166" s="10">
        <f>HOUR(Transform_Data[[#This Row],[Time]])</f>
        <v>10</v>
      </c>
      <c r="I166" s="10" t="str">
        <f>IF(COUNTIF('Transform Data'!$D:$D,'Transform Data'!D166)&gt;1,"Repeat","Single")</f>
        <v>Repeat</v>
      </c>
      <c r="J166" s="10" t="str">
        <f>IF('Transform Data'!D166="Cash","Cash",IF(COUNTIF('Transform Data'!$D:$D,'Transform Data'!D166)&gt;1,"Repeat","Single"))</f>
        <v>Repeat</v>
      </c>
      <c r="K166" s="10" t="str">
        <f t="shared" si="2"/>
        <v>TRANS-0165</v>
      </c>
    </row>
    <row r="167" spans="1:11" x14ac:dyDescent="0.35">
      <c r="A167" s="5">
        <v>45375</v>
      </c>
      <c r="B167" s="3">
        <v>0.78134259259259264</v>
      </c>
      <c r="C167" t="s">
        <v>8</v>
      </c>
      <c r="D167" t="s">
        <v>133</v>
      </c>
      <c r="E167" s="4">
        <v>38.700000000000003</v>
      </c>
      <c r="F167" t="s">
        <v>32</v>
      </c>
      <c r="G167" s="10" t="str">
        <f>TEXT(Transform_Data[[#This Row],[Date]],"mmm yyyy")</f>
        <v>Mar 2024</v>
      </c>
      <c r="H167" s="10">
        <f>HOUR(Transform_Data[[#This Row],[Time]])</f>
        <v>18</v>
      </c>
      <c r="I167" s="10" t="str">
        <f>IF(COUNTIF('Transform Data'!$D:$D,'Transform Data'!D167)&gt;1,"Repeat","Single")</f>
        <v>Repeat</v>
      </c>
      <c r="J167" s="10" t="str">
        <f>IF('Transform Data'!D167="Cash","Cash",IF(COUNTIF('Transform Data'!$D:$D,'Transform Data'!D167)&gt;1,"Repeat","Single"))</f>
        <v>Repeat</v>
      </c>
      <c r="K167" s="10" t="str">
        <f t="shared" si="2"/>
        <v>TRANS-0166</v>
      </c>
    </row>
    <row r="168" spans="1:11" x14ac:dyDescent="0.35">
      <c r="A168" s="5">
        <v>45376</v>
      </c>
      <c r="B168" s="3">
        <v>0.43873842592592593</v>
      </c>
      <c r="C168" t="s">
        <v>8</v>
      </c>
      <c r="D168" t="s">
        <v>25</v>
      </c>
      <c r="E168" s="4">
        <v>38.700000000000003</v>
      </c>
      <c r="F168" t="s">
        <v>32</v>
      </c>
      <c r="G168" s="10" t="str">
        <f>TEXT(Transform_Data[[#This Row],[Date]],"mmm yyyy")</f>
        <v>Mar 2024</v>
      </c>
      <c r="H168" s="10">
        <f>HOUR(Transform_Data[[#This Row],[Time]])</f>
        <v>10</v>
      </c>
      <c r="I168" s="10" t="str">
        <f>IF(COUNTIF('Transform Data'!$D:$D,'Transform Data'!D168)&gt;1,"Repeat","Single")</f>
        <v>Repeat</v>
      </c>
      <c r="J168" s="10" t="str">
        <f>IF('Transform Data'!D168="Cash","Cash",IF(COUNTIF('Transform Data'!$D:$D,'Transform Data'!D168)&gt;1,"Repeat","Single"))</f>
        <v>Repeat</v>
      </c>
      <c r="K168" s="10" t="str">
        <f t="shared" si="2"/>
        <v>TRANS-0167</v>
      </c>
    </row>
    <row r="169" spans="1:11" x14ac:dyDescent="0.35">
      <c r="A169" s="5">
        <v>45376</v>
      </c>
      <c r="B169" s="3">
        <v>0.4697337962962963</v>
      </c>
      <c r="C169" t="s">
        <v>13</v>
      </c>
      <c r="D169" t="s">
        <v>37</v>
      </c>
      <c r="E169" s="4">
        <v>35</v>
      </c>
      <c r="F169" t="s">
        <v>36</v>
      </c>
      <c r="G169" s="10" t="str">
        <f>TEXT(Transform_Data[[#This Row],[Date]],"mmm yyyy")</f>
        <v>Mar 2024</v>
      </c>
      <c r="H169" s="10">
        <f>HOUR(Transform_Data[[#This Row],[Time]])</f>
        <v>11</v>
      </c>
      <c r="I169" s="10" t="str">
        <f>IF(COUNTIF('Transform Data'!$D:$D,'Transform Data'!D169)&gt;1,"Repeat","Single")</f>
        <v>Repeat</v>
      </c>
      <c r="J169" s="10" t="str">
        <f>IF('Transform Data'!D169="Cash","Cash",IF(COUNTIF('Transform Data'!$D:$D,'Transform Data'!D169)&gt;1,"Repeat","Single"))</f>
        <v>Repeat</v>
      </c>
      <c r="K169" s="10" t="str">
        <f t="shared" si="2"/>
        <v>TRANS-0168</v>
      </c>
    </row>
    <row r="170" spans="1:11" x14ac:dyDescent="0.35">
      <c r="A170" s="5">
        <v>45376</v>
      </c>
      <c r="B170" s="3">
        <v>0.60218749999999999</v>
      </c>
      <c r="C170" t="s">
        <v>8</v>
      </c>
      <c r="D170" t="s">
        <v>134</v>
      </c>
      <c r="E170" s="4">
        <v>38.700000000000003</v>
      </c>
      <c r="F170" t="s">
        <v>32</v>
      </c>
      <c r="G170" s="10" t="str">
        <f>TEXT(Transform_Data[[#This Row],[Date]],"mmm yyyy")</f>
        <v>Mar 2024</v>
      </c>
      <c r="H170" s="10">
        <f>HOUR(Transform_Data[[#This Row],[Time]])</f>
        <v>14</v>
      </c>
      <c r="I170" s="10" t="str">
        <f>IF(COUNTIF('Transform Data'!$D:$D,'Transform Data'!D170)&gt;1,"Repeat","Single")</f>
        <v>Single</v>
      </c>
      <c r="J170" s="10" t="str">
        <f>IF('Transform Data'!D170="Cash","Cash",IF(COUNTIF('Transform Data'!$D:$D,'Transform Data'!D170)&gt;1,"Repeat","Single"))</f>
        <v>Single</v>
      </c>
      <c r="K170" s="10" t="str">
        <f t="shared" si="2"/>
        <v>TRANS-0169</v>
      </c>
    </row>
    <row r="171" spans="1:11" x14ac:dyDescent="0.35">
      <c r="A171" s="5">
        <v>45376</v>
      </c>
      <c r="B171" s="3">
        <v>0.60376157407407405</v>
      </c>
      <c r="C171" t="s">
        <v>8</v>
      </c>
      <c r="D171" t="s">
        <v>74</v>
      </c>
      <c r="E171" s="4">
        <v>38.700000000000003</v>
      </c>
      <c r="F171" t="s">
        <v>32</v>
      </c>
      <c r="G171" s="10" t="str">
        <f>TEXT(Transform_Data[[#This Row],[Date]],"mmm yyyy")</f>
        <v>Mar 2024</v>
      </c>
      <c r="H171" s="10">
        <f>HOUR(Transform_Data[[#This Row],[Time]])</f>
        <v>14</v>
      </c>
      <c r="I171" s="10" t="str">
        <f>IF(COUNTIF('Transform Data'!$D:$D,'Transform Data'!D171)&gt;1,"Repeat","Single")</f>
        <v>Repeat</v>
      </c>
      <c r="J171" s="10" t="str">
        <f>IF('Transform Data'!D171="Cash","Cash",IF(COUNTIF('Transform Data'!$D:$D,'Transform Data'!D171)&gt;1,"Repeat","Single"))</f>
        <v>Repeat</v>
      </c>
      <c r="K171" s="10" t="str">
        <f t="shared" si="2"/>
        <v>TRANS-0170</v>
      </c>
    </row>
    <row r="172" spans="1:11" x14ac:dyDescent="0.35">
      <c r="A172" s="5">
        <v>45376</v>
      </c>
      <c r="B172" s="3">
        <v>0.77604166666666663</v>
      </c>
      <c r="C172" t="s">
        <v>8</v>
      </c>
      <c r="D172" t="s">
        <v>81</v>
      </c>
      <c r="E172" s="4">
        <v>33.799999999999997</v>
      </c>
      <c r="F172" t="s">
        <v>36</v>
      </c>
      <c r="G172" s="10" t="str">
        <f>TEXT(Transform_Data[[#This Row],[Date]],"mmm yyyy")</f>
        <v>Mar 2024</v>
      </c>
      <c r="H172" s="10">
        <f>HOUR(Transform_Data[[#This Row],[Time]])</f>
        <v>18</v>
      </c>
      <c r="I172" s="10" t="str">
        <f>IF(COUNTIF('Transform Data'!$D:$D,'Transform Data'!D172)&gt;1,"Repeat","Single")</f>
        <v>Repeat</v>
      </c>
      <c r="J172" s="10" t="str">
        <f>IF('Transform Data'!D172="Cash","Cash",IF(COUNTIF('Transform Data'!$D:$D,'Transform Data'!D172)&gt;1,"Repeat","Single"))</f>
        <v>Repeat</v>
      </c>
      <c r="K172" s="10" t="str">
        <f t="shared" si="2"/>
        <v>TRANS-0171</v>
      </c>
    </row>
    <row r="173" spans="1:11" x14ac:dyDescent="0.35">
      <c r="A173" s="5">
        <v>45376</v>
      </c>
      <c r="B173" s="3">
        <v>0.81555555555555559</v>
      </c>
      <c r="C173" t="s">
        <v>8</v>
      </c>
      <c r="D173" t="s">
        <v>135</v>
      </c>
      <c r="E173" s="4">
        <v>38.700000000000003</v>
      </c>
      <c r="F173" t="s">
        <v>24</v>
      </c>
      <c r="G173" s="10" t="str">
        <f>TEXT(Transform_Data[[#This Row],[Date]],"mmm yyyy")</f>
        <v>Mar 2024</v>
      </c>
      <c r="H173" s="10">
        <f>HOUR(Transform_Data[[#This Row],[Time]])</f>
        <v>19</v>
      </c>
      <c r="I173" s="10" t="str">
        <f>IF(COUNTIF('Transform Data'!$D:$D,'Transform Data'!D173)&gt;1,"Repeat","Single")</f>
        <v>Single</v>
      </c>
      <c r="J173" s="10" t="str">
        <f>IF('Transform Data'!D173="Cash","Cash",IF(COUNTIF('Transform Data'!$D:$D,'Transform Data'!D173)&gt;1,"Repeat","Single"))</f>
        <v>Single</v>
      </c>
      <c r="K173" s="10" t="str">
        <f t="shared" si="2"/>
        <v>TRANS-0172</v>
      </c>
    </row>
    <row r="174" spans="1:11" x14ac:dyDescent="0.35">
      <c r="A174" s="5">
        <v>45377</v>
      </c>
      <c r="B174" s="3">
        <v>0.44153935185185184</v>
      </c>
      <c r="C174" t="s">
        <v>8</v>
      </c>
      <c r="D174" t="s">
        <v>111</v>
      </c>
      <c r="E174" s="4">
        <v>38.700000000000003</v>
      </c>
      <c r="F174" t="s">
        <v>10</v>
      </c>
      <c r="G174" s="10" t="str">
        <f>TEXT(Transform_Data[[#This Row],[Date]],"mmm yyyy")</f>
        <v>Mar 2024</v>
      </c>
      <c r="H174" s="10">
        <f>HOUR(Transform_Data[[#This Row],[Time]])</f>
        <v>10</v>
      </c>
      <c r="I174" s="10" t="str">
        <f>IF(COUNTIF('Transform Data'!$D:$D,'Transform Data'!D174)&gt;1,"Repeat","Single")</f>
        <v>Repeat</v>
      </c>
      <c r="J174" s="10" t="str">
        <f>IF('Transform Data'!D174="Cash","Cash",IF(COUNTIF('Transform Data'!$D:$D,'Transform Data'!D174)&gt;1,"Repeat","Single"))</f>
        <v>Repeat</v>
      </c>
      <c r="K174" s="10" t="str">
        <f t="shared" si="2"/>
        <v>TRANS-0173</v>
      </c>
    </row>
    <row r="175" spans="1:11" x14ac:dyDescent="0.35">
      <c r="A175" s="5">
        <v>45377</v>
      </c>
      <c r="B175" s="3">
        <v>0.44208333333333333</v>
      </c>
      <c r="C175" t="s">
        <v>8</v>
      </c>
      <c r="D175" t="s">
        <v>111</v>
      </c>
      <c r="E175" s="4">
        <v>38.700000000000003</v>
      </c>
      <c r="F175" t="s">
        <v>32</v>
      </c>
      <c r="G175" s="10" t="str">
        <f>TEXT(Transform_Data[[#This Row],[Date]],"mmm yyyy")</f>
        <v>Mar 2024</v>
      </c>
      <c r="H175" s="10">
        <f>HOUR(Transform_Data[[#This Row],[Time]])</f>
        <v>10</v>
      </c>
      <c r="I175" s="10" t="str">
        <f>IF(COUNTIF('Transform Data'!$D:$D,'Transform Data'!D175)&gt;1,"Repeat","Single")</f>
        <v>Repeat</v>
      </c>
      <c r="J175" s="10" t="str">
        <f>IF('Transform Data'!D175="Cash","Cash",IF(COUNTIF('Transform Data'!$D:$D,'Transform Data'!D175)&gt;1,"Repeat","Single"))</f>
        <v>Repeat</v>
      </c>
      <c r="K175" s="10" t="str">
        <f t="shared" si="2"/>
        <v>TRANS-0174</v>
      </c>
    </row>
    <row r="176" spans="1:11" x14ac:dyDescent="0.35">
      <c r="A176" s="5">
        <v>45377</v>
      </c>
      <c r="B176" s="3">
        <v>0.44618055555555558</v>
      </c>
      <c r="C176" t="s">
        <v>8</v>
      </c>
      <c r="D176" t="s">
        <v>136</v>
      </c>
      <c r="E176" s="4">
        <v>38.700000000000003</v>
      </c>
      <c r="F176" t="s">
        <v>32</v>
      </c>
      <c r="G176" s="10" t="str">
        <f>TEXT(Transform_Data[[#This Row],[Date]],"mmm yyyy")</f>
        <v>Mar 2024</v>
      </c>
      <c r="H176" s="10">
        <f>HOUR(Transform_Data[[#This Row],[Time]])</f>
        <v>10</v>
      </c>
      <c r="I176" s="10" t="str">
        <f>IF(COUNTIF('Transform Data'!$D:$D,'Transform Data'!D176)&gt;1,"Repeat","Single")</f>
        <v>Single</v>
      </c>
      <c r="J176" s="10" t="str">
        <f>IF('Transform Data'!D176="Cash","Cash",IF(COUNTIF('Transform Data'!$D:$D,'Transform Data'!D176)&gt;1,"Repeat","Single"))</f>
        <v>Single</v>
      </c>
      <c r="K176" s="10" t="str">
        <f t="shared" si="2"/>
        <v>TRANS-0175</v>
      </c>
    </row>
    <row r="177" spans="1:11" x14ac:dyDescent="0.35">
      <c r="A177" s="5">
        <v>45377</v>
      </c>
      <c r="B177" s="3">
        <v>0.46651620370370372</v>
      </c>
      <c r="C177" t="s">
        <v>8</v>
      </c>
      <c r="D177" t="s">
        <v>25</v>
      </c>
      <c r="E177" s="4">
        <v>28.9</v>
      </c>
      <c r="F177" t="s">
        <v>20</v>
      </c>
      <c r="G177" s="10" t="str">
        <f>TEXT(Transform_Data[[#This Row],[Date]],"mmm yyyy")</f>
        <v>Mar 2024</v>
      </c>
      <c r="H177" s="10">
        <f>HOUR(Transform_Data[[#This Row],[Time]])</f>
        <v>11</v>
      </c>
      <c r="I177" s="10" t="str">
        <f>IF(COUNTIF('Transform Data'!$D:$D,'Transform Data'!D177)&gt;1,"Repeat","Single")</f>
        <v>Repeat</v>
      </c>
      <c r="J177" s="10" t="str">
        <f>IF('Transform Data'!D177="Cash","Cash",IF(COUNTIF('Transform Data'!$D:$D,'Transform Data'!D177)&gt;1,"Repeat","Single"))</f>
        <v>Repeat</v>
      </c>
      <c r="K177" s="10" t="str">
        <f t="shared" si="2"/>
        <v>TRANS-0176</v>
      </c>
    </row>
    <row r="178" spans="1:11" x14ac:dyDescent="0.35">
      <c r="A178" s="5">
        <v>45377</v>
      </c>
      <c r="B178" s="3">
        <v>0.56657407407407412</v>
      </c>
      <c r="C178" t="s">
        <v>8</v>
      </c>
      <c r="D178" t="s">
        <v>62</v>
      </c>
      <c r="E178" s="4">
        <v>28.9</v>
      </c>
      <c r="F178" t="s">
        <v>28</v>
      </c>
      <c r="G178" s="10" t="str">
        <f>TEXT(Transform_Data[[#This Row],[Date]],"mmm yyyy")</f>
        <v>Mar 2024</v>
      </c>
      <c r="H178" s="10">
        <f>HOUR(Transform_Data[[#This Row],[Time]])</f>
        <v>13</v>
      </c>
      <c r="I178" s="10" t="str">
        <f>IF(COUNTIF('Transform Data'!$D:$D,'Transform Data'!D178)&gt;1,"Repeat","Single")</f>
        <v>Repeat</v>
      </c>
      <c r="J178" s="10" t="str">
        <f>IF('Transform Data'!D178="Cash","Cash",IF(COUNTIF('Transform Data'!$D:$D,'Transform Data'!D178)&gt;1,"Repeat","Single"))</f>
        <v>Repeat</v>
      </c>
      <c r="K178" s="10" t="str">
        <f t="shared" si="2"/>
        <v>TRANS-0177</v>
      </c>
    </row>
    <row r="179" spans="1:11" x14ac:dyDescent="0.35">
      <c r="A179" s="5">
        <v>45377</v>
      </c>
      <c r="B179" s="3">
        <v>0.56723379629629633</v>
      </c>
      <c r="C179" t="s">
        <v>8</v>
      </c>
      <c r="D179" t="s">
        <v>89</v>
      </c>
      <c r="E179" s="4">
        <v>28.9</v>
      </c>
      <c r="F179" t="s">
        <v>20</v>
      </c>
      <c r="G179" s="10" t="str">
        <f>TEXT(Transform_Data[[#This Row],[Date]],"mmm yyyy")</f>
        <v>Mar 2024</v>
      </c>
      <c r="H179" s="10">
        <f>HOUR(Transform_Data[[#This Row],[Time]])</f>
        <v>13</v>
      </c>
      <c r="I179" s="10" t="str">
        <f>IF(COUNTIF('Transform Data'!$D:$D,'Transform Data'!D179)&gt;1,"Repeat","Single")</f>
        <v>Repeat</v>
      </c>
      <c r="J179" s="10" t="str">
        <f>IF('Transform Data'!D179="Cash","Cash",IF(COUNTIF('Transform Data'!$D:$D,'Transform Data'!D179)&gt;1,"Repeat","Single"))</f>
        <v>Repeat</v>
      </c>
      <c r="K179" s="10" t="str">
        <f t="shared" si="2"/>
        <v>TRANS-0178</v>
      </c>
    </row>
    <row r="180" spans="1:11" x14ac:dyDescent="0.35">
      <c r="A180" s="5">
        <v>45377</v>
      </c>
      <c r="B180" s="3">
        <v>0.5680439814814815</v>
      </c>
      <c r="C180" t="s">
        <v>8</v>
      </c>
      <c r="D180" t="s">
        <v>115</v>
      </c>
      <c r="E180" s="4">
        <v>28.9</v>
      </c>
      <c r="F180" t="s">
        <v>20</v>
      </c>
      <c r="G180" s="10" t="str">
        <f>TEXT(Transform_Data[[#This Row],[Date]],"mmm yyyy")</f>
        <v>Mar 2024</v>
      </c>
      <c r="H180" s="10">
        <f>HOUR(Transform_Data[[#This Row],[Time]])</f>
        <v>13</v>
      </c>
      <c r="I180" s="10" t="str">
        <f>IF(COUNTIF('Transform Data'!$D:$D,'Transform Data'!D180)&gt;1,"Repeat","Single")</f>
        <v>Repeat</v>
      </c>
      <c r="J180" s="10" t="str">
        <f>IF('Transform Data'!D180="Cash","Cash",IF(COUNTIF('Transform Data'!$D:$D,'Transform Data'!D180)&gt;1,"Repeat","Single"))</f>
        <v>Repeat</v>
      </c>
      <c r="K180" s="10" t="str">
        <f t="shared" si="2"/>
        <v>TRANS-0179</v>
      </c>
    </row>
    <row r="181" spans="1:11" x14ac:dyDescent="0.35">
      <c r="A181" s="5">
        <v>45377</v>
      </c>
      <c r="B181" s="3">
        <v>0.58186342592592588</v>
      </c>
      <c r="C181" t="s">
        <v>8</v>
      </c>
      <c r="D181" t="s">
        <v>106</v>
      </c>
      <c r="E181" s="4">
        <v>28.9</v>
      </c>
      <c r="F181" t="s">
        <v>28</v>
      </c>
      <c r="G181" s="10" t="str">
        <f>TEXT(Transform_Data[[#This Row],[Date]],"mmm yyyy")</f>
        <v>Mar 2024</v>
      </c>
      <c r="H181" s="10">
        <f>HOUR(Transform_Data[[#This Row],[Time]])</f>
        <v>13</v>
      </c>
      <c r="I181" s="10" t="str">
        <f>IF(COUNTIF('Transform Data'!$D:$D,'Transform Data'!D181)&gt;1,"Repeat","Single")</f>
        <v>Repeat</v>
      </c>
      <c r="J181" s="10" t="str">
        <f>IF('Transform Data'!D181="Cash","Cash",IF(COUNTIF('Transform Data'!$D:$D,'Transform Data'!D181)&gt;1,"Repeat","Single"))</f>
        <v>Repeat</v>
      </c>
      <c r="K181" s="10" t="str">
        <f t="shared" si="2"/>
        <v>TRANS-0180</v>
      </c>
    </row>
    <row r="182" spans="1:11" x14ac:dyDescent="0.35">
      <c r="A182" s="5">
        <v>45377</v>
      </c>
      <c r="B182" s="3">
        <v>0.65835648148148151</v>
      </c>
      <c r="C182" t="s">
        <v>8</v>
      </c>
      <c r="D182" t="s">
        <v>137</v>
      </c>
      <c r="E182" s="4">
        <v>38.700000000000003</v>
      </c>
      <c r="F182" t="s">
        <v>32</v>
      </c>
      <c r="G182" s="10" t="str">
        <f>TEXT(Transform_Data[[#This Row],[Date]],"mmm yyyy")</f>
        <v>Mar 2024</v>
      </c>
      <c r="H182" s="10">
        <f>HOUR(Transform_Data[[#This Row],[Time]])</f>
        <v>15</v>
      </c>
      <c r="I182" s="10" t="str">
        <f>IF(COUNTIF('Transform Data'!$D:$D,'Transform Data'!D182)&gt;1,"Repeat","Single")</f>
        <v>Repeat</v>
      </c>
      <c r="J182" s="10" t="str">
        <f>IF('Transform Data'!D182="Cash","Cash",IF(COUNTIF('Transform Data'!$D:$D,'Transform Data'!D182)&gt;1,"Repeat","Single"))</f>
        <v>Repeat</v>
      </c>
      <c r="K182" s="10" t="str">
        <f t="shared" si="2"/>
        <v>TRANS-0181</v>
      </c>
    </row>
    <row r="183" spans="1:11" x14ac:dyDescent="0.35">
      <c r="A183" s="5">
        <v>45377</v>
      </c>
      <c r="B183" s="3">
        <v>0.77335648148148151</v>
      </c>
      <c r="C183" t="s">
        <v>8</v>
      </c>
      <c r="D183" t="s">
        <v>81</v>
      </c>
      <c r="E183" s="4">
        <v>38.700000000000003</v>
      </c>
      <c r="F183" t="s">
        <v>32</v>
      </c>
      <c r="G183" s="10" t="str">
        <f>TEXT(Transform_Data[[#This Row],[Date]],"mmm yyyy")</f>
        <v>Mar 2024</v>
      </c>
      <c r="H183" s="10">
        <f>HOUR(Transform_Data[[#This Row],[Time]])</f>
        <v>18</v>
      </c>
      <c r="I183" s="10" t="str">
        <f>IF(COUNTIF('Transform Data'!$D:$D,'Transform Data'!D183)&gt;1,"Repeat","Single")</f>
        <v>Repeat</v>
      </c>
      <c r="J183" s="10" t="str">
        <f>IF('Transform Data'!D183="Cash","Cash",IF(COUNTIF('Transform Data'!$D:$D,'Transform Data'!D183)&gt;1,"Repeat","Single"))</f>
        <v>Repeat</v>
      </c>
      <c r="K183" s="10" t="str">
        <f t="shared" si="2"/>
        <v>TRANS-0182</v>
      </c>
    </row>
    <row r="184" spans="1:11" x14ac:dyDescent="0.35">
      <c r="A184" s="5">
        <v>45377</v>
      </c>
      <c r="B184" s="3">
        <v>0.77423611111111112</v>
      </c>
      <c r="C184" t="s">
        <v>8</v>
      </c>
      <c r="D184" t="s">
        <v>25</v>
      </c>
      <c r="E184" s="4">
        <v>38.700000000000003</v>
      </c>
      <c r="F184" t="s">
        <v>15</v>
      </c>
      <c r="G184" s="10" t="str">
        <f>TEXT(Transform_Data[[#This Row],[Date]],"mmm yyyy")</f>
        <v>Mar 2024</v>
      </c>
      <c r="H184" s="10">
        <f>HOUR(Transform_Data[[#This Row],[Time]])</f>
        <v>18</v>
      </c>
      <c r="I184" s="10" t="str">
        <f>IF(COUNTIF('Transform Data'!$D:$D,'Transform Data'!D184)&gt;1,"Repeat","Single")</f>
        <v>Repeat</v>
      </c>
      <c r="J184" s="10" t="str">
        <f>IF('Transform Data'!D184="Cash","Cash",IF(COUNTIF('Transform Data'!$D:$D,'Transform Data'!D184)&gt;1,"Repeat","Single"))</f>
        <v>Repeat</v>
      </c>
      <c r="K184" s="10" t="str">
        <f t="shared" si="2"/>
        <v>TRANS-0183</v>
      </c>
    </row>
    <row r="185" spans="1:11" x14ac:dyDescent="0.35">
      <c r="A185" s="5">
        <v>45378</v>
      </c>
      <c r="B185" s="3">
        <v>0.4617013888888889</v>
      </c>
      <c r="C185" t="s">
        <v>8</v>
      </c>
      <c r="D185" t="s">
        <v>62</v>
      </c>
      <c r="E185" s="4">
        <v>28.9</v>
      </c>
      <c r="F185" t="s">
        <v>20</v>
      </c>
      <c r="G185" s="10" t="str">
        <f>TEXT(Transform_Data[[#This Row],[Date]],"mmm yyyy")</f>
        <v>Mar 2024</v>
      </c>
      <c r="H185" s="10">
        <f>HOUR(Transform_Data[[#This Row],[Time]])</f>
        <v>11</v>
      </c>
      <c r="I185" s="10" t="str">
        <f>IF(COUNTIF('Transform Data'!$D:$D,'Transform Data'!D185)&gt;1,"Repeat","Single")</f>
        <v>Repeat</v>
      </c>
      <c r="J185" s="10" t="str">
        <f>IF('Transform Data'!D185="Cash","Cash",IF(COUNTIF('Transform Data'!$D:$D,'Transform Data'!D185)&gt;1,"Repeat","Single"))</f>
        <v>Repeat</v>
      </c>
      <c r="K185" s="10" t="str">
        <f t="shared" si="2"/>
        <v>TRANS-0184</v>
      </c>
    </row>
    <row r="186" spans="1:11" x14ac:dyDescent="0.35">
      <c r="A186" s="5">
        <v>45378</v>
      </c>
      <c r="B186" s="3">
        <v>0.46247685185185183</v>
      </c>
      <c r="C186" t="s">
        <v>8</v>
      </c>
      <c r="D186" t="s">
        <v>62</v>
      </c>
      <c r="E186" s="4">
        <v>33.799999999999997</v>
      </c>
      <c r="F186" t="s">
        <v>36</v>
      </c>
      <c r="G186" s="10" t="str">
        <f>TEXT(Transform_Data[[#This Row],[Date]],"mmm yyyy")</f>
        <v>Mar 2024</v>
      </c>
      <c r="H186" s="10">
        <f>HOUR(Transform_Data[[#This Row],[Time]])</f>
        <v>11</v>
      </c>
      <c r="I186" s="10" t="str">
        <f>IF(COUNTIF('Transform Data'!$D:$D,'Transform Data'!D186)&gt;1,"Repeat","Single")</f>
        <v>Repeat</v>
      </c>
      <c r="J186" s="10" t="str">
        <f>IF('Transform Data'!D186="Cash","Cash",IF(COUNTIF('Transform Data'!$D:$D,'Transform Data'!D186)&gt;1,"Repeat","Single"))</f>
        <v>Repeat</v>
      </c>
      <c r="K186" s="10" t="str">
        <f t="shared" si="2"/>
        <v>TRANS-0185</v>
      </c>
    </row>
    <row r="187" spans="1:11" x14ac:dyDescent="0.35">
      <c r="A187" s="5">
        <v>45378</v>
      </c>
      <c r="B187" s="3">
        <v>0.5395833333333333</v>
      </c>
      <c r="C187" t="s">
        <v>8</v>
      </c>
      <c r="D187" t="s">
        <v>138</v>
      </c>
      <c r="E187" s="4">
        <v>33.799999999999997</v>
      </c>
      <c r="F187" t="s">
        <v>36</v>
      </c>
      <c r="G187" s="10" t="str">
        <f>TEXT(Transform_Data[[#This Row],[Date]],"mmm yyyy")</f>
        <v>Mar 2024</v>
      </c>
      <c r="H187" s="10">
        <f>HOUR(Transform_Data[[#This Row],[Time]])</f>
        <v>12</v>
      </c>
      <c r="I187" s="10" t="str">
        <f>IF(COUNTIF('Transform Data'!$D:$D,'Transform Data'!D187)&gt;1,"Repeat","Single")</f>
        <v>Single</v>
      </c>
      <c r="J187" s="10" t="str">
        <f>IF('Transform Data'!D187="Cash","Cash",IF(COUNTIF('Transform Data'!$D:$D,'Transform Data'!D187)&gt;1,"Repeat","Single"))</f>
        <v>Single</v>
      </c>
      <c r="K187" s="10" t="str">
        <f t="shared" si="2"/>
        <v>TRANS-0186</v>
      </c>
    </row>
    <row r="188" spans="1:11" x14ac:dyDescent="0.35">
      <c r="A188" s="5">
        <v>45378</v>
      </c>
      <c r="B188" s="3">
        <v>0.56620370370370365</v>
      </c>
      <c r="C188" t="s">
        <v>8</v>
      </c>
      <c r="D188" t="s">
        <v>139</v>
      </c>
      <c r="E188" s="4">
        <v>38.700000000000003</v>
      </c>
      <c r="F188" t="s">
        <v>15</v>
      </c>
      <c r="G188" s="10" t="str">
        <f>TEXT(Transform_Data[[#This Row],[Date]],"mmm yyyy")</f>
        <v>Mar 2024</v>
      </c>
      <c r="H188" s="10">
        <f>HOUR(Transform_Data[[#This Row],[Time]])</f>
        <v>13</v>
      </c>
      <c r="I188" s="10" t="str">
        <f>IF(COUNTIF('Transform Data'!$D:$D,'Transform Data'!D188)&gt;1,"Repeat","Single")</f>
        <v>Single</v>
      </c>
      <c r="J188" s="10" t="str">
        <f>IF('Transform Data'!D188="Cash","Cash",IF(COUNTIF('Transform Data'!$D:$D,'Transform Data'!D188)&gt;1,"Repeat","Single"))</f>
        <v>Single</v>
      </c>
      <c r="K188" s="10" t="str">
        <f t="shared" si="2"/>
        <v>TRANS-0187</v>
      </c>
    </row>
    <row r="189" spans="1:11" x14ac:dyDescent="0.35">
      <c r="A189" s="5">
        <v>45378</v>
      </c>
      <c r="B189" s="3">
        <v>0.59896990740740741</v>
      </c>
      <c r="C189" t="s">
        <v>8</v>
      </c>
      <c r="D189" t="s">
        <v>43</v>
      </c>
      <c r="E189" s="4">
        <v>38.700000000000003</v>
      </c>
      <c r="F189" t="s">
        <v>24</v>
      </c>
      <c r="G189" s="10" t="str">
        <f>TEXT(Transform_Data[[#This Row],[Date]],"mmm yyyy")</f>
        <v>Mar 2024</v>
      </c>
      <c r="H189" s="10">
        <f>HOUR(Transform_Data[[#This Row],[Time]])</f>
        <v>14</v>
      </c>
      <c r="I189" s="10" t="str">
        <f>IF(COUNTIF('Transform Data'!$D:$D,'Transform Data'!D189)&gt;1,"Repeat","Single")</f>
        <v>Repeat</v>
      </c>
      <c r="J189" s="10" t="str">
        <f>IF('Transform Data'!D189="Cash","Cash",IF(COUNTIF('Transform Data'!$D:$D,'Transform Data'!D189)&gt;1,"Repeat","Single"))</f>
        <v>Repeat</v>
      </c>
      <c r="K189" s="10" t="str">
        <f t="shared" si="2"/>
        <v>TRANS-0188</v>
      </c>
    </row>
    <row r="190" spans="1:11" x14ac:dyDescent="0.35">
      <c r="A190" s="5">
        <v>45378</v>
      </c>
      <c r="B190" s="3">
        <v>0.59971064814814812</v>
      </c>
      <c r="C190" t="s">
        <v>8</v>
      </c>
      <c r="D190" t="s">
        <v>43</v>
      </c>
      <c r="E190" s="4">
        <v>28.9</v>
      </c>
      <c r="F190" t="s">
        <v>28</v>
      </c>
      <c r="G190" s="10" t="str">
        <f>TEXT(Transform_Data[[#This Row],[Date]],"mmm yyyy")</f>
        <v>Mar 2024</v>
      </c>
      <c r="H190" s="10">
        <f>HOUR(Transform_Data[[#This Row],[Time]])</f>
        <v>14</v>
      </c>
      <c r="I190" s="10" t="str">
        <f>IF(COUNTIF('Transform Data'!$D:$D,'Transform Data'!D190)&gt;1,"Repeat","Single")</f>
        <v>Repeat</v>
      </c>
      <c r="J190" s="10" t="str">
        <f>IF('Transform Data'!D190="Cash","Cash",IF(COUNTIF('Transform Data'!$D:$D,'Transform Data'!D190)&gt;1,"Repeat","Single"))</f>
        <v>Repeat</v>
      </c>
      <c r="K190" s="10" t="str">
        <f t="shared" si="2"/>
        <v>TRANS-0189</v>
      </c>
    </row>
    <row r="191" spans="1:11" x14ac:dyDescent="0.35">
      <c r="A191" s="5">
        <v>45378</v>
      </c>
      <c r="B191" s="3">
        <v>0.77096064814814813</v>
      </c>
      <c r="C191" t="s">
        <v>8</v>
      </c>
      <c r="D191" t="s">
        <v>140</v>
      </c>
      <c r="E191" s="4">
        <v>28.9</v>
      </c>
      <c r="F191" t="s">
        <v>20</v>
      </c>
      <c r="G191" s="10" t="str">
        <f>TEXT(Transform_Data[[#This Row],[Date]],"mmm yyyy")</f>
        <v>Mar 2024</v>
      </c>
      <c r="H191" s="10">
        <f>HOUR(Transform_Data[[#This Row],[Time]])</f>
        <v>18</v>
      </c>
      <c r="I191" s="10" t="str">
        <f>IF(COUNTIF('Transform Data'!$D:$D,'Transform Data'!D191)&gt;1,"Repeat","Single")</f>
        <v>Repeat</v>
      </c>
      <c r="J191" s="10" t="str">
        <f>IF('Transform Data'!D191="Cash","Cash",IF(COUNTIF('Transform Data'!$D:$D,'Transform Data'!D191)&gt;1,"Repeat","Single"))</f>
        <v>Repeat</v>
      </c>
      <c r="K191" s="10" t="str">
        <f t="shared" si="2"/>
        <v>TRANS-0190</v>
      </c>
    </row>
    <row r="192" spans="1:11" x14ac:dyDescent="0.35">
      <c r="A192" s="5">
        <v>45378</v>
      </c>
      <c r="B192" s="3">
        <v>0.81333333333333335</v>
      </c>
      <c r="C192" t="s">
        <v>13</v>
      </c>
      <c r="D192" t="s">
        <v>37</v>
      </c>
      <c r="E192" s="4">
        <v>40</v>
      </c>
      <c r="F192" t="s">
        <v>32</v>
      </c>
      <c r="G192" s="10" t="str">
        <f>TEXT(Transform_Data[[#This Row],[Date]],"mmm yyyy")</f>
        <v>Mar 2024</v>
      </c>
      <c r="H192" s="10">
        <f>HOUR(Transform_Data[[#This Row],[Time]])</f>
        <v>19</v>
      </c>
      <c r="I192" s="10" t="str">
        <f>IF(COUNTIF('Transform Data'!$D:$D,'Transform Data'!D192)&gt;1,"Repeat","Single")</f>
        <v>Repeat</v>
      </c>
      <c r="J192" s="10" t="str">
        <f>IF('Transform Data'!D192="Cash","Cash",IF(COUNTIF('Transform Data'!$D:$D,'Transform Data'!D192)&gt;1,"Repeat","Single"))</f>
        <v>Repeat</v>
      </c>
      <c r="K192" s="10" t="str">
        <f t="shared" si="2"/>
        <v>TRANS-0191</v>
      </c>
    </row>
    <row r="193" spans="1:11" x14ac:dyDescent="0.35">
      <c r="A193" s="5">
        <v>45379</v>
      </c>
      <c r="B193" s="3">
        <v>0.60054398148148147</v>
      </c>
      <c r="C193" t="s">
        <v>8</v>
      </c>
      <c r="D193" t="s">
        <v>141</v>
      </c>
      <c r="E193" s="4">
        <v>28.9</v>
      </c>
      <c r="F193" t="s">
        <v>20</v>
      </c>
      <c r="G193" s="10" t="str">
        <f>TEXT(Transform_Data[[#This Row],[Date]],"mmm yyyy")</f>
        <v>Mar 2024</v>
      </c>
      <c r="H193" s="10">
        <f>HOUR(Transform_Data[[#This Row],[Time]])</f>
        <v>14</v>
      </c>
      <c r="I193" s="10" t="str">
        <f>IF(COUNTIF('Transform Data'!$D:$D,'Transform Data'!D193)&gt;1,"Repeat","Single")</f>
        <v>Repeat</v>
      </c>
      <c r="J193" s="10" t="str">
        <f>IF('Transform Data'!D193="Cash","Cash",IF(COUNTIF('Transform Data'!$D:$D,'Transform Data'!D193)&gt;1,"Repeat","Single"))</f>
        <v>Repeat</v>
      </c>
      <c r="K193" s="10" t="str">
        <f t="shared" si="2"/>
        <v>TRANS-0192</v>
      </c>
    </row>
    <row r="194" spans="1:11" x14ac:dyDescent="0.35">
      <c r="A194" s="5">
        <v>45379</v>
      </c>
      <c r="B194" s="3">
        <v>0.72553240740740743</v>
      </c>
      <c r="C194" t="s">
        <v>8</v>
      </c>
      <c r="D194" t="s">
        <v>43</v>
      </c>
      <c r="E194" s="4">
        <v>28.9</v>
      </c>
      <c r="F194" t="s">
        <v>20</v>
      </c>
      <c r="G194" s="10" t="str">
        <f>TEXT(Transform_Data[[#This Row],[Date]],"mmm yyyy")</f>
        <v>Mar 2024</v>
      </c>
      <c r="H194" s="10">
        <f>HOUR(Transform_Data[[#This Row],[Time]])</f>
        <v>17</v>
      </c>
      <c r="I194" s="10" t="str">
        <f>IF(COUNTIF('Transform Data'!$D:$D,'Transform Data'!D194)&gt;1,"Repeat","Single")</f>
        <v>Repeat</v>
      </c>
      <c r="J194" s="10" t="str">
        <f>IF('Transform Data'!D194="Cash","Cash",IF(COUNTIF('Transform Data'!$D:$D,'Transform Data'!D194)&gt;1,"Repeat","Single"))</f>
        <v>Repeat</v>
      </c>
      <c r="K194" s="10" t="str">
        <f t="shared" ref="K194:K257" si="3">"TRANS-"&amp;TEXT(ROW(A193),"0000")</f>
        <v>TRANS-0193</v>
      </c>
    </row>
    <row r="195" spans="1:11" x14ac:dyDescent="0.35">
      <c r="A195" s="5">
        <v>45379</v>
      </c>
      <c r="B195" s="3">
        <v>0.72714120370370372</v>
      </c>
      <c r="C195" t="s">
        <v>8</v>
      </c>
      <c r="D195" t="s">
        <v>43</v>
      </c>
      <c r="E195" s="4">
        <v>28.9</v>
      </c>
      <c r="F195" t="s">
        <v>28</v>
      </c>
      <c r="G195" s="10" t="str">
        <f>TEXT(Transform_Data[[#This Row],[Date]],"mmm yyyy")</f>
        <v>Mar 2024</v>
      </c>
      <c r="H195" s="10">
        <f>HOUR(Transform_Data[[#This Row],[Time]])</f>
        <v>17</v>
      </c>
      <c r="I195" s="10" t="str">
        <f>IF(COUNTIF('Transform Data'!$D:$D,'Transform Data'!D195)&gt;1,"Repeat","Single")</f>
        <v>Repeat</v>
      </c>
      <c r="J195" s="10" t="str">
        <f>IF('Transform Data'!D195="Cash","Cash",IF(COUNTIF('Transform Data'!$D:$D,'Transform Data'!D195)&gt;1,"Repeat","Single"))</f>
        <v>Repeat</v>
      </c>
      <c r="K195" s="10" t="str">
        <f t="shared" si="3"/>
        <v>TRANS-0194</v>
      </c>
    </row>
    <row r="196" spans="1:11" x14ac:dyDescent="0.35">
      <c r="A196" s="5">
        <v>45379</v>
      </c>
      <c r="B196" s="3">
        <v>0.73106481481481478</v>
      </c>
      <c r="C196" t="s">
        <v>8</v>
      </c>
      <c r="D196" t="s">
        <v>142</v>
      </c>
      <c r="E196" s="4">
        <v>38.700000000000003</v>
      </c>
      <c r="F196" t="s">
        <v>32</v>
      </c>
      <c r="G196" s="10" t="str">
        <f>TEXT(Transform_Data[[#This Row],[Date]],"mmm yyyy")</f>
        <v>Mar 2024</v>
      </c>
      <c r="H196" s="10">
        <f>HOUR(Transform_Data[[#This Row],[Time]])</f>
        <v>17</v>
      </c>
      <c r="I196" s="10" t="str">
        <f>IF(COUNTIF('Transform Data'!$D:$D,'Transform Data'!D196)&gt;1,"Repeat","Single")</f>
        <v>Single</v>
      </c>
      <c r="J196" s="10" t="str">
        <f>IF('Transform Data'!D196="Cash","Cash",IF(COUNTIF('Transform Data'!$D:$D,'Transform Data'!D196)&gt;1,"Repeat","Single"))</f>
        <v>Single</v>
      </c>
      <c r="K196" s="10" t="str">
        <f t="shared" si="3"/>
        <v>TRANS-0195</v>
      </c>
    </row>
    <row r="197" spans="1:11" x14ac:dyDescent="0.35">
      <c r="A197" s="5">
        <v>45380</v>
      </c>
      <c r="B197" s="3">
        <v>0.45577546296296295</v>
      </c>
      <c r="C197" t="s">
        <v>8</v>
      </c>
      <c r="D197" t="s">
        <v>143</v>
      </c>
      <c r="E197" s="4">
        <v>38.700000000000003</v>
      </c>
      <c r="F197" t="s">
        <v>32</v>
      </c>
      <c r="G197" s="10" t="str">
        <f>TEXT(Transform_Data[[#This Row],[Date]],"mmm yyyy")</f>
        <v>Mar 2024</v>
      </c>
      <c r="H197" s="10">
        <f>HOUR(Transform_Data[[#This Row],[Time]])</f>
        <v>10</v>
      </c>
      <c r="I197" s="10" t="str">
        <f>IF(COUNTIF('Transform Data'!$D:$D,'Transform Data'!D197)&gt;1,"Repeat","Single")</f>
        <v>Single</v>
      </c>
      <c r="J197" s="10" t="str">
        <f>IF('Transform Data'!D197="Cash","Cash",IF(COUNTIF('Transform Data'!$D:$D,'Transform Data'!D197)&gt;1,"Repeat","Single"))</f>
        <v>Single</v>
      </c>
      <c r="K197" s="10" t="str">
        <f t="shared" si="3"/>
        <v>TRANS-0196</v>
      </c>
    </row>
    <row r="198" spans="1:11" x14ac:dyDescent="0.35">
      <c r="A198" s="5">
        <v>45380</v>
      </c>
      <c r="B198" s="3">
        <v>0.52380787037037035</v>
      </c>
      <c r="C198" t="s">
        <v>8</v>
      </c>
      <c r="D198" t="s">
        <v>144</v>
      </c>
      <c r="E198" s="4">
        <v>38.700000000000003</v>
      </c>
      <c r="F198" t="s">
        <v>24</v>
      </c>
      <c r="G198" s="10" t="str">
        <f>TEXT(Transform_Data[[#This Row],[Date]],"mmm yyyy")</f>
        <v>Mar 2024</v>
      </c>
      <c r="H198" s="10">
        <f>HOUR(Transform_Data[[#This Row],[Time]])</f>
        <v>12</v>
      </c>
      <c r="I198" s="10" t="str">
        <f>IF(COUNTIF('Transform Data'!$D:$D,'Transform Data'!D198)&gt;1,"Repeat","Single")</f>
        <v>Repeat</v>
      </c>
      <c r="J198" s="10" t="str">
        <f>IF('Transform Data'!D198="Cash","Cash",IF(COUNTIF('Transform Data'!$D:$D,'Transform Data'!D198)&gt;1,"Repeat","Single"))</f>
        <v>Repeat</v>
      </c>
      <c r="K198" s="10" t="str">
        <f t="shared" si="3"/>
        <v>TRANS-0197</v>
      </c>
    </row>
    <row r="199" spans="1:11" x14ac:dyDescent="0.35">
      <c r="A199" s="5">
        <v>45380</v>
      </c>
      <c r="B199" s="3">
        <v>0.52884259259259259</v>
      </c>
      <c r="C199" t="s">
        <v>8</v>
      </c>
      <c r="D199" t="s">
        <v>144</v>
      </c>
      <c r="E199" s="4">
        <v>38.700000000000003</v>
      </c>
      <c r="F199" t="s">
        <v>24</v>
      </c>
      <c r="G199" s="10" t="str">
        <f>TEXT(Transform_Data[[#This Row],[Date]],"mmm yyyy")</f>
        <v>Mar 2024</v>
      </c>
      <c r="H199" s="10">
        <f>HOUR(Transform_Data[[#This Row],[Time]])</f>
        <v>12</v>
      </c>
      <c r="I199" s="10" t="str">
        <f>IF(COUNTIF('Transform Data'!$D:$D,'Transform Data'!D199)&gt;1,"Repeat","Single")</f>
        <v>Repeat</v>
      </c>
      <c r="J199" s="10" t="str">
        <f>IF('Transform Data'!D199="Cash","Cash",IF(COUNTIF('Transform Data'!$D:$D,'Transform Data'!D199)&gt;1,"Repeat","Single"))</f>
        <v>Repeat</v>
      </c>
      <c r="K199" s="10" t="str">
        <f t="shared" si="3"/>
        <v>TRANS-0198</v>
      </c>
    </row>
    <row r="200" spans="1:11" x14ac:dyDescent="0.35">
      <c r="A200" s="5">
        <v>45380</v>
      </c>
      <c r="B200" s="3">
        <v>0.55745370370370373</v>
      </c>
      <c r="C200" t="s">
        <v>13</v>
      </c>
      <c r="D200" t="s">
        <v>37</v>
      </c>
      <c r="E200" s="4">
        <v>40</v>
      </c>
      <c r="F200" t="s">
        <v>24</v>
      </c>
      <c r="G200" s="10" t="str">
        <f>TEXT(Transform_Data[[#This Row],[Date]],"mmm yyyy")</f>
        <v>Mar 2024</v>
      </c>
      <c r="H200" s="10">
        <f>HOUR(Transform_Data[[#This Row],[Time]])</f>
        <v>13</v>
      </c>
      <c r="I200" s="10" t="str">
        <f>IF(COUNTIF('Transform Data'!$D:$D,'Transform Data'!D200)&gt;1,"Repeat","Single")</f>
        <v>Repeat</v>
      </c>
      <c r="J200" s="10" t="str">
        <f>IF('Transform Data'!D200="Cash","Cash",IF(COUNTIF('Transform Data'!$D:$D,'Transform Data'!D200)&gt;1,"Repeat","Single"))</f>
        <v>Repeat</v>
      </c>
      <c r="K200" s="10" t="str">
        <f t="shared" si="3"/>
        <v>TRANS-0199</v>
      </c>
    </row>
    <row r="201" spans="1:11" x14ac:dyDescent="0.35">
      <c r="A201" s="5">
        <v>45381</v>
      </c>
      <c r="B201" s="3">
        <v>0.49952546296296296</v>
      </c>
      <c r="C201" t="s">
        <v>8</v>
      </c>
      <c r="D201" t="s">
        <v>125</v>
      </c>
      <c r="E201" s="4">
        <v>38.700000000000003</v>
      </c>
      <c r="F201" t="s">
        <v>32</v>
      </c>
      <c r="G201" s="10" t="str">
        <f>TEXT(Transform_Data[[#This Row],[Date]],"mmm yyyy")</f>
        <v>Mar 2024</v>
      </c>
      <c r="H201" s="10">
        <f>HOUR(Transform_Data[[#This Row],[Time]])</f>
        <v>11</v>
      </c>
      <c r="I201" s="10" t="str">
        <f>IF(COUNTIF('Transform Data'!$D:$D,'Transform Data'!D201)&gt;1,"Repeat","Single")</f>
        <v>Repeat</v>
      </c>
      <c r="J201" s="10" t="str">
        <f>IF('Transform Data'!D201="Cash","Cash",IF(COUNTIF('Transform Data'!$D:$D,'Transform Data'!D201)&gt;1,"Repeat","Single"))</f>
        <v>Repeat</v>
      </c>
      <c r="K201" s="10" t="str">
        <f t="shared" si="3"/>
        <v>TRANS-0200</v>
      </c>
    </row>
    <row r="202" spans="1:11" x14ac:dyDescent="0.35">
      <c r="A202" s="5">
        <v>45381</v>
      </c>
      <c r="B202" s="3">
        <v>0.57598379629629626</v>
      </c>
      <c r="C202" t="s">
        <v>13</v>
      </c>
      <c r="D202" t="s">
        <v>37</v>
      </c>
      <c r="E202" s="4">
        <v>40</v>
      </c>
      <c r="F202" t="s">
        <v>24</v>
      </c>
      <c r="G202" s="10" t="str">
        <f>TEXT(Transform_Data[[#This Row],[Date]],"mmm yyyy")</f>
        <v>Mar 2024</v>
      </c>
      <c r="H202" s="10">
        <f>HOUR(Transform_Data[[#This Row],[Time]])</f>
        <v>13</v>
      </c>
      <c r="I202" s="10" t="str">
        <f>IF(COUNTIF('Transform Data'!$D:$D,'Transform Data'!D202)&gt;1,"Repeat","Single")</f>
        <v>Repeat</v>
      </c>
      <c r="J202" s="10" t="str">
        <f>IF('Transform Data'!D202="Cash","Cash",IF(COUNTIF('Transform Data'!$D:$D,'Transform Data'!D202)&gt;1,"Repeat","Single"))</f>
        <v>Repeat</v>
      </c>
      <c r="K202" s="10" t="str">
        <f t="shared" si="3"/>
        <v>TRANS-0201</v>
      </c>
    </row>
    <row r="203" spans="1:11" x14ac:dyDescent="0.35">
      <c r="A203" s="5">
        <v>45381</v>
      </c>
      <c r="B203" s="3">
        <v>0.67535879629629625</v>
      </c>
      <c r="C203" t="s">
        <v>8</v>
      </c>
      <c r="D203" t="s">
        <v>74</v>
      </c>
      <c r="E203" s="4">
        <v>38.700000000000003</v>
      </c>
      <c r="F203" t="s">
        <v>32</v>
      </c>
      <c r="G203" s="10" t="str">
        <f>TEXT(Transform_Data[[#This Row],[Date]],"mmm yyyy")</f>
        <v>Mar 2024</v>
      </c>
      <c r="H203" s="10">
        <f>HOUR(Transform_Data[[#This Row],[Time]])</f>
        <v>16</v>
      </c>
      <c r="I203" s="10" t="str">
        <f>IF(COUNTIF('Transform Data'!$D:$D,'Transform Data'!D203)&gt;1,"Repeat","Single")</f>
        <v>Repeat</v>
      </c>
      <c r="J203" s="10" t="str">
        <f>IF('Transform Data'!D203="Cash","Cash",IF(COUNTIF('Transform Data'!$D:$D,'Transform Data'!D203)&gt;1,"Repeat","Single"))</f>
        <v>Repeat</v>
      </c>
      <c r="K203" s="10" t="str">
        <f t="shared" si="3"/>
        <v>TRANS-0202</v>
      </c>
    </row>
    <row r="204" spans="1:11" x14ac:dyDescent="0.35">
      <c r="A204" s="5">
        <v>45381</v>
      </c>
      <c r="B204" s="3">
        <v>0.69212962962962965</v>
      </c>
      <c r="C204" t="s">
        <v>8</v>
      </c>
      <c r="D204" t="s">
        <v>25</v>
      </c>
      <c r="E204" s="4">
        <v>38.700000000000003</v>
      </c>
      <c r="F204" t="s">
        <v>32</v>
      </c>
      <c r="G204" s="10" t="str">
        <f>TEXT(Transform_Data[[#This Row],[Date]],"mmm yyyy")</f>
        <v>Mar 2024</v>
      </c>
      <c r="H204" s="10">
        <f>HOUR(Transform_Data[[#This Row],[Time]])</f>
        <v>16</v>
      </c>
      <c r="I204" s="10" t="str">
        <f>IF(COUNTIF('Transform Data'!$D:$D,'Transform Data'!D204)&gt;1,"Repeat","Single")</f>
        <v>Repeat</v>
      </c>
      <c r="J204" s="10" t="str">
        <f>IF('Transform Data'!D204="Cash","Cash",IF(COUNTIF('Transform Data'!$D:$D,'Transform Data'!D204)&gt;1,"Repeat","Single"))</f>
        <v>Repeat</v>
      </c>
      <c r="K204" s="10" t="str">
        <f t="shared" si="3"/>
        <v>TRANS-0203</v>
      </c>
    </row>
    <row r="205" spans="1:11" x14ac:dyDescent="0.35">
      <c r="A205" s="5">
        <v>45381</v>
      </c>
      <c r="B205" s="3">
        <v>0.69302083333333331</v>
      </c>
      <c r="C205" t="s">
        <v>8</v>
      </c>
      <c r="D205" t="s">
        <v>25</v>
      </c>
      <c r="E205" s="4">
        <v>33.799999999999997</v>
      </c>
      <c r="F205" t="s">
        <v>36</v>
      </c>
      <c r="G205" s="10" t="str">
        <f>TEXT(Transform_Data[[#This Row],[Date]],"mmm yyyy")</f>
        <v>Mar 2024</v>
      </c>
      <c r="H205" s="10">
        <f>HOUR(Transform_Data[[#This Row],[Time]])</f>
        <v>16</v>
      </c>
      <c r="I205" s="10" t="str">
        <f>IF(COUNTIF('Transform Data'!$D:$D,'Transform Data'!D205)&gt;1,"Repeat","Single")</f>
        <v>Repeat</v>
      </c>
      <c r="J205" s="10" t="str">
        <f>IF('Transform Data'!D205="Cash","Cash",IF(COUNTIF('Transform Data'!$D:$D,'Transform Data'!D205)&gt;1,"Repeat","Single"))</f>
        <v>Repeat</v>
      </c>
      <c r="K205" s="10" t="str">
        <f t="shared" si="3"/>
        <v>TRANS-0204</v>
      </c>
    </row>
    <row r="206" spans="1:11" x14ac:dyDescent="0.35">
      <c r="A206" s="5">
        <v>45382</v>
      </c>
      <c r="B206" s="3">
        <v>0.44449074074074074</v>
      </c>
      <c r="C206" t="s">
        <v>8</v>
      </c>
      <c r="D206" t="s">
        <v>145</v>
      </c>
      <c r="E206" s="4">
        <v>38.700000000000003</v>
      </c>
      <c r="F206" t="s">
        <v>24</v>
      </c>
      <c r="G206" s="10" t="str">
        <f>TEXT(Transform_Data[[#This Row],[Date]],"mmm yyyy")</f>
        <v>Mar 2024</v>
      </c>
      <c r="H206" s="10">
        <f>HOUR(Transform_Data[[#This Row],[Time]])</f>
        <v>10</v>
      </c>
      <c r="I206" s="10" t="str">
        <f>IF(COUNTIF('Transform Data'!$D:$D,'Transform Data'!D206)&gt;1,"Repeat","Single")</f>
        <v>Single</v>
      </c>
      <c r="J206" s="10" t="str">
        <f>IF('Transform Data'!D206="Cash","Cash",IF(COUNTIF('Transform Data'!$D:$D,'Transform Data'!D206)&gt;1,"Repeat","Single"))</f>
        <v>Single</v>
      </c>
      <c r="K206" s="10" t="str">
        <f t="shared" si="3"/>
        <v>TRANS-0205</v>
      </c>
    </row>
    <row r="207" spans="1:11" x14ac:dyDescent="0.35">
      <c r="A207" s="5">
        <v>45382</v>
      </c>
      <c r="B207" s="3">
        <v>0.81718749999999996</v>
      </c>
      <c r="C207" t="s">
        <v>13</v>
      </c>
      <c r="D207" t="s">
        <v>37</v>
      </c>
      <c r="E207" s="4">
        <v>30</v>
      </c>
      <c r="F207" t="s">
        <v>28</v>
      </c>
      <c r="G207" s="10" t="str">
        <f>TEXT(Transform_Data[[#This Row],[Date]],"mmm yyyy")</f>
        <v>Mar 2024</v>
      </c>
      <c r="H207" s="10">
        <f>HOUR(Transform_Data[[#This Row],[Time]])</f>
        <v>19</v>
      </c>
      <c r="I207" s="10" t="str">
        <f>IF(COUNTIF('Transform Data'!$D:$D,'Transform Data'!D207)&gt;1,"Repeat","Single")</f>
        <v>Repeat</v>
      </c>
      <c r="J207" s="10" t="str">
        <f>IF('Transform Data'!D207="Cash","Cash",IF(COUNTIF('Transform Data'!$D:$D,'Transform Data'!D207)&gt;1,"Repeat","Single"))</f>
        <v>Repeat</v>
      </c>
      <c r="K207" s="10" t="str">
        <f t="shared" si="3"/>
        <v>TRANS-0206</v>
      </c>
    </row>
    <row r="208" spans="1:11" x14ac:dyDescent="0.35">
      <c r="A208" s="5">
        <v>45383</v>
      </c>
      <c r="B208" s="3">
        <v>0.43665509259259261</v>
      </c>
      <c r="C208" t="s">
        <v>8</v>
      </c>
      <c r="D208" t="s">
        <v>63</v>
      </c>
      <c r="E208" s="4">
        <v>28.9</v>
      </c>
      <c r="F208" t="s">
        <v>28</v>
      </c>
      <c r="G208" s="10" t="str">
        <f>TEXT(Transform_Data[[#This Row],[Date]],"mmm yyyy")</f>
        <v>Apr 2024</v>
      </c>
      <c r="H208" s="10">
        <f>HOUR(Transform_Data[[#This Row],[Time]])</f>
        <v>10</v>
      </c>
      <c r="I208" s="10" t="str">
        <f>IF(COUNTIF('Transform Data'!$D:$D,'Transform Data'!D208)&gt;1,"Repeat","Single")</f>
        <v>Repeat</v>
      </c>
      <c r="J208" s="10" t="str">
        <f>IF('Transform Data'!D208="Cash","Cash",IF(COUNTIF('Transform Data'!$D:$D,'Transform Data'!D208)&gt;1,"Repeat","Single"))</f>
        <v>Repeat</v>
      </c>
      <c r="K208" s="10" t="str">
        <f t="shared" si="3"/>
        <v>TRANS-0207</v>
      </c>
    </row>
    <row r="209" spans="1:11" x14ac:dyDescent="0.35">
      <c r="A209" s="5">
        <v>45383</v>
      </c>
      <c r="B209" s="3">
        <v>0.43729166666666669</v>
      </c>
      <c r="C209" t="s">
        <v>8</v>
      </c>
      <c r="D209" t="s">
        <v>63</v>
      </c>
      <c r="E209" s="4">
        <v>33.799999999999997</v>
      </c>
      <c r="F209" t="s">
        <v>36</v>
      </c>
      <c r="G209" s="10" t="str">
        <f>TEXT(Transform_Data[[#This Row],[Date]],"mmm yyyy")</f>
        <v>Apr 2024</v>
      </c>
      <c r="H209" s="10">
        <f>HOUR(Transform_Data[[#This Row],[Time]])</f>
        <v>10</v>
      </c>
      <c r="I209" s="10" t="str">
        <f>IF(COUNTIF('Transform Data'!$D:$D,'Transform Data'!D209)&gt;1,"Repeat","Single")</f>
        <v>Repeat</v>
      </c>
      <c r="J209" s="10" t="str">
        <f>IF('Transform Data'!D209="Cash","Cash",IF(COUNTIF('Transform Data'!$D:$D,'Transform Data'!D209)&gt;1,"Repeat","Single"))</f>
        <v>Repeat</v>
      </c>
      <c r="K209" s="10" t="str">
        <f t="shared" si="3"/>
        <v>TRANS-0208</v>
      </c>
    </row>
    <row r="210" spans="1:11" x14ac:dyDescent="0.35">
      <c r="A210" s="5">
        <v>45383</v>
      </c>
      <c r="B210" s="3">
        <v>0.43799768518518517</v>
      </c>
      <c r="C210" t="s">
        <v>8</v>
      </c>
      <c r="D210" t="s">
        <v>63</v>
      </c>
      <c r="E210" s="4">
        <v>33.799999999999997</v>
      </c>
      <c r="F210" t="s">
        <v>36</v>
      </c>
      <c r="G210" s="10" t="str">
        <f>TEXT(Transform_Data[[#This Row],[Date]],"mmm yyyy")</f>
        <v>Apr 2024</v>
      </c>
      <c r="H210" s="10">
        <f>HOUR(Transform_Data[[#This Row],[Time]])</f>
        <v>10</v>
      </c>
      <c r="I210" s="10" t="str">
        <f>IF(COUNTIF('Transform Data'!$D:$D,'Transform Data'!D210)&gt;1,"Repeat","Single")</f>
        <v>Repeat</v>
      </c>
      <c r="J210" s="10" t="str">
        <f>IF('Transform Data'!D210="Cash","Cash",IF(COUNTIF('Transform Data'!$D:$D,'Transform Data'!D210)&gt;1,"Repeat","Single"))</f>
        <v>Repeat</v>
      </c>
      <c r="K210" s="10" t="str">
        <f t="shared" si="3"/>
        <v>TRANS-0209</v>
      </c>
    </row>
    <row r="211" spans="1:11" x14ac:dyDescent="0.35">
      <c r="A211" s="5">
        <v>45383</v>
      </c>
      <c r="B211" s="3">
        <v>0.46924768518518517</v>
      </c>
      <c r="C211" t="s">
        <v>8</v>
      </c>
      <c r="D211" t="s">
        <v>25</v>
      </c>
      <c r="E211" s="4">
        <v>33.799999999999997</v>
      </c>
      <c r="F211" t="s">
        <v>36</v>
      </c>
      <c r="G211" s="10" t="str">
        <f>TEXT(Transform_Data[[#This Row],[Date]],"mmm yyyy")</f>
        <v>Apr 2024</v>
      </c>
      <c r="H211" s="10">
        <f>HOUR(Transform_Data[[#This Row],[Time]])</f>
        <v>11</v>
      </c>
      <c r="I211" s="10" t="str">
        <f>IF(COUNTIF('Transform Data'!$D:$D,'Transform Data'!D211)&gt;1,"Repeat","Single")</f>
        <v>Repeat</v>
      </c>
      <c r="J211" s="10" t="str">
        <f>IF('Transform Data'!D211="Cash","Cash",IF(COUNTIF('Transform Data'!$D:$D,'Transform Data'!D211)&gt;1,"Repeat","Single"))</f>
        <v>Repeat</v>
      </c>
      <c r="K211" s="10" t="str">
        <f t="shared" si="3"/>
        <v>TRANS-0210</v>
      </c>
    </row>
    <row r="212" spans="1:11" x14ac:dyDescent="0.35">
      <c r="A212" s="5">
        <v>45383</v>
      </c>
      <c r="B212" s="3">
        <v>0.70951388888888889</v>
      </c>
      <c r="C212" t="s">
        <v>13</v>
      </c>
      <c r="D212" t="s">
        <v>37</v>
      </c>
      <c r="E212" s="4">
        <v>40</v>
      </c>
      <c r="F212" t="s">
        <v>24</v>
      </c>
      <c r="G212" s="10" t="str">
        <f>TEXT(Transform_Data[[#This Row],[Date]],"mmm yyyy")</f>
        <v>Apr 2024</v>
      </c>
      <c r="H212" s="10">
        <f>HOUR(Transform_Data[[#This Row],[Time]])</f>
        <v>17</v>
      </c>
      <c r="I212" s="10" t="str">
        <f>IF(COUNTIF('Transform Data'!$D:$D,'Transform Data'!D212)&gt;1,"Repeat","Single")</f>
        <v>Repeat</v>
      </c>
      <c r="J212" s="10" t="str">
        <f>IF('Transform Data'!D212="Cash","Cash",IF(COUNTIF('Transform Data'!$D:$D,'Transform Data'!D212)&gt;1,"Repeat","Single"))</f>
        <v>Repeat</v>
      </c>
      <c r="K212" s="10" t="str">
        <f t="shared" si="3"/>
        <v>TRANS-0211</v>
      </c>
    </row>
    <row r="213" spans="1:11" x14ac:dyDescent="0.35">
      <c r="A213" s="5">
        <v>45383</v>
      </c>
      <c r="B213" s="3">
        <v>0.76298611111111114</v>
      </c>
      <c r="C213" t="s">
        <v>8</v>
      </c>
      <c r="D213" t="s">
        <v>81</v>
      </c>
      <c r="E213" s="4">
        <v>33.799999999999997</v>
      </c>
      <c r="F213" t="s">
        <v>36</v>
      </c>
      <c r="G213" s="10" t="str">
        <f>TEXT(Transform_Data[[#This Row],[Date]],"mmm yyyy")</f>
        <v>Apr 2024</v>
      </c>
      <c r="H213" s="10">
        <f>HOUR(Transform_Data[[#This Row],[Time]])</f>
        <v>18</v>
      </c>
      <c r="I213" s="10" t="str">
        <f>IF(COUNTIF('Transform Data'!$D:$D,'Transform Data'!D213)&gt;1,"Repeat","Single")</f>
        <v>Repeat</v>
      </c>
      <c r="J213" s="10" t="str">
        <f>IF('Transform Data'!D213="Cash","Cash",IF(COUNTIF('Transform Data'!$D:$D,'Transform Data'!D213)&gt;1,"Repeat","Single"))</f>
        <v>Repeat</v>
      </c>
      <c r="K213" s="10" t="str">
        <f t="shared" si="3"/>
        <v>TRANS-0212</v>
      </c>
    </row>
    <row r="214" spans="1:11" x14ac:dyDescent="0.35">
      <c r="A214" s="5">
        <v>45383</v>
      </c>
      <c r="B214" s="3">
        <v>0.78156250000000005</v>
      </c>
      <c r="C214" t="s">
        <v>8</v>
      </c>
      <c r="D214" t="s">
        <v>146</v>
      </c>
      <c r="E214" s="4">
        <v>38.700000000000003</v>
      </c>
      <c r="F214" t="s">
        <v>15</v>
      </c>
      <c r="G214" s="10" t="str">
        <f>TEXT(Transform_Data[[#This Row],[Date]],"mmm yyyy")</f>
        <v>Apr 2024</v>
      </c>
      <c r="H214" s="10">
        <f>HOUR(Transform_Data[[#This Row],[Time]])</f>
        <v>18</v>
      </c>
      <c r="I214" s="10" t="str">
        <f>IF(COUNTIF('Transform Data'!$D:$D,'Transform Data'!D214)&gt;1,"Repeat","Single")</f>
        <v>Single</v>
      </c>
      <c r="J214" s="10" t="str">
        <f>IF('Transform Data'!D214="Cash","Cash",IF(COUNTIF('Transform Data'!$D:$D,'Transform Data'!D214)&gt;1,"Repeat","Single"))</f>
        <v>Single</v>
      </c>
      <c r="K214" s="10" t="str">
        <f t="shared" si="3"/>
        <v>TRANS-0213</v>
      </c>
    </row>
    <row r="215" spans="1:11" x14ac:dyDescent="0.35">
      <c r="A215" s="5">
        <v>45384</v>
      </c>
      <c r="B215" s="3">
        <v>0.41752314814814817</v>
      </c>
      <c r="C215" t="s">
        <v>8</v>
      </c>
      <c r="D215" t="s">
        <v>60</v>
      </c>
      <c r="E215" s="4">
        <v>38.700000000000003</v>
      </c>
      <c r="F215" t="s">
        <v>32</v>
      </c>
      <c r="G215" s="10" t="str">
        <f>TEXT(Transform_Data[[#This Row],[Date]],"mmm yyyy")</f>
        <v>Apr 2024</v>
      </c>
      <c r="H215" s="10">
        <f>HOUR(Transform_Data[[#This Row],[Time]])</f>
        <v>10</v>
      </c>
      <c r="I215" s="10" t="str">
        <f>IF(COUNTIF('Transform Data'!$D:$D,'Transform Data'!D215)&gt;1,"Repeat","Single")</f>
        <v>Repeat</v>
      </c>
      <c r="J215" s="10" t="str">
        <f>IF('Transform Data'!D215="Cash","Cash",IF(COUNTIF('Transform Data'!$D:$D,'Transform Data'!D215)&gt;1,"Repeat","Single"))</f>
        <v>Repeat</v>
      </c>
      <c r="K215" s="10" t="str">
        <f t="shared" si="3"/>
        <v>TRANS-0214</v>
      </c>
    </row>
    <row r="216" spans="1:11" x14ac:dyDescent="0.35">
      <c r="A216" s="5">
        <v>45384</v>
      </c>
      <c r="B216" s="3">
        <v>0.67956018518518524</v>
      </c>
      <c r="C216" t="s">
        <v>8</v>
      </c>
      <c r="D216" t="s">
        <v>62</v>
      </c>
      <c r="E216" s="4">
        <v>28.9</v>
      </c>
      <c r="F216" t="s">
        <v>28</v>
      </c>
      <c r="G216" s="10" t="str">
        <f>TEXT(Transform_Data[[#This Row],[Date]],"mmm yyyy")</f>
        <v>Apr 2024</v>
      </c>
      <c r="H216" s="10">
        <f>HOUR(Transform_Data[[#This Row],[Time]])</f>
        <v>16</v>
      </c>
      <c r="I216" s="10" t="str">
        <f>IF(COUNTIF('Transform Data'!$D:$D,'Transform Data'!D216)&gt;1,"Repeat","Single")</f>
        <v>Repeat</v>
      </c>
      <c r="J216" s="10" t="str">
        <f>IF('Transform Data'!D216="Cash","Cash",IF(COUNTIF('Transform Data'!$D:$D,'Transform Data'!D216)&gt;1,"Repeat","Single"))</f>
        <v>Repeat</v>
      </c>
      <c r="K216" s="10" t="str">
        <f t="shared" si="3"/>
        <v>TRANS-0215</v>
      </c>
    </row>
    <row r="217" spans="1:11" x14ac:dyDescent="0.35">
      <c r="A217" s="5">
        <v>45384</v>
      </c>
      <c r="B217" s="3">
        <v>0.68018518518518523</v>
      </c>
      <c r="C217" t="s">
        <v>8</v>
      </c>
      <c r="D217" t="s">
        <v>62</v>
      </c>
      <c r="E217" s="4">
        <v>28.9</v>
      </c>
      <c r="F217" t="s">
        <v>20</v>
      </c>
      <c r="G217" s="10" t="str">
        <f>TEXT(Transform_Data[[#This Row],[Date]],"mmm yyyy")</f>
        <v>Apr 2024</v>
      </c>
      <c r="H217" s="10">
        <f>HOUR(Transform_Data[[#This Row],[Time]])</f>
        <v>16</v>
      </c>
      <c r="I217" s="10" t="str">
        <f>IF(COUNTIF('Transform Data'!$D:$D,'Transform Data'!D217)&gt;1,"Repeat","Single")</f>
        <v>Repeat</v>
      </c>
      <c r="J217" s="10" t="str">
        <f>IF('Transform Data'!D217="Cash","Cash",IF(COUNTIF('Transform Data'!$D:$D,'Transform Data'!D217)&gt;1,"Repeat","Single"))</f>
        <v>Repeat</v>
      </c>
      <c r="K217" s="10" t="str">
        <f t="shared" si="3"/>
        <v>TRANS-0216</v>
      </c>
    </row>
    <row r="218" spans="1:11" x14ac:dyDescent="0.35">
      <c r="A218" s="5">
        <v>45384</v>
      </c>
      <c r="B218" s="3">
        <v>0.83299768518518513</v>
      </c>
      <c r="C218" t="s">
        <v>13</v>
      </c>
      <c r="D218" t="s">
        <v>37</v>
      </c>
      <c r="E218" s="4">
        <v>40</v>
      </c>
      <c r="F218" t="s">
        <v>24</v>
      </c>
      <c r="G218" s="10" t="str">
        <f>TEXT(Transform_Data[[#This Row],[Date]],"mmm yyyy")</f>
        <v>Apr 2024</v>
      </c>
      <c r="H218" s="10">
        <f>HOUR(Transform_Data[[#This Row],[Time]])</f>
        <v>19</v>
      </c>
      <c r="I218" s="10" t="str">
        <f>IF(COUNTIF('Transform Data'!$D:$D,'Transform Data'!D218)&gt;1,"Repeat","Single")</f>
        <v>Repeat</v>
      </c>
      <c r="J218" s="10" t="str">
        <f>IF('Transform Data'!D218="Cash","Cash",IF(COUNTIF('Transform Data'!$D:$D,'Transform Data'!D218)&gt;1,"Repeat","Single"))</f>
        <v>Repeat</v>
      </c>
      <c r="K218" s="10" t="str">
        <f t="shared" si="3"/>
        <v>TRANS-0217</v>
      </c>
    </row>
    <row r="219" spans="1:11" x14ac:dyDescent="0.35">
      <c r="A219" s="5">
        <v>45385</v>
      </c>
      <c r="B219" s="3">
        <v>0.43001157407407409</v>
      </c>
      <c r="C219" t="s">
        <v>8</v>
      </c>
      <c r="D219" t="s">
        <v>62</v>
      </c>
      <c r="E219" s="4">
        <v>28.9</v>
      </c>
      <c r="F219" t="s">
        <v>20</v>
      </c>
      <c r="G219" s="10" t="str">
        <f>TEXT(Transform_Data[[#This Row],[Date]],"mmm yyyy")</f>
        <v>Apr 2024</v>
      </c>
      <c r="H219" s="10">
        <f>HOUR(Transform_Data[[#This Row],[Time]])</f>
        <v>10</v>
      </c>
      <c r="I219" s="10" t="str">
        <f>IF(COUNTIF('Transform Data'!$D:$D,'Transform Data'!D219)&gt;1,"Repeat","Single")</f>
        <v>Repeat</v>
      </c>
      <c r="J219" s="10" t="str">
        <f>IF('Transform Data'!D219="Cash","Cash",IF(COUNTIF('Transform Data'!$D:$D,'Transform Data'!D219)&gt;1,"Repeat","Single"))</f>
        <v>Repeat</v>
      </c>
      <c r="K219" s="10" t="str">
        <f t="shared" si="3"/>
        <v>TRANS-0218</v>
      </c>
    </row>
    <row r="220" spans="1:11" x14ac:dyDescent="0.35">
      <c r="A220" s="5">
        <v>45385</v>
      </c>
      <c r="B220" s="3">
        <v>0.43063657407407407</v>
      </c>
      <c r="C220" t="s">
        <v>8</v>
      </c>
      <c r="D220" t="s">
        <v>62</v>
      </c>
      <c r="E220" s="4">
        <v>28.9</v>
      </c>
      <c r="F220" t="s">
        <v>28</v>
      </c>
      <c r="G220" s="10" t="str">
        <f>TEXT(Transform_Data[[#This Row],[Date]],"mmm yyyy")</f>
        <v>Apr 2024</v>
      </c>
      <c r="H220" s="10">
        <f>HOUR(Transform_Data[[#This Row],[Time]])</f>
        <v>10</v>
      </c>
      <c r="I220" s="10" t="str">
        <f>IF(COUNTIF('Transform Data'!$D:$D,'Transform Data'!D220)&gt;1,"Repeat","Single")</f>
        <v>Repeat</v>
      </c>
      <c r="J220" s="10" t="str">
        <f>IF('Transform Data'!D220="Cash","Cash",IF(COUNTIF('Transform Data'!$D:$D,'Transform Data'!D220)&gt;1,"Repeat","Single"))</f>
        <v>Repeat</v>
      </c>
      <c r="K220" s="10" t="str">
        <f t="shared" si="3"/>
        <v>TRANS-0219</v>
      </c>
    </row>
    <row r="221" spans="1:11" x14ac:dyDescent="0.35">
      <c r="A221" s="5">
        <v>45385</v>
      </c>
      <c r="B221" s="3">
        <v>0.55005787037037035</v>
      </c>
      <c r="C221" t="s">
        <v>8</v>
      </c>
      <c r="D221" t="s">
        <v>43</v>
      </c>
      <c r="E221" s="4">
        <v>38.700000000000003</v>
      </c>
      <c r="F221" t="s">
        <v>24</v>
      </c>
      <c r="G221" s="10" t="str">
        <f>TEXT(Transform_Data[[#This Row],[Date]],"mmm yyyy")</f>
        <v>Apr 2024</v>
      </c>
      <c r="H221" s="10">
        <f>HOUR(Transform_Data[[#This Row],[Time]])</f>
        <v>13</v>
      </c>
      <c r="I221" s="10" t="str">
        <f>IF(COUNTIF('Transform Data'!$D:$D,'Transform Data'!D221)&gt;1,"Repeat","Single")</f>
        <v>Repeat</v>
      </c>
      <c r="J221" s="10" t="str">
        <f>IF('Transform Data'!D221="Cash","Cash",IF(COUNTIF('Transform Data'!$D:$D,'Transform Data'!D221)&gt;1,"Repeat","Single"))</f>
        <v>Repeat</v>
      </c>
      <c r="K221" s="10" t="str">
        <f t="shared" si="3"/>
        <v>TRANS-0220</v>
      </c>
    </row>
    <row r="222" spans="1:11" x14ac:dyDescent="0.35">
      <c r="A222" s="5">
        <v>45385</v>
      </c>
      <c r="B222" s="3">
        <v>0.65012731481481478</v>
      </c>
      <c r="C222" t="s">
        <v>13</v>
      </c>
      <c r="D222" t="s">
        <v>37</v>
      </c>
      <c r="E222" s="4">
        <v>30</v>
      </c>
      <c r="F222" t="s">
        <v>20</v>
      </c>
      <c r="G222" s="10" t="str">
        <f>TEXT(Transform_Data[[#This Row],[Date]],"mmm yyyy")</f>
        <v>Apr 2024</v>
      </c>
      <c r="H222" s="10">
        <f>HOUR(Transform_Data[[#This Row],[Time]])</f>
        <v>15</v>
      </c>
      <c r="I222" s="10" t="str">
        <f>IF(COUNTIF('Transform Data'!$D:$D,'Transform Data'!D222)&gt;1,"Repeat","Single")</f>
        <v>Repeat</v>
      </c>
      <c r="J222" s="10" t="str">
        <f>IF('Transform Data'!D222="Cash","Cash",IF(COUNTIF('Transform Data'!$D:$D,'Transform Data'!D222)&gt;1,"Repeat","Single"))</f>
        <v>Repeat</v>
      </c>
      <c r="K222" s="10" t="str">
        <f t="shared" si="3"/>
        <v>TRANS-0221</v>
      </c>
    </row>
    <row r="223" spans="1:11" x14ac:dyDescent="0.35">
      <c r="A223" s="5">
        <v>45386</v>
      </c>
      <c r="B223" s="3">
        <v>0.44785879629629627</v>
      </c>
      <c r="C223" t="s">
        <v>8</v>
      </c>
      <c r="D223" t="s">
        <v>147</v>
      </c>
      <c r="E223" s="4">
        <v>38.700000000000003</v>
      </c>
      <c r="F223" t="s">
        <v>32</v>
      </c>
      <c r="G223" s="10" t="str">
        <f>TEXT(Transform_Data[[#This Row],[Date]],"mmm yyyy")</f>
        <v>Apr 2024</v>
      </c>
      <c r="H223" s="10">
        <f>HOUR(Transform_Data[[#This Row],[Time]])</f>
        <v>10</v>
      </c>
      <c r="I223" s="10" t="str">
        <f>IF(COUNTIF('Transform Data'!$D:$D,'Transform Data'!D223)&gt;1,"Repeat","Single")</f>
        <v>Repeat</v>
      </c>
      <c r="J223" s="10" t="str">
        <f>IF('Transform Data'!D223="Cash","Cash",IF(COUNTIF('Transform Data'!$D:$D,'Transform Data'!D223)&gt;1,"Repeat","Single"))</f>
        <v>Repeat</v>
      </c>
      <c r="K223" s="10" t="str">
        <f t="shared" si="3"/>
        <v>TRANS-0222</v>
      </c>
    </row>
    <row r="224" spans="1:11" x14ac:dyDescent="0.35">
      <c r="A224" s="5">
        <v>45386</v>
      </c>
      <c r="B224" s="3">
        <v>0.47682870370370373</v>
      </c>
      <c r="C224" t="s">
        <v>8</v>
      </c>
      <c r="D224" t="s">
        <v>148</v>
      </c>
      <c r="E224" s="4">
        <v>38.700000000000003</v>
      </c>
      <c r="F224" t="s">
        <v>32</v>
      </c>
      <c r="G224" s="10" t="str">
        <f>TEXT(Transform_Data[[#This Row],[Date]],"mmm yyyy")</f>
        <v>Apr 2024</v>
      </c>
      <c r="H224" s="10">
        <f>HOUR(Transform_Data[[#This Row],[Time]])</f>
        <v>11</v>
      </c>
      <c r="I224" s="10" t="str">
        <f>IF(COUNTIF('Transform Data'!$D:$D,'Transform Data'!D224)&gt;1,"Repeat","Single")</f>
        <v>Single</v>
      </c>
      <c r="J224" s="10" t="str">
        <f>IF('Transform Data'!D224="Cash","Cash",IF(COUNTIF('Transform Data'!$D:$D,'Transform Data'!D224)&gt;1,"Repeat","Single"))</f>
        <v>Single</v>
      </c>
      <c r="K224" s="10" t="str">
        <f t="shared" si="3"/>
        <v>TRANS-0223</v>
      </c>
    </row>
    <row r="225" spans="1:11" x14ac:dyDescent="0.35">
      <c r="A225" s="5">
        <v>45386</v>
      </c>
      <c r="B225" s="3">
        <v>0.47763888888888889</v>
      </c>
      <c r="C225" t="s">
        <v>8</v>
      </c>
      <c r="D225" t="s">
        <v>149</v>
      </c>
      <c r="E225" s="4">
        <v>38.700000000000003</v>
      </c>
      <c r="F225" t="s">
        <v>24</v>
      </c>
      <c r="G225" s="10" t="str">
        <f>TEXT(Transform_Data[[#This Row],[Date]],"mmm yyyy")</f>
        <v>Apr 2024</v>
      </c>
      <c r="H225" s="10">
        <f>HOUR(Transform_Data[[#This Row],[Time]])</f>
        <v>11</v>
      </c>
      <c r="I225" s="10" t="str">
        <f>IF(COUNTIF('Transform Data'!$D:$D,'Transform Data'!D225)&gt;1,"Repeat","Single")</f>
        <v>Single</v>
      </c>
      <c r="J225" s="10" t="str">
        <f>IF('Transform Data'!D225="Cash","Cash",IF(COUNTIF('Transform Data'!$D:$D,'Transform Data'!D225)&gt;1,"Repeat","Single"))</f>
        <v>Single</v>
      </c>
      <c r="K225" s="10" t="str">
        <f t="shared" si="3"/>
        <v>TRANS-0224</v>
      </c>
    </row>
    <row r="226" spans="1:11" x14ac:dyDescent="0.35">
      <c r="A226" s="5">
        <v>45386</v>
      </c>
      <c r="B226" s="3">
        <v>0.51599537037037035</v>
      </c>
      <c r="C226" t="s">
        <v>8</v>
      </c>
      <c r="D226" t="s">
        <v>150</v>
      </c>
      <c r="E226" s="4">
        <v>28.9</v>
      </c>
      <c r="F226" t="s">
        <v>20</v>
      </c>
      <c r="G226" s="10" t="str">
        <f>TEXT(Transform_Data[[#This Row],[Date]],"mmm yyyy")</f>
        <v>Apr 2024</v>
      </c>
      <c r="H226" s="10">
        <f>HOUR(Transform_Data[[#This Row],[Time]])</f>
        <v>12</v>
      </c>
      <c r="I226" s="10" t="str">
        <f>IF(COUNTIF('Transform Data'!$D:$D,'Transform Data'!D226)&gt;1,"Repeat","Single")</f>
        <v>Single</v>
      </c>
      <c r="J226" s="10" t="str">
        <f>IF('Transform Data'!D226="Cash","Cash",IF(COUNTIF('Transform Data'!$D:$D,'Transform Data'!D226)&gt;1,"Repeat","Single"))</f>
        <v>Single</v>
      </c>
      <c r="K226" s="10" t="str">
        <f t="shared" si="3"/>
        <v>TRANS-0225</v>
      </c>
    </row>
    <row r="227" spans="1:11" x14ac:dyDescent="0.35">
      <c r="A227" s="5">
        <v>45386</v>
      </c>
      <c r="B227" s="3">
        <v>0.8209143518518518</v>
      </c>
      <c r="C227" t="s">
        <v>13</v>
      </c>
      <c r="D227" t="s">
        <v>37</v>
      </c>
      <c r="E227" s="4">
        <v>40</v>
      </c>
      <c r="F227" t="s">
        <v>32</v>
      </c>
      <c r="G227" s="10" t="str">
        <f>TEXT(Transform_Data[[#This Row],[Date]],"mmm yyyy")</f>
        <v>Apr 2024</v>
      </c>
      <c r="H227" s="10">
        <f>HOUR(Transform_Data[[#This Row],[Time]])</f>
        <v>19</v>
      </c>
      <c r="I227" s="10" t="str">
        <f>IF(COUNTIF('Transform Data'!$D:$D,'Transform Data'!D227)&gt;1,"Repeat","Single")</f>
        <v>Repeat</v>
      </c>
      <c r="J227" s="10" t="str">
        <f>IF('Transform Data'!D227="Cash","Cash",IF(COUNTIF('Transform Data'!$D:$D,'Transform Data'!D227)&gt;1,"Repeat","Single"))</f>
        <v>Repeat</v>
      </c>
      <c r="K227" s="10" t="str">
        <f t="shared" si="3"/>
        <v>TRANS-0226</v>
      </c>
    </row>
    <row r="228" spans="1:11" x14ac:dyDescent="0.35">
      <c r="A228" s="5">
        <v>45387</v>
      </c>
      <c r="B228" s="3">
        <v>0.44493055555555555</v>
      </c>
      <c r="C228" t="s">
        <v>8</v>
      </c>
      <c r="D228" t="s">
        <v>151</v>
      </c>
      <c r="E228" s="4">
        <v>28.9</v>
      </c>
      <c r="F228" t="s">
        <v>28</v>
      </c>
      <c r="G228" s="10" t="str">
        <f>TEXT(Transform_Data[[#This Row],[Date]],"mmm yyyy")</f>
        <v>Apr 2024</v>
      </c>
      <c r="H228" s="10">
        <f>HOUR(Transform_Data[[#This Row],[Time]])</f>
        <v>10</v>
      </c>
      <c r="I228" s="10" t="str">
        <f>IF(COUNTIF('Transform Data'!$D:$D,'Transform Data'!D228)&gt;1,"Repeat","Single")</f>
        <v>Repeat</v>
      </c>
      <c r="J228" s="10" t="str">
        <f>IF('Transform Data'!D228="Cash","Cash",IF(COUNTIF('Transform Data'!$D:$D,'Transform Data'!D228)&gt;1,"Repeat","Single"))</f>
        <v>Repeat</v>
      </c>
      <c r="K228" s="10" t="str">
        <f t="shared" si="3"/>
        <v>TRANS-0227</v>
      </c>
    </row>
    <row r="229" spans="1:11" x14ac:dyDescent="0.35">
      <c r="A229" s="5">
        <v>45387</v>
      </c>
      <c r="B229" s="3">
        <v>0.44590277777777776</v>
      </c>
      <c r="C229" t="s">
        <v>8</v>
      </c>
      <c r="D229" t="s">
        <v>43</v>
      </c>
      <c r="E229" s="4">
        <v>28.9</v>
      </c>
      <c r="F229" t="s">
        <v>28</v>
      </c>
      <c r="G229" s="10" t="str">
        <f>TEXT(Transform_Data[[#This Row],[Date]],"mmm yyyy")</f>
        <v>Apr 2024</v>
      </c>
      <c r="H229" s="10">
        <f>HOUR(Transform_Data[[#This Row],[Time]])</f>
        <v>10</v>
      </c>
      <c r="I229" s="10" t="str">
        <f>IF(COUNTIF('Transform Data'!$D:$D,'Transform Data'!D229)&gt;1,"Repeat","Single")</f>
        <v>Repeat</v>
      </c>
      <c r="J229" s="10" t="str">
        <f>IF('Transform Data'!D229="Cash","Cash",IF(COUNTIF('Transform Data'!$D:$D,'Transform Data'!D229)&gt;1,"Repeat","Single"))</f>
        <v>Repeat</v>
      </c>
      <c r="K229" s="10" t="str">
        <f t="shared" si="3"/>
        <v>TRANS-0228</v>
      </c>
    </row>
    <row r="230" spans="1:11" x14ac:dyDescent="0.35">
      <c r="A230" s="5">
        <v>45387</v>
      </c>
      <c r="B230" s="3">
        <v>0.46266203703703701</v>
      </c>
      <c r="C230" t="s">
        <v>8</v>
      </c>
      <c r="D230" t="s">
        <v>152</v>
      </c>
      <c r="E230" s="4">
        <v>28.9</v>
      </c>
      <c r="F230" t="s">
        <v>20</v>
      </c>
      <c r="G230" s="10" t="str">
        <f>TEXT(Transform_Data[[#This Row],[Date]],"mmm yyyy")</f>
        <v>Apr 2024</v>
      </c>
      <c r="H230" s="10">
        <f>HOUR(Transform_Data[[#This Row],[Time]])</f>
        <v>11</v>
      </c>
      <c r="I230" s="10" t="str">
        <f>IF(COUNTIF('Transform Data'!$D:$D,'Transform Data'!D230)&gt;1,"Repeat","Single")</f>
        <v>Single</v>
      </c>
      <c r="J230" s="10" t="str">
        <f>IF('Transform Data'!D230="Cash","Cash",IF(COUNTIF('Transform Data'!$D:$D,'Transform Data'!D230)&gt;1,"Repeat","Single"))</f>
        <v>Single</v>
      </c>
      <c r="K230" s="10" t="str">
        <f t="shared" si="3"/>
        <v>TRANS-0229</v>
      </c>
    </row>
    <row r="231" spans="1:11" x14ac:dyDescent="0.35">
      <c r="A231" s="5">
        <v>45387</v>
      </c>
      <c r="B231" s="3">
        <v>0.51003472222222224</v>
      </c>
      <c r="C231" t="s">
        <v>8</v>
      </c>
      <c r="D231" t="s">
        <v>11</v>
      </c>
      <c r="E231" s="4">
        <v>33.799999999999997</v>
      </c>
      <c r="F231" t="s">
        <v>36</v>
      </c>
      <c r="G231" s="10" t="str">
        <f>TEXT(Transform_Data[[#This Row],[Date]],"mmm yyyy")</f>
        <v>Apr 2024</v>
      </c>
      <c r="H231" s="10">
        <f>HOUR(Transform_Data[[#This Row],[Time]])</f>
        <v>12</v>
      </c>
      <c r="I231" s="10" t="str">
        <f>IF(COUNTIF('Transform Data'!$D:$D,'Transform Data'!D231)&gt;1,"Repeat","Single")</f>
        <v>Repeat</v>
      </c>
      <c r="J231" s="10" t="str">
        <f>IF('Transform Data'!D231="Cash","Cash",IF(COUNTIF('Transform Data'!$D:$D,'Transform Data'!D231)&gt;1,"Repeat","Single"))</f>
        <v>Repeat</v>
      </c>
      <c r="K231" s="10" t="str">
        <f t="shared" si="3"/>
        <v>TRANS-0230</v>
      </c>
    </row>
    <row r="232" spans="1:11" x14ac:dyDescent="0.35">
      <c r="A232" s="5">
        <v>45387</v>
      </c>
      <c r="B232" s="3">
        <v>0.59976851851851853</v>
      </c>
      <c r="C232" t="s">
        <v>8</v>
      </c>
      <c r="D232" t="s">
        <v>153</v>
      </c>
      <c r="E232" s="4">
        <v>38.700000000000003</v>
      </c>
      <c r="F232" t="s">
        <v>32</v>
      </c>
      <c r="G232" s="10" t="str">
        <f>TEXT(Transform_Data[[#This Row],[Date]],"mmm yyyy")</f>
        <v>Apr 2024</v>
      </c>
      <c r="H232" s="10">
        <f>HOUR(Transform_Data[[#This Row],[Time]])</f>
        <v>14</v>
      </c>
      <c r="I232" s="10" t="str">
        <f>IF(COUNTIF('Transform Data'!$D:$D,'Transform Data'!D232)&gt;1,"Repeat","Single")</f>
        <v>Repeat</v>
      </c>
      <c r="J232" s="10" t="str">
        <f>IF('Transform Data'!D232="Cash","Cash",IF(COUNTIF('Transform Data'!$D:$D,'Transform Data'!D232)&gt;1,"Repeat","Single"))</f>
        <v>Repeat</v>
      </c>
      <c r="K232" s="10" t="str">
        <f t="shared" si="3"/>
        <v>TRANS-0231</v>
      </c>
    </row>
    <row r="233" spans="1:11" x14ac:dyDescent="0.35">
      <c r="A233" s="5">
        <v>45387</v>
      </c>
      <c r="B233" s="3">
        <v>0.6005787037037037</v>
      </c>
      <c r="C233" t="s">
        <v>8</v>
      </c>
      <c r="D233" t="s">
        <v>153</v>
      </c>
      <c r="E233" s="4">
        <v>28.9</v>
      </c>
      <c r="F233" t="s">
        <v>20</v>
      </c>
      <c r="G233" s="10" t="str">
        <f>TEXT(Transform_Data[[#This Row],[Date]],"mmm yyyy")</f>
        <v>Apr 2024</v>
      </c>
      <c r="H233" s="10">
        <f>HOUR(Transform_Data[[#This Row],[Time]])</f>
        <v>14</v>
      </c>
      <c r="I233" s="10" t="str">
        <f>IF(COUNTIF('Transform Data'!$D:$D,'Transform Data'!D233)&gt;1,"Repeat","Single")</f>
        <v>Repeat</v>
      </c>
      <c r="J233" s="10" t="str">
        <f>IF('Transform Data'!D233="Cash","Cash",IF(COUNTIF('Transform Data'!$D:$D,'Transform Data'!D233)&gt;1,"Repeat","Single"))</f>
        <v>Repeat</v>
      </c>
      <c r="K233" s="10" t="str">
        <f t="shared" si="3"/>
        <v>TRANS-0232</v>
      </c>
    </row>
    <row r="234" spans="1:11" x14ac:dyDescent="0.35">
      <c r="A234" s="5">
        <v>45387</v>
      </c>
      <c r="B234" s="3">
        <v>0.64641203703703709</v>
      </c>
      <c r="C234" t="s">
        <v>13</v>
      </c>
      <c r="D234" t="s">
        <v>37</v>
      </c>
      <c r="E234" s="4">
        <v>40</v>
      </c>
      <c r="F234" t="s">
        <v>32</v>
      </c>
      <c r="G234" s="10" t="str">
        <f>TEXT(Transform_Data[[#This Row],[Date]],"mmm yyyy")</f>
        <v>Apr 2024</v>
      </c>
      <c r="H234" s="10">
        <f>HOUR(Transform_Data[[#This Row],[Time]])</f>
        <v>15</v>
      </c>
      <c r="I234" s="10" t="str">
        <f>IF(COUNTIF('Transform Data'!$D:$D,'Transform Data'!D234)&gt;1,"Repeat","Single")</f>
        <v>Repeat</v>
      </c>
      <c r="J234" s="10" t="str">
        <f>IF('Transform Data'!D234="Cash","Cash",IF(COUNTIF('Transform Data'!$D:$D,'Transform Data'!D234)&gt;1,"Repeat","Single"))</f>
        <v>Repeat</v>
      </c>
      <c r="K234" s="10" t="str">
        <f t="shared" si="3"/>
        <v>TRANS-0233</v>
      </c>
    </row>
    <row r="235" spans="1:11" x14ac:dyDescent="0.35">
      <c r="A235" s="5">
        <v>45387</v>
      </c>
      <c r="B235" s="3">
        <v>0.66267361111111112</v>
      </c>
      <c r="C235" t="s">
        <v>13</v>
      </c>
      <c r="D235" t="s">
        <v>37</v>
      </c>
      <c r="E235" s="4">
        <v>40</v>
      </c>
      <c r="F235" t="s">
        <v>24</v>
      </c>
      <c r="G235" s="10" t="str">
        <f>TEXT(Transform_Data[[#This Row],[Date]],"mmm yyyy")</f>
        <v>Apr 2024</v>
      </c>
      <c r="H235" s="10">
        <f>HOUR(Transform_Data[[#This Row],[Time]])</f>
        <v>15</v>
      </c>
      <c r="I235" s="10" t="str">
        <f>IF(COUNTIF('Transform Data'!$D:$D,'Transform Data'!D235)&gt;1,"Repeat","Single")</f>
        <v>Repeat</v>
      </c>
      <c r="J235" s="10" t="str">
        <f>IF('Transform Data'!D235="Cash","Cash",IF(COUNTIF('Transform Data'!$D:$D,'Transform Data'!D235)&gt;1,"Repeat","Single"))</f>
        <v>Repeat</v>
      </c>
      <c r="K235" s="10" t="str">
        <f t="shared" si="3"/>
        <v>TRANS-0234</v>
      </c>
    </row>
    <row r="236" spans="1:11" x14ac:dyDescent="0.35">
      <c r="A236" s="5">
        <v>45387</v>
      </c>
      <c r="B236" s="3">
        <v>0.6635416666666667</v>
      </c>
      <c r="C236" t="s">
        <v>13</v>
      </c>
      <c r="D236" t="s">
        <v>37</v>
      </c>
      <c r="E236" s="4">
        <v>30</v>
      </c>
      <c r="F236" t="s">
        <v>28</v>
      </c>
      <c r="G236" s="10" t="str">
        <f>TEXT(Transform_Data[[#This Row],[Date]],"mmm yyyy")</f>
        <v>Apr 2024</v>
      </c>
      <c r="H236" s="10">
        <f>HOUR(Transform_Data[[#This Row],[Time]])</f>
        <v>15</v>
      </c>
      <c r="I236" s="10" t="str">
        <f>IF(COUNTIF('Transform Data'!$D:$D,'Transform Data'!D236)&gt;1,"Repeat","Single")</f>
        <v>Repeat</v>
      </c>
      <c r="J236" s="10" t="str">
        <f>IF('Transform Data'!D236="Cash","Cash",IF(COUNTIF('Transform Data'!$D:$D,'Transform Data'!D236)&gt;1,"Repeat","Single"))</f>
        <v>Repeat</v>
      </c>
      <c r="K236" s="10" t="str">
        <f t="shared" si="3"/>
        <v>TRANS-0235</v>
      </c>
    </row>
    <row r="237" spans="1:11" x14ac:dyDescent="0.35">
      <c r="A237" s="5">
        <v>45387</v>
      </c>
      <c r="B237" s="3">
        <v>0.67896990740740737</v>
      </c>
      <c r="C237" t="s">
        <v>13</v>
      </c>
      <c r="D237" t="s">
        <v>37</v>
      </c>
      <c r="E237" s="4">
        <v>40</v>
      </c>
      <c r="F237" t="s">
        <v>10</v>
      </c>
      <c r="G237" s="10" t="str">
        <f>TEXT(Transform_Data[[#This Row],[Date]],"mmm yyyy")</f>
        <v>Apr 2024</v>
      </c>
      <c r="H237" s="10">
        <f>HOUR(Transform_Data[[#This Row],[Time]])</f>
        <v>16</v>
      </c>
      <c r="I237" s="10" t="str">
        <f>IF(COUNTIF('Transform Data'!$D:$D,'Transform Data'!D237)&gt;1,"Repeat","Single")</f>
        <v>Repeat</v>
      </c>
      <c r="J237" s="10" t="str">
        <f>IF('Transform Data'!D237="Cash","Cash",IF(COUNTIF('Transform Data'!$D:$D,'Transform Data'!D237)&gt;1,"Repeat","Single"))</f>
        <v>Repeat</v>
      </c>
      <c r="K237" s="10" t="str">
        <f t="shared" si="3"/>
        <v>TRANS-0236</v>
      </c>
    </row>
    <row r="238" spans="1:11" x14ac:dyDescent="0.35">
      <c r="A238" s="5">
        <v>45387</v>
      </c>
      <c r="B238" s="3">
        <v>0.67943287037037037</v>
      </c>
      <c r="C238" t="s">
        <v>8</v>
      </c>
      <c r="D238" t="s">
        <v>62</v>
      </c>
      <c r="E238" s="4">
        <v>24</v>
      </c>
      <c r="F238" t="s">
        <v>5</v>
      </c>
      <c r="G238" s="10" t="str">
        <f>TEXT(Transform_Data[[#This Row],[Date]],"mmm yyyy")</f>
        <v>Apr 2024</v>
      </c>
      <c r="H238" s="10">
        <f>HOUR(Transform_Data[[#This Row],[Time]])</f>
        <v>16</v>
      </c>
      <c r="I238" s="10" t="str">
        <f>IF(COUNTIF('Transform Data'!$D:$D,'Transform Data'!D238)&gt;1,"Repeat","Single")</f>
        <v>Repeat</v>
      </c>
      <c r="J238" s="10" t="str">
        <f>IF('Transform Data'!D238="Cash","Cash",IF(COUNTIF('Transform Data'!$D:$D,'Transform Data'!D238)&gt;1,"Repeat","Single"))</f>
        <v>Repeat</v>
      </c>
      <c r="K238" s="10" t="str">
        <f t="shared" si="3"/>
        <v>TRANS-0237</v>
      </c>
    </row>
    <row r="239" spans="1:11" x14ac:dyDescent="0.35">
      <c r="A239" s="5">
        <v>45388</v>
      </c>
      <c r="B239" s="3">
        <v>0.52258101851851857</v>
      </c>
      <c r="C239" t="s">
        <v>8</v>
      </c>
      <c r="D239" t="s">
        <v>154</v>
      </c>
      <c r="E239" s="4">
        <v>33.799999999999997</v>
      </c>
      <c r="F239" t="s">
        <v>36</v>
      </c>
      <c r="G239" s="10" t="str">
        <f>TEXT(Transform_Data[[#This Row],[Date]],"mmm yyyy")</f>
        <v>Apr 2024</v>
      </c>
      <c r="H239" s="10">
        <f>HOUR(Transform_Data[[#This Row],[Time]])</f>
        <v>12</v>
      </c>
      <c r="I239" s="10" t="str">
        <f>IF(COUNTIF('Transform Data'!$D:$D,'Transform Data'!D239)&gt;1,"Repeat","Single")</f>
        <v>Repeat</v>
      </c>
      <c r="J239" s="10" t="str">
        <f>IF('Transform Data'!D239="Cash","Cash",IF(COUNTIF('Transform Data'!$D:$D,'Transform Data'!D239)&gt;1,"Repeat","Single"))</f>
        <v>Repeat</v>
      </c>
      <c r="K239" s="10" t="str">
        <f t="shared" si="3"/>
        <v>TRANS-0238</v>
      </c>
    </row>
    <row r="240" spans="1:11" x14ac:dyDescent="0.35">
      <c r="A240" s="5">
        <v>45388</v>
      </c>
      <c r="B240" s="3">
        <v>0.59256944444444448</v>
      </c>
      <c r="C240" t="s">
        <v>8</v>
      </c>
      <c r="D240" t="s">
        <v>16</v>
      </c>
      <c r="E240" s="4">
        <v>38.700000000000003</v>
      </c>
      <c r="F240" t="s">
        <v>24</v>
      </c>
      <c r="G240" s="10" t="str">
        <f>TEXT(Transform_Data[[#This Row],[Date]],"mmm yyyy")</f>
        <v>Apr 2024</v>
      </c>
      <c r="H240" s="10">
        <f>HOUR(Transform_Data[[#This Row],[Time]])</f>
        <v>14</v>
      </c>
      <c r="I240" s="10" t="str">
        <f>IF(COUNTIF('Transform Data'!$D:$D,'Transform Data'!D240)&gt;1,"Repeat","Single")</f>
        <v>Repeat</v>
      </c>
      <c r="J240" s="10" t="str">
        <f>IF('Transform Data'!D240="Cash","Cash",IF(COUNTIF('Transform Data'!$D:$D,'Transform Data'!D240)&gt;1,"Repeat","Single"))</f>
        <v>Repeat</v>
      </c>
      <c r="K240" s="10" t="str">
        <f t="shared" si="3"/>
        <v>TRANS-0239</v>
      </c>
    </row>
    <row r="241" spans="1:11" x14ac:dyDescent="0.35">
      <c r="A241" s="5">
        <v>45388</v>
      </c>
      <c r="B241" s="3">
        <v>0.59336805555555561</v>
      </c>
      <c r="C241" t="s">
        <v>8</v>
      </c>
      <c r="D241" t="s">
        <v>16</v>
      </c>
      <c r="E241" s="4">
        <v>28.9</v>
      </c>
      <c r="F241" t="s">
        <v>28</v>
      </c>
      <c r="G241" s="10" t="str">
        <f>TEXT(Transform_Data[[#This Row],[Date]],"mmm yyyy")</f>
        <v>Apr 2024</v>
      </c>
      <c r="H241" s="10">
        <f>HOUR(Transform_Data[[#This Row],[Time]])</f>
        <v>14</v>
      </c>
      <c r="I241" s="10" t="str">
        <f>IF(COUNTIF('Transform Data'!$D:$D,'Transform Data'!D241)&gt;1,"Repeat","Single")</f>
        <v>Repeat</v>
      </c>
      <c r="J241" s="10" t="str">
        <f>IF('Transform Data'!D241="Cash","Cash",IF(COUNTIF('Transform Data'!$D:$D,'Transform Data'!D241)&gt;1,"Repeat","Single"))</f>
        <v>Repeat</v>
      </c>
      <c r="K241" s="10" t="str">
        <f t="shared" si="3"/>
        <v>TRANS-0240</v>
      </c>
    </row>
    <row r="242" spans="1:11" x14ac:dyDescent="0.35">
      <c r="A242" s="5">
        <v>45388</v>
      </c>
      <c r="B242" s="3">
        <v>0.61793981481481486</v>
      </c>
      <c r="C242" t="s">
        <v>8</v>
      </c>
      <c r="D242" t="s">
        <v>25</v>
      </c>
      <c r="E242" s="4">
        <v>38.700000000000003</v>
      </c>
      <c r="F242" t="s">
        <v>32</v>
      </c>
      <c r="G242" s="10" t="str">
        <f>TEXT(Transform_Data[[#This Row],[Date]],"mmm yyyy")</f>
        <v>Apr 2024</v>
      </c>
      <c r="H242" s="10">
        <f>HOUR(Transform_Data[[#This Row],[Time]])</f>
        <v>14</v>
      </c>
      <c r="I242" s="10" t="str">
        <f>IF(COUNTIF('Transform Data'!$D:$D,'Transform Data'!D242)&gt;1,"Repeat","Single")</f>
        <v>Repeat</v>
      </c>
      <c r="J242" s="10" t="str">
        <f>IF('Transform Data'!D242="Cash","Cash",IF(COUNTIF('Transform Data'!$D:$D,'Transform Data'!D242)&gt;1,"Repeat","Single"))</f>
        <v>Repeat</v>
      </c>
      <c r="K242" s="10" t="str">
        <f t="shared" si="3"/>
        <v>TRANS-0241</v>
      </c>
    </row>
    <row r="243" spans="1:11" x14ac:dyDescent="0.35">
      <c r="A243" s="5">
        <v>45389</v>
      </c>
      <c r="B243" s="3">
        <v>0.42561342592592594</v>
      </c>
      <c r="C243" t="s">
        <v>8</v>
      </c>
      <c r="D243" t="s">
        <v>147</v>
      </c>
      <c r="E243" s="4">
        <v>38.700000000000003</v>
      </c>
      <c r="F243" t="s">
        <v>32</v>
      </c>
      <c r="G243" s="10" t="str">
        <f>TEXT(Transform_Data[[#This Row],[Date]],"mmm yyyy")</f>
        <v>Apr 2024</v>
      </c>
      <c r="H243" s="10">
        <f>HOUR(Transform_Data[[#This Row],[Time]])</f>
        <v>10</v>
      </c>
      <c r="I243" s="10" t="str">
        <f>IF(COUNTIF('Transform Data'!$D:$D,'Transform Data'!D243)&gt;1,"Repeat","Single")</f>
        <v>Repeat</v>
      </c>
      <c r="J243" s="10" t="str">
        <f>IF('Transform Data'!D243="Cash","Cash",IF(COUNTIF('Transform Data'!$D:$D,'Transform Data'!D243)&gt;1,"Repeat","Single"))</f>
        <v>Repeat</v>
      </c>
      <c r="K243" s="10" t="str">
        <f t="shared" si="3"/>
        <v>TRANS-0242</v>
      </c>
    </row>
    <row r="244" spans="1:11" x14ac:dyDescent="0.35">
      <c r="A244" s="5">
        <v>45389</v>
      </c>
      <c r="B244" s="3">
        <v>0.53091435185185187</v>
      </c>
      <c r="C244" t="s">
        <v>8</v>
      </c>
      <c r="D244" t="s">
        <v>16</v>
      </c>
      <c r="E244" s="4">
        <v>38.700000000000003</v>
      </c>
      <c r="F244" t="s">
        <v>24</v>
      </c>
      <c r="G244" s="10" t="str">
        <f>TEXT(Transform_Data[[#This Row],[Date]],"mmm yyyy")</f>
        <v>Apr 2024</v>
      </c>
      <c r="H244" s="10">
        <f>HOUR(Transform_Data[[#This Row],[Time]])</f>
        <v>12</v>
      </c>
      <c r="I244" s="10" t="str">
        <f>IF(COUNTIF('Transform Data'!$D:$D,'Transform Data'!D244)&gt;1,"Repeat","Single")</f>
        <v>Repeat</v>
      </c>
      <c r="J244" s="10" t="str">
        <f>IF('Transform Data'!D244="Cash","Cash",IF(COUNTIF('Transform Data'!$D:$D,'Transform Data'!D244)&gt;1,"Repeat","Single"))</f>
        <v>Repeat</v>
      </c>
      <c r="K244" s="10" t="str">
        <f t="shared" si="3"/>
        <v>TRANS-0243</v>
      </c>
    </row>
    <row r="245" spans="1:11" x14ac:dyDescent="0.35">
      <c r="A245" s="5">
        <v>45389</v>
      </c>
      <c r="B245" s="3">
        <v>0.53200231481481486</v>
      </c>
      <c r="C245" t="s">
        <v>8</v>
      </c>
      <c r="D245" t="s">
        <v>16</v>
      </c>
      <c r="E245" s="4">
        <v>38.700000000000003</v>
      </c>
      <c r="F245" t="s">
        <v>24</v>
      </c>
      <c r="G245" s="10" t="str">
        <f>TEXT(Transform_Data[[#This Row],[Date]],"mmm yyyy")</f>
        <v>Apr 2024</v>
      </c>
      <c r="H245" s="10">
        <f>HOUR(Transform_Data[[#This Row],[Time]])</f>
        <v>12</v>
      </c>
      <c r="I245" s="10" t="str">
        <f>IF(COUNTIF('Transform Data'!$D:$D,'Transform Data'!D245)&gt;1,"Repeat","Single")</f>
        <v>Repeat</v>
      </c>
      <c r="J245" s="10" t="str">
        <f>IF('Transform Data'!D245="Cash","Cash",IF(COUNTIF('Transform Data'!$D:$D,'Transform Data'!D245)&gt;1,"Repeat","Single"))</f>
        <v>Repeat</v>
      </c>
      <c r="K245" s="10" t="str">
        <f t="shared" si="3"/>
        <v>TRANS-0244</v>
      </c>
    </row>
    <row r="246" spans="1:11" x14ac:dyDescent="0.35">
      <c r="A246" s="5">
        <v>45389</v>
      </c>
      <c r="B246" s="3">
        <v>0.59472222222222226</v>
      </c>
      <c r="C246" t="s">
        <v>8</v>
      </c>
      <c r="D246" t="s">
        <v>155</v>
      </c>
      <c r="E246" s="4">
        <v>28.9</v>
      </c>
      <c r="F246" t="s">
        <v>20</v>
      </c>
      <c r="G246" s="10" t="str">
        <f>TEXT(Transform_Data[[#This Row],[Date]],"mmm yyyy")</f>
        <v>Apr 2024</v>
      </c>
      <c r="H246" s="10">
        <f>HOUR(Transform_Data[[#This Row],[Time]])</f>
        <v>14</v>
      </c>
      <c r="I246" s="10" t="str">
        <f>IF(COUNTIF('Transform Data'!$D:$D,'Transform Data'!D246)&gt;1,"Repeat","Single")</f>
        <v>Repeat</v>
      </c>
      <c r="J246" s="10" t="str">
        <f>IF('Transform Data'!D246="Cash","Cash",IF(COUNTIF('Transform Data'!$D:$D,'Transform Data'!D246)&gt;1,"Repeat","Single"))</f>
        <v>Repeat</v>
      </c>
      <c r="K246" s="10" t="str">
        <f t="shared" si="3"/>
        <v>TRANS-0245</v>
      </c>
    </row>
    <row r="247" spans="1:11" x14ac:dyDescent="0.35">
      <c r="A247" s="5">
        <v>45389</v>
      </c>
      <c r="B247" s="3">
        <v>0.59548611111111116</v>
      </c>
      <c r="C247" t="s">
        <v>8</v>
      </c>
      <c r="D247" t="s">
        <v>155</v>
      </c>
      <c r="E247" s="4">
        <v>24</v>
      </c>
      <c r="F247" t="s">
        <v>5</v>
      </c>
      <c r="G247" s="10" t="str">
        <f>TEXT(Transform_Data[[#This Row],[Date]],"mmm yyyy")</f>
        <v>Apr 2024</v>
      </c>
      <c r="H247" s="10">
        <f>HOUR(Transform_Data[[#This Row],[Time]])</f>
        <v>14</v>
      </c>
      <c r="I247" s="10" t="str">
        <f>IF(COUNTIF('Transform Data'!$D:$D,'Transform Data'!D247)&gt;1,"Repeat","Single")</f>
        <v>Repeat</v>
      </c>
      <c r="J247" s="10" t="str">
        <f>IF('Transform Data'!D247="Cash","Cash",IF(COUNTIF('Transform Data'!$D:$D,'Transform Data'!D247)&gt;1,"Repeat","Single"))</f>
        <v>Repeat</v>
      </c>
      <c r="K247" s="10" t="str">
        <f t="shared" si="3"/>
        <v>TRANS-0246</v>
      </c>
    </row>
    <row r="248" spans="1:11" x14ac:dyDescent="0.35">
      <c r="A248" s="5">
        <v>45389</v>
      </c>
      <c r="B248" s="3">
        <v>0.75087962962962962</v>
      </c>
      <c r="C248" t="s">
        <v>8</v>
      </c>
      <c r="D248" t="s">
        <v>156</v>
      </c>
      <c r="E248" s="4">
        <v>38.700000000000003</v>
      </c>
      <c r="F248" t="s">
        <v>15</v>
      </c>
      <c r="G248" s="10" t="str">
        <f>TEXT(Transform_Data[[#This Row],[Date]],"mmm yyyy")</f>
        <v>Apr 2024</v>
      </c>
      <c r="H248" s="10">
        <f>HOUR(Transform_Data[[#This Row],[Time]])</f>
        <v>18</v>
      </c>
      <c r="I248" s="10" t="str">
        <f>IF(COUNTIF('Transform Data'!$D:$D,'Transform Data'!D248)&gt;1,"Repeat","Single")</f>
        <v>Repeat</v>
      </c>
      <c r="J248" s="10" t="str">
        <f>IF('Transform Data'!D248="Cash","Cash",IF(COUNTIF('Transform Data'!$D:$D,'Transform Data'!D248)&gt;1,"Repeat","Single"))</f>
        <v>Repeat</v>
      </c>
      <c r="K248" s="10" t="str">
        <f t="shared" si="3"/>
        <v>TRANS-0247</v>
      </c>
    </row>
    <row r="249" spans="1:11" x14ac:dyDescent="0.35">
      <c r="A249" s="5">
        <v>45389</v>
      </c>
      <c r="B249" s="3">
        <v>0.75142361111111111</v>
      </c>
      <c r="C249" t="s">
        <v>8</v>
      </c>
      <c r="D249" t="s">
        <v>156</v>
      </c>
      <c r="E249" s="4">
        <v>33.799999999999997</v>
      </c>
      <c r="F249" t="s">
        <v>36</v>
      </c>
      <c r="G249" s="10" t="str">
        <f>TEXT(Transform_Data[[#This Row],[Date]],"mmm yyyy")</f>
        <v>Apr 2024</v>
      </c>
      <c r="H249" s="10">
        <f>HOUR(Transform_Data[[#This Row],[Time]])</f>
        <v>18</v>
      </c>
      <c r="I249" s="10" t="str">
        <f>IF(COUNTIF('Transform Data'!$D:$D,'Transform Data'!D249)&gt;1,"Repeat","Single")</f>
        <v>Repeat</v>
      </c>
      <c r="J249" s="10" t="str">
        <f>IF('Transform Data'!D249="Cash","Cash",IF(COUNTIF('Transform Data'!$D:$D,'Transform Data'!D249)&gt;1,"Repeat","Single"))</f>
        <v>Repeat</v>
      </c>
      <c r="K249" s="10" t="str">
        <f t="shared" si="3"/>
        <v>TRANS-0248</v>
      </c>
    </row>
    <row r="250" spans="1:11" x14ac:dyDescent="0.35">
      <c r="A250" s="5">
        <v>45390</v>
      </c>
      <c r="B250" s="3">
        <v>0.45718750000000002</v>
      </c>
      <c r="C250" t="s">
        <v>8</v>
      </c>
      <c r="D250" t="s">
        <v>157</v>
      </c>
      <c r="E250" s="4">
        <v>33.799999999999997</v>
      </c>
      <c r="F250" t="s">
        <v>36</v>
      </c>
      <c r="G250" s="10" t="str">
        <f>TEXT(Transform_Data[[#This Row],[Date]],"mmm yyyy")</f>
        <v>Apr 2024</v>
      </c>
      <c r="H250" s="10">
        <f>HOUR(Transform_Data[[#This Row],[Time]])</f>
        <v>10</v>
      </c>
      <c r="I250" s="10" t="str">
        <f>IF(COUNTIF('Transform Data'!$D:$D,'Transform Data'!D250)&gt;1,"Repeat","Single")</f>
        <v>Single</v>
      </c>
      <c r="J250" s="10" t="str">
        <f>IF('Transform Data'!D250="Cash","Cash",IF(COUNTIF('Transform Data'!$D:$D,'Transform Data'!D250)&gt;1,"Repeat","Single"))</f>
        <v>Single</v>
      </c>
      <c r="K250" s="10" t="str">
        <f t="shared" si="3"/>
        <v>TRANS-0249</v>
      </c>
    </row>
    <row r="251" spans="1:11" x14ac:dyDescent="0.35">
      <c r="A251" s="5">
        <v>45390</v>
      </c>
      <c r="B251" s="3">
        <v>0.45795138888888887</v>
      </c>
      <c r="C251" t="s">
        <v>8</v>
      </c>
      <c r="D251" t="s">
        <v>158</v>
      </c>
      <c r="E251" s="4">
        <v>38.700000000000003</v>
      </c>
      <c r="F251" t="s">
        <v>24</v>
      </c>
      <c r="G251" s="10" t="str">
        <f>TEXT(Transform_Data[[#This Row],[Date]],"mmm yyyy")</f>
        <v>Apr 2024</v>
      </c>
      <c r="H251" s="10">
        <f>HOUR(Transform_Data[[#This Row],[Time]])</f>
        <v>10</v>
      </c>
      <c r="I251" s="10" t="str">
        <f>IF(COUNTIF('Transform Data'!$D:$D,'Transform Data'!D251)&gt;1,"Repeat","Single")</f>
        <v>Single</v>
      </c>
      <c r="J251" s="10" t="str">
        <f>IF('Transform Data'!D251="Cash","Cash",IF(COUNTIF('Transform Data'!$D:$D,'Transform Data'!D251)&gt;1,"Repeat","Single"))</f>
        <v>Single</v>
      </c>
      <c r="K251" s="10" t="str">
        <f t="shared" si="3"/>
        <v>TRANS-0250</v>
      </c>
    </row>
    <row r="252" spans="1:11" x14ac:dyDescent="0.35">
      <c r="A252" s="5">
        <v>45390</v>
      </c>
      <c r="B252" s="3">
        <v>0.45925925925925926</v>
      </c>
      <c r="C252" t="s">
        <v>8</v>
      </c>
      <c r="D252" t="s">
        <v>43</v>
      </c>
      <c r="E252" s="4">
        <v>28.9</v>
      </c>
      <c r="F252" t="s">
        <v>28</v>
      </c>
      <c r="G252" s="10" t="str">
        <f>TEXT(Transform_Data[[#This Row],[Date]],"mmm yyyy")</f>
        <v>Apr 2024</v>
      </c>
      <c r="H252" s="10">
        <f>HOUR(Transform_Data[[#This Row],[Time]])</f>
        <v>11</v>
      </c>
      <c r="I252" s="10" t="str">
        <f>IF(COUNTIF('Transform Data'!$D:$D,'Transform Data'!D252)&gt;1,"Repeat","Single")</f>
        <v>Repeat</v>
      </c>
      <c r="J252" s="10" t="str">
        <f>IF('Transform Data'!D252="Cash","Cash",IF(COUNTIF('Transform Data'!$D:$D,'Transform Data'!D252)&gt;1,"Repeat","Single"))</f>
        <v>Repeat</v>
      </c>
      <c r="K252" s="10" t="str">
        <f t="shared" si="3"/>
        <v>TRANS-0251</v>
      </c>
    </row>
    <row r="253" spans="1:11" x14ac:dyDescent="0.35">
      <c r="A253" s="5">
        <v>45390</v>
      </c>
      <c r="B253" s="3">
        <v>0.46165509259259258</v>
      </c>
      <c r="C253" t="s">
        <v>8</v>
      </c>
      <c r="D253" t="s">
        <v>159</v>
      </c>
      <c r="E253" s="4">
        <v>38.700000000000003</v>
      </c>
      <c r="F253" t="s">
        <v>24</v>
      </c>
      <c r="G253" s="10" t="str">
        <f>TEXT(Transform_Data[[#This Row],[Date]],"mmm yyyy")</f>
        <v>Apr 2024</v>
      </c>
      <c r="H253" s="10">
        <f>HOUR(Transform_Data[[#This Row],[Time]])</f>
        <v>11</v>
      </c>
      <c r="I253" s="10" t="str">
        <f>IF(COUNTIF('Transform Data'!$D:$D,'Transform Data'!D253)&gt;1,"Repeat","Single")</f>
        <v>Single</v>
      </c>
      <c r="J253" s="10" t="str">
        <f>IF('Transform Data'!D253="Cash","Cash",IF(COUNTIF('Transform Data'!$D:$D,'Transform Data'!D253)&gt;1,"Repeat","Single"))</f>
        <v>Single</v>
      </c>
      <c r="K253" s="10" t="str">
        <f t="shared" si="3"/>
        <v>TRANS-0252</v>
      </c>
    </row>
    <row r="254" spans="1:11" x14ac:dyDescent="0.35">
      <c r="A254" s="5">
        <v>45390</v>
      </c>
      <c r="B254" s="3">
        <v>0.53778935185185184</v>
      </c>
      <c r="C254" t="s">
        <v>13</v>
      </c>
      <c r="D254" t="s">
        <v>37</v>
      </c>
      <c r="E254" s="4">
        <v>25</v>
      </c>
      <c r="F254" t="s">
        <v>5</v>
      </c>
      <c r="G254" s="10" t="str">
        <f>TEXT(Transform_Data[[#This Row],[Date]],"mmm yyyy")</f>
        <v>Apr 2024</v>
      </c>
      <c r="H254" s="10">
        <f>HOUR(Transform_Data[[#This Row],[Time]])</f>
        <v>12</v>
      </c>
      <c r="I254" s="10" t="str">
        <f>IF(COUNTIF('Transform Data'!$D:$D,'Transform Data'!D254)&gt;1,"Repeat","Single")</f>
        <v>Repeat</v>
      </c>
      <c r="J254" s="10" t="str">
        <f>IF('Transform Data'!D254="Cash","Cash",IF(COUNTIF('Transform Data'!$D:$D,'Transform Data'!D254)&gt;1,"Repeat","Single"))</f>
        <v>Repeat</v>
      </c>
      <c r="K254" s="10" t="str">
        <f t="shared" si="3"/>
        <v>TRANS-0253</v>
      </c>
    </row>
    <row r="255" spans="1:11" x14ac:dyDescent="0.35">
      <c r="A255" s="5">
        <v>45390</v>
      </c>
      <c r="B255" s="3">
        <v>0.65527777777777774</v>
      </c>
      <c r="C255" t="s">
        <v>13</v>
      </c>
      <c r="D255" t="s">
        <v>37</v>
      </c>
      <c r="E255" s="4">
        <v>35</v>
      </c>
      <c r="F255" t="s">
        <v>36</v>
      </c>
      <c r="G255" s="10" t="str">
        <f>TEXT(Transform_Data[[#This Row],[Date]],"mmm yyyy")</f>
        <v>Apr 2024</v>
      </c>
      <c r="H255" s="10">
        <f>HOUR(Transform_Data[[#This Row],[Time]])</f>
        <v>15</v>
      </c>
      <c r="I255" s="10" t="str">
        <f>IF(COUNTIF('Transform Data'!$D:$D,'Transform Data'!D255)&gt;1,"Repeat","Single")</f>
        <v>Repeat</v>
      </c>
      <c r="J255" s="10" t="str">
        <f>IF('Transform Data'!D255="Cash","Cash",IF(COUNTIF('Transform Data'!$D:$D,'Transform Data'!D255)&gt;1,"Repeat","Single"))</f>
        <v>Repeat</v>
      </c>
      <c r="K255" s="10" t="str">
        <f t="shared" si="3"/>
        <v>TRANS-0254</v>
      </c>
    </row>
    <row r="256" spans="1:11" x14ac:dyDescent="0.35">
      <c r="A256" s="5">
        <v>45390</v>
      </c>
      <c r="B256" s="3">
        <v>0.69556712962962963</v>
      </c>
      <c r="C256" t="s">
        <v>8</v>
      </c>
      <c r="D256" t="s">
        <v>74</v>
      </c>
      <c r="E256" s="4">
        <v>38.700000000000003</v>
      </c>
      <c r="F256" t="s">
        <v>32</v>
      </c>
      <c r="G256" s="10" t="str">
        <f>TEXT(Transform_Data[[#This Row],[Date]],"mmm yyyy")</f>
        <v>Apr 2024</v>
      </c>
      <c r="H256" s="10">
        <f>HOUR(Transform_Data[[#This Row],[Time]])</f>
        <v>16</v>
      </c>
      <c r="I256" s="10" t="str">
        <f>IF(COUNTIF('Transform Data'!$D:$D,'Transform Data'!D256)&gt;1,"Repeat","Single")</f>
        <v>Repeat</v>
      </c>
      <c r="J256" s="10" t="str">
        <f>IF('Transform Data'!D256="Cash","Cash",IF(COUNTIF('Transform Data'!$D:$D,'Transform Data'!D256)&gt;1,"Repeat","Single"))</f>
        <v>Repeat</v>
      </c>
      <c r="K256" s="10" t="str">
        <f t="shared" si="3"/>
        <v>TRANS-0255</v>
      </c>
    </row>
    <row r="257" spans="1:11" x14ac:dyDescent="0.35">
      <c r="A257" s="5">
        <v>45390</v>
      </c>
      <c r="B257" s="3">
        <v>0.76260416666666664</v>
      </c>
      <c r="C257" t="s">
        <v>8</v>
      </c>
      <c r="D257" t="s">
        <v>160</v>
      </c>
      <c r="E257" s="4">
        <v>28.9</v>
      </c>
      <c r="F257" t="s">
        <v>28</v>
      </c>
      <c r="G257" s="10" t="str">
        <f>TEXT(Transform_Data[[#This Row],[Date]],"mmm yyyy")</f>
        <v>Apr 2024</v>
      </c>
      <c r="H257" s="10">
        <f>HOUR(Transform_Data[[#This Row],[Time]])</f>
        <v>18</v>
      </c>
      <c r="I257" s="10" t="str">
        <f>IF(COUNTIF('Transform Data'!$D:$D,'Transform Data'!D257)&gt;1,"Repeat","Single")</f>
        <v>Single</v>
      </c>
      <c r="J257" s="10" t="str">
        <f>IF('Transform Data'!D257="Cash","Cash",IF(COUNTIF('Transform Data'!$D:$D,'Transform Data'!D257)&gt;1,"Repeat","Single"))</f>
        <v>Single</v>
      </c>
      <c r="K257" s="10" t="str">
        <f t="shared" si="3"/>
        <v>TRANS-0256</v>
      </c>
    </row>
    <row r="258" spans="1:11" x14ac:dyDescent="0.35">
      <c r="A258" s="5">
        <v>45390</v>
      </c>
      <c r="B258" s="3">
        <v>0.8072569444444444</v>
      </c>
      <c r="C258" t="s">
        <v>8</v>
      </c>
      <c r="D258" t="s">
        <v>81</v>
      </c>
      <c r="E258" s="4">
        <v>33.799999999999997</v>
      </c>
      <c r="F258" t="s">
        <v>36</v>
      </c>
      <c r="G258" s="10" t="str">
        <f>TEXT(Transform_Data[[#This Row],[Date]],"mmm yyyy")</f>
        <v>Apr 2024</v>
      </c>
      <c r="H258" s="10">
        <f>HOUR(Transform_Data[[#This Row],[Time]])</f>
        <v>19</v>
      </c>
      <c r="I258" s="10" t="str">
        <f>IF(COUNTIF('Transform Data'!$D:$D,'Transform Data'!D258)&gt;1,"Repeat","Single")</f>
        <v>Repeat</v>
      </c>
      <c r="J258" s="10" t="str">
        <f>IF('Transform Data'!D258="Cash","Cash",IF(COUNTIF('Transform Data'!$D:$D,'Transform Data'!D258)&gt;1,"Repeat","Single"))</f>
        <v>Repeat</v>
      </c>
      <c r="K258" s="10" t="str">
        <f t="shared" ref="K258:K321" si="4">"TRANS-"&amp;TEXT(ROW(A257),"0000")</f>
        <v>TRANS-0257</v>
      </c>
    </row>
    <row r="259" spans="1:11" x14ac:dyDescent="0.35">
      <c r="A259" s="5">
        <v>45390</v>
      </c>
      <c r="B259" s="3">
        <v>0.80832175925925931</v>
      </c>
      <c r="C259" t="s">
        <v>8</v>
      </c>
      <c r="D259" t="s">
        <v>161</v>
      </c>
      <c r="E259" s="4">
        <v>38.700000000000003</v>
      </c>
      <c r="F259" t="s">
        <v>24</v>
      </c>
      <c r="G259" s="10" t="str">
        <f>TEXT(Transform_Data[[#This Row],[Date]],"mmm yyyy")</f>
        <v>Apr 2024</v>
      </c>
      <c r="H259" s="10">
        <f>HOUR(Transform_Data[[#This Row],[Time]])</f>
        <v>19</v>
      </c>
      <c r="I259" s="10" t="str">
        <f>IF(COUNTIF('Transform Data'!$D:$D,'Transform Data'!D259)&gt;1,"Repeat","Single")</f>
        <v>Repeat</v>
      </c>
      <c r="J259" s="10" t="str">
        <f>IF('Transform Data'!D259="Cash","Cash",IF(COUNTIF('Transform Data'!$D:$D,'Transform Data'!D259)&gt;1,"Repeat","Single"))</f>
        <v>Repeat</v>
      </c>
      <c r="K259" s="10" t="str">
        <f t="shared" si="4"/>
        <v>TRANS-0258</v>
      </c>
    </row>
    <row r="260" spans="1:11" x14ac:dyDescent="0.35">
      <c r="A260" s="5">
        <v>45391</v>
      </c>
      <c r="B260" s="3">
        <v>0.43225694444444446</v>
      </c>
      <c r="C260" t="s">
        <v>13</v>
      </c>
      <c r="D260" t="s">
        <v>37</v>
      </c>
      <c r="E260" s="4">
        <v>40</v>
      </c>
      <c r="F260" t="s">
        <v>24</v>
      </c>
      <c r="G260" s="10" t="str">
        <f>TEXT(Transform_Data[[#This Row],[Date]],"mmm yyyy")</f>
        <v>Apr 2024</v>
      </c>
      <c r="H260" s="10">
        <f>HOUR(Transform_Data[[#This Row],[Time]])</f>
        <v>10</v>
      </c>
      <c r="I260" s="10" t="str">
        <f>IF(COUNTIF('Transform Data'!$D:$D,'Transform Data'!D260)&gt;1,"Repeat","Single")</f>
        <v>Repeat</v>
      </c>
      <c r="J260" s="10" t="str">
        <f>IF('Transform Data'!D260="Cash","Cash",IF(COUNTIF('Transform Data'!$D:$D,'Transform Data'!D260)&gt;1,"Repeat","Single"))</f>
        <v>Repeat</v>
      </c>
      <c r="K260" s="10" t="str">
        <f t="shared" si="4"/>
        <v>TRANS-0259</v>
      </c>
    </row>
    <row r="261" spans="1:11" x14ac:dyDescent="0.35">
      <c r="A261" s="5">
        <v>45391</v>
      </c>
      <c r="B261" s="3">
        <v>0.43344907407407407</v>
      </c>
      <c r="C261" t="s">
        <v>13</v>
      </c>
      <c r="D261" t="s">
        <v>37</v>
      </c>
      <c r="E261" s="4">
        <v>30</v>
      </c>
      <c r="F261" t="s">
        <v>28</v>
      </c>
      <c r="G261" s="10" t="str">
        <f>TEXT(Transform_Data[[#This Row],[Date]],"mmm yyyy")</f>
        <v>Apr 2024</v>
      </c>
      <c r="H261" s="10">
        <f>HOUR(Transform_Data[[#This Row],[Time]])</f>
        <v>10</v>
      </c>
      <c r="I261" s="10" t="str">
        <f>IF(COUNTIF('Transform Data'!$D:$D,'Transform Data'!D261)&gt;1,"Repeat","Single")</f>
        <v>Repeat</v>
      </c>
      <c r="J261" s="10" t="str">
        <f>IF('Transform Data'!D261="Cash","Cash",IF(COUNTIF('Transform Data'!$D:$D,'Transform Data'!D261)&gt;1,"Repeat","Single"))</f>
        <v>Repeat</v>
      </c>
      <c r="K261" s="10" t="str">
        <f t="shared" si="4"/>
        <v>TRANS-0260</v>
      </c>
    </row>
    <row r="262" spans="1:11" x14ac:dyDescent="0.35">
      <c r="A262" s="5">
        <v>45391</v>
      </c>
      <c r="B262" s="3">
        <v>0.48782407407407408</v>
      </c>
      <c r="C262" t="s">
        <v>8</v>
      </c>
      <c r="D262" t="s">
        <v>147</v>
      </c>
      <c r="E262" s="4">
        <v>38.700000000000003</v>
      </c>
      <c r="F262" t="s">
        <v>32</v>
      </c>
      <c r="G262" s="10" t="str">
        <f>TEXT(Transform_Data[[#This Row],[Date]],"mmm yyyy")</f>
        <v>Apr 2024</v>
      </c>
      <c r="H262" s="10">
        <f>HOUR(Transform_Data[[#This Row],[Time]])</f>
        <v>11</v>
      </c>
      <c r="I262" s="10" t="str">
        <f>IF(COUNTIF('Transform Data'!$D:$D,'Transform Data'!D262)&gt;1,"Repeat","Single")</f>
        <v>Repeat</v>
      </c>
      <c r="J262" s="10" t="str">
        <f>IF('Transform Data'!D262="Cash","Cash",IF(COUNTIF('Transform Data'!$D:$D,'Transform Data'!D262)&gt;1,"Repeat","Single"))</f>
        <v>Repeat</v>
      </c>
      <c r="K262" s="10" t="str">
        <f t="shared" si="4"/>
        <v>TRANS-0261</v>
      </c>
    </row>
    <row r="263" spans="1:11" x14ac:dyDescent="0.35">
      <c r="A263" s="5">
        <v>45391</v>
      </c>
      <c r="B263" s="3">
        <v>0.63319444444444439</v>
      </c>
      <c r="C263" t="s">
        <v>8</v>
      </c>
      <c r="D263" t="s">
        <v>162</v>
      </c>
      <c r="E263" s="4">
        <v>38.700000000000003</v>
      </c>
      <c r="F263" t="s">
        <v>15</v>
      </c>
      <c r="G263" s="10" t="str">
        <f>TEXT(Transform_Data[[#This Row],[Date]],"mmm yyyy")</f>
        <v>Apr 2024</v>
      </c>
      <c r="H263" s="10">
        <f>HOUR(Transform_Data[[#This Row],[Time]])</f>
        <v>15</v>
      </c>
      <c r="I263" s="10" t="str">
        <f>IF(COUNTIF('Transform Data'!$D:$D,'Transform Data'!D263)&gt;1,"Repeat","Single")</f>
        <v>Single</v>
      </c>
      <c r="J263" s="10" t="str">
        <f>IF('Transform Data'!D263="Cash","Cash",IF(COUNTIF('Transform Data'!$D:$D,'Transform Data'!D263)&gt;1,"Repeat","Single"))</f>
        <v>Single</v>
      </c>
      <c r="K263" s="10" t="str">
        <f t="shared" si="4"/>
        <v>TRANS-0262</v>
      </c>
    </row>
    <row r="264" spans="1:11" x14ac:dyDescent="0.35">
      <c r="A264" s="5">
        <v>45391</v>
      </c>
      <c r="B264" s="3">
        <v>0.7259606481481482</v>
      </c>
      <c r="C264" t="s">
        <v>8</v>
      </c>
      <c r="D264" t="s">
        <v>105</v>
      </c>
      <c r="E264" s="4">
        <v>38.700000000000003</v>
      </c>
      <c r="F264" t="s">
        <v>15</v>
      </c>
      <c r="G264" s="10" t="str">
        <f>TEXT(Transform_Data[[#This Row],[Date]],"mmm yyyy")</f>
        <v>Apr 2024</v>
      </c>
      <c r="H264" s="10">
        <f>HOUR(Transform_Data[[#This Row],[Time]])</f>
        <v>17</v>
      </c>
      <c r="I264" s="10" t="str">
        <f>IF(COUNTIF('Transform Data'!$D:$D,'Transform Data'!D264)&gt;1,"Repeat","Single")</f>
        <v>Repeat</v>
      </c>
      <c r="J264" s="10" t="str">
        <f>IF('Transform Data'!D264="Cash","Cash",IF(COUNTIF('Transform Data'!$D:$D,'Transform Data'!D264)&gt;1,"Repeat","Single"))</f>
        <v>Repeat</v>
      </c>
      <c r="K264" s="10" t="str">
        <f t="shared" si="4"/>
        <v>TRANS-0263</v>
      </c>
    </row>
    <row r="265" spans="1:11" x14ac:dyDescent="0.35">
      <c r="A265" s="5">
        <v>45392</v>
      </c>
      <c r="B265" s="3">
        <v>0.43155092592592592</v>
      </c>
      <c r="C265" t="s">
        <v>13</v>
      </c>
      <c r="D265" t="s">
        <v>37</v>
      </c>
      <c r="E265" s="4">
        <v>25</v>
      </c>
      <c r="F265" t="s">
        <v>5</v>
      </c>
      <c r="G265" s="10" t="str">
        <f>TEXT(Transform_Data[[#This Row],[Date]],"mmm yyyy")</f>
        <v>Apr 2024</v>
      </c>
      <c r="H265" s="10">
        <f>HOUR(Transform_Data[[#This Row],[Time]])</f>
        <v>10</v>
      </c>
      <c r="I265" s="10" t="str">
        <f>IF(COUNTIF('Transform Data'!$D:$D,'Transform Data'!D265)&gt;1,"Repeat","Single")</f>
        <v>Repeat</v>
      </c>
      <c r="J265" s="10" t="str">
        <f>IF('Transform Data'!D265="Cash","Cash",IF(COUNTIF('Transform Data'!$D:$D,'Transform Data'!D265)&gt;1,"Repeat","Single"))</f>
        <v>Repeat</v>
      </c>
      <c r="K265" s="10" t="str">
        <f t="shared" si="4"/>
        <v>TRANS-0264</v>
      </c>
    </row>
    <row r="266" spans="1:11" x14ac:dyDescent="0.35">
      <c r="A266" s="5">
        <v>45392</v>
      </c>
      <c r="B266" s="3">
        <v>0.74660879629629628</v>
      </c>
      <c r="C266" t="s">
        <v>13</v>
      </c>
      <c r="D266" t="s">
        <v>37</v>
      </c>
      <c r="E266" s="4">
        <v>40</v>
      </c>
      <c r="F266" t="s">
        <v>15</v>
      </c>
      <c r="G266" s="10" t="str">
        <f>TEXT(Transform_Data[[#This Row],[Date]],"mmm yyyy")</f>
        <v>Apr 2024</v>
      </c>
      <c r="H266" s="10">
        <f>HOUR(Transform_Data[[#This Row],[Time]])</f>
        <v>17</v>
      </c>
      <c r="I266" s="10" t="str">
        <f>IF(COUNTIF('Transform Data'!$D:$D,'Transform Data'!D266)&gt;1,"Repeat","Single")</f>
        <v>Repeat</v>
      </c>
      <c r="J266" s="10" t="str">
        <f>IF('Transform Data'!D266="Cash","Cash",IF(COUNTIF('Transform Data'!$D:$D,'Transform Data'!D266)&gt;1,"Repeat","Single"))</f>
        <v>Repeat</v>
      </c>
      <c r="K266" s="10" t="str">
        <f t="shared" si="4"/>
        <v>TRANS-0265</v>
      </c>
    </row>
    <row r="267" spans="1:11" x14ac:dyDescent="0.35">
      <c r="A267" s="5">
        <v>45392</v>
      </c>
      <c r="B267" s="3">
        <v>0.74688657407407411</v>
      </c>
      <c r="C267" t="s">
        <v>8</v>
      </c>
      <c r="D267" t="s">
        <v>163</v>
      </c>
      <c r="E267" s="4">
        <v>24</v>
      </c>
      <c r="F267" t="s">
        <v>5</v>
      </c>
      <c r="G267" s="10" t="str">
        <f>TEXT(Transform_Data[[#This Row],[Date]],"mmm yyyy")</f>
        <v>Apr 2024</v>
      </c>
      <c r="H267" s="10">
        <f>HOUR(Transform_Data[[#This Row],[Time]])</f>
        <v>17</v>
      </c>
      <c r="I267" s="10" t="str">
        <f>IF(COUNTIF('Transform Data'!$D:$D,'Transform Data'!D267)&gt;1,"Repeat","Single")</f>
        <v>Single</v>
      </c>
      <c r="J267" s="10" t="str">
        <f>IF('Transform Data'!D267="Cash","Cash",IF(COUNTIF('Transform Data'!$D:$D,'Transform Data'!D267)&gt;1,"Repeat","Single"))</f>
        <v>Single</v>
      </c>
      <c r="K267" s="10" t="str">
        <f t="shared" si="4"/>
        <v>TRANS-0266</v>
      </c>
    </row>
    <row r="268" spans="1:11" x14ac:dyDescent="0.35">
      <c r="A268" s="5">
        <v>45392</v>
      </c>
      <c r="B268" s="3">
        <v>0.76734953703703701</v>
      </c>
      <c r="C268" t="s">
        <v>8</v>
      </c>
      <c r="D268" t="s">
        <v>25</v>
      </c>
      <c r="E268" s="4">
        <v>38.700000000000003</v>
      </c>
      <c r="F268" t="s">
        <v>24</v>
      </c>
      <c r="G268" s="10" t="str">
        <f>TEXT(Transform_Data[[#This Row],[Date]],"mmm yyyy")</f>
        <v>Apr 2024</v>
      </c>
      <c r="H268" s="10">
        <f>HOUR(Transform_Data[[#This Row],[Time]])</f>
        <v>18</v>
      </c>
      <c r="I268" s="10" t="str">
        <f>IF(COUNTIF('Transform Data'!$D:$D,'Transform Data'!D268)&gt;1,"Repeat","Single")</f>
        <v>Repeat</v>
      </c>
      <c r="J268" s="10" t="str">
        <f>IF('Transform Data'!D268="Cash","Cash",IF(COUNTIF('Transform Data'!$D:$D,'Transform Data'!D268)&gt;1,"Repeat","Single"))</f>
        <v>Repeat</v>
      </c>
      <c r="K268" s="10" t="str">
        <f t="shared" si="4"/>
        <v>TRANS-0267</v>
      </c>
    </row>
    <row r="269" spans="1:11" x14ac:dyDescent="0.35">
      <c r="A269" s="5">
        <v>45392</v>
      </c>
      <c r="B269" s="3">
        <v>0.83616898148148144</v>
      </c>
      <c r="C269" t="s">
        <v>8</v>
      </c>
      <c r="D269" t="s">
        <v>164</v>
      </c>
      <c r="E269" s="4">
        <v>38.700000000000003</v>
      </c>
      <c r="F269" t="s">
        <v>32</v>
      </c>
      <c r="G269" s="10" t="str">
        <f>TEXT(Transform_Data[[#This Row],[Date]],"mmm yyyy")</f>
        <v>Apr 2024</v>
      </c>
      <c r="H269" s="10">
        <f>HOUR(Transform_Data[[#This Row],[Time]])</f>
        <v>20</v>
      </c>
      <c r="I269" s="10" t="str">
        <f>IF(COUNTIF('Transform Data'!$D:$D,'Transform Data'!D269)&gt;1,"Repeat","Single")</f>
        <v>Single</v>
      </c>
      <c r="J269" s="10" t="str">
        <f>IF('Transform Data'!D269="Cash","Cash",IF(COUNTIF('Transform Data'!$D:$D,'Transform Data'!D269)&gt;1,"Repeat","Single"))</f>
        <v>Single</v>
      </c>
      <c r="K269" s="10" t="str">
        <f t="shared" si="4"/>
        <v>TRANS-0268</v>
      </c>
    </row>
    <row r="270" spans="1:11" x14ac:dyDescent="0.35">
      <c r="A270" s="5">
        <v>45393</v>
      </c>
      <c r="B270" s="3">
        <v>0.44540509259259259</v>
      </c>
      <c r="C270" t="s">
        <v>8</v>
      </c>
      <c r="D270" t="s">
        <v>165</v>
      </c>
      <c r="E270" s="4">
        <v>28.9</v>
      </c>
      <c r="F270" t="s">
        <v>28</v>
      </c>
      <c r="G270" s="10" t="str">
        <f>TEXT(Transform_Data[[#This Row],[Date]],"mmm yyyy")</f>
        <v>Apr 2024</v>
      </c>
      <c r="H270" s="10">
        <f>HOUR(Transform_Data[[#This Row],[Time]])</f>
        <v>10</v>
      </c>
      <c r="I270" s="10" t="str">
        <f>IF(COUNTIF('Transform Data'!$D:$D,'Transform Data'!D270)&gt;1,"Repeat","Single")</f>
        <v>Repeat</v>
      </c>
      <c r="J270" s="10" t="str">
        <f>IF('Transform Data'!D270="Cash","Cash",IF(COUNTIF('Transform Data'!$D:$D,'Transform Data'!D270)&gt;1,"Repeat","Single"))</f>
        <v>Repeat</v>
      </c>
      <c r="K270" s="10" t="str">
        <f t="shared" si="4"/>
        <v>TRANS-0269</v>
      </c>
    </row>
    <row r="271" spans="1:11" x14ac:dyDescent="0.35">
      <c r="A271" s="5">
        <v>45393</v>
      </c>
      <c r="B271" s="3">
        <v>0.44651620370370371</v>
      </c>
      <c r="C271" t="s">
        <v>8</v>
      </c>
      <c r="D271" t="s">
        <v>165</v>
      </c>
      <c r="E271" s="4">
        <v>28.9</v>
      </c>
      <c r="F271" t="s">
        <v>28</v>
      </c>
      <c r="G271" s="10" t="str">
        <f>TEXT(Transform_Data[[#This Row],[Date]],"mmm yyyy")</f>
        <v>Apr 2024</v>
      </c>
      <c r="H271" s="10">
        <f>HOUR(Transform_Data[[#This Row],[Time]])</f>
        <v>10</v>
      </c>
      <c r="I271" s="10" t="str">
        <f>IF(COUNTIF('Transform Data'!$D:$D,'Transform Data'!D271)&gt;1,"Repeat","Single")</f>
        <v>Repeat</v>
      </c>
      <c r="J271" s="10" t="str">
        <f>IF('Transform Data'!D271="Cash","Cash",IF(COUNTIF('Transform Data'!$D:$D,'Transform Data'!D271)&gt;1,"Repeat","Single"))</f>
        <v>Repeat</v>
      </c>
      <c r="K271" s="10" t="str">
        <f t="shared" si="4"/>
        <v>TRANS-0270</v>
      </c>
    </row>
    <row r="272" spans="1:11" x14ac:dyDescent="0.35">
      <c r="A272" s="5">
        <v>45393</v>
      </c>
      <c r="B272" s="3">
        <v>0.69123842592592588</v>
      </c>
      <c r="C272" t="s">
        <v>8</v>
      </c>
      <c r="D272" t="s">
        <v>74</v>
      </c>
      <c r="E272" s="4">
        <v>38.700000000000003</v>
      </c>
      <c r="F272" t="s">
        <v>32</v>
      </c>
      <c r="G272" s="10" t="str">
        <f>TEXT(Transform_Data[[#This Row],[Date]],"mmm yyyy")</f>
        <v>Apr 2024</v>
      </c>
      <c r="H272" s="10">
        <f>HOUR(Transform_Data[[#This Row],[Time]])</f>
        <v>16</v>
      </c>
      <c r="I272" s="10" t="str">
        <f>IF(COUNTIF('Transform Data'!$D:$D,'Transform Data'!D272)&gt;1,"Repeat","Single")</f>
        <v>Repeat</v>
      </c>
      <c r="J272" s="10" t="str">
        <f>IF('Transform Data'!D272="Cash","Cash",IF(COUNTIF('Transform Data'!$D:$D,'Transform Data'!D272)&gt;1,"Repeat","Single"))</f>
        <v>Repeat</v>
      </c>
      <c r="K272" s="10" t="str">
        <f t="shared" si="4"/>
        <v>TRANS-0271</v>
      </c>
    </row>
    <row r="273" spans="1:11" x14ac:dyDescent="0.35">
      <c r="A273" s="5">
        <v>45393</v>
      </c>
      <c r="B273" s="3">
        <v>0.80342592592592588</v>
      </c>
      <c r="C273" t="s">
        <v>8</v>
      </c>
      <c r="D273" t="s">
        <v>161</v>
      </c>
      <c r="E273" s="4">
        <v>38.700000000000003</v>
      </c>
      <c r="F273" t="s">
        <v>24</v>
      </c>
      <c r="G273" s="10" t="str">
        <f>TEXT(Transform_Data[[#This Row],[Date]],"mmm yyyy")</f>
        <v>Apr 2024</v>
      </c>
      <c r="H273" s="10">
        <f>HOUR(Transform_Data[[#This Row],[Time]])</f>
        <v>19</v>
      </c>
      <c r="I273" s="10" t="str">
        <f>IF(COUNTIF('Transform Data'!$D:$D,'Transform Data'!D273)&gt;1,"Repeat","Single")</f>
        <v>Repeat</v>
      </c>
      <c r="J273" s="10" t="str">
        <f>IF('Transform Data'!D273="Cash","Cash",IF(COUNTIF('Transform Data'!$D:$D,'Transform Data'!D273)&gt;1,"Repeat","Single"))</f>
        <v>Repeat</v>
      </c>
      <c r="K273" s="10" t="str">
        <f t="shared" si="4"/>
        <v>TRANS-0272</v>
      </c>
    </row>
    <row r="274" spans="1:11" x14ac:dyDescent="0.35">
      <c r="A274" s="5">
        <v>45393</v>
      </c>
      <c r="B274" s="3">
        <v>0.80458333333333332</v>
      </c>
      <c r="C274" t="s">
        <v>8</v>
      </c>
      <c r="D274" t="s">
        <v>81</v>
      </c>
      <c r="E274" s="4">
        <v>33.799999999999997</v>
      </c>
      <c r="F274" t="s">
        <v>36</v>
      </c>
      <c r="G274" s="10" t="str">
        <f>TEXT(Transform_Data[[#This Row],[Date]],"mmm yyyy")</f>
        <v>Apr 2024</v>
      </c>
      <c r="H274" s="10">
        <f>HOUR(Transform_Data[[#This Row],[Time]])</f>
        <v>19</v>
      </c>
      <c r="I274" s="10" t="str">
        <f>IF(COUNTIF('Transform Data'!$D:$D,'Transform Data'!D274)&gt;1,"Repeat","Single")</f>
        <v>Repeat</v>
      </c>
      <c r="J274" s="10" t="str">
        <f>IF('Transform Data'!D274="Cash","Cash",IF(COUNTIF('Transform Data'!$D:$D,'Transform Data'!D274)&gt;1,"Repeat","Single"))</f>
        <v>Repeat</v>
      </c>
      <c r="K274" s="10" t="str">
        <f t="shared" si="4"/>
        <v>TRANS-0273</v>
      </c>
    </row>
    <row r="275" spans="1:11" x14ac:dyDescent="0.35">
      <c r="A275" s="5">
        <v>45394</v>
      </c>
      <c r="B275" s="3">
        <v>0.79424768518518518</v>
      </c>
      <c r="C275" t="s">
        <v>8</v>
      </c>
      <c r="D275" t="s">
        <v>76</v>
      </c>
      <c r="E275" s="4">
        <v>38.700000000000003</v>
      </c>
      <c r="F275" t="s">
        <v>15</v>
      </c>
      <c r="G275" s="10" t="str">
        <f>TEXT(Transform_Data[[#This Row],[Date]],"mmm yyyy")</f>
        <v>Apr 2024</v>
      </c>
      <c r="H275" s="10">
        <f>HOUR(Transform_Data[[#This Row],[Time]])</f>
        <v>19</v>
      </c>
      <c r="I275" s="10" t="str">
        <f>IF(COUNTIF('Transform Data'!$D:$D,'Transform Data'!D275)&gt;1,"Repeat","Single")</f>
        <v>Repeat</v>
      </c>
      <c r="J275" s="10" t="str">
        <f>IF('Transform Data'!D275="Cash","Cash",IF(COUNTIF('Transform Data'!$D:$D,'Transform Data'!D275)&gt;1,"Repeat","Single"))</f>
        <v>Repeat</v>
      </c>
      <c r="K275" s="10" t="str">
        <f t="shared" si="4"/>
        <v>TRANS-0274</v>
      </c>
    </row>
    <row r="276" spans="1:11" x14ac:dyDescent="0.35">
      <c r="A276" s="5">
        <v>45394</v>
      </c>
      <c r="B276" s="3">
        <v>0.81832175925925921</v>
      </c>
      <c r="C276" t="s">
        <v>8</v>
      </c>
      <c r="D276" t="s">
        <v>25</v>
      </c>
      <c r="E276" s="4">
        <v>28.9</v>
      </c>
      <c r="F276" t="s">
        <v>20</v>
      </c>
      <c r="G276" s="10" t="str">
        <f>TEXT(Transform_Data[[#This Row],[Date]],"mmm yyyy")</f>
        <v>Apr 2024</v>
      </c>
      <c r="H276" s="10">
        <f>HOUR(Transform_Data[[#This Row],[Time]])</f>
        <v>19</v>
      </c>
      <c r="I276" s="10" t="str">
        <f>IF(COUNTIF('Transform Data'!$D:$D,'Transform Data'!D276)&gt;1,"Repeat","Single")</f>
        <v>Repeat</v>
      </c>
      <c r="J276" s="10" t="str">
        <f>IF('Transform Data'!D276="Cash","Cash",IF(COUNTIF('Transform Data'!$D:$D,'Transform Data'!D276)&gt;1,"Repeat","Single"))</f>
        <v>Repeat</v>
      </c>
      <c r="K276" s="10" t="str">
        <f t="shared" si="4"/>
        <v>TRANS-0275</v>
      </c>
    </row>
    <row r="277" spans="1:11" x14ac:dyDescent="0.35">
      <c r="A277" s="5">
        <v>45395</v>
      </c>
      <c r="B277" s="3">
        <v>0.52035879629629633</v>
      </c>
      <c r="C277" t="s">
        <v>8</v>
      </c>
      <c r="D277" t="s">
        <v>25</v>
      </c>
      <c r="E277" s="4">
        <v>38.700000000000003</v>
      </c>
      <c r="F277" t="s">
        <v>32</v>
      </c>
      <c r="G277" s="10" t="str">
        <f>TEXT(Transform_Data[[#This Row],[Date]],"mmm yyyy")</f>
        <v>Apr 2024</v>
      </c>
      <c r="H277" s="10">
        <f>HOUR(Transform_Data[[#This Row],[Time]])</f>
        <v>12</v>
      </c>
      <c r="I277" s="10" t="str">
        <f>IF(COUNTIF('Transform Data'!$D:$D,'Transform Data'!D277)&gt;1,"Repeat","Single")</f>
        <v>Repeat</v>
      </c>
      <c r="J277" s="10" t="str">
        <f>IF('Transform Data'!D277="Cash","Cash",IF(COUNTIF('Transform Data'!$D:$D,'Transform Data'!D277)&gt;1,"Repeat","Single"))</f>
        <v>Repeat</v>
      </c>
      <c r="K277" s="10" t="str">
        <f t="shared" si="4"/>
        <v>TRANS-0276</v>
      </c>
    </row>
    <row r="278" spans="1:11" x14ac:dyDescent="0.35">
      <c r="A278" s="5">
        <v>45395</v>
      </c>
      <c r="B278" s="3">
        <v>0.5298842592592593</v>
      </c>
      <c r="C278" t="s">
        <v>8</v>
      </c>
      <c r="D278" t="s">
        <v>43</v>
      </c>
      <c r="E278" s="4">
        <v>28.9</v>
      </c>
      <c r="F278" t="s">
        <v>28</v>
      </c>
      <c r="G278" s="10" t="str">
        <f>TEXT(Transform_Data[[#This Row],[Date]],"mmm yyyy")</f>
        <v>Apr 2024</v>
      </c>
      <c r="H278" s="10">
        <f>HOUR(Transform_Data[[#This Row],[Time]])</f>
        <v>12</v>
      </c>
      <c r="I278" s="10" t="str">
        <f>IF(COUNTIF('Transform Data'!$D:$D,'Transform Data'!D278)&gt;1,"Repeat","Single")</f>
        <v>Repeat</v>
      </c>
      <c r="J278" s="10" t="str">
        <f>IF('Transform Data'!D278="Cash","Cash",IF(COUNTIF('Transform Data'!$D:$D,'Transform Data'!D278)&gt;1,"Repeat","Single"))</f>
        <v>Repeat</v>
      </c>
      <c r="K278" s="10" t="str">
        <f t="shared" si="4"/>
        <v>TRANS-0277</v>
      </c>
    </row>
    <row r="279" spans="1:11" x14ac:dyDescent="0.35">
      <c r="A279" s="5">
        <v>45395</v>
      </c>
      <c r="B279" s="3">
        <v>0.62976851851851856</v>
      </c>
      <c r="C279" t="s">
        <v>13</v>
      </c>
      <c r="D279" t="s">
        <v>37</v>
      </c>
      <c r="E279" s="4">
        <v>40</v>
      </c>
      <c r="F279" t="s">
        <v>15</v>
      </c>
      <c r="G279" s="10" t="str">
        <f>TEXT(Transform_Data[[#This Row],[Date]],"mmm yyyy")</f>
        <v>Apr 2024</v>
      </c>
      <c r="H279" s="10">
        <f>HOUR(Transform_Data[[#This Row],[Time]])</f>
        <v>15</v>
      </c>
      <c r="I279" s="10" t="str">
        <f>IF(COUNTIF('Transform Data'!$D:$D,'Transform Data'!D279)&gt;1,"Repeat","Single")</f>
        <v>Repeat</v>
      </c>
      <c r="J279" s="10" t="str">
        <f>IF('Transform Data'!D279="Cash","Cash",IF(COUNTIF('Transform Data'!$D:$D,'Transform Data'!D279)&gt;1,"Repeat","Single"))</f>
        <v>Repeat</v>
      </c>
      <c r="K279" s="10" t="str">
        <f t="shared" si="4"/>
        <v>TRANS-0278</v>
      </c>
    </row>
    <row r="280" spans="1:11" x14ac:dyDescent="0.35">
      <c r="A280" s="5">
        <v>45395</v>
      </c>
      <c r="B280" s="3">
        <v>0.63049768518518523</v>
      </c>
      <c r="C280" t="s">
        <v>13</v>
      </c>
      <c r="D280" t="s">
        <v>37</v>
      </c>
      <c r="E280" s="4">
        <v>40</v>
      </c>
      <c r="F280" t="s">
        <v>15</v>
      </c>
      <c r="G280" s="10" t="str">
        <f>TEXT(Transform_Data[[#This Row],[Date]],"mmm yyyy")</f>
        <v>Apr 2024</v>
      </c>
      <c r="H280" s="10">
        <f>HOUR(Transform_Data[[#This Row],[Time]])</f>
        <v>15</v>
      </c>
      <c r="I280" s="10" t="str">
        <f>IF(COUNTIF('Transform Data'!$D:$D,'Transform Data'!D280)&gt;1,"Repeat","Single")</f>
        <v>Repeat</v>
      </c>
      <c r="J280" s="10" t="str">
        <f>IF('Transform Data'!D280="Cash","Cash",IF(COUNTIF('Transform Data'!$D:$D,'Transform Data'!D280)&gt;1,"Repeat","Single"))</f>
        <v>Repeat</v>
      </c>
      <c r="K280" s="10" t="str">
        <f t="shared" si="4"/>
        <v>TRANS-0279</v>
      </c>
    </row>
    <row r="281" spans="1:11" x14ac:dyDescent="0.35">
      <c r="A281" s="5">
        <v>45395</v>
      </c>
      <c r="B281" s="3">
        <v>0.67920138888888892</v>
      </c>
      <c r="C281" t="s">
        <v>8</v>
      </c>
      <c r="D281" t="s">
        <v>166</v>
      </c>
      <c r="E281" s="4">
        <v>38.700000000000003</v>
      </c>
      <c r="F281" t="s">
        <v>24</v>
      </c>
      <c r="G281" s="10" t="str">
        <f>TEXT(Transform_Data[[#This Row],[Date]],"mmm yyyy")</f>
        <v>Apr 2024</v>
      </c>
      <c r="H281" s="10">
        <f>HOUR(Transform_Data[[#This Row],[Time]])</f>
        <v>16</v>
      </c>
      <c r="I281" s="10" t="str">
        <f>IF(COUNTIF('Transform Data'!$D:$D,'Transform Data'!D281)&gt;1,"Repeat","Single")</f>
        <v>Repeat</v>
      </c>
      <c r="J281" s="10" t="str">
        <f>IF('Transform Data'!D281="Cash","Cash",IF(COUNTIF('Transform Data'!$D:$D,'Transform Data'!D281)&gt;1,"Repeat","Single"))</f>
        <v>Repeat</v>
      </c>
      <c r="K281" s="10" t="str">
        <f t="shared" si="4"/>
        <v>TRANS-0280</v>
      </c>
    </row>
    <row r="282" spans="1:11" x14ac:dyDescent="0.35">
      <c r="A282" s="5">
        <v>45395</v>
      </c>
      <c r="B282" s="3">
        <v>0.68031249999999999</v>
      </c>
      <c r="C282" t="s">
        <v>8</v>
      </c>
      <c r="D282" t="s">
        <v>166</v>
      </c>
      <c r="E282" s="4">
        <v>38.700000000000003</v>
      </c>
      <c r="F282" t="s">
        <v>32</v>
      </c>
      <c r="G282" s="10" t="str">
        <f>TEXT(Transform_Data[[#This Row],[Date]],"mmm yyyy")</f>
        <v>Apr 2024</v>
      </c>
      <c r="H282" s="10">
        <f>HOUR(Transform_Data[[#This Row],[Time]])</f>
        <v>16</v>
      </c>
      <c r="I282" s="10" t="str">
        <f>IF(COUNTIF('Transform Data'!$D:$D,'Transform Data'!D282)&gt;1,"Repeat","Single")</f>
        <v>Repeat</v>
      </c>
      <c r="J282" s="10" t="str">
        <f>IF('Transform Data'!D282="Cash","Cash",IF(COUNTIF('Transform Data'!$D:$D,'Transform Data'!D282)&gt;1,"Repeat","Single"))</f>
        <v>Repeat</v>
      </c>
      <c r="K282" s="10" t="str">
        <f t="shared" si="4"/>
        <v>TRANS-0281</v>
      </c>
    </row>
    <row r="283" spans="1:11" x14ac:dyDescent="0.35">
      <c r="A283" s="5">
        <v>45395</v>
      </c>
      <c r="B283" s="3">
        <v>0.74405092592592592</v>
      </c>
      <c r="C283" t="s">
        <v>8</v>
      </c>
      <c r="D283" t="s">
        <v>167</v>
      </c>
      <c r="E283" s="4">
        <v>38.700000000000003</v>
      </c>
      <c r="F283" t="s">
        <v>24</v>
      </c>
      <c r="G283" s="10" t="str">
        <f>TEXT(Transform_Data[[#This Row],[Date]],"mmm yyyy")</f>
        <v>Apr 2024</v>
      </c>
      <c r="H283" s="10">
        <f>HOUR(Transform_Data[[#This Row],[Time]])</f>
        <v>17</v>
      </c>
      <c r="I283" s="10" t="str">
        <f>IF(COUNTIF('Transform Data'!$D:$D,'Transform Data'!D283)&gt;1,"Repeat","Single")</f>
        <v>Single</v>
      </c>
      <c r="J283" s="10" t="str">
        <f>IF('Transform Data'!D283="Cash","Cash",IF(COUNTIF('Transform Data'!$D:$D,'Transform Data'!D283)&gt;1,"Repeat","Single"))</f>
        <v>Single</v>
      </c>
      <c r="K283" s="10" t="str">
        <f t="shared" si="4"/>
        <v>TRANS-0282</v>
      </c>
    </row>
    <row r="284" spans="1:11" x14ac:dyDescent="0.35">
      <c r="A284" s="5">
        <v>45395</v>
      </c>
      <c r="B284" s="3">
        <v>0.74535879629629631</v>
      </c>
      <c r="C284" t="s">
        <v>8</v>
      </c>
      <c r="D284" t="s">
        <v>43</v>
      </c>
      <c r="E284" s="4">
        <v>38.700000000000003</v>
      </c>
      <c r="F284" t="s">
        <v>24</v>
      </c>
      <c r="G284" s="10" t="str">
        <f>TEXT(Transform_Data[[#This Row],[Date]],"mmm yyyy")</f>
        <v>Apr 2024</v>
      </c>
      <c r="H284" s="10">
        <f>HOUR(Transform_Data[[#This Row],[Time]])</f>
        <v>17</v>
      </c>
      <c r="I284" s="10" t="str">
        <f>IF(COUNTIF('Transform Data'!$D:$D,'Transform Data'!D284)&gt;1,"Repeat","Single")</f>
        <v>Repeat</v>
      </c>
      <c r="J284" s="10" t="str">
        <f>IF('Transform Data'!D284="Cash","Cash",IF(COUNTIF('Transform Data'!$D:$D,'Transform Data'!D284)&gt;1,"Repeat","Single"))</f>
        <v>Repeat</v>
      </c>
      <c r="K284" s="10" t="str">
        <f t="shared" si="4"/>
        <v>TRANS-0283</v>
      </c>
    </row>
    <row r="285" spans="1:11" x14ac:dyDescent="0.35">
      <c r="A285" s="5">
        <v>45396</v>
      </c>
      <c r="B285" s="3">
        <v>0.4551736111111111</v>
      </c>
      <c r="C285" t="s">
        <v>13</v>
      </c>
      <c r="D285" t="s">
        <v>37</v>
      </c>
      <c r="E285" s="4">
        <v>40</v>
      </c>
      <c r="F285" t="s">
        <v>32</v>
      </c>
      <c r="G285" s="10" t="str">
        <f>TEXT(Transform_Data[[#This Row],[Date]],"mmm yyyy")</f>
        <v>Apr 2024</v>
      </c>
      <c r="H285" s="10">
        <f>HOUR(Transform_Data[[#This Row],[Time]])</f>
        <v>10</v>
      </c>
      <c r="I285" s="10" t="str">
        <f>IF(COUNTIF('Transform Data'!$D:$D,'Transform Data'!D285)&gt;1,"Repeat","Single")</f>
        <v>Repeat</v>
      </c>
      <c r="J285" s="10" t="str">
        <f>IF('Transform Data'!D285="Cash","Cash",IF(COUNTIF('Transform Data'!$D:$D,'Transform Data'!D285)&gt;1,"Repeat","Single"))</f>
        <v>Repeat</v>
      </c>
      <c r="K285" s="10" t="str">
        <f t="shared" si="4"/>
        <v>TRANS-0284</v>
      </c>
    </row>
    <row r="286" spans="1:11" x14ac:dyDescent="0.35">
      <c r="A286" s="5">
        <v>45396</v>
      </c>
      <c r="B286" s="3">
        <v>0.51711805555555557</v>
      </c>
      <c r="C286" t="s">
        <v>8</v>
      </c>
      <c r="D286" t="s">
        <v>168</v>
      </c>
      <c r="E286" s="4">
        <v>38.700000000000003</v>
      </c>
      <c r="F286" t="s">
        <v>24</v>
      </c>
      <c r="G286" s="10" t="str">
        <f>TEXT(Transform_Data[[#This Row],[Date]],"mmm yyyy")</f>
        <v>Apr 2024</v>
      </c>
      <c r="H286" s="10">
        <f>HOUR(Transform_Data[[#This Row],[Time]])</f>
        <v>12</v>
      </c>
      <c r="I286" s="10" t="str">
        <f>IF(COUNTIF('Transform Data'!$D:$D,'Transform Data'!D286)&gt;1,"Repeat","Single")</f>
        <v>Single</v>
      </c>
      <c r="J286" s="10" t="str">
        <f>IF('Transform Data'!D286="Cash","Cash",IF(COUNTIF('Transform Data'!$D:$D,'Transform Data'!D286)&gt;1,"Repeat","Single"))</f>
        <v>Single</v>
      </c>
      <c r="K286" s="10" t="str">
        <f t="shared" si="4"/>
        <v>TRANS-0285</v>
      </c>
    </row>
    <row r="287" spans="1:11" x14ac:dyDescent="0.35">
      <c r="A287" s="5">
        <v>45396</v>
      </c>
      <c r="B287" s="3">
        <v>0.51884259259259258</v>
      </c>
      <c r="C287" t="s">
        <v>13</v>
      </c>
      <c r="D287" t="s">
        <v>37</v>
      </c>
      <c r="E287" s="4">
        <v>30</v>
      </c>
      <c r="F287" t="s">
        <v>20</v>
      </c>
      <c r="G287" s="10" t="str">
        <f>TEXT(Transform_Data[[#This Row],[Date]],"mmm yyyy")</f>
        <v>Apr 2024</v>
      </c>
      <c r="H287" s="10">
        <f>HOUR(Transform_Data[[#This Row],[Time]])</f>
        <v>12</v>
      </c>
      <c r="I287" s="10" t="str">
        <f>IF(COUNTIF('Transform Data'!$D:$D,'Transform Data'!D287)&gt;1,"Repeat","Single")</f>
        <v>Repeat</v>
      </c>
      <c r="J287" s="10" t="str">
        <f>IF('Transform Data'!D287="Cash","Cash",IF(COUNTIF('Transform Data'!$D:$D,'Transform Data'!D287)&gt;1,"Repeat","Single"))</f>
        <v>Repeat</v>
      </c>
      <c r="K287" s="10" t="str">
        <f t="shared" si="4"/>
        <v>TRANS-0286</v>
      </c>
    </row>
    <row r="288" spans="1:11" x14ac:dyDescent="0.35">
      <c r="A288" s="5">
        <v>45396</v>
      </c>
      <c r="B288" s="3">
        <v>0.52020833333333338</v>
      </c>
      <c r="C288" t="s">
        <v>13</v>
      </c>
      <c r="D288" t="s">
        <v>37</v>
      </c>
      <c r="E288" s="4">
        <v>30</v>
      </c>
      <c r="F288" t="s">
        <v>20</v>
      </c>
      <c r="G288" s="10" t="str">
        <f>TEXT(Transform_Data[[#This Row],[Date]],"mmm yyyy")</f>
        <v>Apr 2024</v>
      </c>
      <c r="H288" s="10">
        <f>HOUR(Transform_Data[[#This Row],[Time]])</f>
        <v>12</v>
      </c>
      <c r="I288" s="10" t="str">
        <f>IF(COUNTIF('Transform Data'!$D:$D,'Transform Data'!D288)&gt;1,"Repeat","Single")</f>
        <v>Repeat</v>
      </c>
      <c r="J288" s="10" t="str">
        <f>IF('Transform Data'!D288="Cash","Cash",IF(COUNTIF('Transform Data'!$D:$D,'Transform Data'!D288)&gt;1,"Repeat","Single"))</f>
        <v>Repeat</v>
      </c>
      <c r="K288" s="10" t="str">
        <f t="shared" si="4"/>
        <v>TRANS-0287</v>
      </c>
    </row>
    <row r="289" spans="1:11" x14ac:dyDescent="0.35">
      <c r="A289" s="5">
        <v>45396</v>
      </c>
      <c r="B289" s="3">
        <v>0.52194444444444443</v>
      </c>
      <c r="C289" t="s">
        <v>13</v>
      </c>
      <c r="D289" t="s">
        <v>37</v>
      </c>
      <c r="E289" s="4">
        <v>35</v>
      </c>
      <c r="F289" t="s">
        <v>36</v>
      </c>
      <c r="G289" s="10" t="str">
        <f>TEXT(Transform_Data[[#This Row],[Date]],"mmm yyyy")</f>
        <v>Apr 2024</v>
      </c>
      <c r="H289" s="10">
        <f>HOUR(Transform_Data[[#This Row],[Time]])</f>
        <v>12</v>
      </c>
      <c r="I289" s="10" t="str">
        <f>IF(COUNTIF('Transform Data'!$D:$D,'Transform Data'!D289)&gt;1,"Repeat","Single")</f>
        <v>Repeat</v>
      </c>
      <c r="J289" s="10" t="str">
        <f>IF('Transform Data'!D289="Cash","Cash",IF(COUNTIF('Transform Data'!$D:$D,'Transform Data'!D289)&gt;1,"Repeat","Single"))</f>
        <v>Repeat</v>
      </c>
      <c r="K289" s="10" t="str">
        <f t="shared" si="4"/>
        <v>TRANS-0288</v>
      </c>
    </row>
    <row r="290" spans="1:11" x14ac:dyDescent="0.35">
      <c r="A290" s="5">
        <v>45396</v>
      </c>
      <c r="B290" s="3">
        <v>0.55681712962962959</v>
      </c>
      <c r="C290" t="s">
        <v>8</v>
      </c>
      <c r="D290" t="s">
        <v>169</v>
      </c>
      <c r="E290" s="4">
        <v>28.9</v>
      </c>
      <c r="F290" t="s">
        <v>20</v>
      </c>
      <c r="G290" s="10" t="str">
        <f>TEXT(Transform_Data[[#This Row],[Date]],"mmm yyyy")</f>
        <v>Apr 2024</v>
      </c>
      <c r="H290" s="10">
        <f>HOUR(Transform_Data[[#This Row],[Time]])</f>
        <v>13</v>
      </c>
      <c r="I290" s="10" t="str">
        <f>IF(COUNTIF('Transform Data'!$D:$D,'Transform Data'!D290)&gt;1,"Repeat","Single")</f>
        <v>Single</v>
      </c>
      <c r="J290" s="10" t="str">
        <f>IF('Transform Data'!D290="Cash","Cash",IF(COUNTIF('Transform Data'!$D:$D,'Transform Data'!D290)&gt;1,"Repeat","Single"))</f>
        <v>Single</v>
      </c>
      <c r="K290" s="10" t="str">
        <f t="shared" si="4"/>
        <v>TRANS-0289</v>
      </c>
    </row>
    <row r="291" spans="1:11" x14ac:dyDescent="0.35">
      <c r="A291" s="5">
        <v>45396</v>
      </c>
      <c r="B291" s="3">
        <v>0.59966435185185185</v>
      </c>
      <c r="C291" t="s">
        <v>8</v>
      </c>
      <c r="D291" t="s">
        <v>43</v>
      </c>
      <c r="E291" s="4">
        <v>28.9</v>
      </c>
      <c r="F291" t="s">
        <v>28</v>
      </c>
      <c r="G291" s="10" t="str">
        <f>TEXT(Transform_Data[[#This Row],[Date]],"mmm yyyy")</f>
        <v>Apr 2024</v>
      </c>
      <c r="H291" s="10">
        <f>HOUR(Transform_Data[[#This Row],[Time]])</f>
        <v>14</v>
      </c>
      <c r="I291" s="10" t="str">
        <f>IF(COUNTIF('Transform Data'!$D:$D,'Transform Data'!D291)&gt;1,"Repeat","Single")</f>
        <v>Repeat</v>
      </c>
      <c r="J291" s="10" t="str">
        <f>IF('Transform Data'!D291="Cash","Cash",IF(COUNTIF('Transform Data'!$D:$D,'Transform Data'!D291)&gt;1,"Repeat","Single"))</f>
        <v>Repeat</v>
      </c>
      <c r="K291" s="10" t="str">
        <f t="shared" si="4"/>
        <v>TRANS-0290</v>
      </c>
    </row>
    <row r="292" spans="1:11" x14ac:dyDescent="0.35">
      <c r="A292" s="5">
        <v>45396</v>
      </c>
      <c r="B292" s="3">
        <v>0.60030092592592588</v>
      </c>
      <c r="C292" t="s">
        <v>8</v>
      </c>
      <c r="D292" t="s">
        <v>43</v>
      </c>
      <c r="E292" s="4">
        <v>28.9</v>
      </c>
      <c r="F292" t="s">
        <v>28</v>
      </c>
      <c r="G292" s="10" t="str">
        <f>TEXT(Transform_Data[[#This Row],[Date]],"mmm yyyy")</f>
        <v>Apr 2024</v>
      </c>
      <c r="H292" s="10">
        <f>HOUR(Transform_Data[[#This Row],[Time]])</f>
        <v>14</v>
      </c>
      <c r="I292" s="10" t="str">
        <f>IF(COUNTIF('Transform Data'!$D:$D,'Transform Data'!D292)&gt;1,"Repeat","Single")</f>
        <v>Repeat</v>
      </c>
      <c r="J292" s="10" t="str">
        <f>IF('Transform Data'!D292="Cash","Cash",IF(COUNTIF('Transform Data'!$D:$D,'Transform Data'!D292)&gt;1,"Repeat","Single"))</f>
        <v>Repeat</v>
      </c>
      <c r="K292" s="10" t="str">
        <f t="shared" si="4"/>
        <v>TRANS-0291</v>
      </c>
    </row>
    <row r="293" spans="1:11" x14ac:dyDescent="0.35">
      <c r="A293" s="5">
        <v>45396</v>
      </c>
      <c r="B293" s="3">
        <v>0.60090277777777779</v>
      </c>
      <c r="C293" t="s">
        <v>8</v>
      </c>
      <c r="D293" t="s">
        <v>43</v>
      </c>
      <c r="E293" s="4">
        <v>28.9</v>
      </c>
      <c r="F293" t="s">
        <v>28</v>
      </c>
      <c r="G293" s="10" t="str">
        <f>TEXT(Transform_Data[[#This Row],[Date]],"mmm yyyy")</f>
        <v>Apr 2024</v>
      </c>
      <c r="H293" s="10">
        <f>HOUR(Transform_Data[[#This Row],[Time]])</f>
        <v>14</v>
      </c>
      <c r="I293" s="10" t="str">
        <f>IF(COUNTIF('Transform Data'!$D:$D,'Transform Data'!D293)&gt;1,"Repeat","Single")</f>
        <v>Repeat</v>
      </c>
      <c r="J293" s="10" t="str">
        <f>IF('Transform Data'!D293="Cash","Cash",IF(COUNTIF('Transform Data'!$D:$D,'Transform Data'!D293)&gt;1,"Repeat","Single"))</f>
        <v>Repeat</v>
      </c>
      <c r="K293" s="10" t="str">
        <f t="shared" si="4"/>
        <v>TRANS-0292</v>
      </c>
    </row>
    <row r="294" spans="1:11" x14ac:dyDescent="0.35">
      <c r="A294" s="5">
        <v>45396</v>
      </c>
      <c r="B294" s="3">
        <v>0.65725694444444449</v>
      </c>
      <c r="C294" t="s">
        <v>8</v>
      </c>
      <c r="D294" t="s">
        <v>74</v>
      </c>
      <c r="E294" s="4">
        <v>38.700000000000003</v>
      </c>
      <c r="F294" t="s">
        <v>24</v>
      </c>
      <c r="G294" s="10" t="str">
        <f>TEXT(Transform_Data[[#This Row],[Date]],"mmm yyyy")</f>
        <v>Apr 2024</v>
      </c>
      <c r="H294" s="10">
        <f>HOUR(Transform_Data[[#This Row],[Time]])</f>
        <v>15</v>
      </c>
      <c r="I294" s="10" t="str">
        <f>IF(COUNTIF('Transform Data'!$D:$D,'Transform Data'!D294)&gt;1,"Repeat","Single")</f>
        <v>Repeat</v>
      </c>
      <c r="J294" s="10" t="str">
        <f>IF('Transform Data'!D294="Cash","Cash",IF(COUNTIF('Transform Data'!$D:$D,'Transform Data'!D294)&gt;1,"Repeat","Single"))</f>
        <v>Repeat</v>
      </c>
      <c r="K294" s="10" t="str">
        <f t="shared" si="4"/>
        <v>TRANS-0293</v>
      </c>
    </row>
    <row r="295" spans="1:11" x14ac:dyDescent="0.35">
      <c r="A295" s="5">
        <v>45396</v>
      </c>
      <c r="B295" s="3">
        <v>0.70826388888888892</v>
      </c>
      <c r="C295" t="s">
        <v>8</v>
      </c>
      <c r="D295" t="s">
        <v>43</v>
      </c>
      <c r="E295" s="4">
        <v>28.9</v>
      </c>
      <c r="F295" t="s">
        <v>20</v>
      </c>
      <c r="G295" s="10" t="str">
        <f>TEXT(Transform_Data[[#This Row],[Date]],"mmm yyyy")</f>
        <v>Apr 2024</v>
      </c>
      <c r="H295" s="10">
        <f>HOUR(Transform_Data[[#This Row],[Time]])</f>
        <v>16</v>
      </c>
      <c r="I295" s="10" t="str">
        <f>IF(COUNTIF('Transform Data'!$D:$D,'Transform Data'!D295)&gt;1,"Repeat","Single")</f>
        <v>Repeat</v>
      </c>
      <c r="J295" s="10" t="str">
        <f>IF('Transform Data'!D295="Cash","Cash",IF(COUNTIF('Transform Data'!$D:$D,'Transform Data'!D295)&gt;1,"Repeat","Single"))</f>
        <v>Repeat</v>
      </c>
      <c r="K295" s="10" t="str">
        <f t="shared" si="4"/>
        <v>TRANS-0294</v>
      </c>
    </row>
    <row r="296" spans="1:11" x14ac:dyDescent="0.35">
      <c r="A296" s="5">
        <v>45396</v>
      </c>
      <c r="B296" s="3">
        <v>0.70885416666666667</v>
      </c>
      <c r="C296" t="s">
        <v>8</v>
      </c>
      <c r="D296" t="s">
        <v>76</v>
      </c>
      <c r="E296" s="4">
        <v>38.700000000000003</v>
      </c>
      <c r="F296" t="s">
        <v>32</v>
      </c>
      <c r="G296" s="10" t="str">
        <f>TEXT(Transform_Data[[#This Row],[Date]],"mmm yyyy")</f>
        <v>Apr 2024</v>
      </c>
      <c r="H296" s="10">
        <f>HOUR(Transform_Data[[#This Row],[Time]])</f>
        <v>17</v>
      </c>
      <c r="I296" s="10" t="str">
        <f>IF(COUNTIF('Transform Data'!$D:$D,'Transform Data'!D296)&gt;1,"Repeat","Single")</f>
        <v>Repeat</v>
      </c>
      <c r="J296" s="10" t="str">
        <f>IF('Transform Data'!D296="Cash","Cash",IF(COUNTIF('Transform Data'!$D:$D,'Transform Data'!D296)&gt;1,"Repeat","Single"))</f>
        <v>Repeat</v>
      </c>
      <c r="K296" s="10" t="str">
        <f t="shared" si="4"/>
        <v>TRANS-0295</v>
      </c>
    </row>
    <row r="297" spans="1:11" x14ac:dyDescent="0.35">
      <c r="A297" s="5">
        <v>45396</v>
      </c>
      <c r="B297" s="3">
        <v>0.77660879629629631</v>
      </c>
      <c r="C297" t="s">
        <v>8</v>
      </c>
      <c r="D297" t="s">
        <v>170</v>
      </c>
      <c r="E297" s="4">
        <v>38.700000000000003</v>
      </c>
      <c r="F297" t="s">
        <v>24</v>
      </c>
      <c r="G297" s="10" t="str">
        <f>TEXT(Transform_Data[[#This Row],[Date]],"mmm yyyy")</f>
        <v>Apr 2024</v>
      </c>
      <c r="H297" s="10">
        <f>HOUR(Transform_Data[[#This Row],[Time]])</f>
        <v>18</v>
      </c>
      <c r="I297" s="10" t="str">
        <f>IF(COUNTIF('Transform Data'!$D:$D,'Transform Data'!D297)&gt;1,"Repeat","Single")</f>
        <v>Repeat</v>
      </c>
      <c r="J297" s="10" t="str">
        <f>IF('Transform Data'!D297="Cash","Cash",IF(COUNTIF('Transform Data'!$D:$D,'Transform Data'!D297)&gt;1,"Repeat","Single"))</f>
        <v>Repeat</v>
      </c>
      <c r="K297" s="10" t="str">
        <f t="shared" si="4"/>
        <v>TRANS-0296</v>
      </c>
    </row>
    <row r="298" spans="1:11" x14ac:dyDescent="0.35">
      <c r="A298" s="5">
        <v>45397</v>
      </c>
      <c r="B298" s="3">
        <v>0.48986111111111114</v>
      </c>
      <c r="C298" t="s">
        <v>8</v>
      </c>
      <c r="D298" t="s">
        <v>120</v>
      </c>
      <c r="E298" s="4">
        <v>28.9</v>
      </c>
      <c r="F298" t="s">
        <v>28</v>
      </c>
      <c r="G298" s="10" t="str">
        <f>TEXT(Transform_Data[[#This Row],[Date]],"mmm yyyy")</f>
        <v>Apr 2024</v>
      </c>
      <c r="H298" s="10">
        <f>HOUR(Transform_Data[[#This Row],[Time]])</f>
        <v>11</v>
      </c>
      <c r="I298" s="10" t="str">
        <f>IF(COUNTIF('Transform Data'!$D:$D,'Transform Data'!D298)&gt;1,"Repeat","Single")</f>
        <v>Repeat</v>
      </c>
      <c r="J298" s="10" t="str">
        <f>IF('Transform Data'!D298="Cash","Cash",IF(COUNTIF('Transform Data'!$D:$D,'Transform Data'!D298)&gt;1,"Repeat","Single"))</f>
        <v>Repeat</v>
      </c>
      <c r="K298" s="10" t="str">
        <f t="shared" si="4"/>
        <v>TRANS-0297</v>
      </c>
    </row>
    <row r="299" spans="1:11" x14ac:dyDescent="0.35">
      <c r="A299" s="5">
        <v>45397</v>
      </c>
      <c r="B299" s="3">
        <v>0.70956018518518515</v>
      </c>
      <c r="C299" t="s">
        <v>8</v>
      </c>
      <c r="D299" t="s">
        <v>62</v>
      </c>
      <c r="E299" s="4">
        <v>28.9</v>
      </c>
      <c r="F299" t="s">
        <v>28</v>
      </c>
      <c r="G299" s="10" t="str">
        <f>TEXT(Transform_Data[[#This Row],[Date]],"mmm yyyy")</f>
        <v>Apr 2024</v>
      </c>
      <c r="H299" s="10">
        <f>HOUR(Transform_Data[[#This Row],[Time]])</f>
        <v>17</v>
      </c>
      <c r="I299" s="10" t="str">
        <f>IF(COUNTIF('Transform Data'!$D:$D,'Transform Data'!D299)&gt;1,"Repeat","Single")</f>
        <v>Repeat</v>
      </c>
      <c r="J299" s="10" t="str">
        <f>IF('Transform Data'!D299="Cash","Cash",IF(COUNTIF('Transform Data'!$D:$D,'Transform Data'!D299)&gt;1,"Repeat","Single"))</f>
        <v>Repeat</v>
      </c>
      <c r="K299" s="10" t="str">
        <f t="shared" si="4"/>
        <v>TRANS-0298</v>
      </c>
    </row>
    <row r="300" spans="1:11" x14ac:dyDescent="0.35">
      <c r="A300" s="5">
        <v>45397</v>
      </c>
      <c r="B300" s="3">
        <v>0.71028935185185182</v>
      </c>
      <c r="C300" t="s">
        <v>8</v>
      </c>
      <c r="D300" t="s">
        <v>63</v>
      </c>
      <c r="E300" s="4">
        <v>33.799999999999997</v>
      </c>
      <c r="F300" t="s">
        <v>36</v>
      </c>
      <c r="G300" s="10" t="str">
        <f>TEXT(Transform_Data[[#This Row],[Date]],"mmm yyyy")</f>
        <v>Apr 2024</v>
      </c>
      <c r="H300" s="10">
        <f>HOUR(Transform_Data[[#This Row],[Time]])</f>
        <v>17</v>
      </c>
      <c r="I300" s="10" t="str">
        <f>IF(COUNTIF('Transform Data'!$D:$D,'Transform Data'!D300)&gt;1,"Repeat","Single")</f>
        <v>Repeat</v>
      </c>
      <c r="J300" s="10" t="str">
        <f>IF('Transform Data'!D300="Cash","Cash",IF(COUNTIF('Transform Data'!$D:$D,'Transform Data'!D300)&gt;1,"Repeat","Single"))</f>
        <v>Repeat</v>
      </c>
      <c r="K300" s="10" t="str">
        <f t="shared" si="4"/>
        <v>TRANS-0299</v>
      </c>
    </row>
    <row r="301" spans="1:11" x14ac:dyDescent="0.35">
      <c r="A301" s="5">
        <v>45397</v>
      </c>
      <c r="B301" s="3">
        <v>0.81461805555555555</v>
      </c>
      <c r="C301" t="s">
        <v>8</v>
      </c>
      <c r="D301" t="s">
        <v>25</v>
      </c>
      <c r="E301" s="4">
        <v>33.799999999999997</v>
      </c>
      <c r="F301" t="s">
        <v>36</v>
      </c>
      <c r="G301" s="10" t="str">
        <f>TEXT(Transform_Data[[#This Row],[Date]],"mmm yyyy")</f>
        <v>Apr 2024</v>
      </c>
      <c r="H301" s="10">
        <f>HOUR(Transform_Data[[#This Row],[Time]])</f>
        <v>19</v>
      </c>
      <c r="I301" s="10" t="str">
        <f>IF(COUNTIF('Transform Data'!$D:$D,'Transform Data'!D301)&gt;1,"Repeat","Single")</f>
        <v>Repeat</v>
      </c>
      <c r="J301" s="10" t="str">
        <f>IF('Transform Data'!D301="Cash","Cash",IF(COUNTIF('Transform Data'!$D:$D,'Transform Data'!D301)&gt;1,"Repeat","Single"))</f>
        <v>Repeat</v>
      </c>
      <c r="K301" s="10" t="str">
        <f t="shared" si="4"/>
        <v>TRANS-0300</v>
      </c>
    </row>
    <row r="302" spans="1:11" x14ac:dyDescent="0.35">
      <c r="A302" s="5">
        <v>45397</v>
      </c>
      <c r="B302" s="3">
        <v>0.82081018518518523</v>
      </c>
      <c r="C302" t="s">
        <v>13</v>
      </c>
      <c r="D302" t="s">
        <v>37</v>
      </c>
      <c r="E302" s="4">
        <v>25</v>
      </c>
      <c r="F302" t="s">
        <v>5</v>
      </c>
      <c r="G302" s="10" t="str">
        <f>TEXT(Transform_Data[[#This Row],[Date]],"mmm yyyy")</f>
        <v>Apr 2024</v>
      </c>
      <c r="H302" s="10">
        <f>HOUR(Transform_Data[[#This Row],[Time]])</f>
        <v>19</v>
      </c>
      <c r="I302" s="10" t="str">
        <f>IF(COUNTIF('Transform Data'!$D:$D,'Transform Data'!D302)&gt;1,"Repeat","Single")</f>
        <v>Repeat</v>
      </c>
      <c r="J302" s="10" t="str">
        <f>IF('Transform Data'!D302="Cash","Cash",IF(COUNTIF('Transform Data'!$D:$D,'Transform Data'!D302)&gt;1,"Repeat","Single"))</f>
        <v>Repeat</v>
      </c>
      <c r="K302" s="10" t="str">
        <f t="shared" si="4"/>
        <v>TRANS-0301</v>
      </c>
    </row>
    <row r="303" spans="1:11" x14ac:dyDescent="0.35">
      <c r="A303" s="5">
        <v>45398</v>
      </c>
      <c r="B303" s="3">
        <v>0.44709490740740743</v>
      </c>
      <c r="C303" t="s">
        <v>13</v>
      </c>
      <c r="D303" t="s">
        <v>37</v>
      </c>
      <c r="E303" s="4">
        <v>35</v>
      </c>
      <c r="F303" t="s">
        <v>36</v>
      </c>
      <c r="G303" s="10" t="str">
        <f>TEXT(Transform_Data[[#This Row],[Date]],"mmm yyyy")</f>
        <v>Apr 2024</v>
      </c>
      <c r="H303" s="10">
        <f>HOUR(Transform_Data[[#This Row],[Time]])</f>
        <v>10</v>
      </c>
      <c r="I303" s="10" t="str">
        <f>IF(COUNTIF('Transform Data'!$D:$D,'Transform Data'!D303)&gt;1,"Repeat","Single")</f>
        <v>Repeat</v>
      </c>
      <c r="J303" s="10" t="str">
        <f>IF('Transform Data'!D303="Cash","Cash",IF(COUNTIF('Transform Data'!$D:$D,'Transform Data'!D303)&gt;1,"Repeat","Single"))</f>
        <v>Repeat</v>
      </c>
      <c r="K303" s="10" t="str">
        <f t="shared" si="4"/>
        <v>TRANS-0302</v>
      </c>
    </row>
    <row r="304" spans="1:11" x14ac:dyDescent="0.35">
      <c r="A304" s="5">
        <v>45398</v>
      </c>
      <c r="B304" s="3">
        <v>0.44890046296296299</v>
      </c>
      <c r="C304" t="s">
        <v>8</v>
      </c>
      <c r="D304" t="s">
        <v>171</v>
      </c>
      <c r="E304" s="4">
        <v>33.799999999999997</v>
      </c>
      <c r="F304" t="s">
        <v>36</v>
      </c>
      <c r="G304" s="10" t="str">
        <f>TEXT(Transform_Data[[#This Row],[Date]],"mmm yyyy")</f>
        <v>Apr 2024</v>
      </c>
      <c r="H304" s="10">
        <f>HOUR(Transform_Data[[#This Row],[Time]])</f>
        <v>10</v>
      </c>
      <c r="I304" s="10" t="str">
        <f>IF(COUNTIF('Transform Data'!$D:$D,'Transform Data'!D304)&gt;1,"Repeat","Single")</f>
        <v>Single</v>
      </c>
      <c r="J304" s="10" t="str">
        <f>IF('Transform Data'!D304="Cash","Cash",IF(COUNTIF('Transform Data'!$D:$D,'Transform Data'!D304)&gt;1,"Repeat","Single"))</f>
        <v>Single</v>
      </c>
      <c r="K304" s="10" t="str">
        <f t="shared" si="4"/>
        <v>TRANS-0303</v>
      </c>
    </row>
    <row r="305" spans="1:11" x14ac:dyDescent="0.35">
      <c r="A305" s="5">
        <v>45398</v>
      </c>
      <c r="B305" s="3">
        <v>0.52832175925925928</v>
      </c>
      <c r="C305" t="s">
        <v>8</v>
      </c>
      <c r="D305" t="s">
        <v>172</v>
      </c>
      <c r="E305" s="4">
        <v>38.700000000000003</v>
      </c>
      <c r="F305" t="s">
        <v>10</v>
      </c>
      <c r="G305" s="10" t="str">
        <f>TEXT(Transform_Data[[#This Row],[Date]],"mmm yyyy")</f>
        <v>Apr 2024</v>
      </c>
      <c r="H305" s="10">
        <f>HOUR(Transform_Data[[#This Row],[Time]])</f>
        <v>12</v>
      </c>
      <c r="I305" s="10" t="str">
        <f>IF(COUNTIF('Transform Data'!$D:$D,'Transform Data'!D305)&gt;1,"Repeat","Single")</f>
        <v>Single</v>
      </c>
      <c r="J305" s="10" t="str">
        <f>IF('Transform Data'!D305="Cash","Cash",IF(COUNTIF('Transform Data'!$D:$D,'Transform Data'!D305)&gt;1,"Repeat","Single"))</f>
        <v>Single</v>
      </c>
      <c r="K305" s="10" t="str">
        <f t="shared" si="4"/>
        <v>TRANS-0304</v>
      </c>
    </row>
    <row r="306" spans="1:11" x14ac:dyDescent="0.35">
      <c r="A306" s="5">
        <v>45398</v>
      </c>
      <c r="B306" s="3">
        <v>0.53619212962962959</v>
      </c>
      <c r="C306" t="s">
        <v>8</v>
      </c>
      <c r="D306" t="s">
        <v>120</v>
      </c>
      <c r="E306" s="4">
        <v>28.9</v>
      </c>
      <c r="F306" t="s">
        <v>20</v>
      </c>
      <c r="G306" s="10" t="str">
        <f>TEXT(Transform_Data[[#This Row],[Date]],"mmm yyyy")</f>
        <v>Apr 2024</v>
      </c>
      <c r="H306" s="10">
        <f>HOUR(Transform_Data[[#This Row],[Time]])</f>
        <v>12</v>
      </c>
      <c r="I306" s="10" t="str">
        <f>IF(COUNTIF('Transform Data'!$D:$D,'Transform Data'!D306)&gt;1,"Repeat","Single")</f>
        <v>Repeat</v>
      </c>
      <c r="J306" s="10" t="str">
        <f>IF('Transform Data'!D306="Cash","Cash",IF(COUNTIF('Transform Data'!$D:$D,'Transform Data'!D306)&gt;1,"Repeat","Single"))</f>
        <v>Repeat</v>
      </c>
      <c r="K306" s="10" t="str">
        <f t="shared" si="4"/>
        <v>TRANS-0305</v>
      </c>
    </row>
    <row r="307" spans="1:11" x14ac:dyDescent="0.35">
      <c r="A307" s="5">
        <v>45398</v>
      </c>
      <c r="B307" s="3">
        <v>0.6272685185185185</v>
      </c>
      <c r="C307" t="s">
        <v>8</v>
      </c>
      <c r="D307" t="s">
        <v>173</v>
      </c>
      <c r="E307" s="4">
        <v>28.9</v>
      </c>
      <c r="F307" t="s">
        <v>28</v>
      </c>
      <c r="G307" s="10" t="str">
        <f>TEXT(Transform_Data[[#This Row],[Date]],"mmm yyyy")</f>
        <v>Apr 2024</v>
      </c>
      <c r="H307" s="10">
        <f>HOUR(Transform_Data[[#This Row],[Time]])</f>
        <v>15</v>
      </c>
      <c r="I307" s="10" t="str">
        <f>IF(COUNTIF('Transform Data'!$D:$D,'Transform Data'!D307)&gt;1,"Repeat","Single")</f>
        <v>Repeat</v>
      </c>
      <c r="J307" s="10" t="str">
        <f>IF('Transform Data'!D307="Cash","Cash",IF(COUNTIF('Transform Data'!$D:$D,'Transform Data'!D307)&gt;1,"Repeat","Single"))</f>
        <v>Repeat</v>
      </c>
      <c r="K307" s="10" t="str">
        <f t="shared" si="4"/>
        <v>TRANS-0306</v>
      </c>
    </row>
    <row r="308" spans="1:11" x14ac:dyDescent="0.35">
      <c r="A308" s="5">
        <v>45398</v>
      </c>
      <c r="B308" s="3">
        <v>0.73754629629629631</v>
      </c>
      <c r="C308" t="s">
        <v>8</v>
      </c>
      <c r="D308" t="s">
        <v>81</v>
      </c>
      <c r="E308" s="4">
        <v>33.799999999999997</v>
      </c>
      <c r="F308" t="s">
        <v>36</v>
      </c>
      <c r="G308" s="10" t="str">
        <f>TEXT(Transform_Data[[#This Row],[Date]],"mmm yyyy")</f>
        <v>Apr 2024</v>
      </c>
      <c r="H308" s="10">
        <f>HOUR(Transform_Data[[#This Row],[Time]])</f>
        <v>17</v>
      </c>
      <c r="I308" s="10" t="str">
        <f>IF(COUNTIF('Transform Data'!$D:$D,'Transform Data'!D308)&gt;1,"Repeat","Single")</f>
        <v>Repeat</v>
      </c>
      <c r="J308" s="10" t="str">
        <f>IF('Transform Data'!D308="Cash","Cash",IF(COUNTIF('Transform Data'!$D:$D,'Transform Data'!D308)&gt;1,"Repeat","Single"))</f>
        <v>Repeat</v>
      </c>
      <c r="K308" s="10" t="str">
        <f t="shared" si="4"/>
        <v>TRANS-0307</v>
      </c>
    </row>
    <row r="309" spans="1:11" x14ac:dyDescent="0.35">
      <c r="A309" s="5">
        <v>45398</v>
      </c>
      <c r="B309" s="3">
        <v>0.73844907407407412</v>
      </c>
      <c r="C309" t="s">
        <v>8</v>
      </c>
      <c r="D309" t="s">
        <v>25</v>
      </c>
      <c r="E309" s="4">
        <v>38.700000000000003</v>
      </c>
      <c r="F309" t="s">
        <v>24</v>
      </c>
      <c r="G309" s="10" t="str">
        <f>TEXT(Transform_Data[[#This Row],[Date]],"mmm yyyy")</f>
        <v>Apr 2024</v>
      </c>
      <c r="H309" s="10">
        <f>HOUR(Transform_Data[[#This Row],[Time]])</f>
        <v>17</v>
      </c>
      <c r="I309" s="10" t="str">
        <f>IF(COUNTIF('Transform Data'!$D:$D,'Transform Data'!D309)&gt;1,"Repeat","Single")</f>
        <v>Repeat</v>
      </c>
      <c r="J309" s="10" t="str">
        <f>IF('Transform Data'!D309="Cash","Cash",IF(COUNTIF('Transform Data'!$D:$D,'Transform Data'!D309)&gt;1,"Repeat","Single"))</f>
        <v>Repeat</v>
      </c>
      <c r="K309" s="10" t="str">
        <f t="shared" si="4"/>
        <v>TRANS-0308</v>
      </c>
    </row>
    <row r="310" spans="1:11" x14ac:dyDescent="0.35">
      <c r="A310" s="5">
        <v>45398</v>
      </c>
      <c r="B310" s="3">
        <v>0.75630787037037039</v>
      </c>
      <c r="C310" t="s">
        <v>8</v>
      </c>
      <c r="D310" t="s">
        <v>106</v>
      </c>
      <c r="E310" s="4">
        <v>38.700000000000003</v>
      </c>
      <c r="F310" t="s">
        <v>10</v>
      </c>
      <c r="G310" s="10" t="str">
        <f>TEXT(Transform_Data[[#This Row],[Date]],"mmm yyyy")</f>
        <v>Apr 2024</v>
      </c>
      <c r="H310" s="10">
        <f>HOUR(Transform_Data[[#This Row],[Time]])</f>
        <v>18</v>
      </c>
      <c r="I310" s="10" t="str">
        <f>IF(COUNTIF('Transform Data'!$D:$D,'Transform Data'!D310)&gt;1,"Repeat","Single")</f>
        <v>Repeat</v>
      </c>
      <c r="J310" s="10" t="str">
        <f>IF('Transform Data'!D310="Cash","Cash",IF(COUNTIF('Transform Data'!$D:$D,'Transform Data'!D310)&gt;1,"Repeat","Single"))</f>
        <v>Repeat</v>
      </c>
      <c r="K310" s="10" t="str">
        <f t="shared" si="4"/>
        <v>TRANS-0309</v>
      </c>
    </row>
    <row r="311" spans="1:11" x14ac:dyDescent="0.35">
      <c r="A311" s="5">
        <v>45399</v>
      </c>
      <c r="B311" s="3">
        <v>0.56457175925925929</v>
      </c>
      <c r="C311" t="s">
        <v>8</v>
      </c>
      <c r="D311" t="s">
        <v>43</v>
      </c>
      <c r="E311" s="4">
        <v>28.9</v>
      </c>
      <c r="F311" t="s">
        <v>28</v>
      </c>
      <c r="G311" s="10" t="str">
        <f>TEXT(Transform_Data[[#This Row],[Date]],"mmm yyyy")</f>
        <v>Apr 2024</v>
      </c>
      <c r="H311" s="10">
        <f>HOUR(Transform_Data[[#This Row],[Time]])</f>
        <v>13</v>
      </c>
      <c r="I311" s="10" t="str">
        <f>IF(COUNTIF('Transform Data'!$D:$D,'Transform Data'!D311)&gt;1,"Repeat","Single")</f>
        <v>Repeat</v>
      </c>
      <c r="J311" s="10" t="str">
        <f>IF('Transform Data'!D311="Cash","Cash",IF(COUNTIF('Transform Data'!$D:$D,'Transform Data'!D311)&gt;1,"Repeat","Single"))</f>
        <v>Repeat</v>
      </c>
      <c r="K311" s="10" t="str">
        <f t="shared" si="4"/>
        <v>TRANS-0310</v>
      </c>
    </row>
    <row r="312" spans="1:11" x14ac:dyDescent="0.35">
      <c r="A312" s="5">
        <v>45399</v>
      </c>
      <c r="B312" s="3">
        <v>0.57222222222222219</v>
      </c>
      <c r="C312" t="s">
        <v>8</v>
      </c>
      <c r="D312" t="s">
        <v>174</v>
      </c>
      <c r="E312" s="4">
        <v>24</v>
      </c>
      <c r="F312" t="s">
        <v>5</v>
      </c>
      <c r="G312" s="10" t="str">
        <f>TEXT(Transform_Data[[#This Row],[Date]],"mmm yyyy")</f>
        <v>Apr 2024</v>
      </c>
      <c r="H312" s="10">
        <f>HOUR(Transform_Data[[#This Row],[Time]])</f>
        <v>13</v>
      </c>
      <c r="I312" s="10" t="str">
        <f>IF(COUNTIF('Transform Data'!$D:$D,'Transform Data'!D312)&gt;1,"Repeat","Single")</f>
        <v>Single</v>
      </c>
      <c r="J312" s="10" t="str">
        <f>IF('Transform Data'!D312="Cash","Cash",IF(COUNTIF('Transform Data'!$D:$D,'Transform Data'!D312)&gt;1,"Repeat","Single"))</f>
        <v>Single</v>
      </c>
      <c r="K312" s="10" t="str">
        <f t="shared" si="4"/>
        <v>TRANS-0311</v>
      </c>
    </row>
    <row r="313" spans="1:11" x14ac:dyDescent="0.35">
      <c r="A313" s="5">
        <v>45399</v>
      </c>
      <c r="B313" s="3">
        <v>0.6759722222222222</v>
      </c>
      <c r="C313" t="s">
        <v>13</v>
      </c>
      <c r="D313" t="s">
        <v>37</v>
      </c>
      <c r="E313" s="4">
        <v>40</v>
      </c>
      <c r="F313" t="s">
        <v>24</v>
      </c>
      <c r="G313" s="10" t="str">
        <f>TEXT(Transform_Data[[#This Row],[Date]],"mmm yyyy")</f>
        <v>Apr 2024</v>
      </c>
      <c r="H313" s="10">
        <f>HOUR(Transform_Data[[#This Row],[Time]])</f>
        <v>16</v>
      </c>
      <c r="I313" s="10" t="str">
        <f>IF(COUNTIF('Transform Data'!$D:$D,'Transform Data'!D313)&gt;1,"Repeat","Single")</f>
        <v>Repeat</v>
      </c>
      <c r="J313" s="10" t="str">
        <f>IF('Transform Data'!D313="Cash","Cash",IF(COUNTIF('Transform Data'!$D:$D,'Transform Data'!D313)&gt;1,"Repeat","Single"))</f>
        <v>Repeat</v>
      </c>
      <c r="K313" s="10" t="str">
        <f t="shared" si="4"/>
        <v>TRANS-0312</v>
      </c>
    </row>
    <row r="314" spans="1:11" x14ac:dyDescent="0.35">
      <c r="A314" s="5">
        <v>45399</v>
      </c>
      <c r="B314" s="3">
        <v>0.70943287037037039</v>
      </c>
      <c r="C314" t="s">
        <v>8</v>
      </c>
      <c r="D314" t="s">
        <v>175</v>
      </c>
      <c r="E314" s="4">
        <v>38.700000000000003</v>
      </c>
      <c r="F314" t="s">
        <v>24</v>
      </c>
      <c r="G314" s="10" t="str">
        <f>TEXT(Transform_Data[[#This Row],[Date]],"mmm yyyy")</f>
        <v>Apr 2024</v>
      </c>
      <c r="H314" s="10">
        <f>HOUR(Transform_Data[[#This Row],[Time]])</f>
        <v>17</v>
      </c>
      <c r="I314" s="10" t="str">
        <f>IF(COUNTIF('Transform Data'!$D:$D,'Transform Data'!D314)&gt;1,"Repeat","Single")</f>
        <v>Repeat</v>
      </c>
      <c r="J314" s="10" t="str">
        <f>IF('Transform Data'!D314="Cash","Cash",IF(COUNTIF('Transform Data'!$D:$D,'Transform Data'!D314)&gt;1,"Repeat","Single"))</f>
        <v>Repeat</v>
      </c>
      <c r="K314" s="10" t="str">
        <f t="shared" si="4"/>
        <v>TRANS-0313</v>
      </c>
    </row>
    <row r="315" spans="1:11" x14ac:dyDescent="0.35">
      <c r="A315" s="5">
        <v>45399</v>
      </c>
      <c r="B315" s="3">
        <v>0.71018518518518514</v>
      </c>
      <c r="C315" t="s">
        <v>8</v>
      </c>
      <c r="D315" t="s">
        <v>175</v>
      </c>
      <c r="E315" s="4">
        <v>38.700000000000003</v>
      </c>
      <c r="F315" t="s">
        <v>24</v>
      </c>
      <c r="G315" s="10" t="str">
        <f>TEXT(Transform_Data[[#This Row],[Date]],"mmm yyyy")</f>
        <v>Apr 2024</v>
      </c>
      <c r="H315" s="10">
        <f>HOUR(Transform_Data[[#This Row],[Time]])</f>
        <v>17</v>
      </c>
      <c r="I315" s="10" t="str">
        <f>IF(COUNTIF('Transform Data'!$D:$D,'Transform Data'!D315)&gt;1,"Repeat","Single")</f>
        <v>Repeat</v>
      </c>
      <c r="J315" s="10" t="str">
        <f>IF('Transform Data'!D315="Cash","Cash",IF(COUNTIF('Transform Data'!$D:$D,'Transform Data'!D315)&gt;1,"Repeat","Single"))</f>
        <v>Repeat</v>
      </c>
      <c r="K315" s="10" t="str">
        <f t="shared" si="4"/>
        <v>TRANS-0314</v>
      </c>
    </row>
    <row r="316" spans="1:11" x14ac:dyDescent="0.35">
      <c r="A316" s="5">
        <v>45399</v>
      </c>
      <c r="B316" s="3">
        <v>0.75975694444444442</v>
      </c>
      <c r="C316" t="s">
        <v>8</v>
      </c>
      <c r="D316" t="s">
        <v>176</v>
      </c>
      <c r="E316" s="4">
        <v>28.9</v>
      </c>
      <c r="F316" t="s">
        <v>20</v>
      </c>
      <c r="G316" s="10" t="str">
        <f>TEXT(Transform_Data[[#This Row],[Date]],"mmm yyyy")</f>
        <v>Apr 2024</v>
      </c>
      <c r="H316" s="10">
        <f>HOUR(Transform_Data[[#This Row],[Time]])</f>
        <v>18</v>
      </c>
      <c r="I316" s="10" t="str">
        <f>IF(COUNTIF('Transform Data'!$D:$D,'Transform Data'!D316)&gt;1,"Repeat","Single")</f>
        <v>Single</v>
      </c>
      <c r="J316" s="10" t="str">
        <f>IF('Transform Data'!D316="Cash","Cash",IF(COUNTIF('Transform Data'!$D:$D,'Transform Data'!D316)&gt;1,"Repeat","Single"))</f>
        <v>Single</v>
      </c>
      <c r="K316" s="10" t="str">
        <f t="shared" si="4"/>
        <v>TRANS-0315</v>
      </c>
    </row>
    <row r="317" spans="1:11" x14ac:dyDescent="0.35">
      <c r="A317" s="5">
        <v>45400</v>
      </c>
      <c r="B317" s="3">
        <v>0.47153935185185186</v>
      </c>
      <c r="C317" t="s">
        <v>8</v>
      </c>
      <c r="D317" t="s">
        <v>62</v>
      </c>
      <c r="E317" s="4">
        <v>28.9</v>
      </c>
      <c r="F317" t="s">
        <v>28</v>
      </c>
      <c r="G317" s="10" t="str">
        <f>TEXT(Transform_Data[[#This Row],[Date]],"mmm yyyy")</f>
        <v>Apr 2024</v>
      </c>
      <c r="H317" s="10">
        <f>HOUR(Transform_Data[[#This Row],[Time]])</f>
        <v>11</v>
      </c>
      <c r="I317" s="10" t="str">
        <f>IF(COUNTIF('Transform Data'!$D:$D,'Transform Data'!D317)&gt;1,"Repeat","Single")</f>
        <v>Repeat</v>
      </c>
      <c r="J317" s="10" t="str">
        <f>IF('Transform Data'!D317="Cash","Cash",IF(COUNTIF('Transform Data'!$D:$D,'Transform Data'!D317)&gt;1,"Repeat","Single"))</f>
        <v>Repeat</v>
      </c>
      <c r="K317" s="10" t="str">
        <f t="shared" si="4"/>
        <v>TRANS-0316</v>
      </c>
    </row>
    <row r="318" spans="1:11" x14ac:dyDescent="0.35">
      <c r="A318" s="5">
        <v>45400</v>
      </c>
      <c r="B318" s="3">
        <v>0.47228009259259257</v>
      </c>
      <c r="C318" t="s">
        <v>8</v>
      </c>
      <c r="D318" t="s">
        <v>62</v>
      </c>
      <c r="E318" s="4">
        <v>28.9</v>
      </c>
      <c r="F318" t="s">
        <v>28</v>
      </c>
      <c r="G318" s="10" t="str">
        <f>TEXT(Transform_Data[[#This Row],[Date]],"mmm yyyy")</f>
        <v>Apr 2024</v>
      </c>
      <c r="H318" s="10">
        <f>HOUR(Transform_Data[[#This Row],[Time]])</f>
        <v>11</v>
      </c>
      <c r="I318" s="10" t="str">
        <f>IF(COUNTIF('Transform Data'!$D:$D,'Transform Data'!D318)&gt;1,"Repeat","Single")</f>
        <v>Repeat</v>
      </c>
      <c r="J318" s="10" t="str">
        <f>IF('Transform Data'!D318="Cash","Cash",IF(COUNTIF('Transform Data'!$D:$D,'Transform Data'!D318)&gt;1,"Repeat","Single"))</f>
        <v>Repeat</v>
      </c>
      <c r="K318" s="10" t="str">
        <f t="shared" si="4"/>
        <v>TRANS-0317</v>
      </c>
    </row>
    <row r="319" spans="1:11" x14ac:dyDescent="0.35">
      <c r="A319" s="5">
        <v>45400</v>
      </c>
      <c r="B319" s="3">
        <v>0.57583333333333331</v>
      </c>
      <c r="C319" t="s">
        <v>8</v>
      </c>
      <c r="D319" t="s">
        <v>177</v>
      </c>
      <c r="E319" s="4">
        <v>33.799999999999997</v>
      </c>
      <c r="F319" t="s">
        <v>36</v>
      </c>
      <c r="G319" s="10" t="str">
        <f>TEXT(Transform_Data[[#This Row],[Date]],"mmm yyyy")</f>
        <v>Apr 2024</v>
      </c>
      <c r="H319" s="10">
        <f>HOUR(Transform_Data[[#This Row],[Time]])</f>
        <v>13</v>
      </c>
      <c r="I319" s="10" t="str">
        <f>IF(COUNTIF('Transform Data'!$D:$D,'Transform Data'!D319)&gt;1,"Repeat","Single")</f>
        <v>Repeat</v>
      </c>
      <c r="J319" s="10" t="str">
        <f>IF('Transform Data'!D319="Cash","Cash",IF(COUNTIF('Transform Data'!$D:$D,'Transform Data'!D319)&gt;1,"Repeat","Single"))</f>
        <v>Repeat</v>
      </c>
      <c r="K319" s="10" t="str">
        <f t="shared" si="4"/>
        <v>TRANS-0318</v>
      </c>
    </row>
    <row r="320" spans="1:11" x14ac:dyDescent="0.35">
      <c r="A320" s="5">
        <v>45400</v>
      </c>
      <c r="B320" s="3">
        <v>0.57658564814814817</v>
      </c>
      <c r="C320" t="s">
        <v>8</v>
      </c>
      <c r="D320" t="s">
        <v>177</v>
      </c>
      <c r="E320" s="4">
        <v>28.9</v>
      </c>
      <c r="F320" t="s">
        <v>20</v>
      </c>
      <c r="G320" s="10" t="str">
        <f>TEXT(Transform_Data[[#This Row],[Date]],"mmm yyyy")</f>
        <v>Apr 2024</v>
      </c>
      <c r="H320" s="10">
        <f>HOUR(Transform_Data[[#This Row],[Time]])</f>
        <v>13</v>
      </c>
      <c r="I320" s="10" t="str">
        <f>IF(COUNTIF('Transform Data'!$D:$D,'Transform Data'!D320)&gt;1,"Repeat","Single")</f>
        <v>Repeat</v>
      </c>
      <c r="J320" s="10" t="str">
        <f>IF('Transform Data'!D320="Cash","Cash",IF(COUNTIF('Transform Data'!$D:$D,'Transform Data'!D320)&gt;1,"Repeat","Single"))</f>
        <v>Repeat</v>
      </c>
      <c r="K320" s="10" t="str">
        <f t="shared" si="4"/>
        <v>TRANS-0319</v>
      </c>
    </row>
    <row r="321" spans="1:11" x14ac:dyDescent="0.35">
      <c r="A321" s="5">
        <v>45400</v>
      </c>
      <c r="B321" s="3">
        <v>0.6071643518518518</v>
      </c>
      <c r="C321" t="s">
        <v>8</v>
      </c>
      <c r="D321" t="s">
        <v>178</v>
      </c>
      <c r="E321" s="4">
        <v>38.700000000000003</v>
      </c>
      <c r="F321" t="s">
        <v>24</v>
      </c>
      <c r="G321" s="10" t="str">
        <f>TEXT(Transform_Data[[#This Row],[Date]],"mmm yyyy")</f>
        <v>Apr 2024</v>
      </c>
      <c r="H321" s="10">
        <f>HOUR(Transform_Data[[#This Row],[Time]])</f>
        <v>14</v>
      </c>
      <c r="I321" s="10" t="str">
        <f>IF(COUNTIF('Transform Data'!$D:$D,'Transform Data'!D321)&gt;1,"Repeat","Single")</f>
        <v>Repeat</v>
      </c>
      <c r="J321" s="10" t="str">
        <f>IF('Transform Data'!D321="Cash","Cash",IF(COUNTIF('Transform Data'!$D:$D,'Transform Data'!D321)&gt;1,"Repeat","Single"))</f>
        <v>Repeat</v>
      </c>
      <c r="K321" s="10" t="str">
        <f t="shared" si="4"/>
        <v>TRANS-0320</v>
      </c>
    </row>
    <row r="322" spans="1:11" x14ac:dyDescent="0.35">
      <c r="A322" s="5">
        <v>45400</v>
      </c>
      <c r="B322" s="3">
        <v>0.60820601851851852</v>
      </c>
      <c r="C322" t="s">
        <v>8</v>
      </c>
      <c r="D322" t="s">
        <v>178</v>
      </c>
      <c r="E322" s="4">
        <v>38.700000000000003</v>
      </c>
      <c r="F322" t="s">
        <v>32</v>
      </c>
      <c r="G322" s="10" t="str">
        <f>TEXT(Transform_Data[[#This Row],[Date]],"mmm yyyy")</f>
        <v>Apr 2024</v>
      </c>
      <c r="H322" s="10">
        <f>HOUR(Transform_Data[[#This Row],[Time]])</f>
        <v>14</v>
      </c>
      <c r="I322" s="10" t="str">
        <f>IF(COUNTIF('Transform Data'!$D:$D,'Transform Data'!D322)&gt;1,"Repeat","Single")</f>
        <v>Repeat</v>
      </c>
      <c r="J322" s="10" t="str">
        <f>IF('Transform Data'!D322="Cash","Cash",IF(COUNTIF('Transform Data'!$D:$D,'Transform Data'!D322)&gt;1,"Repeat","Single"))</f>
        <v>Repeat</v>
      </c>
      <c r="K322" s="10" t="str">
        <f t="shared" ref="K322:K385" si="5">"TRANS-"&amp;TEXT(ROW(A321),"0000")</f>
        <v>TRANS-0321</v>
      </c>
    </row>
    <row r="323" spans="1:11" x14ac:dyDescent="0.35">
      <c r="A323" s="5">
        <v>45400</v>
      </c>
      <c r="B323" s="3">
        <v>0.73906249999999996</v>
      </c>
      <c r="C323" t="s">
        <v>8</v>
      </c>
      <c r="D323" t="s">
        <v>125</v>
      </c>
      <c r="E323" s="4">
        <v>38.700000000000003</v>
      </c>
      <c r="F323" t="s">
        <v>32</v>
      </c>
      <c r="G323" s="10" t="str">
        <f>TEXT(Transform_Data[[#This Row],[Date]],"mmm yyyy")</f>
        <v>Apr 2024</v>
      </c>
      <c r="H323" s="10">
        <f>HOUR(Transform_Data[[#This Row],[Time]])</f>
        <v>17</v>
      </c>
      <c r="I323" s="10" t="str">
        <f>IF(COUNTIF('Transform Data'!$D:$D,'Transform Data'!D323)&gt;1,"Repeat","Single")</f>
        <v>Repeat</v>
      </c>
      <c r="J323" s="10" t="str">
        <f>IF('Transform Data'!D323="Cash","Cash",IF(COUNTIF('Transform Data'!$D:$D,'Transform Data'!D323)&gt;1,"Repeat","Single"))</f>
        <v>Repeat</v>
      </c>
      <c r="K323" s="10" t="str">
        <f t="shared" si="5"/>
        <v>TRANS-0322</v>
      </c>
    </row>
    <row r="324" spans="1:11" x14ac:dyDescent="0.35">
      <c r="A324" s="5">
        <v>45400</v>
      </c>
      <c r="B324" s="3">
        <v>0.7646412037037037</v>
      </c>
      <c r="C324" t="s">
        <v>8</v>
      </c>
      <c r="D324" t="s">
        <v>141</v>
      </c>
      <c r="E324" s="4">
        <v>38.700000000000003</v>
      </c>
      <c r="F324" t="s">
        <v>24</v>
      </c>
      <c r="G324" s="10" t="str">
        <f>TEXT(Transform_Data[[#This Row],[Date]],"mmm yyyy")</f>
        <v>Apr 2024</v>
      </c>
      <c r="H324" s="10">
        <f>HOUR(Transform_Data[[#This Row],[Time]])</f>
        <v>18</v>
      </c>
      <c r="I324" s="10" t="str">
        <f>IF(COUNTIF('Transform Data'!$D:$D,'Transform Data'!D324)&gt;1,"Repeat","Single")</f>
        <v>Repeat</v>
      </c>
      <c r="J324" s="10" t="str">
        <f>IF('Transform Data'!D324="Cash","Cash",IF(COUNTIF('Transform Data'!$D:$D,'Transform Data'!D324)&gt;1,"Repeat","Single"))</f>
        <v>Repeat</v>
      </c>
      <c r="K324" s="10" t="str">
        <f t="shared" si="5"/>
        <v>TRANS-0323</v>
      </c>
    </row>
    <row r="325" spans="1:11" x14ac:dyDescent="0.35">
      <c r="A325" s="5">
        <v>45400</v>
      </c>
      <c r="B325" s="3">
        <v>0.81934027777777774</v>
      </c>
      <c r="C325" t="s">
        <v>8</v>
      </c>
      <c r="D325" t="s">
        <v>81</v>
      </c>
      <c r="E325" s="4">
        <v>38.700000000000003</v>
      </c>
      <c r="F325" t="s">
        <v>15</v>
      </c>
      <c r="G325" s="10" t="str">
        <f>TEXT(Transform_Data[[#This Row],[Date]],"mmm yyyy")</f>
        <v>Apr 2024</v>
      </c>
      <c r="H325" s="10">
        <f>HOUR(Transform_Data[[#This Row],[Time]])</f>
        <v>19</v>
      </c>
      <c r="I325" s="10" t="str">
        <f>IF(COUNTIF('Transform Data'!$D:$D,'Transform Data'!D325)&gt;1,"Repeat","Single")</f>
        <v>Repeat</v>
      </c>
      <c r="J325" s="10" t="str">
        <f>IF('Transform Data'!D325="Cash","Cash",IF(COUNTIF('Transform Data'!$D:$D,'Transform Data'!D325)&gt;1,"Repeat","Single"))</f>
        <v>Repeat</v>
      </c>
      <c r="K325" s="10" t="str">
        <f t="shared" si="5"/>
        <v>TRANS-0324</v>
      </c>
    </row>
    <row r="326" spans="1:11" x14ac:dyDescent="0.35">
      <c r="A326" s="5">
        <v>45400</v>
      </c>
      <c r="B326" s="3">
        <v>0.82</v>
      </c>
      <c r="C326" t="s">
        <v>8</v>
      </c>
      <c r="D326" t="s">
        <v>25</v>
      </c>
      <c r="E326" s="4">
        <v>38.700000000000003</v>
      </c>
      <c r="F326" t="s">
        <v>15</v>
      </c>
      <c r="G326" s="10" t="str">
        <f>TEXT(Transform_Data[[#This Row],[Date]],"mmm yyyy")</f>
        <v>Apr 2024</v>
      </c>
      <c r="H326" s="10">
        <f>HOUR(Transform_Data[[#This Row],[Time]])</f>
        <v>19</v>
      </c>
      <c r="I326" s="10" t="str">
        <f>IF(COUNTIF('Transform Data'!$D:$D,'Transform Data'!D326)&gt;1,"Repeat","Single")</f>
        <v>Repeat</v>
      </c>
      <c r="J326" s="10" t="str">
        <f>IF('Transform Data'!D326="Cash","Cash",IF(COUNTIF('Transform Data'!$D:$D,'Transform Data'!D326)&gt;1,"Repeat","Single"))</f>
        <v>Repeat</v>
      </c>
      <c r="K326" s="10" t="str">
        <f t="shared" si="5"/>
        <v>TRANS-0325</v>
      </c>
    </row>
    <row r="327" spans="1:11" x14ac:dyDescent="0.35">
      <c r="A327" s="5">
        <v>45401</v>
      </c>
      <c r="B327" s="3">
        <v>0.42402777777777778</v>
      </c>
      <c r="C327" t="s">
        <v>8</v>
      </c>
      <c r="D327" t="s">
        <v>60</v>
      </c>
      <c r="E327" s="4">
        <v>38.700000000000003</v>
      </c>
      <c r="F327" t="s">
        <v>32</v>
      </c>
      <c r="G327" s="10" t="str">
        <f>TEXT(Transform_Data[[#This Row],[Date]],"mmm yyyy")</f>
        <v>Apr 2024</v>
      </c>
      <c r="H327" s="10">
        <f>HOUR(Transform_Data[[#This Row],[Time]])</f>
        <v>10</v>
      </c>
      <c r="I327" s="10" t="str">
        <f>IF(COUNTIF('Transform Data'!$D:$D,'Transform Data'!D327)&gt;1,"Repeat","Single")</f>
        <v>Repeat</v>
      </c>
      <c r="J327" s="10" t="str">
        <f>IF('Transform Data'!D327="Cash","Cash",IF(COUNTIF('Transform Data'!$D:$D,'Transform Data'!D327)&gt;1,"Repeat","Single"))</f>
        <v>Repeat</v>
      </c>
      <c r="K327" s="10" t="str">
        <f t="shared" si="5"/>
        <v>TRANS-0326</v>
      </c>
    </row>
    <row r="328" spans="1:11" x14ac:dyDescent="0.35">
      <c r="A328" s="5">
        <v>45401</v>
      </c>
      <c r="B328" s="3">
        <v>0.54984953703703698</v>
      </c>
      <c r="C328" t="s">
        <v>8</v>
      </c>
      <c r="D328" t="s">
        <v>16</v>
      </c>
      <c r="E328" s="4">
        <v>33.799999999999997</v>
      </c>
      <c r="F328" t="s">
        <v>36</v>
      </c>
      <c r="G328" s="10" t="str">
        <f>TEXT(Transform_Data[[#This Row],[Date]],"mmm yyyy")</f>
        <v>Apr 2024</v>
      </c>
      <c r="H328" s="10">
        <f>HOUR(Transform_Data[[#This Row],[Time]])</f>
        <v>13</v>
      </c>
      <c r="I328" s="10" t="str">
        <f>IF(COUNTIF('Transform Data'!$D:$D,'Transform Data'!D328)&gt;1,"Repeat","Single")</f>
        <v>Repeat</v>
      </c>
      <c r="J328" s="10" t="str">
        <f>IF('Transform Data'!D328="Cash","Cash",IF(COUNTIF('Transform Data'!$D:$D,'Transform Data'!D328)&gt;1,"Repeat","Single"))</f>
        <v>Repeat</v>
      </c>
      <c r="K328" s="10" t="str">
        <f t="shared" si="5"/>
        <v>TRANS-0327</v>
      </c>
    </row>
    <row r="329" spans="1:11" x14ac:dyDescent="0.35">
      <c r="A329" s="5">
        <v>45401</v>
      </c>
      <c r="B329" s="3">
        <v>0.55092592592592593</v>
      </c>
      <c r="C329" t="s">
        <v>8</v>
      </c>
      <c r="D329" t="s">
        <v>16</v>
      </c>
      <c r="E329" s="4">
        <v>38.700000000000003</v>
      </c>
      <c r="F329" t="s">
        <v>24</v>
      </c>
      <c r="G329" s="10" t="str">
        <f>TEXT(Transform_Data[[#This Row],[Date]],"mmm yyyy")</f>
        <v>Apr 2024</v>
      </c>
      <c r="H329" s="10">
        <f>HOUR(Transform_Data[[#This Row],[Time]])</f>
        <v>13</v>
      </c>
      <c r="I329" s="10" t="str">
        <f>IF(COUNTIF('Transform Data'!$D:$D,'Transform Data'!D329)&gt;1,"Repeat","Single")</f>
        <v>Repeat</v>
      </c>
      <c r="J329" s="10" t="str">
        <f>IF('Transform Data'!D329="Cash","Cash",IF(COUNTIF('Transform Data'!$D:$D,'Transform Data'!D329)&gt;1,"Repeat","Single"))</f>
        <v>Repeat</v>
      </c>
      <c r="K329" s="10" t="str">
        <f t="shared" si="5"/>
        <v>TRANS-0328</v>
      </c>
    </row>
    <row r="330" spans="1:11" x14ac:dyDescent="0.35">
      <c r="A330" s="5">
        <v>45401</v>
      </c>
      <c r="B330" s="3">
        <v>0.58256944444444447</v>
      </c>
      <c r="C330" t="s">
        <v>8</v>
      </c>
      <c r="D330" t="s">
        <v>179</v>
      </c>
      <c r="E330" s="4">
        <v>38.700000000000003</v>
      </c>
      <c r="F330" t="s">
        <v>15</v>
      </c>
      <c r="G330" s="10" t="str">
        <f>TEXT(Transform_Data[[#This Row],[Date]],"mmm yyyy")</f>
        <v>Apr 2024</v>
      </c>
      <c r="H330" s="10">
        <f>HOUR(Transform_Data[[#This Row],[Time]])</f>
        <v>13</v>
      </c>
      <c r="I330" s="10" t="str">
        <f>IF(COUNTIF('Transform Data'!$D:$D,'Transform Data'!D330)&gt;1,"Repeat","Single")</f>
        <v>Repeat</v>
      </c>
      <c r="J330" s="10" t="str">
        <f>IF('Transform Data'!D330="Cash","Cash",IF(COUNTIF('Transform Data'!$D:$D,'Transform Data'!D330)&gt;1,"Repeat","Single"))</f>
        <v>Repeat</v>
      </c>
      <c r="K330" s="10" t="str">
        <f t="shared" si="5"/>
        <v>TRANS-0329</v>
      </c>
    </row>
    <row r="331" spans="1:11" x14ac:dyDescent="0.35">
      <c r="A331" s="5">
        <v>45401</v>
      </c>
      <c r="B331" s="3">
        <v>0.5832060185185185</v>
      </c>
      <c r="C331" t="s">
        <v>8</v>
      </c>
      <c r="D331" t="s">
        <v>179</v>
      </c>
      <c r="E331" s="4">
        <v>38.700000000000003</v>
      </c>
      <c r="F331" t="s">
        <v>24</v>
      </c>
      <c r="G331" s="10" t="str">
        <f>TEXT(Transform_Data[[#This Row],[Date]],"mmm yyyy")</f>
        <v>Apr 2024</v>
      </c>
      <c r="H331" s="10">
        <f>HOUR(Transform_Data[[#This Row],[Time]])</f>
        <v>13</v>
      </c>
      <c r="I331" s="10" t="str">
        <f>IF(COUNTIF('Transform Data'!$D:$D,'Transform Data'!D331)&gt;1,"Repeat","Single")</f>
        <v>Repeat</v>
      </c>
      <c r="J331" s="10" t="str">
        <f>IF('Transform Data'!D331="Cash","Cash",IF(COUNTIF('Transform Data'!$D:$D,'Transform Data'!D331)&gt;1,"Repeat","Single"))</f>
        <v>Repeat</v>
      </c>
      <c r="K331" s="10" t="str">
        <f t="shared" si="5"/>
        <v>TRANS-0330</v>
      </c>
    </row>
    <row r="332" spans="1:11" x14ac:dyDescent="0.35">
      <c r="A332" s="5">
        <v>45401</v>
      </c>
      <c r="B332" s="3">
        <v>0.76619212962962968</v>
      </c>
      <c r="C332" t="s">
        <v>8</v>
      </c>
      <c r="D332" t="s">
        <v>81</v>
      </c>
      <c r="E332" s="4">
        <v>38.700000000000003</v>
      </c>
      <c r="F332" t="s">
        <v>10</v>
      </c>
      <c r="G332" s="10" t="str">
        <f>TEXT(Transform_Data[[#This Row],[Date]],"mmm yyyy")</f>
        <v>Apr 2024</v>
      </c>
      <c r="H332" s="10">
        <f>HOUR(Transform_Data[[#This Row],[Time]])</f>
        <v>18</v>
      </c>
      <c r="I332" s="10" t="str">
        <f>IF(COUNTIF('Transform Data'!$D:$D,'Transform Data'!D332)&gt;1,"Repeat","Single")</f>
        <v>Repeat</v>
      </c>
      <c r="J332" s="10" t="str">
        <f>IF('Transform Data'!D332="Cash","Cash",IF(COUNTIF('Transform Data'!$D:$D,'Transform Data'!D332)&gt;1,"Repeat","Single"))</f>
        <v>Repeat</v>
      </c>
      <c r="K332" s="10" t="str">
        <f t="shared" si="5"/>
        <v>TRANS-0331</v>
      </c>
    </row>
    <row r="333" spans="1:11" x14ac:dyDescent="0.35">
      <c r="A333" s="5">
        <v>45401</v>
      </c>
      <c r="B333" s="3">
        <v>0.76774305555555555</v>
      </c>
      <c r="C333" t="s">
        <v>8</v>
      </c>
      <c r="D333" t="s">
        <v>25</v>
      </c>
      <c r="E333" s="4">
        <v>33.799999999999997</v>
      </c>
      <c r="F333" t="s">
        <v>36</v>
      </c>
      <c r="G333" s="10" t="str">
        <f>TEXT(Transform_Data[[#This Row],[Date]],"mmm yyyy")</f>
        <v>Apr 2024</v>
      </c>
      <c r="H333" s="10">
        <f>HOUR(Transform_Data[[#This Row],[Time]])</f>
        <v>18</v>
      </c>
      <c r="I333" s="10" t="str">
        <f>IF(COUNTIF('Transform Data'!$D:$D,'Transform Data'!D333)&gt;1,"Repeat","Single")</f>
        <v>Repeat</v>
      </c>
      <c r="J333" s="10" t="str">
        <f>IF('Transform Data'!D333="Cash","Cash",IF(COUNTIF('Transform Data'!$D:$D,'Transform Data'!D333)&gt;1,"Repeat","Single"))</f>
        <v>Repeat</v>
      </c>
      <c r="K333" s="10" t="str">
        <f t="shared" si="5"/>
        <v>TRANS-0332</v>
      </c>
    </row>
    <row r="334" spans="1:11" x14ac:dyDescent="0.35">
      <c r="A334" s="5">
        <v>45402</v>
      </c>
      <c r="B334" s="3">
        <v>0.47548611111111111</v>
      </c>
      <c r="C334" t="s">
        <v>13</v>
      </c>
      <c r="D334" t="s">
        <v>37</v>
      </c>
      <c r="E334" s="4">
        <v>35</v>
      </c>
      <c r="F334" t="s">
        <v>36</v>
      </c>
      <c r="G334" s="10" t="str">
        <f>TEXT(Transform_Data[[#This Row],[Date]],"mmm yyyy")</f>
        <v>Apr 2024</v>
      </c>
      <c r="H334" s="10">
        <f>HOUR(Transform_Data[[#This Row],[Time]])</f>
        <v>11</v>
      </c>
      <c r="I334" s="10" t="str">
        <f>IF(COUNTIF('Transform Data'!$D:$D,'Transform Data'!D334)&gt;1,"Repeat","Single")</f>
        <v>Repeat</v>
      </c>
      <c r="J334" s="10" t="str">
        <f>IF('Transform Data'!D334="Cash","Cash",IF(COUNTIF('Transform Data'!$D:$D,'Transform Data'!D334)&gt;1,"Repeat","Single"))</f>
        <v>Repeat</v>
      </c>
      <c r="K334" s="10" t="str">
        <f t="shared" si="5"/>
        <v>TRANS-0333</v>
      </c>
    </row>
    <row r="335" spans="1:11" x14ac:dyDescent="0.35">
      <c r="A335" s="5">
        <v>45402</v>
      </c>
      <c r="B335" s="3">
        <v>0.50596064814814812</v>
      </c>
      <c r="C335" t="s">
        <v>8</v>
      </c>
      <c r="D335" t="s">
        <v>180</v>
      </c>
      <c r="E335" s="4">
        <v>33.799999999999997</v>
      </c>
      <c r="F335" t="s">
        <v>36</v>
      </c>
      <c r="G335" s="10" t="str">
        <f>TEXT(Transform_Data[[#This Row],[Date]],"mmm yyyy")</f>
        <v>Apr 2024</v>
      </c>
      <c r="H335" s="10">
        <f>HOUR(Transform_Data[[#This Row],[Time]])</f>
        <v>12</v>
      </c>
      <c r="I335" s="10" t="str">
        <f>IF(COUNTIF('Transform Data'!$D:$D,'Transform Data'!D335)&gt;1,"Repeat","Single")</f>
        <v>Repeat</v>
      </c>
      <c r="J335" s="10" t="str">
        <f>IF('Transform Data'!D335="Cash","Cash",IF(COUNTIF('Transform Data'!$D:$D,'Transform Data'!D335)&gt;1,"Repeat","Single"))</f>
        <v>Repeat</v>
      </c>
      <c r="K335" s="10" t="str">
        <f t="shared" si="5"/>
        <v>TRANS-0334</v>
      </c>
    </row>
    <row r="336" spans="1:11" x14ac:dyDescent="0.35">
      <c r="A336" s="5">
        <v>45402</v>
      </c>
      <c r="B336" s="3">
        <v>0.50673611111111116</v>
      </c>
      <c r="C336" t="s">
        <v>8</v>
      </c>
      <c r="D336" t="s">
        <v>180</v>
      </c>
      <c r="E336" s="4">
        <v>33.799999999999997</v>
      </c>
      <c r="F336" t="s">
        <v>36</v>
      </c>
      <c r="G336" s="10" t="str">
        <f>TEXT(Transform_Data[[#This Row],[Date]],"mmm yyyy")</f>
        <v>Apr 2024</v>
      </c>
      <c r="H336" s="10">
        <f>HOUR(Transform_Data[[#This Row],[Time]])</f>
        <v>12</v>
      </c>
      <c r="I336" s="10" t="str">
        <f>IF(COUNTIF('Transform Data'!$D:$D,'Transform Data'!D336)&gt;1,"Repeat","Single")</f>
        <v>Repeat</v>
      </c>
      <c r="J336" s="10" t="str">
        <f>IF('Transform Data'!D336="Cash","Cash",IF(COUNTIF('Transform Data'!$D:$D,'Transform Data'!D336)&gt;1,"Repeat","Single"))</f>
        <v>Repeat</v>
      </c>
      <c r="K336" s="10" t="str">
        <f t="shared" si="5"/>
        <v>TRANS-0335</v>
      </c>
    </row>
    <row r="337" spans="1:11" x14ac:dyDescent="0.35">
      <c r="A337" s="5">
        <v>45402</v>
      </c>
      <c r="B337" s="3">
        <v>0.54765046296296294</v>
      </c>
      <c r="C337" t="s">
        <v>8</v>
      </c>
      <c r="D337" t="s">
        <v>173</v>
      </c>
      <c r="E337" s="4">
        <v>28.9</v>
      </c>
      <c r="F337" t="s">
        <v>28</v>
      </c>
      <c r="G337" s="10" t="str">
        <f>TEXT(Transform_Data[[#This Row],[Date]],"mmm yyyy")</f>
        <v>Apr 2024</v>
      </c>
      <c r="H337" s="10">
        <f>HOUR(Transform_Data[[#This Row],[Time]])</f>
        <v>13</v>
      </c>
      <c r="I337" s="10" t="str">
        <f>IF(COUNTIF('Transform Data'!$D:$D,'Transform Data'!D337)&gt;1,"Repeat","Single")</f>
        <v>Repeat</v>
      </c>
      <c r="J337" s="10" t="str">
        <f>IF('Transform Data'!D337="Cash","Cash",IF(COUNTIF('Transform Data'!$D:$D,'Transform Data'!D337)&gt;1,"Repeat","Single"))</f>
        <v>Repeat</v>
      </c>
      <c r="K337" s="10" t="str">
        <f t="shared" si="5"/>
        <v>TRANS-0336</v>
      </c>
    </row>
    <row r="338" spans="1:11" x14ac:dyDescent="0.35">
      <c r="A338" s="5">
        <v>45402</v>
      </c>
      <c r="B338" s="3">
        <v>0.5484606481481481</v>
      </c>
      <c r="C338" t="s">
        <v>8</v>
      </c>
      <c r="D338" t="s">
        <v>173</v>
      </c>
      <c r="E338" s="4">
        <v>33.799999999999997</v>
      </c>
      <c r="F338" t="s">
        <v>36</v>
      </c>
      <c r="G338" s="10" t="str">
        <f>TEXT(Transform_Data[[#This Row],[Date]],"mmm yyyy")</f>
        <v>Apr 2024</v>
      </c>
      <c r="H338" s="10">
        <f>HOUR(Transform_Data[[#This Row],[Time]])</f>
        <v>13</v>
      </c>
      <c r="I338" s="10" t="str">
        <f>IF(COUNTIF('Transform Data'!$D:$D,'Transform Data'!D338)&gt;1,"Repeat","Single")</f>
        <v>Repeat</v>
      </c>
      <c r="J338" s="10" t="str">
        <f>IF('Transform Data'!D338="Cash","Cash",IF(COUNTIF('Transform Data'!$D:$D,'Transform Data'!D338)&gt;1,"Repeat","Single"))</f>
        <v>Repeat</v>
      </c>
      <c r="K338" s="10" t="str">
        <f t="shared" si="5"/>
        <v>TRANS-0337</v>
      </c>
    </row>
    <row r="339" spans="1:11" x14ac:dyDescent="0.35">
      <c r="A339" s="5">
        <v>45402</v>
      </c>
      <c r="B339" s="3">
        <v>0.54924768518518519</v>
      </c>
      <c r="C339" t="s">
        <v>8</v>
      </c>
      <c r="D339" t="s">
        <v>173</v>
      </c>
      <c r="E339" s="4">
        <v>38.700000000000003</v>
      </c>
      <c r="F339" t="s">
        <v>15</v>
      </c>
      <c r="G339" s="10" t="str">
        <f>TEXT(Transform_Data[[#This Row],[Date]],"mmm yyyy")</f>
        <v>Apr 2024</v>
      </c>
      <c r="H339" s="10">
        <f>HOUR(Transform_Data[[#This Row],[Time]])</f>
        <v>13</v>
      </c>
      <c r="I339" s="10" t="str">
        <f>IF(COUNTIF('Transform Data'!$D:$D,'Transform Data'!D339)&gt;1,"Repeat","Single")</f>
        <v>Repeat</v>
      </c>
      <c r="J339" s="10" t="str">
        <f>IF('Transform Data'!D339="Cash","Cash",IF(COUNTIF('Transform Data'!$D:$D,'Transform Data'!D339)&gt;1,"Repeat","Single"))</f>
        <v>Repeat</v>
      </c>
      <c r="K339" s="10" t="str">
        <f t="shared" si="5"/>
        <v>TRANS-0338</v>
      </c>
    </row>
    <row r="340" spans="1:11" x14ac:dyDescent="0.35">
      <c r="A340" s="5">
        <v>45402</v>
      </c>
      <c r="B340" s="3">
        <v>0.61409722222222218</v>
      </c>
      <c r="C340" t="s">
        <v>8</v>
      </c>
      <c r="D340" t="s">
        <v>16</v>
      </c>
      <c r="E340" s="4">
        <v>38.700000000000003</v>
      </c>
      <c r="F340" t="s">
        <v>24</v>
      </c>
      <c r="G340" s="10" t="str">
        <f>TEXT(Transform_Data[[#This Row],[Date]],"mmm yyyy")</f>
        <v>Apr 2024</v>
      </c>
      <c r="H340" s="10">
        <f>HOUR(Transform_Data[[#This Row],[Time]])</f>
        <v>14</v>
      </c>
      <c r="I340" s="10" t="str">
        <f>IF(COUNTIF('Transform Data'!$D:$D,'Transform Data'!D340)&gt;1,"Repeat","Single")</f>
        <v>Repeat</v>
      </c>
      <c r="J340" s="10" t="str">
        <f>IF('Transform Data'!D340="Cash","Cash",IF(COUNTIF('Transform Data'!$D:$D,'Transform Data'!D340)&gt;1,"Repeat","Single"))</f>
        <v>Repeat</v>
      </c>
      <c r="K340" s="10" t="str">
        <f t="shared" si="5"/>
        <v>TRANS-0339</v>
      </c>
    </row>
    <row r="341" spans="1:11" x14ac:dyDescent="0.35">
      <c r="A341" s="5">
        <v>45402</v>
      </c>
      <c r="B341" s="3">
        <v>0.63263888888888886</v>
      </c>
      <c r="C341" t="s">
        <v>8</v>
      </c>
      <c r="D341" t="s">
        <v>25</v>
      </c>
      <c r="E341" s="4">
        <v>33.799999999999997</v>
      </c>
      <c r="F341" t="s">
        <v>36</v>
      </c>
      <c r="G341" s="10" t="str">
        <f>TEXT(Transform_Data[[#This Row],[Date]],"mmm yyyy")</f>
        <v>Apr 2024</v>
      </c>
      <c r="H341" s="10">
        <f>HOUR(Transform_Data[[#This Row],[Time]])</f>
        <v>15</v>
      </c>
      <c r="I341" s="10" t="str">
        <f>IF(COUNTIF('Transform Data'!$D:$D,'Transform Data'!D341)&gt;1,"Repeat","Single")</f>
        <v>Repeat</v>
      </c>
      <c r="J341" s="10" t="str">
        <f>IF('Transform Data'!D341="Cash","Cash",IF(COUNTIF('Transform Data'!$D:$D,'Transform Data'!D341)&gt;1,"Repeat","Single"))</f>
        <v>Repeat</v>
      </c>
      <c r="K341" s="10" t="str">
        <f t="shared" si="5"/>
        <v>TRANS-0340</v>
      </c>
    </row>
    <row r="342" spans="1:11" x14ac:dyDescent="0.35">
      <c r="A342" s="5">
        <v>45402</v>
      </c>
      <c r="B342" s="3">
        <v>0.64074074074074072</v>
      </c>
      <c r="C342" t="s">
        <v>8</v>
      </c>
      <c r="D342" t="s">
        <v>43</v>
      </c>
      <c r="E342" s="4">
        <v>32.82</v>
      </c>
      <c r="F342" t="s">
        <v>36</v>
      </c>
      <c r="G342" s="10" t="str">
        <f>TEXT(Transform_Data[[#This Row],[Date]],"mmm yyyy")</f>
        <v>Apr 2024</v>
      </c>
      <c r="H342" s="10">
        <f>HOUR(Transform_Data[[#This Row],[Time]])</f>
        <v>15</v>
      </c>
      <c r="I342" s="10" t="str">
        <f>IF(COUNTIF('Transform Data'!$D:$D,'Transform Data'!D342)&gt;1,"Repeat","Single")</f>
        <v>Repeat</v>
      </c>
      <c r="J342" s="10" t="str">
        <f>IF('Transform Data'!D342="Cash","Cash",IF(COUNTIF('Transform Data'!$D:$D,'Transform Data'!D342)&gt;1,"Repeat","Single"))</f>
        <v>Repeat</v>
      </c>
      <c r="K342" s="10" t="str">
        <f t="shared" si="5"/>
        <v>TRANS-0341</v>
      </c>
    </row>
    <row r="343" spans="1:11" x14ac:dyDescent="0.35">
      <c r="A343" s="5">
        <v>45402</v>
      </c>
      <c r="B343" s="3">
        <v>0.65931712962962963</v>
      </c>
      <c r="C343" t="s">
        <v>8</v>
      </c>
      <c r="D343" t="s">
        <v>181</v>
      </c>
      <c r="E343" s="4">
        <v>32.82</v>
      </c>
      <c r="F343" t="s">
        <v>36</v>
      </c>
      <c r="G343" s="10" t="str">
        <f>TEXT(Transform_Data[[#This Row],[Date]],"mmm yyyy")</f>
        <v>Apr 2024</v>
      </c>
      <c r="H343" s="10">
        <f>HOUR(Transform_Data[[#This Row],[Time]])</f>
        <v>15</v>
      </c>
      <c r="I343" s="10" t="str">
        <f>IF(COUNTIF('Transform Data'!$D:$D,'Transform Data'!D343)&gt;1,"Repeat","Single")</f>
        <v>Single</v>
      </c>
      <c r="J343" s="10" t="str">
        <f>IF('Transform Data'!D343="Cash","Cash",IF(COUNTIF('Transform Data'!$D:$D,'Transform Data'!D343)&gt;1,"Repeat","Single"))</f>
        <v>Single</v>
      </c>
      <c r="K343" s="10" t="str">
        <f t="shared" si="5"/>
        <v>TRANS-0342</v>
      </c>
    </row>
    <row r="344" spans="1:11" x14ac:dyDescent="0.35">
      <c r="A344" s="5">
        <v>45402</v>
      </c>
      <c r="B344" s="3">
        <v>0.71385416666666668</v>
      </c>
      <c r="C344" t="s">
        <v>13</v>
      </c>
      <c r="D344" t="s">
        <v>37</v>
      </c>
      <c r="E344" s="4">
        <v>39</v>
      </c>
      <c r="F344" t="s">
        <v>10</v>
      </c>
      <c r="G344" s="10" t="str">
        <f>TEXT(Transform_Data[[#This Row],[Date]],"mmm yyyy")</f>
        <v>Apr 2024</v>
      </c>
      <c r="H344" s="10">
        <f>HOUR(Transform_Data[[#This Row],[Time]])</f>
        <v>17</v>
      </c>
      <c r="I344" s="10" t="str">
        <f>IF(COUNTIF('Transform Data'!$D:$D,'Transform Data'!D344)&gt;1,"Repeat","Single")</f>
        <v>Repeat</v>
      </c>
      <c r="J344" s="10" t="str">
        <f>IF('Transform Data'!D344="Cash","Cash",IF(COUNTIF('Transform Data'!$D:$D,'Transform Data'!D344)&gt;1,"Repeat","Single"))</f>
        <v>Repeat</v>
      </c>
      <c r="K344" s="10" t="str">
        <f t="shared" si="5"/>
        <v>TRANS-0343</v>
      </c>
    </row>
    <row r="345" spans="1:11" x14ac:dyDescent="0.35">
      <c r="A345" s="5">
        <v>45402</v>
      </c>
      <c r="B345" s="3">
        <v>0.76922453703703708</v>
      </c>
      <c r="C345" t="s">
        <v>8</v>
      </c>
      <c r="D345" t="s">
        <v>182</v>
      </c>
      <c r="E345" s="4">
        <v>37.72</v>
      </c>
      <c r="F345" t="s">
        <v>24</v>
      </c>
      <c r="G345" s="10" t="str">
        <f>TEXT(Transform_Data[[#This Row],[Date]],"mmm yyyy")</f>
        <v>Apr 2024</v>
      </c>
      <c r="H345" s="10">
        <f>HOUR(Transform_Data[[#This Row],[Time]])</f>
        <v>18</v>
      </c>
      <c r="I345" s="10" t="str">
        <f>IF(COUNTIF('Transform Data'!$D:$D,'Transform Data'!D345)&gt;1,"Repeat","Single")</f>
        <v>Repeat</v>
      </c>
      <c r="J345" s="10" t="str">
        <f>IF('Transform Data'!D345="Cash","Cash",IF(COUNTIF('Transform Data'!$D:$D,'Transform Data'!D345)&gt;1,"Repeat","Single"))</f>
        <v>Repeat</v>
      </c>
      <c r="K345" s="10" t="str">
        <f t="shared" si="5"/>
        <v>TRANS-0344</v>
      </c>
    </row>
    <row r="346" spans="1:11" x14ac:dyDescent="0.35">
      <c r="A346" s="5">
        <v>45402</v>
      </c>
      <c r="B346" s="3">
        <v>0.76997685185185183</v>
      </c>
      <c r="C346" t="s">
        <v>8</v>
      </c>
      <c r="D346" t="s">
        <v>182</v>
      </c>
      <c r="E346" s="4">
        <v>37.72</v>
      </c>
      <c r="F346" t="s">
        <v>24</v>
      </c>
      <c r="G346" s="10" t="str">
        <f>TEXT(Transform_Data[[#This Row],[Date]],"mmm yyyy")</f>
        <v>Apr 2024</v>
      </c>
      <c r="H346" s="10">
        <f>HOUR(Transform_Data[[#This Row],[Time]])</f>
        <v>18</v>
      </c>
      <c r="I346" s="10" t="str">
        <f>IF(COUNTIF('Transform Data'!$D:$D,'Transform Data'!D346)&gt;1,"Repeat","Single")</f>
        <v>Repeat</v>
      </c>
      <c r="J346" s="10" t="str">
        <f>IF('Transform Data'!D346="Cash","Cash",IF(COUNTIF('Transform Data'!$D:$D,'Transform Data'!D346)&gt;1,"Repeat","Single"))</f>
        <v>Repeat</v>
      </c>
      <c r="K346" s="10" t="str">
        <f t="shared" si="5"/>
        <v>TRANS-0345</v>
      </c>
    </row>
    <row r="347" spans="1:11" x14ac:dyDescent="0.35">
      <c r="A347" s="5">
        <v>45402</v>
      </c>
      <c r="B347" s="3">
        <v>0.81313657407407403</v>
      </c>
      <c r="C347" t="s">
        <v>8</v>
      </c>
      <c r="D347" t="s">
        <v>183</v>
      </c>
      <c r="E347" s="4">
        <v>37.72</v>
      </c>
      <c r="F347" t="s">
        <v>32</v>
      </c>
      <c r="G347" s="10" t="str">
        <f>TEXT(Transform_Data[[#This Row],[Date]],"mmm yyyy")</f>
        <v>Apr 2024</v>
      </c>
      <c r="H347" s="10">
        <f>HOUR(Transform_Data[[#This Row],[Time]])</f>
        <v>19</v>
      </c>
      <c r="I347" s="10" t="str">
        <f>IF(COUNTIF('Transform Data'!$D:$D,'Transform Data'!D347)&gt;1,"Repeat","Single")</f>
        <v>Single</v>
      </c>
      <c r="J347" s="10" t="str">
        <f>IF('Transform Data'!D347="Cash","Cash",IF(COUNTIF('Transform Data'!$D:$D,'Transform Data'!D347)&gt;1,"Repeat","Single"))</f>
        <v>Single</v>
      </c>
      <c r="K347" s="10" t="str">
        <f t="shared" si="5"/>
        <v>TRANS-0346</v>
      </c>
    </row>
    <row r="348" spans="1:11" x14ac:dyDescent="0.35">
      <c r="A348" s="5">
        <v>45403</v>
      </c>
      <c r="B348" s="3">
        <v>0.4699652777777778</v>
      </c>
      <c r="C348" t="s">
        <v>8</v>
      </c>
      <c r="D348" t="s">
        <v>60</v>
      </c>
      <c r="E348" s="4">
        <v>37.72</v>
      </c>
      <c r="F348" t="s">
        <v>32</v>
      </c>
      <c r="G348" s="10" t="str">
        <f>TEXT(Transform_Data[[#This Row],[Date]],"mmm yyyy")</f>
        <v>Apr 2024</v>
      </c>
      <c r="H348" s="10">
        <f>HOUR(Transform_Data[[#This Row],[Time]])</f>
        <v>11</v>
      </c>
      <c r="I348" s="10" t="str">
        <f>IF(COUNTIF('Transform Data'!$D:$D,'Transform Data'!D348)&gt;1,"Repeat","Single")</f>
        <v>Repeat</v>
      </c>
      <c r="J348" s="10" t="str">
        <f>IF('Transform Data'!D348="Cash","Cash",IF(COUNTIF('Transform Data'!$D:$D,'Transform Data'!D348)&gt;1,"Repeat","Single"))</f>
        <v>Repeat</v>
      </c>
      <c r="K348" s="10" t="str">
        <f t="shared" si="5"/>
        <v>TRANS-0347</v>
      </c>
    </row>
    <row r="349" spans="1:11" x14ac:dyDescent="0.35">
      <c r="A349" s="5">
        <v>45403</v>
      </c>
      <c r="B349" s="3">
        <v>0.59417824074074077</v>
      </c>
      <c r="C349" t="s">
        <v>8</v>
      </c>
      <c r="D349" t="s">
        <v>154</v>
      </c>
      <c r="E349" s="4">
        <v>27.92</v>
      </c>
      <c r="F349" t="s">
        <v>28</v>
      </c>
      <c r="G349" s="10" t="str">
        <f>TEXT(Transform_Data[[#This Row],[Date]],"mmm yyyy")</f>
        <v>Apr 2024</v>
      </c>
      <c r="H349" s="10">
        <f>HOUR(Transform_Data[[#This Row],[Time]])</f>
        <v>14</v>
      </c>
      <c r="I349" s="10" t="str">
        <f>IF(COUNTIF('Transform Data'!$D:$D,'Transform Data'!D349)&gt;1,"Repeat","Single")</f>
        <v>Repeat</v>
      </c>
      <c r="J349" s="10" t="str">
        <f>IF('Transform Data'!D349="Cash","Cash",IF(COUNTIF('Transform Data'!$D:$D,'Transform Data'!D349)&gt;1,"Repeat","Single"))</f>
        <v>Repeat</v>
      </c>
      <c r="K349" s="10" t="str">
        <f t="shared" si="5"/>
        <v>TRANS-0348</v>
      </c>
    </row>
    <row r="350" spans="1:11" x14ac:dyDescent="0.35">
      <c r="A350" s="5">
        <v>45403</v>
      </c>
      <c r="B350" s="3">
        <v>0.71461805555555558</v>
      </c>
      <c r="C350" t="s">
        <v>13</v>
      </c>
      <c r="D350" t="s">
        <v>37</v>
      </c>
      <c r="E350" s="4">
        <v>39</v>
      </c>
      <c r="F350" t="s">
        <v>24</v>
      </c>
      <c r="G350" s="10" t="str">
        <f>TEXT(Transform_Data[[#This Row],[Date]],"mmm yyyy")</f>
        <v>Apr 2024</v>
      </c>
      <c r="H350" s="10">
        <f>HOUR(Transform_Data[[#This Row],[Time]])</f>
        <v>17</v>
      </c>
      <c r="I350" s="10" t="str">
        <f>IF(COUNTIF('Transform Data'!$D:$D,'Transform Data'!D350)&gt;1,"Repeat","Single")</f>
        <v>Repeat</v>
      </c>
      <c r="J350" s="10" t="str">
        <f>IF('Transform Data'!D350="Cash","Cash",IF(COUNTIF('Transform Data'!$D:$D,'Transform Data'!D350)&gt;1,"Repeat","Single"))</f>
        <v>Repeat</v>
      </c>
      <c r="K350" s="10" t="str">
        <f t="shared" si="5"/>
        <v>TRANS-0349</v>
      </c>
    </row>
    <row r="351" spans="1:11" x14ac:dyDescent="0.35">
      <c r="A351" s="5">
        <v>45404</v>
      </c>
      <c r="B351" s="3">
        <v>0.46476851851851853</v>
      </c>
      <c r="C351" t="s">
        <v>8</v>
      </c>
      <c r="D351" t="s">
        <v>43</v>
      </c>
      <c r="E351" s="4">
        <v>27.92</v>
      </c>
      <c r="F351" t="s">
        <v>28</v>
      </c>
      <c r="G351" s="10" t="str">
        <f>TEXT(Transform_Data[[#This Row],[Date]],"mmm yyyy")</f>
        <v>Apr 2024</v>
      </c>
      <c r="H351" s="10">
        <f>HOUR(Transform_Data[[#This Row],[Time]])</f>
        <v>11</v>
      </c>
      <c r="I351" s="10" t="str">
        <f>IF(COUNTIF('Transform Data'!$D:$D,'Transform Data'!D351)&gt;1,"Repeat","Single")</f>
        <v>Repeat</v>
      </c>
      <c r="J351" s="10" t="str">
        <f>IF('Transform Data'!D351="Cash","Cash",IF(COUNTIF('Transform Data'!$D:$D,'Transform Data'!D351)&gt;1,"Repeat","Single"))</f>
        <v>Repeat</v>
      </c>
      <c r="K351" s="10" t="str">
        <f t="shared" si="5"/>
        <v>TRANS-0350</v>
      </c>
    </row>
    <row r="352" spans="1:11" x14ac:dyDescent="0.35">
      <c r="A352" s="5">
        <v>45404</v>
      </c>
      <c r="B352" s="3">
        <v>0.47878472222222224</v>
      </c>
      <c r="C352" t="s">
        <v>8</v>
      </c>
      <c r="D352" t="s">
        <v>184</v>
      </c>
      <c r="E352" s="4">
        <v>32.82</v>
      </c>
      <c r="F352" t="s">
        <v>36</v>
      </c>
      <c r="G352" s="10" t="str">
        <f>TEXT(Transform_Data[[#This Row],[Date]],"mmm yyyy")</f>
        <v>Apr 2024</v>
      </c>
      <c r="H352" s="10">
        <f>HOUR(Transform_Data[[#This Row],[Time]])</f>
        <v>11</v>
      </c>
      <c r="I352" s="10" t="str">
        <f>IF(COUNTIF('Transform Data'!$D:$D,'Transform Data'!D352)&gt;1,"Repeat","Single")</f>
        <v>Single</v>
      </c>
      <c r="J352" s="10" t="str">
        <f>IF('Transform Data'!D352="Cash","Cash",IF(COUNTIF('Transform Data'!$D:$D,'Transform Data'!D352)&gt;1,"Repeat","Single"))</f>
        <v>Single</v>
      </c>
      <c r="K352" s="10" t="str">
        <f t="shared" si="5"/>
        <v>TRANS-0351</v>
      </c>
    </row>
    <row r="353" spans="1:11" x14ac:dyDescent="0.35">
      <c r="A353" s="5">
        <v>45404</v>
      </c>
      <c r="B353" s="3">
        <v>0.77815972222222218</v>
      </c>
      <c r="C353" t="s">
        <v>13</v>
      </c>
      <c r="D353" t="s">
        <v>37</v>
      </c>
      <c r="E353" s="4">
        <v>39</v>
      </c>
      <c r="F353" t="s">
        <v>32</v>
      </c>
      <c r="G353" s="10" t="str">
        <f>TEXT(Transform_Data[[#This Row],[Date]],"mmm yyyy")</f>
        <v>Apr 2024</v>
      </c>
      <c r="H353" s="10">
        <f>HOUR(Transform_Data[[#This Row],[Time]])</f>
        <v>18</v>
      </c>
      <c r="I353" s="10" t="str">
        <f>IF(COUNTIF('Transform Data'!$D:$D,'Transform Data'!D353)&gt;1,"Repeat","Single")</f>
        <v>Repeat</v>
      </c>
      <c r="J353" s="10" t="str">
        <f>IF('Transform Data'!D353="Cash","Cash",IF(COUNTIF('Transform Data'!$D:$D,'Transform Data'!D353)&gt;1,"Repeat","Single"))</f>
        <v>Repeat</v>
      </c>
      <c r="K353" s="10" t="str">
        <f t="shared" si="5"/>
        <v>TRANS-0352</v>
      </c>
    </row>
    <row r="354" spans="1:11" x14ac:dyDescent="0.35">
      <c r="A354" s="5">
        <v>45404</v>
      </c>
      <c r="B354" s="3">
        <v>0.81879629629629624</v>
      </c>
      <c r="C354" t="s">
        <v>8</v>
      </c>
      <c r="D354" t="s">
        <v>25</v>
      </c>
      <c r="E354" s="4">
        <v>37.72</v>
      </c>
      <c r="F354" t="s">
        <v>32</v>
      </c>
      <c r="G354" s="10" t="str">
        <f>TEXT(Transform_Data[[#This Row],[Date]],"mmm yyyy")</f>
        <v>Apr 2024</v>
      </c>
      <c r="H354" s="10">
        <f>HOUR(Transform_Data[[#This Row],[Time]])</f>
        <v>19</v>
      </c>
      <c r="I354" s="10" t="str">
        <f>IF(COUNTIF('Transform Data'!$D:$D,'Transform Data'!D354)&gt;1,"Repeat","Single")</f>
        <v>Repeat</v>
      </c>
      <c r="J354" s="10" t="str">
        <f>IF('Transform Data'!D354="Cash","Cash",IF(COUNTIF('Transform Data'!$D:$D,'Transform Data'!D354)&gt;1,"Repeat","Single"))</f>
        <v>Repeat</v>
      </c>
      <c r="K354" s="10" t="str">
        <f t="shared" si="5"/>
        <v>TRANS-0353</v>
      </c>
    </row>
    <row r="355" spans="1:11" x14ac:dyDescent="0.35">
      <c r="A355" s="5">
        <v>45404</v>
      </c>
      <c r="B355" s="3">
        <v>0.83505787037037038</v>
      </c>
      <c r="C355" t="s">
        <v>13</v>
      </c>
      <c r="D355" t="s">
        <v>37</v>
      </c>
      <c r="E355" s="4">
        <v>39</v>
      </c>
      <c r="F355" t="s">
        <v>24</v>
      </c>
      <c r="G355" s="10" t="str">
        <f>TEXT(Transform_Data[[#This Row],[Date]],"mmm yyyy")</f>
        <v>Apr 2024</v>
      </c>
      <c r="H355" s="10">
        <f>HOUR(Transform_Data[[#This Row],[Time]])</f>
        <v>20</v>
      </c>
      <c r="I355" s="10" t="str">
        <f>IF(COUNTIF('Transform Data'!$D:$D,'Transform Data'!D355)&gt;1,"Repeat","Single")</f>
        <v>Repeat</v>
      </c>
      <c r="J355" s="10" t="str">
        <f>IF('Transform Data'!D355="Cash","Cash",IF(COUNTIF('Transform Data'!$D:$D,'Transform Data'!D355)&gt;1,"Repeat","Single"))</f>
        <v>Repeat</v>
      </c>
      <c r="K355" s="10" t="str">
        <f t="shared" si="5"/>
        <v>TRANS-0354</v>
      </c>
    </row>
    <row r="356" spans="1:11" x14ac:dyDescent="0.35">
      <c r="A356" s="5">
        <v>45405</v>
      </c>
      <c r="B356" s="3">
        <v>0.59901620370370368</v>
      </c>
      <c r="C356" t="s">
        <v>8</v>
      </c>
      <c r="D356" t="s">
        <v>82</v>
      </c>
      <c r="E356" s="4">
        <v>37.72</v>
      </c>
      <c r="F356" t="s">
        <v>24</v>
      </c>
      <c r="G356" s="10" t="str">
        <f>TEXT(Transform_Data[[#This Row],[Date]],"mmm yyyy")</f>
        <v>Apr 2024</v>
      </c>
      <c r="H356" s="10">
        <f>HOUR(Transform_Data[[#This Row],[Time]])</f>
        <v>14</v>
      </c>
      <c r="I356" s="10" t="str">
        <f>IF(COUNTIF('Transform Data'!$D:$D,'Transform Data'!D356)&gt;1,"Repeat","Single")</f>
        <v>Repeat</v>
      </c>
      <c r="J356" s="10" t="str">
        <f>IF('Transform Data'!D356="Cash","Cash",IF(COUNTIF('Transform Data'!$D:$D,'Transform Data'!D356)&gt;1,"Repeat","Single"))</f>
        <v>Repeat</v>
      </c>
      <c r="K356" s="10" t="str">
        <f t="shared" si="5"/>
        <v>TRANS-0355</v>
      </c>
    </row>
    <row r="357" spans="1:11" x14ac:dyDescent="0.35">
      <c r="A357" s="5">
        <v>45405</v>
      </c>
      <c r="B357" s="3">
        <v>0.59991898148148148</v>
      </c>
      <c r="C357" t="s">
        <v>8</v>
      </c>
      <c r="D357" t="s">
        <v>81</v>
      </c>
      <c r="E357" s="4">
        <v>32.82</v>
      </c>
      <c r="F357" t="s">
        <v>36</v>
      </c>
      <c r="G357" s="10" t="str">
        <f>TEXT(Transform_Data[[#This Row],[Date]],"mmm yyyy")</f>
        <v>Apr 2024</v>
      </c>
      <c r="H357" s="10">
        <f>HOUR(Transform_Data[[#This Row],[Time]])</f>
        <v>14</v>
      </c>
      <c r="I357" s="10" t="str">
        <f>IF(COUNTIF('Transform Data'!$D:$D,'Transform Data'!D357)&gt;1,"Repeat","Single")</f>
        <v>Repeat</v>
      </c>
      <c r="J357" s="10" t="str">
        <f>IF('Transform Data'!D357="Cash","Cash",IF(COUNTIF('Transform Data'!$D:$D,'Transform Data'!D357)&gt;1,"Repeat","Single"))</f>
        <v>Repeat</v>
      </c>
      <c r="K357" s="10" t="str">
        <f t="shared" si="5"/>
        <v>TRANS-0356</v>
      </c>
    </row>
    <row r="358" spans="1:11" x14ac:dyDescent="0.35">
      <c r="A358" s="5">
        <v>45405</v>
      </c>
      <c r="B358" s="3">
        <v>0.60065972222222219</v>
      </c>
      <c r="C358" t="s">
        <v>8</v>
      </c>
      <c r="D358" t="s">
        <v>25</v>
      </c>
      <c r="E358" s="4">
        <v>37.72</v>
      </c>
      <c r="F358" t="s">
        <v>24</v>
      </c>
      <c r="G358" s="10" t="str">
        <f>TEXT(Transform_Data[[#This Row],[Date]],"mmm yyyy")</f>
        <v>Apr 2024</v>
      </c>
      <c r="H358" s="10">
        <f>HOUR(Transform_Data[[#This Row],[Time]])</f>
        <v>14</v>
      </c>
      <c r="I358" s="10" t="str">
        <f>IF(COUNTIF('Transform Data'!$D:$D,'Transform Data'!D358)&gt;1,"Repeat","Single")</f>
        <v>Repeat</v>
      </c>
      <c r="J358" s="10" t="str">
        <f>IF('Transform Data'!D358="Cash","Cash",IF(COUNTIF('Transform Data'!$D:$D,'Transform Data'!D358)&gt;1,"Repeat","Single"))</f>
        <v>Repeat</v>
      </c>
      <c r="K358" s="10" t="str">
        <f t="shared" si="5"/>
        <v>TRANS-0357</v>
      </c>
    </row>
    <row r="359" spans="1:11" x14ac:dyDescent="0.35">
      <c r="A359" s="5">
        <v>45405</v>
      </c>
      <c r="B359" s="3">
        <v>0.82114583333333335</v>
      </c>
      <c r="C359" t="s">
        <v>8</v>
      </c>
      <c r="D359" t="s">
        <v>185</v>
      </c>
      <c r="E359" s="4">
        <v>32.82</v>
      </c>
      <c r="F359" t="s">
        <v>36</v>
      </c>
      <c r="G359" s="10" t="str">
        <f>TEXT(Transform_Data[[#This Row],[Date]],"mmm yyyy")</f>
        <v>Apr 2024</v>
      </c>
      <c r="H359" s="10">
        <f>HOUR(Transform_Data[[#This Row],[Time]])</f>
        <v>19</v>
      </c>
      <c r="I359" s="10" t="str">
        <f>IF(COUNTIF('Transform Data'!$D:$D,'Transform Data'!D359)&gt;1,"Repeat","Single")</f>
        <v>Repeat</v>
      </c>
      <c r="J359" s="10" t="str">
        <f>IF('Transform Data'!D359="Cash","Cash",IF(COUNTIF('Transform Data'!$D:$D,'Transform Data'!D359)&gt;1,"Repeat","Single"))</f>
        <v>Repeat</v>
      </c>
      <c r="K359" s="10" t="str">
        <f t="shared" si="5"/>
        <v>TRANS-0358</v>
      </c>
    </row>
    <row r="360" spans="1:11" x14ac:dyDescent="0.35">
      <c r="A360" s="5">
        <v>45405</v>
      </c>
      <c r="B360" s="3">
        <v>0.82182870370370376</v>
      </c>
      <c r="C360" t="s">
        <v>8</v>
      </c>
      <c r="D360" t="s">
        <v>185</v>
      </c>
      <c r="E360" s="4">
        <v>32.82</v>
      </c>
      <c r="F360" t="s">
        <v>36</v>
      </c>
      <c r="G360" s="10" t="str">
        <f>TEXT(Transform_Data[[#This Row],[Date]],"mmm yyyy")</f>
        <v>Apr 2024</v>
      </c>
      <c r="H360" s="10">
        <f>HOUR(Transform_Data[[#This Row],[Time]])</f>
        <v>19</v>
      </c>
      <c r="I360" s="10" t="str">
        <f>IF(COUNTIF('Transform Data'!$D:$D,'Transform Data'!D360)&gt;1,"Repeat","Single")</f>
        <v>Repeat</v>
      </c>
      <c r="J360" s="10" t="str">
        <f>IF('Transform Data'!D360="Cash","Cash",IF(COUNTIF('Transform Data'!$D:$D,'Transform Data'!D360)&gt;1,"Repeat","Single"))</f>
        <v>Repeat</v>
      </c>
      <c r="K360" s="10" t="str">
        <f t="shared" si="5"/>
        <v>TRANS-0359</v>
      </c>
    </row>
    <row r="361" spans="1:11" x14ac:dyDescent="0.35">
      <c r="A361" s="5">
        <v>45406</v>
      </c>
      <c r="B361" s="3">
        <v>0.43030092592592595</v>
      </c>
      <c r="C361" t="s">
        <v>8</v>
      </c>
      <c r="D361" t="s">
        <v>60</v>
      </c>
      <c r="E361" s="4">
        <v>37.72</v>
      </c>
      <c r="F361" t="s">
        <v>32</v>
      </c>
      <c r="G361" s="10" t="str">
        <f>TEXT(Transform_Data[[#This Row],[Date]],"mmm yyyy")</f>
        <v>Apr 2024</v>
      </c>
      <c r="H361" s="10">
        <f>HOUR(Transform_Data[[#This Row],[Time]])</f>
        <v>10</v>
      </c>
      <c r="I361" s="10" t="str">
        <f>IF(COUNTIF('Transform Data'!$D:$D,'Transform Data'!D361)&gt;1,"Repeat","Single")</f>
        <v>Repeat</v>
      </c>
      <c r="J361" s="10" t="str">
        <f>IF('Transform Data'!D361="Cash","Cash",IF(COUNTIF('Transform Data'!$D:$D,'Transform Data'!D361)&gt;1,"Repeat","Single"))</f>
        <v>Repeat</v>
      </c>
      <c r="K361" s="10" t="str">
        <f t="shared" si="5"/>
        <v>TRANS-0360</v>
      </c>
    </row>
    <row r="362" spans="1:11" x14ac:dyDescent="0.35">
      <c r="A362" s="5">
        <v>45406</v>
      </c>
      <c r="B362" s="3">
        <v>0.43156250000000002</v>
      </c>
      <c r="C362" t="s">
        <v>8</v>
      </c>
      <c r="D362" t="s">
        <v>186</v>
      </c>
      <c r="E362" s="4">
        <v>32.82</v>
      </c>
      <c r="F362" t="s">
        <v>36</v>
      </c>
      <c r="G362" s="10" t="str">
        <f>TEXT(Transform_Data[[#This Row],[Date]],"mmm yyyy")</f>
        <v>Apr 2024</v>
      </c>
      <c r="H362" s="10">
        <f>HOUR(Transform_Data[[#This Row],[Time]])</f>
        <v>10</v>
      </c>
      <c r="I362" s="10" t="str">
        <f>IF(COUNTIF('Transform Data'!$D:$D,'Transform Data'!D362)&gt;1,"Repeat","Single")</f>
        <v>Single</v>
      </c>
      <c r="J362" s="10" t="str">
        <f>IF('Transform Data'!D362="Cash","Cash",IF(COUNTIF('Transform Data'!$D:$D,'Transform Data'!D362)&gt;1,"Repeat","Single"))</f>
        <v>Single</v>
      </c>
      <c r="K362" s="10" t="str">
        <f t="shared" si="5"/>
        <v>TRANS-0361</v>
      </c>
    </row>
    <row r="363" spans="1:11" x14ac:dyDescent="0.35">
      <c r="A363" s="5">
        <v>45406</v>
      </c>
      <c r="B363" s="3">
        <v>0.47483796296296299</v>
      </c>
      <c r="C363" t="s">
        <v>8</v>
      </c>
      <c r="D363" t="s">
        <v>187</v>
      </c>
      <c r="E363" s="4">
        <v>32.82</v>
      </c>
      <c r="F363" t="s">
        <v>36</v>
      </c>
      <c r="G363" s="10" t="str">
        <f>TEXT(Transform_Data[[#This Row],[Date]],"mmm yyyy")</f>
        <v>Apr 2024</v>
      </c>
      <c r="H363" s="10">
        <f>HOUR(Transform_Data[[#This Row],[Time]])</f>
        <v>11</v>
      </c>
      <c r="I363" s="10" t="str">
        <f>IF(COUNTIF('Transform Data'!$D:$D,'Transform Data'!D363)&gt;1,"Repeat","Single")</f>
        <v>Single</v>
      </c>
      <c r="J363" s="10" t="str">
        <f>IF('Transform Data'!D363="Cash","Cash",IF(COUNTIF('Transform Data'!$D:$D,'Transform Data'!D363)&gt;1,"Repeat","Single"))</f>
        <v>Single</v>
      </c>
      <c r="K363" s="10" t="str">
        <f t="shared" si="5"/>
        <v>TRANS-0362</v>
      </c>
    </row>
    <row r="364" spans="1:11" x14ac:dyDescent="0.35">
      <c r="A364" s="5">
        <v>45406</v>
      </c>
      <c r="B364" s="3">
        <v>0.48155092592592591</v>
      </c>
      <c r="C364" t="s">
        <v>8</v>
      </c>
      <c r="D364" t="s">
        <v>188</v>
      </c>
      <c r="E364" s="4">
        <v>32.82</v>
      </c>
      <c r="F364" t="s">
        <v>36</v>
      </c>
      <c r="G364" s="10" t="str">
        <f>TEXT(Transform_Data[[#This Row],[Date]],"mmm yyyy")</f>
        <v>Apr 2024</v>
      </c>
      <c r="H364" s="10">
        <f>HOUR(Transform_Data[[#This Row],[Time]])</f>
        <v>11</v>
      </c>
      <c r="I364" s="10" t="str">
        <f>IF(COUNTIF('Transform Data'!$D:$D,'Transform Data'!D364)&gt;1,"Repeat","Single")</f>
        <v>Repeat</v>
      </c>
      <c r="J364" s="10" t="str">
        <f>IF('Transform Data'!D364="Cash","Cash",IF(COUNTIF('Transform Data'!$D:$D,'Transform Data'!D364)&gt;1,"Repeat","Single"))</f>
        <v>Repeat</v>
      </c>
      <c r="K364" s="10" t="str">
        <f t="shared" si="5"/>
        <v>TRANS-0363</v>
      </c>
    </row>
    <row r="365" spans="1:11" x14ac:dyDescent="0.35">
      <c r="A365" s="5">
        <v>45406</v>
      </c>
      <c r="B365" s="3">
        <v>0.52718750000000003</v>
      </c>
      <c r="C365" t="s">
        <v>8</v>
      </c>
      <c r="D365" t="s">
        <v>115</v>
      </c>
      <c r="E365" s="4">
        <v>32.82</v>
      </c>
      <c r="F365" t="s">
        <v>36</v>
      </c>
      <c r="G365" s="10" t="str">
        <f>TEXT(Transform_Data[[#This Row],[Date]],"mmm yyyy")</f>
        <v>Apr 2024</v>
      </c>
      <c r="H365" s="10">
        <f>HOUR(Transform_Data[[#This Row],[Time]])</f>
        <v>12</v>
      </c>
      <c r="I365" s="10" t="str">
        <f>IF(COUNTIF('Transform Data'!$D:$D,'Transform Data'!D365)&gt;1,"Repeat","Single")</f>
        <v>Repeat</v>
      </c>
      <c r="J365" s="10" t="str">
        <f>IF('Transform Data'!D365="Cash","Cash",IF(COUNTIF('Transform Data'!$D:$D,'Transform Data'!D365)&gt;1,"Repeat","Single"))</f>
        <v>Repeat</v>
      </c>
      <c r="K365" s="10" t="str">
        <f t="shared" si="5"/>
        <v>TRANS-0364</v>
      </c>
    </row>
    <row r="366" spans="1:11" x14ac:dyDescent="0.35">
      <c r="A366" s="5">
        <v>45406</v>
      </c>
      <c r="B366" s="3">
        <v>0.69383101851851847</v>
      </c>
      <c r="C366" t="s">
        <v>8</v>
      </c>
      <c r="D366" t="s">
        <v>25</v>
      </c>
      <c r="E366" s="4">
        <v>32.82</v>
      </c>
      <c r="F366" t="s">
        <v>36</v>
      </c>
      <c r="G366" s="10" t="str">
        <f>TEXT(Transform_Data[[#This Row],[Date]],"mmm yyyy")</f>
        <v>Apr 2024</v>
      </c>
      <c r="H366" s="10">
        <f>HOUR(Transform_Data[[#This Row],[Time]])</f>
        <v>16</v>
      </c>
      <c r="I366" s="10" t="str">
        <f>IF(COUNTIF('Transform Data'!$D:$D,'Transform Data'!D366)&gt;1,"Repeat","Single")</f>
        <v>Repeat</v>
      </c>
      <c r="J366" s="10" t="str">
        <f>IF('Transform Data'!D366="Cash","Cash",IF(COUNTIF('Transform Data'!$D:$D,'Transform Data'!D366)&gt;1,"Repeat","Single"))</f>
        <v>Repeat</v>
      </c>
      <c r="K366" s="10" t="str">
        <f t="shared" si="5"/>
        <v>TRANS-0365</v>
      </c>
    </row>
    <row r="367" spans="1:11" x14ac:dyDescent="0.35">
      <c r="A367" s="5">
        <v>45406</v>
      </c>
      <c r="B367" s="3">
        <v>0.81931712962962966</v>
      </c>
      <c r="C367" t="s">
        <v>8</v>
      </c>
      <c r="D367" t="s">
        <v>189</v>
      </c>
      <c r="E367" s="4">
        <v>32.82</v>
      </c>
      <c r="F367" t="s">
        <v>36</v>
      </c>
      <c r="G367" s="10" t="str">
        <f>TEXT(Transform_Data[[#This Row],[Date]],"mmm yyyy")</f>
        <v>Apr 2024</v>
      </c>
      <c r="H367" s="10">
        <f>HOUR(Transform_Data[[#This Row],[Time]])</f>
        <v>19</v>
      </c>
      <c r="I367" s="10" t="str">
        <f>IF(COUNTIF('Transform Data'!$D:$D,'Transform Data'!D367)&gt;1,"Repeat","Single")</f>
        <v>Repeat</v>
      </c>
      <c r="J367" s="10" t="str">
        <f>IF('Transform Data'!D367="Cash","Cash",IF(COUNTIF('Transform Data'!$D:$D,'Transform Data'!D367)&gt;1,"Repeat","Single"))</f>
        <v>Repeat</v>
      </c>
      <c r="K367" s="10" t="str">
        <f t="shared" si="5"/>
        <v>TRANS-0366</v>
      </c>
    </row>
    <row r="368" spans="1:11" x14ac:dyDescent="0.35">
      <c r="A368" s="5">
        <v>45406</v>
      </c>
      <c r="B368" s="3">
        <v>0.82006944444444441</v>
      </c>
      <c r="C368" t="s">
        <v>8</v>
      </c>
      <c r="D368" t="s">
        <v>189</v>
      </c>
      <c r="E368" s="4">
        <v>37.72</v>
      </c>
      <c r="F368" t="s">
        <v>24</v>
      </c>
      <c r="G368" s="10" t="str">
        <f>TEXT(Transform_Data[[#This Row],[Date]],"mmm yyyy")</f>
        <v>Apr 2024</v>
      </c>
      <c r="H368" s="10">
        <f>HOUR(Transform_Data[[#This Row],[Time]])</f>
        <v>19</v>
      </c>
      <c r="I368" s="10" t="str">
        <f>IF(COUNTIF('Transform Data'!$D:$D,'Transform Data'!D368)&gt;1,"Repeat","Single")</f>
        <v>Repeat</v>
      </c>
      <c r="J368" s="10" t="str">
        <f>IF('Transform Data'!D368="Cash","Cash",IF(COUNTIF('Transform Data'!$D:$D,'Transform Data'!D368)&gt;1,"Repeat","Single"))</f>
        <v>Repeat</v>
      </c>
      <c r="K368" s="10" t="str">
        <f t="shared" si="5"/>
        <v>TRANS-0367</v>
      </c>
    </row>
    <row r="369" spans="1:11" x14ac:dyDescent="0.35">
      <c r="A369" s="5">
        <v>45407</v>
      </c>
      <c r="B369" s="3">
        <v>0.44870370370370372</v>
      </c>
      <c r="C369" t="s">
        <v>8</v>
      </c>
      <c r="D369" t="s">
        <v>190</v>
      </c>
      <c r="E369" s="4">
        <v>27.92</v>
      </c>
      <c r="F369" t="s">
        <v>28</v>
      </c>
      <c r="G369" s="10" t="str">
        <f>TEXT(Transform_Data[[#This Row],[Date]],"mmm yyyy")</f>
        <v>Apr 2024</v>
      </c>
      <c r="H369" s="10">
        <f>HOUR(Transform_Data[[#This Row],[Time]])</f>
        <v>10</v>
      </c>
      <c r="I369" s="10" t="str">
        <f>IF(COUNTIF('Transform Data'!$D:$D,'Transform Data'!D369)&gt;1,"Repeat","Single")</f>
        <v>Single</v>
      </c>
      <c r="J369" s="10" t="str">
        <f>IF('Transform Data'!D369="Cash","Cash",IF(COUNTIF('Transform Data'!$D:$D,'Transform Data'!D369)&gt;1,"Repeat","Single"))</f>
        <v>Single</v>
      </c>
      <c r="K369" s="10" t="str">
        <f t="shared" si="5"/>
        <v>TRANS-0368</v>
      </c>
    </row>
    <row r="370" spans="1:11" x14ac:dyDescent="0.35">
      <c r="A370" s="5">
        <v>45407</v>
      </c>
      <c r="B370" s="3">
        <v>0.63780092592592597</v>
      </c>
      <c r="C370" t="s">
        <v>8</v>
      </c>
      <c r="D370" t="s">
        <v>25</v>
      </c>
      <c r="E370" s="4">
        <v>37.72</v>
      </c>
      <c r="F370" t="s">
        <v>32</v>
      </c>
      <c r="G370" s="10" t="str">
        <f>TEXT(Transform_Data[[#This Row],[Date]],"mmm yyyy")</f>
        <v>Apr 2024</v>
      </c>
      <c r="H370" s="10">
        <f>HOUR(Transform_Data[[#This Row],[Time]])</f>
        <v>15</v>
      </c>
      <c r="I370" s="10" t="str">
        <f>IF(COUNTIF('Transform Data'!$D:$D,'Transform Data'!D370)&gt;1,"Repeat","Single")</f>
        <v>Repeat</v>
      </c>
      <c r="J370" s="10" t="str">
        <f>IF('Transform Data'!D370="Cash","Cash",IF(COUNTIF('Transform Data'!$D:$D,'Transform Data'!D370)&gt;1,"Repeat","Single"))</f>
        <v>Repeat</v>
      </c>
      <c r="K370" s="10" t="str">
        <f t="shared" si="5"/>
        <v>TRANS-0369</v>
      </c>
    </row>
    <row r="371" spans="1:11" x14ac:dyDescent="0.35">
      <c r="A371" s="5">
        <v>45407</v>
      </c>
      <c r="B371" s="3">
        <v>0.71508101851851846</v>
      </c>
      <c r="C371" t="s">
        <v>8</v>
      </c>
      <c r="D371" t="s">
        <v>43</v>
      </c>
      <c r="E371" s="4">
        <v>27.92</v>
      </c>
      <c r="F371" t="s">
        <v>28</v>
      </c>
      <c r="G371" s="10" t="str">
        <f>TEXT(Transform_Data[[#This Row],[Date]],"mmm yyyy")</f>
        <v>Apr 2024</v>
      </c>
      <c r="H371" s="10">
        <f>HOUR(Transform_Data[[#This Row],[Time]])</f>
        <v>17</v>
      </c>
      <c r="I371" s="10" t="str">
        <f>IF(COUNTIF('Transform Data'!$D:$D,'Transform Data'!D371)&gt;1,"Repeat","Single")</f>
        <v>Repeat</v>
      </c>
      <c r="J371" s="10" t="str">
        <f>IF('Transform Data'!D371="Cash","Cash",IF(COUNTIF('Transform Data'!$D:$D,'Transform Data'!D371)&gt;1,"Repeat","Single"))</f>
        <v>Repeat</v>
      </c>
      <c r="K371" s="10" t="str">
        <f t="shared" si="5"/>
        <v>TRANS-0370</v>
      </c>
    </row>
    <row r="372" spans="1:11" x14ac:dyDescent="0.35">
      <c r="A372" s="5">
        <v>45407</v>
      </c>
      <c r="B372" s="3">
        <v>0.71584490740740736</v>
      </c>
      <c r="C372" t="s">
        <v>8</v>
      </c>
      <c r="D372" t="s">
        <v>43</v>
      </c>
      <c r="E372" s="4">
        <v>27.92</v>
      </c>
      <c r="F372" t="s">
        <v>28</v>
      </c>
      <c r="G372" s="10" t="str">
        <f>TEXT(Transform_Data[[#This Row],[Date]],"mmm yyyy")</f>
        <v>Apr 2024</v>
      </c>
      <c r="H372" s="10">
        <f>HOUR(Transform_Data[[#This Row],[Time]])</f>
        <v>17</v>
      </c>
      <c r="I372" s="10" t="str">
        <f>IF(COUNTIF('Transform Data'!$D:$D,'Transform Data'!D372)&gt;1,"Repeat","Single")</f>
        <v>Repeat</v>
      </c>
      <c r="J372" s="10" t="str">
        <f>IF('Transform Data'!D372="Cash","Cash",IF(COUNTIF('Transform Data'!$D:$D,'Transform Data'!D372)&gt;1,"Repeat","Single"))</f>
        <v>Repeat</v>
      </c>
      <c r="K372" s="10" t="str">
        <f t="shared" si="5"/>
        <v>TRANS-0371</v>
      </c>
    </row>
    <row r="373" spans="1:11" x14ac:dyDescent="0.35">
      <c r="A373" s="5">
        <v>45408</v>
      </c>
      <c r="B373" s="3">
        <v>0.42557870370370371</v>
      </c>
      <c r="C373" t="s">
        <v>8</v>
      </c>
      <c r="D373" t="s">
        <v>60</v>
      </c>
      <c r="E373" s="4">
        <v>37.72</v>
      </c>
      <c r="F373" t="s">
        <v>32</v>
      </c>
      <c r="G373" s="10" t="str">
        <f>TEXT(Transform_Data[[#This Row],[Date]],"mmm yyyy")</f>
        <v>Apr 2024</v>
      </c>
      <c r="H373" s="10">
        <f>HOUR(Transform_Data[[#This Row],[Time]])</f>
        <v>10</v>
      </c>
      <c r="I373" s="10" t="str">
        <f>IF(COUNTIF('Transform Data'!$D:$D,'Transform Data'!D373)&gt;1,"Repeat","Single")</f>
        <v>Repeat</v>
      </c>
      <c r="J373" s="10" t="str">
        <f>IF('Transform Data'!D373="Cash","Cash",IF(COUNTIF('Transform Data'!$D:$D,'Transform Data'!D373)&gt;1,"Repeat","Single"))</f>
        <v>Repeat</v>
      </c>
      <c r="K373" s="10" t="str">
        <f t="shared" si="5"/>
        <v>TRANS-0372</v>
      </c>
    </row>
    <row r="374" spans="1:11" x14ac:dyDescent="0.35">
      <c r="A374" s="5">
        <v>45408</v>
      </c>
      <c r="B374" s="3">
        <v>0.50104166666666672</v>
      </c>
      <c r="C374" t="s">
        <v>8</v>
      </c>
      <c r="D374" t="s">
        <v>191</v>
      </c>
      <c r="E374" s="4">
        <v>37.72</v>
      </c>
      <c r="F374" t="s">
        <v>32</v>
      </c>
      <c r="G374" s="10" t="str">
        <f>TEXT(Transform_Data[[#This Row],[Date]],"mmm yyyy")</f>
        <v>Apr 2024</v>
      </c>
      <c r="H374" s="10">
        <f>HOUR(Transform_Data[[#This Row],[Time]])</f>
        <v>12</v>
      </c>
      <c r="I374" s="10" t="str">
        <f>IF(COUNTIF('Transform Data'!$D:$D,'Transform Data'!D374)&gt;1,"Repeat","Single")</f>
        <v>Single</v>
      </c>
      <c r="J374" s="10" t="str">
        <f>IF('Transform Data'!D374="Cash","Cash",IF(COUNTIF('Transform Data'!$D:$D,'Transform Data'!D374)&gt;1,"Repeat","Single"))</f>
        <v>Single</v>
      </c>
      <c r="K374" s="10" t="str">
        <f t="shared" si="5"/>
        <v>TRANS-0373</v>
      </c>
    </row>
    <row r="375" spans="1:11" x14ac:dyDescent="0.35">
      <c r="A375" s="5">
        <v>45408</v>
      </c>
      <c r="B375" s="3">
        <v>0.56351851851851853</v>
      </c>
      <c r="C375" t="s">
        <v>8</v>
      </c>
      <c r="D375" t="s">
        <v>192</v>
      </c>
      <c r="E375" s="4">
        <v>37.72</v>
      </c>
      <c r="F375" t="s">
        <v>24</v>
      </c>
      <c r="G375" s="10" t="str">
        <f>TEXT(Transform_Data[[#This Row],[Date]],"mmm yyyy")</f>
        <v>Apr 2024</v>
      </c>
      <c r="H375" s="10">
        <f>HOUR(Transform_Data[[#This Row],[Time]])</f>
        <v>13</v>
      </c>
      <c r="I375" s="10" t="str">
        <f>IF(COUNTIF('Transform Data'!$D:$D,'Transform Data'!D375)&gt;1,"Repeat","Single")</f>
        <v>Repeat</v>
      </c>
      <c r="J375" s="10" t="str">
        <f>IF('Transform Data'!D375="Cash","Cash",IF(COUNTIF('Transform Data'!$D:$D,'Transform Data'!D375)&gt;1,"Repeat","Single"))</f>
        <v>Repeat</v>
      </c>
      <c r="K375" s="10" t="str">
        <f t="shared" si="5"/>
        <v>TRANS-0374</v>
      </c>
    </row>
    <row r="376" spans="1:11" x14ac:dyDescent="0.35">
      <c r="A376" s="5">
        <v>45408</v>
      </c>
      <c r="B376" s="3">
        <v>0.64762731481481484</v>
      </c>
      <c r="C376" t="s">
        <v>8</v>
      </c>
      <c r="D376" t="s">
        <v>43</v>
      </c>
      <c r="E376" s="4">
        <v>27.92</v>
      </c>
      <c r="F376" t="s">
        <v>28</v>
      </c>
      <c r="G376" s="10" t="str">
        <f>TEXT(Transform_Data[[#This Row],[Date]],"mmm yyyy")</f>
        <v>Apr 2024</v>
      </c>
      <c r="H376" s="10">
        <f>HOUR(Transform_Data[[#This Row],[Time]])</f>
        <v>15</v>
      </c>
      <c r="I376" s="10" t="str">
        <f>IF(COUNTIF('Transform Data'!$D:$D,'Transform Data'!D376)&gt;1,"Repeat","Single")</f>
        <v>Repeat</v>
      </c>
      <c r="J376" s="10" t="str">
        <f>IF('Transform Data'!D376="Cash","Cash",IF(COUNTIF('Transform Data'!$D:$D,'Transform Data'!D376)&gt;1,"Repeat","Single"))</f>
        <v>Repeat</v>
      </c>
      <c r="K376" s="10" t="str">
        <f t="shared" si="5"/>
        <v>TRANS-0375</v>
      </c>
    </row>
    <row r="377" spans="1:11" x14ac:dyDescent="0.35">
      <c r="A377" s="5">
        <v>45408</v>
      </c>
      <c r="B377" s="3">
        <v>0.64829861111111109</v>
      </c>
      <c r="C377" t="s">
        <v>8</v>
      </c>
      <c r="D377" t="s">
        <v>43</v>
      </c>
      <c r="E377" s="4">
        <v>27.92</v>
      </c>
      <c r="F377" t="s">
        <v>28</v>
      </c>
      <c r="G377" s="10" t="str">
        <f>TEXT(Transform_Data[[#This Row],[Date]],"mmm yyyy")</f>
        <v>Apr 2024</v>
      </c>
      <c r="H377" s="10">
        <f>HOUR(Transform_Data[[#This Row],[Time]])</f>
        <v>15</v>
      </c>
      <c r="I377" s="10" t="str">
        <f>IF(COUNTIF('Transform Data'!$D:$D,'Transform Data'!D377)&gt;1,"Repeat","Single")</f>
        <v>Repeat</v>
      </c>
      <c r="J377" s="10" t="str">
        <f>IF('Transform Data'!D377="Cash","Cash",IF(COUNTIF('Transform Data'!$D:$D,'Transform Data'!D377)&gt;1,"Repeat","Single"))</f>
        <v>Repeat</v>
      </c>
      <c r="K377" s="10" t="str">
        <f t="shared" si="5"/>
        <v>TRANS-0376</v>
      </c>
    </row>
    <row r="378" spans="1:11" x14ac:dyDescent="0.35">
      <c r="A378" s="5">
        <v>45408</v>
      </c>
      <c r="B378" s="3">
        <v>0.68293981481481481</v>
      </c>
      <c r="C378" t="s">
        <v>8</v>
      </c>
      <c r="D378" t="s">
        <v>193</v>
      </c>
      <c r="E378" s="4">
        <v>27.92</v>
      </c>
      <c r="F378" t="s">
        <v>20</v>
      </c>
      <c r="G378" s="10" t="str">
        <f>TEXT(Transform_Data[[#This Row],[Date]],"mmm yyyy")</f>
        <v>Apr 2024</v>
      </c>
      <c r="H378" s="10">
        <f>HOUR(Transform_Data[[#This Row],[Time]])</f>
        <v>16</v>
      </c>
      <c r="I378" s="10" t="str">
        <f>IF(COUNTIF('Transform Data'!$D:$D,'Transform Data'!D378)&gt;1,"Repeat","Single")</f>
        <v>Single</v>
      </c>
      <c r="J378" s="10" t="str">
        <f>IF('Transform Data'!D378="Cash","Cash",IF(COUNTIF('Transform Data'!$D:$D,'Transform Data'!D378)&gt;1,"Repeat","Single"))</f>
        <v>Single</v>
      </c>
      <c r="K378" s="10" t="str">
        <f t="shared" si="5"/>
        <v>TRANS-0377</v>
      </c>
    </row>
    <row r="379" spans="1:11" x14ac:dyDescent="0.35">
      <c r="A379" s="5">
        <v>45408</v>
      </c>
      <c r="B379" s="3">
        <v>0.68371527777777774</v>
      </c>
      <c r="C379" t="s">
        <v>8</v>
      </c>
      <c r="D379" t="s">
        <v>194</v>
      </c>
      <c r="E379" s="4">
        <v>27.92</v>
      </c>
      <c r="F379" t="s">
        <v>28</v>
      </c>
      <c r="G379" s="10" t="str">
        <f>TEXT(Transform_Data[[#This Row],[Date]],"mmm yyyy")</f>
        <v>Apr 2024</v>
      </c>
      <c r="H379" s="10">
        <f>HOUR(Transform_Data[[#This Row],[Time]])</f>
        <v>16</v>
      </c>
      <c r="I379" s="10" t="str">
        <f>IF(COUNTIF('Transform Data'!$D:$D,'Transform Data'!D379)&gt;1,"Repeat","Single")</f>
        <v>Single</v>
      </c>
      <c r="J379" s="10" t="str">
        <f>IF('Transform Data'!D379="Cash","Cash",IF(COUNTIF('Transform Data'!$D:$D,'Transform Data'!D379)&gt;1,"Repeat","Single"))</f>
        <v>Single</v>
      </c>
      <c r="K379" s="10" t="str">
        <f t="shared" si="5"/>
        <v>TRANS-0378</v>
      </c>
    </row>
    <row r="380" spans="1:11" x14ac:dyDescent="0.35">
      <c r="A380" s="5">
        <v>45408</v>
      </c>
      <c r="B380" s="3">
        <v>0.81396990740740738</v>
      </c>
      <c r="C380" t="s">
        <v>8</v>
      </c>
      <c r="D380" t="s">
        <v>25</v>
      </c>
      <c r="E380" s="4">
        <v>37.72</v>
      </c>
      <c r="F380" t="s">
        <v>15</v>
      </c>
      <c r="G380" s="10" t="str">
        <f>TEXT(Transform_Data[[#This Row],[Date]],"mmm yyyy")</f>
        <v>Apr 2024</v>
      </c>
      <c r="H380" s="10">
        <f>HOUR(Transform_Data[[#This Row],[Time]])</f>
        <v>19</v>
      </c>
      <c r="I380" s="10" t="str">
        <f>IF(COUNTIF('Transform Data'!$D:$D,'Transform Data'!D380)&gt;1,"Repeat","Single")</f>
        <v>Repeat</v>
      </c>
      <c r="J380" s="10" t="str">
        <f>IF('Transform Data'!D380="Cash","Cash",IF(COUNTIF('Transform Data'!$D:$D,'Transform Data'!D380)&gt;1,"Repeat","Single"))</f>
        <v>Repeat</v>
      </c>
      <c r="K380" s="10" t="str">
        <f t="shared" si="5"/>
        <v>TRANS-0379</v>
      </c>
    </row>
    <row r="381" spans="1:11" x14ac:dyDescent="0.35">
      <c r="A381" s="5">
        <v>45408</v>
      </c>
      <c r="B381" s="3">
        <v>0.8149305555555556</v>
      </c>
      <c r="C381" t="s">
        <v>8</v>
      </c>
      <c r="D381" t="s">
        <v>25</v>
      </c>
      <c r="E381" s="4">
        <v>37.72</v>
      </c>
      <c r="F381" t="s">
        <v>10</v>
      </c>
      <c r="G381" s="10" t="str">
        <f>TEXT(Transform_Data[[#This Row],[Date]],"mmm yyyy")</f>
        <v>Apr 2024</v>
      </c>
      <c r="H381" s="10">
        <f>HOUR(Transform_Data[[#This Row],[Time]])</f>
        <v>19</v>
      </c>
      <c r="I381" s="10" t="str">
        <f>IF(COUNTIF('Transform Data'!$D:$D,'Transform Data'!D381)&gt;1,"Repeat","Single")</f>
        <v>Repeat</v>
      </c>
      <c r="J381" s="10" t="str">
        <f>IF('Transform Data'!D381="Cash","Cash",IF(COUNTIF('Transform Data'!$D:$D,'Transform Data'!D381)&gt;1,"Repeat","Single"))</f>
        <v>Repeat</v>
      </c>
      <c r="K381" s="10" t="str">
        <f t="shared" si="5"/>
        <v>TRANS-0380</v>
      </c>
    </row>
    <row r="382" spans="1:11" x14ac:dyDescent="0.35">
      <c r="A382" s="5">
        <v>45409</v>
      </c>
      <c r="B382" s="3">
        <v>0.64375000000000004</v>
      </c>
      <c r="C382" t="s">
        <v>8</v>
      </c>
      <c r="D382" t="s">
        <v>25</v>
      </c>
      <c r="E382" s="4">
        <v>37.72</v>
      </c>
      <c r="F382" t="s">
        <v>24</v>
      </c>
      <c r="G382" s="10" t="str">
        <f>TEXT(Transform_Data[[#This Row],[Date]],"mmm yyyy")</f>
        <v>Apr 2024</v>
      </c>
      <c r="H382" s="10">
        <f>HOUR(Transform_Data[[#This Row],[Time]])</f>
        <v>15</v>
      </c>
      <c r="I382" s="10" t="str">
        <f>IF(COUNTIF('Transform Data'!$D:$D,'Transform Data'!D382)&gt;1,"Repeat","Single")</f>
        <v>Repeat</v>
      </c>
      <c r="J382" s="10" t="str">
        <f>IF('Transform Data'!D382="Cash","Cash",IF(COUNTIF('Transform Data'!$D:$D,'Transform Data'!D382)&gt;1,"Repeat","Single"))</f>
        <v>Repeat</v>
      </c>
      <c r="K382" s="10" t="str">
        <f t="shared" si="5"/>
        <v>TRANS-0381</v>
      </c>
    </row>
    <row r="383" spans="1:11" x14ac:dyDescent="0.35">
      <c r="A383" s="5">
        <v>45410</v>
      </c>
      <c r="B383" s="3">
        <v>0.43949074074074074</v>
      </c>
      <c r="C383" t="s">
        <v>8</v>
      </c>
      <c r="D383" t="s">
        <v>60</v>
      </c>
      <c r="E383" s="4">
        <v>37.72</v>
      </c>
      <c r="F383" t="s">
        <v>32</v>
      </c>
      <c r="G383" s="10" t="str">
        <f>TEXT(Transform_Data[[#This Row],[Date]],"mmm yyyy")</f>
        <v>Apr 2024</v>
      </c>
      <c r="H383" s="10">
        <f>HOUR(Transform_Data[[#This Row],[Time]])</f>
        <v>10</v>
      </c>
      <c r="I383" s="10" t="str">
        <f>IF(COUNTIF('Transform Data'!$D:$D,'Transform Data'!D383)&gt;1,"Repeat","Single")</f>
        <v>Repeat</v>
      </c>
      <c r="J383" s="10" t="str">
        <f>IF('Transform Data'!D383="Cash","Cash",IF(COUNTIF('Transform Data'!$D:$D,'Transform Data'!D383)&gt;1,"Repeat","Single"))</f>
        <v>Repeat</v>
      </c>
      <c r="K383" s="10" t="str">
        <f t="shared" si="5"/>
        <v>TRANS-0382</v>
      </c>
    </row>
    <row r="384" spans="1:11" x14ac:dyDescent="0.35">
      <c r="A384" s="5">
        <v>45410</v>
      </c>
      <c r="B384" s="3">
        <v>0.52093750000000005</v>
      </c>
      <c r="C384" t="s">
        <v>8</v>
      </c>
      <c r="D384" t="s">
        <v>195</v>
      </c>
      <c r="E384" s="4">
        <v>37.72</v>
      </c>
      <c r="F384" t="s">
        <v>24</v>
      </c>
      <c r="G384" s="10" t="str">
        <f>TEXT(Transform_Data[[#This Row],[Date]],"mmm yyyy")</f>
        <v>Apr 2024</v>
      </c>
      <c r="H384" s="10">
        <f>HOUR(Transform_Data[[#This Row],[Time]])</f>
        <v>12</v>
      </c>
      <c r="I384" s="10" t="str">
        <f>IF(COUNTIF('Transform Data'!$D:$D,'Transform Data'!D384)&gt;1,"Repeat","Single")</f>
        <v>Repeat</v>
      </c>
      <c r="J384" s="10" t="str">
        <f>IF('Transform Data'!D384="Cash","Cash",IF(COUNTIF('Transform Data'!$D:$D,'Transform Data'!D384)&gt;1,"Repeat","Single"))</f>
        <v>Repeat</v>
      </c>
      <c r="K384" s="10" t="str">
        <f t="shared" si="5"/>
        <v>TRANS-0383</v>
      </c>
    </row>
    <row r="385" spans="1:11" x14ac:dyDescent="0.35">
      <c r="A385" s="5">
        <v>45410</v>
      </c>
      <c r="B385" s="3">
        <v>0.76884259259259258</v>
      </c>
      <c r="C385" t="s">
        <v>8</v>
      </c>
      <c r="D385" t="s">
        <v>43</v>
      </c>
      <c r="E385" s="4">
        <v>27.92</v>
      </c>
      <c r="F385" t="s">
        <v>28</v>
      </c>
      <c r="G385" s="10" t="str">
        <f>TEXT(Transform_Data[[#This Row],[Date]],"mmm yyyy")</f>
        <v>Apr 2024</v>
      </c>
      <c r="H385" s="10">
        <f>HOUR(Transform_Data[[#This Row],[Time]])</f>
        <v>18</v>
      </c>
      <c r="I385" s="10" t="str">
        <f>IF(COUNTIF('Transform Data'!$D:$D,'Transform Data'!D385)&gt;1,"Repeat","Single")</f>
        <v>Repeat</v>
      </c>
      <c r="J385" s="10" t="str">
        <f>IF('Transform Data'!D385="Cash","Cash",IF(COUNTIF('Transform Data'!$D:$D,'Transform Data'!D385)&gt;1,"Repeat","Single"))</f>
        <v>Repeat</v>
      </c>
      <c r="K385" s="10" t="str">
        <f t="shared" si="5"/>
        <v>TRANS-0384</v>
      </c>
    </row>
    <row r="386" spans="1:11" x14ac:dyDescent="0.35">
      <c r="A386" s="5">
        <v>45410</v>
      </c>
      <c r="B386" s="3">
        <v>0.76957175925925925</v>
      </c>
      <c r="C386" t="s">
        <v>8</v>
      </c>
      <c r="D386" t="s">
        <v>43</v>
      </c>
      <c r="E386" s="4">
        <v>27.92</v>
      </c>
      <c r="F386" t="s">
        <v>28</v>
      </c>
      <c r="G386" s="10" t="str">
        <f>TEXT(Transform_Data[[#This Row],[Date]],"mmm yyyy")</f>
        <v>Apr 2024</v>
      </c>
      <c r="H386" s="10">
        <f>HOUR(Transform_Data[[#This Row],[Time]])</f>
        <v>18</v>
      </c>
      <c r="I386" s="10" t="str">
        <f>IF(COUNTIF('Transform Data'!$D:$D,'Transform Data'!D386)&gt;1,"Repeat","Single")</f>
        <v>Repeat</v>
      </c>
      <c r="J386" s="10" t="str">
        <f>IF('Transform Data'!D386="Cash","Cash",IF(COUNTIF('Transform Data'!$D:$D,'Transform Data'!D386)&gt;1,"Repeat","Single"))</f>
        <v>Repeat</v>
      </c>
      <c r="K386" s="10" t="str">
        <f t="shared" ref="K386:K449" si="6">"TRANS-"&amp;TEXT(ROW(A385),"0000")</f>
        <v>TRANS-0385</v>
      </c>
    </row>
    <row r="387" spans="1:11" x14ac:dyDescent="0.35">
      <c r="A387" s="5">
        <v>45410</v>
      </c>
      <c r="B387" s="3">
        <v>0.77016203703703701</v>
      </c>
      <c r="C387" t="s">
        <v>8</v>
      </c>
      <c r="D387" t="s">
        <v>76</v>
      </c>
      <c r="E387" s="4">
        <v>37.72</v>
      </c>
      <c r="F387" t="s">
        <v>32</v>
      </c>
      <c r="G387" s="10" t="str">
        <f>TEXT(Transform_Data[[#This Row],[Date]],"mmm yyyy")</f>
        <v>Apr 2024</v>
      </c>
      <c r="H387" s="10">
        <f>HOUR(Transform_Data[[#This Row],[Time]])</f>
        <v>18</v>
      </c>
      <c r="I387" s="10" t="str">
        <f>IF(COUNTIF('Transform Data'!$D:$D,'Transform Data'!D387)&gt;1,"Repeat","Single")</f>
        <v>Repeat</v>
      </c>
      <c r="J387" s="10" t="str">
        <f>IF('Transform Data'!D387="Cash","Cash",IF(COUNTIF('Transform Data'!$D:$D,'Transform Data'!D387)&gt;1,"Repeat","Single"))</f>
        <v>Repeat</v>
      </c>
      <c r="K387" s="10" t="str">
        <f t="shared" si="6"/>
        <v>TRANS-0386</v>
      </c>
    </row>
    <row r="388" spans="1:11" x14ac:dyDescent="0.35">
      <c r="A388" s="5">
        <v>45411</v>
      </c>
      <c r="B388" s="3">
        <v>0.47674768518518518</v>
      </c>
      <c r="C388" t="s">
        <v>8</v>
      </c>
      <c r="D388" t="s">
        <v>40</v>
      </c>
      <c r="E388" s="4">
        <v>27.92</v>
      </c>
      <c r="F388" t="s">
        <v>20</v>
      </c>
      <c r="G388" s="10" t="str">
        <f>TEXT(Transform_Data[[#This Row],[Date]],"mmm yyyy")</f>
        <v>Apr 2024</v>
      </c>
      <c r="H388" s="10">
        <f>HOUR(Transform_Data[[#This Row],[Time]])</f>
        <v>11</v>
      </c>
      <c r="I388" s="10" t="str">
        <f>IF(COUNTIF('Transform Data'!$D:$D,'Transform Data'!D388)&gt;1,"Repeat","Single")</f>
        <v>Repeat</v>
      </c>
      <c r="J388" s="10" t="str">
        <f>IF('Transform Data'!D388="Cash","Cash",IF(COUNTIF('Transform Data'!$D:$D,'Transform Data'!D388)&gt;1,"Repeat","Single"))</f>
        <v>Repeat</v>
      </c>
      <c r="K388" s="10" t="str">
        <f t="shared" si="6"/>
        <v>TRANS-0387</v>
      </c>
    </row>
    <row r="389" spans="1:11" x14ac:dyDescent="0.35">
      <c r="A389" s="5">
        <v>45411</v>
      </c>
      <c r="B389" s="3">
        <v>0.56106481481481485</v>
      </c>
      <c r="C389" t="s">
        <v>8</v>
      </c>
      <c r="D389" t="s">
        <v>62</v>
      </c>
      <c r="E389" s="4">
        <v>27.92</v>
      </c>
      <c r="F389" t="s">
        <v>28</v>
      </c>
      <c r="G389" s="10" t="str">
        <f>TEXT(Transform_Data[[#This Row],[Date]],"mmm yyyy")</f>
        <v>Apr 2024</v>
      </c>
      <c r="H389" s="10">
        <f>HOUR(Transform_Data[[#This Row],[Time]])</f>
        <v>13</v>
      </c>
      <c r="I389" s="10" t="str">
        <f>IF(COUNTIF('Transform Data'!$D:$D,'Transform Data'!D389)&gt;1,"Repeat","Single")</f>
        <v>Repeat</v>
      </c>
      <c r="J389" s="10" t="str">
        <f>IF('Transform Data'!D389="Cash","Cash",IF(COUNTIF('Transform Data'!$D:$D,'Transform Data'!D389)&gt;1,"Repeat","Single"))</f>
        <v>Repeat</v>
      </c>
      <c r="K389" s="10" t="str">
        <f t="shared" si="6"/>
        <v>TRANS-0388</v>
      </c>
    </row>
    <row r="390" spans="1:11" x14ac:dyDescent="0.35">
      <c r="A390" s="5">
        <v>45411</v>
      </c>
      <c r="B390" s="3">
        <v>0.56172453703703706</v>
      </c>
      <c r="C390" t="s">
        <v>8</v>
      </c>
      <c r="D390" t="s">
        <v>62</v>
      </c>
      <c r="E390" s="4">
        <v>27.92</v>
      </c>
      <c r="F390" t="s">
        <v>20</v>
      </c>
      <c r="G390" s="10" t="str">
        <f>TEXT(Transform_Data[[#This Row],[Date]],"mmm yyyy")</f>
        <v>Apr 2024</v>
      </c>
      <c r="H390" s="10">
        <f>HOUR(Transform_Data[[#This Row],[Time]])</f>
        <v>13</v>
      </c>
      <c r="I390" s="10" t="str">
        <f>IF(COUNTIF('Transform Data'!$D:$D,'Transform Data'!D390)&gt;1,"Repeat","Single")</f>
        <v>Repeat</v>
      </c>
      <c r="J390" s="10" t="str">
        <f>IF('Transform Data'!D390="Cash","Cash",IF(COUNTIF('Transform Data'!$D:$D,'Transform Data'!D390)&gt;1,"Repeat","Single"))</f>
        <v>Repeat</v>
      </c>
      <c r="K390" s="10" t="str">
        <f t="shared" si="6"/>
        <v>TRANS-0389</v>
      </c>
    </row>
    <row r="391" spans="1:11" x14ac:dyDescent="0.35">
      <c r="A391" s="5">
        <v>45411</v>
      </c>
      <c r="B391" s="3">
        <v>0.57887731481481486</v>
      </c>
      <c r="C391" t="s">
        <v>8</v>
      </c>
      <c r="D391" t="s">
        <v>40</v>
      </c>
      <c r="E391" s="4">
        <v>27.92</v>
      </c>
      <c r="F391" t="s">
        <v>20</v>
      </c>
      <c r="G391" s="10" t="str">
        <f>TEXT(Transform_Data[[#This Row],[Date]],"mmm yyyy")</f>
        <v>Apr 2024</v>
      </c>
      <c r="H391" s="10">
        <f>HOUR(Transform_Data[[#This Row],[Time]])</f>
        <v>13</v>
      </c>
      <c r="I391" s="10" t="str">
        <f>IF(COUNTIF('Transform Data'!$D:$D,'Transform Data'!D391)&gt;1,"Repeat","Single")</f>
        <v>Repeat</v>
      </c>
      <c r="J391" s="10" t="str">
        <f>IF('Transform Data'!D391="Cash","Cash",IF(COUNTIF('Transform Data'!$D:$D,'Transform Data'!D391)&gt;1,"Repeat","Single"))</f>
        <v>Repeat</v>
      </c>
      <c r="K391" s="10" t="str">
        <f t="shared" si="6"/>
        <v>TRANS-0390</v>
      </c>
    </row>
    <row r="392" spans="1:11" x14ac:dyDescent="0.35">
      <c r="A392" s="5">
        <v>45411</v>
      </c>
      <c r="B392" s="3">
        <v>0.57944444444444443</v>
      </c>
      <c r="C392" t="s">
        <v>8</v>
      </c>
      <c r="D392" t="s">
        <v>40</v>
      </c>
      <c r="E392" s="4">
        <v>32.82</v>
      </c>
      <c r="F392" t="s">
        <v>36</v>
      </c>
      <c r="G392" s="10" t="str">
        <f>TEXT(Transform_Data[[#This Row],[Date]],"mmm yyyy")</f>
        <v>Apr 2024</v>
      </c>
      <c r="H392" s="10">
        <f>HOUR(Transform_Data[[#This Row],[Time]])</f>
        <v>13</v>
      </c>
      <c r="I392" s="10" t="str">
        <f>IF(COUNTIF('Transform Data'!$D:$D,'Transform Data'!D392)&gt;1,"Repeat","Single")</f>
        <v>Repeat</v>
      </c>
      <c r="J392" s="10" t="str">
        <f>IF('Transform Data'!D392="Cash","Cash",IF(COUNTIF('Transform Data'!$D:$D,'Transform Data'!D392)&gt;1,"Repeat","Single"))</f>
        <v>Repeat</v>
      </c>
      <c r="K392" s="10" t="str">
        <f t="shared" si="6"/>
        <v>TRANS-0391</v>
      </c>
    </row>
    <row r="393" spans="1:11" x14ac:dyDescent="0.35">
      <c r="A393" s="5">
        <v>45411</v>
      </c>
      <c r="B393" s="3">
        <v>0.77625</v>
      </c>
      <c r="C393" t="s">
        <v>8</v>
      </c>
      <c r="D393" t="s">
        <v>195</v>
      </c>
      <c r="E393" s="4">
        <v>37.72</v>
      </c>
      <c r="F393" t="s">
        <v>24</v>
      </c>
      <c r="G393" s="10" t="str">
        <f>TEXT(Transform_Data[[#This Row],[Date]],"mmm yyyy")</f>
        <v>Apr 2024</v>
      </c>
      <c r="H393" s="10">
        <f>HOUR(Transform_Data[[#This Row],[Time]])</f>
        <v>18</v>
      </c>
      <c r="I393" s="10" t="str">
        <f>IF(COUNTIF('Transform Data'!$D:$D,'Transform Data'!D393)&gt;1,"Repeat","Single")</f>
        <v>Repeat</v>
      </c>
      <c r="J393" s="10" t="str">
        <f>IF('Transform Data'!D393="Cash","Cash",IF(COUNTIF('Transform Data'!$D:$D,'Transform Data'!D393)&gt;1,"Repeat","Single"))</f>
        <v>Repeat</v>
      </c>
      <c r="K393" s="10" t="str">
        <f t="shared" si="6"/>
        <v>TRANS-0392</v>
      </c>
    </row>
    <row r="394" spans="1:11" x14ac:dyDescent="0.35">
      <c r="A394" s="5">
        <v>45411</v>
      </c>
      <c r="B394" s="3">
        <v>0.80038194444444444</v>
      </c>
      <c r="C394" t="s">
        <v>8</v>
      </c>
      <c r="D394" t="s">
        <v>189</v>
      </c>
      <c r="E394" s="4">
        <v>37.72</v>
      </c>
      <c r="F394" t="s">
        <v>24</v>
      </c>
      <c r="G394" s="10" t="str">
        <f>TEXT(Transform_Data[[#This Row],[Date]],"mmm yyyy")</f>
        <v>Apr 2024</v>
      </c>
      <c r="H394" s="10">
        <f>HOUR(Transform_Data[[#This Row],[Time]])</f>
        <v>19</v>
      </c>
      <c r="I394" s="10" t="str">
        <f>IF(COUNTIF('Transform Data'!$D:$D,'Transform Data'!D394)&gt;1,"Repeat","Single")</f>
        <v>Repeat</v>
      </c>
      <c r="J394" s="10" t="str">
        <f>IF('Transform Data'!D394="Cash","Cash",IF(COUNTIF('Transform Data'!$D:$D,'Transform Data'!D394)&gt;1,"Repeat","Single"))</f>
        <v>Repeat</v>
      </c>
      <c r="K394" s="10" t="str">
        <f t="shared" si="6"/>
        <v>TRANS-0393</v>
      </c>
    </row>
    <row r="395" spans="1:11" x14ac:dyDescent="0.35">
      <c r="A395" s="5">
        <v>45411</v>
      </c>
      <c r="B395" s="3">
        <v>0.80112268518518515</v>
      </c>
      <c r="C395" t="s">
        <v>8</v>
      </c>
      <c r="D395" t="s">
        <v>189</v>
      </c>
      <c r="E395" s="4">
        <v>37.72</v>
      </c>
      <c r="F395" t="s">
        <v>24</v>
      </c>
      <c r="G395" s="10" t="str">
        <f>TEXT(Transform_Data[[#This Row],[Date]],"mmm yyyy")</f>
        <v>Apr 2024</v>
      </c>
      <c r="H395" s="10">
        <f>HOUR(Transform_Data[[#This Row],[Time]])</f>
        <v>19</v>
      </c>
      <c r="I395" s="10" t="str">
        <f>IF(COUNTIF('Transform Data'!$D:$D,'Transform Data'!D395)&gt;1,"Repeat","Single")</f>
        <v>Repeat</v>
      </c>
      <c r="J395" s="10" t="str">
        <f>IF('Transform Data'!D395="Cash","Cash",IF(COUNTIF('Transform Data'!$D:$D,'Transform Data'!D395)&gt;1,"Repeat","Single"))</f>
        <v>Repeat</v>
      </c>
      <c r="K395" s="10" t="str">
        <f t="shared" si="6"/>
        <v>TRANS-0394</v>
      </c>
    </row>
    <row r="396" spans="1:11" x14ac:dyDescent="0.35">
      <c r="A396" s="5">
        <v>45412</v>
      </c>
      <c r="B396" s="3">
        <v>0.42825231481481479</v>
      </c>
      <c r="C396" t="s">
        <v>8</v>
      </c>
      <c r="D396" t="s">
        <v>196</v>
      </c>
      <c r="E396" s="4">
        <v>37.72</v>
      </c>
      <c r="F396" t="s">
        <v>32</v>
      </c>
      <c r="G396" s="10" t="str">
        <f>TEXT(Transform_Data[[#This Row],[Date]],"mmm yyyy")</f>
        <v>Apr 2024</v>
      </c>
      <c r="H396" s="10">
        <f>HOUR(Transform_Data[[#This Row],[Time]])</f>
        <v>10</v>
      </c>
      <c r="I396" s="10" t="str">
        <f>IF(COUNTIF('Transform Data'!$D:$D,'Transform Data'!D396)&gt;1,"Repeat","Single")</f>
        <v>Repeat</v>
      </c>
      <c r="J396" s="10" t="str">
        <f>IF('Transform Data'!D396="Cash","Cash",IF(COUNTIF('Transform Data'!$D:$D,'Transform Data'!D396)&gt;1,"Repeat","Single"))</f>
        <v>Repeat</v>
      </c>
      <c r="K396" s="10" t="str">
        <f t="shared" si="6"/>
        <v>TRANS-0395</v>
      </c>
    </row>
    <row r="397" spans="1:11" x14ac:dyDescent="0.35">
      <c r="A397" s="5">
        <v>45412</v>
      </c>
      <c r="B397" s="3">
        <v>0.44087962962962962</v>
      </c>
      <c r="C397" t="s">
        <v>8</v>
      </c>
      <c r="D397" t="s">
        <v>196</v>
      </c>
      <c r="E397" s="4">
        <v>32.82</v>
      </c>
      <c r="F397" t="s">
        <v>36</v>
      </c>
      <c r="G397" s="10" t="str">
        <f>TEXT(Transform_Data[[#This Row],[Date]],"mmm yyyy")</f>
        <v>Apr 2024</v>
      </c>
      <c r="H397" s="10">
        <f>HOUR(Transform_Data[[#This Row],[Time]])</f>
        <v>10</v>
      </c>
      <c r="I397" s="10" t="str">
        <f>IF(COUNTIF('Transform Data'!$D:$D,'Transform Data'!D397)&gt;1,"Repeat","Single")</f>
        <v>Repeat</v>
      </c>
      <c r="J397" s="10" t="str">
        <f>IF('Transform Data'!D397="Cash","Cash",IF(COUNTIF('Transform Data'!$D:$D,'Transform Data'!D397)&gt;1,"Repeat","Single"))</f>
        <v>Repeat</v>
      </c>
      <c r="K397" s="10" t="str">
        <f t="shared" si="6"/>
        <v>TRANS-0396</v>
      </c>
    </row>
    <row r="398" spans="1:11" x14ac:dyDescent="0.35">
      <c r="A398" s="5">
        <v>45412</v>
      </c>
      <c r="B398" s="3">
        <v>0.4415162037037037</v>
      </c>
      <c r="C398" t="s">
        <v>8</v>
      </c>
      <c r="D398" t="s">
        <v>196</v>
      </c>
      <c r="E398" s="4">
        <v>32.82</v>
      </c>
      <c r="F398" t="s">
        <v>36</v>
      </c>
      <c r="G398" s="10" t="str">
        <f>TEXT(Transform_Data[[#This Row],[Date]],"mmm yyyy")</f>
        <v>Apr 2024</v>
      </c>
      <c r="H398" s="10">
        <f>HOUR(Transform_Data[[#This Row],[Time]])</f>
        <v>10</v>
      </c>
      <c r="I398" s="10" t="str">
        <f>IF(COUNTIF('Transform Data'!$D:$D,'Transform Data'!D398)&gt;1,"Repeat","Single")</f>
        <v>Repeat</v>
      </c>
      <c r="J398" s="10" t="str">
        <f>IF('Transform Data'!D398="Cash","Cash",IF(COUNTIF('Transform Data'!$D:$D,'Transform Data'!D398)&gt;1,"Repeat","Single"))</f>
        <v>Repeat</v>
      </c>
      <c r="K398" s="10" t="str">
        <f t="shared" si="6"/>
        <v>TRANS-0397</v>
      </c>
    </row>
    <row r="399" spans="1:11" x14ac:dyDescent="0.35">
      <c r="A399" s="5">
        <v>45412</v>
      </c>
      <c r="B399" s="3">
        <v>0.57074074074074077</v>
      </c>
      <c r="C399" t="s">
        <v>8</v>
      </c>
      <c r="D399" t="s">
        <v>196</v>
      </c>
      <c r="E399" s="4">
        <v>27.92</v>
      </c>
      <c r="F399" t="s">
        <v>28</v>
      </c>
      <c r="G399" s="10" t="str">
        <f>TEXT(Transform_Data[[#This Row],[Date]],"mmm yyyy")</f>
        <v>Apr 2024</v>
      </c>
      <c r="H399" s="10">
        <f>HOUR(Transform_Data[[#This Row],[Time]])</f>
        <v>13</v>
      </c>
      <c r="I399" s="10" t="str">
        <f>IF(COUNTIF('Transform Data'!$D:$D,'Transform Data'!D399)&gt;1,"Repeat","Single")</f>
        <v>Repeat</v>
      </c>
      <c r="J399" s="10" t="str">
        <f>IF('Transform Data'!D399="Cash","Cash",IF(COUNTIF('Transform Data'!$D:$D,'Transform Data'!D399)&gt;1,"Repeat","Single"))</f>
        <v>Repeat</v>
      </c>
      <c r="K399" s="10" t="str">
        <f t="shared" si="6"/>
        <v>TRANS-0398</v>
      </c>
    </row>
    <row r="400" spans="1:11" x14ac:dyDescent="0.35">
      <c r="A400" s="5">
        <v>45412</v>
      </c>
      <c r="B400" s="3">
        <v>0.57151620370370371</v>
      </c>
      <c r="C400" t="s">
        <v>8</v>
      </c>
      <c r="D400" t="s">
        <v>196</v>
      </c>
      <c r="E400" s="4">
        <v>32.82</v>
      </c>
      <c r="F400" t="s">
        <v>36</v>
      </c>
      <c r="G400" s="10" t="str">
        <f>TEXT(Transform_Data[[#This Row],[Date]],"mmm yyyy")</f>
        <v>Apr 2024</v>
      </c>
      <c r="H400" s="10">
        <f>HOUR(Transform_Data[[#This Row],[Time]])</f>
        <v>13</v>
      </c>
      <c r="I400" s="10" t="str">
        <f>IF(COUNTIF('Transform Data'!$D:$D,'Transform Data'!D400)&gt;1,"Repeat","Single")</f>
        <v>Repeat</v>
      </c>
      <c r="J400" s="10" t="str">
        <f>IF('Transform Data'!D400="Cash","Cash",IF(COUNTIF('Transform Data'!$D:$D,'Transform Data'!D400)&gt;1,"Repeat","Single"))</f>
        <v>Repeat</v>
      </c>
      <c r="K400" s="10" t="str">
        <f t="shared" si="6"/>
        <v>TRANS-0399</v>
      </c>
    </row>
    <row r="401" spans="1:11" x14ac:dyDescent="0.35">
      <c r="A401" s="5">
        <v>45412</v>
      </c>
      <c r="B401" s="3">
        <v>0.80506944444444439</v>
      </c>
      <c r="C401" t="s">
        <v>8</v>
      </c>
      <c r="D401" t="s">
        <v>196</v>
      </c>
      <c r="E401" s="4">
        <v>37.72</v>
      </c>
      <c r="F401" t="s">
        <v>24</v>
      </c>
      <c r="G401" s="10" t="str">
        <f>TEXT(Transform_Data[[#This Row],[Date]],"mmm yyyy")</f>
        <v>Apr 2024</v>
      </c>
      <c r="H401" s="10">
        <f>HOUR(Transform_Data[[#This Row],[Time]])</f>
        <v>19</v>
      </c>
      <c r="I401" s="10" t="str">
        <f>IF(COUNTIF('Transform Data'!$D:$D,'Transform Data'!D401)&gt;1,"Repeat","Single")</f>
        <v>Repeat</v>
      </c>
      <c r="J401" s="10" t="str">
        <f>IF('Transform Data'!D401="Cash","Cash",IF(COUNTIF('Transform Data'!$D:$D,'Transform Data'!D401)&gt;1,"Repeat","Single"))</f>
        <v>Repeat</v>
      </c>
      <c r="K401" s="10" t="str">
        <f t="shared" si="6"/>
        <v>TRANS-0400</v>
      </c>
    </row>
    <row r="402" spans="1:11" x14ac:dyDescent="0.35">
      <c r="A402" s="5">
        <v>45412</v>
      </c>
      <c r="B402" s="3">
        <v>0.81254629629629627</v>
      </c>
      <c r="C402" t="s">
        <v>8</v>
      </c>
      <c r="D402" t="s">
        <v>196</v>
      </c>
      <c r="E402" s="4">
        <v>32.82</v>
      </c>
      <c r="F402" t="s">
        <v>36</v>
      </c>
      <c r="G402" s="10" t="str">
        <f>TEXT(Transform_Data[[#This Row],[Date]],"mmm yyyy")</f>
        <v>Apr 2024</v>
      </c>
      <c r="H402" s="10">
        <f>HOUR(Transform_Data[[#This Row],[Time]])</f>
        <v>19</v>
      </c>
      <c r="I402" s="10" t="str">
        <f>IF(COUNTIF('Transform Data'!$D:$D,'Transform Data'!D402)&gt;1,"Repeat","Single")</f>
        <v>Repeat</v>
      </c>
      <c r="J402" s="10" t="str">
        <f>IF('Transform Data'!D402="Cash","Cash",IF(COUNTIF('Transform Data'!$D:$D,'Transform Data'!D402)&gt;1,"Repeat","Single"))</f>
        <v>Repeat</v>
      </c>
      <c r="K402" s="10" t="str">
        <f t="shared" si="6"/>
        <v>TRANS-0401</v>
      </c>
    </row>
    <row r="403" spans="1:11" x14ac:dyDescent="0.35">
      <c r="A403" s="5">
        <v>45412</v>
      </c>
      <c r="B403" s="3">
        <v>0.81342592592592589</v>
      </c>
      <c r="C403" t="s">
        <v>8</v>
      </c>
      <c r="D403" t="s">
        <v>196</v>
      </c>
      <c r="E403" s="4">
        <v>37.72</v>
      </c>
      <c r="F403" t="s">
        <v>32</v>
      </c>
      <c r="G403" s="10" t="str">
        <f>TEXT(Transform_Data[[#This Row],[Date]],"mmm yyyy")</f>
        <v>Apr 2024</v>
      </c>
      <c r="H403" s="10">
        <f>HOUR(Transform_Data[[#This Row],[Time]])</f>
        <v>19</v>
      </c>
      <c r="I403" s="10" t="str">
        <f>IF(COUNTIF('Transform Data'!$D:$D,'Transform Data'!D403)&gt;1,"Repeat","Single")</f>
        <v>Repeat</v>
      </c>
      <c r="J403" s="10" t="str">
        <f>IF('Transform Data'!D403="Cash","Cash",IF(COUNTIF('Transform Data'!$D:$D,'Transform Data'!D403)&gt;1,"Repeat","Single"))</f>
        <v>Repeat</v>
      </c>
      <c r="K403" s="10" t="str">
        <f t="shared" si="6"/>
        <v>TRANS-0402</v>
      </c>
    </row>
    <row r="404" spans="1:11" x14ac:dyDescent="0.35">
      <c r="A404" s="5">
        <v>45414</v>
      </c>
      <c r="B404" s="3">
        <v>0.44021990740740741</v>
      </c>
      <c r="C404" t="s">
        <v>8</v>
      </c>
      <c r="D404" t="s">
        <v>197</v>
      </c>
      <c r="E404" s="4">
        <v>27.92</v>
      </c>
      <c r="F404" t="s">
        <v>28</v>
      </c>
      <c r="G404" s="10" t="str">
        <f>TEXT(Transform_Data[[#This Row],[Date]],"mmm yyyy")</f>
        <v>May 2024</v>
      </c>
      <c r="H404" s="10">
        <f>HOUR(Transform_Data[[#This Row],[Time]])</f>
        <v>10</v>
      </c>
      <c r="I404" s="10" t="str">
        <f>IF(COUNTIF('Transform Data'!$D:$D,'Transform Data'!D404)&gt;1,"Repeat","Single")</f>
        <v>Repeat</v>
      </c>
      <c r="J404" s="10" t="str">
        <f>IF('Transform Data'!D404="Cash","Cash",IF(COUNTIF('Transform Data'!$D:$D,'Transform Data'!D404)&gt;1,"Repeat","Single"))</f>
        <v>Repeat</v>
      </c>
      <c r="K404" s="10" t="str">
        <f t="shared" si="6"/>
        <v>TRANS-0403</v>
      </c>
    </row>
    <row r="405" spans="1:11" x14ac:dyDescent="0.35">
      <c r="A405" s="5">
        <v>45414</v>
      </c>
      <c r="B405" s="3">
        <v>0.47913194444444446</v>
      </c>
      <c r="C405" t="s">
        <v>13</v>
      </c>
      <c r="D405" t="s">
        <v>37</v>
      </c>
      <c r="E405" s="4">
        <v>39</v>
      </c>
      <c r="F405" t="s">
        <v>32</v>
      </c>
      <c r="G405" s="10" t="str">
        <f>TEXT(Transform_Data[[#This Row],[Date]],"mmm yyyy")</f>
        <v>May 2024</v>
      </c>
      <c r="H405" s="10">
        <f>HOUR(Transform_Data[[#This Row],[Time]])</f>
        <v>11</v>
      </c>
      <c r="I405" s="10" t="str">
        <f>IF(COUNTIF('Transform Data'!$D:$D,'Transform Data'!D405)&gt;1,"Repeat","Single")</f>
        <v>Repeat</v>
      </c>
      <c r="J405" s="10" t="str">
        <f>IF('Transform Data'!D405="Cash","Cash",IF(COUNTIF('Transform Data'!$D:$D,'Transform Data'!D405)&gt;1,"Repeat","Single"))</f>
        <v>Repeat</v>
      </c>
      <c r="K405" s="10" t="str">
        <f t="shared" si="6"/>
        <v>TRANS-0404</v>
      </c>
    </row>
    <row r="406" spans="1:11" x14ac:dyDescent="0.35">
      <c r="A406" s="5">
        <v>45414</v>
      </c>
      <c r="B406" s="3">
        <v>0.57614583333333336</v>
      </c>
      <c r="C406" t="s">
        <v>8</v>
      </c>
      <c r="D406" t="s">
        <v>188</v>
      </c>
      <c r="E406" s="4">
        <v>32.82</v>
      </c>
      <c r="F406" t="s">
        <v>36</v>
      </c>
      <c r="G406" s="10" t="str">
        <f>TEXT(Transform_Data[[#This Row],[Date]],"mmm yyyy")</f>
        <v>May 2024</v>
      </c>
      <c r="H406" s="10">
        <f>HOUR(Transform_Data[[#This Row],[Time]])</f>
        <v>13</v>
      </c>
      <c r="I406" s="10" t="str">
        <f>IF(COUNTIF('Transform Data'!$D:$D,'Transform Data'!D406)&gt;1,"Repeat","Single")</f>
        <v>Repeat</v>
      </c>
      <c r="J406" s="10" t="str">
        <f>IF('Transform Data'!D406="Cash","Cash",IF(COUNTIF('Transform Data'!$D:$D,'Transform Data'!D406)&gt;1,"Repeat","Single"))</f>
        <v>Repeat</v>
      </c>
      <c r="K406" s="10" t="str">
        <f t="shared" si="6"/>
        <v>TRANS-0405</v>
      </c>
    </row>
    <row r="407" spans="1:11" x14ac:dyDescent="0.35">
      <c r="A407" s="5">
        <v>45414</v>
      </c>
      <c r="B407" s="3">
        <v>0.77525462962962965</v>
      </c>
      <c r="C407" t="s">
        <v>8</v>
      </c>
      <c r="D407" t="s">
        <v>198</v>
      </c>
      <c r="E407" s="4">
        <v>37.72</v>
      </c>
      <c r="F407" t="s">
        <v>24</v>
      </c>
      <c r="G407" s="10" t="str">
        <f>TEXT(Transform_Data[[#This Row],[Date]],"mmm yyyy")</f>
        <v>May 2024</v>
      </c>
      <c r="H407" s="10">
        <f>HOUR(Transform_Data[[#This Row],[Time]])</f>
        <v>18</v>
      </c>
      <c r="I407" s="10" t="str">
        <f>IF(COUNTIF('Transform Data'!$D:$D,'Transform Data'!D407)&gt;1,"Repeat","Single")</f>
        <v>Single</v>
      </c>
      <c r="J407" s="10" t="str">
        <f>IF('Transform Data'!D407="Cash","Cash",IF(COUNTIF('Transform Data'!$D:$D,'Transform Data'!D407)&gt;1,"Repeat","Single"))</f>
        <v>Single</v>
      </c>
      <c r="K407" s="10" t="str">
        <f t="shared" si="6"/>
        <v>TRANS-0406</v>
      </c>
    </row>
    <row r="408" spans="1:11" x14ac:dyDescent="0.35">
      <c r="A408" s="5">
        <v>45414</v>
      </c>
      <c r="B408" s="3">
        <v>0.77859953703703699</v>
      </c>
      <c r="C408" t="s">
        <v>8</v>
      </c>
      <c r="D408" t="s">
        <v>81</v>
      </c>
      <c r="E408" s="4">
        <v>32.82</v>
      </c>
      <c r="F408" t="s">
        <v>36</v>
      </c>
      <c r="G408" s="10" t="str">
        <f>TEXT(Transform_Data[[#This Row],[Date]],"mmm yyyy")</f>
        <v>May 2024</v>
      </c>
      <c r="H408" s="10">
        <f>HOUR(Transform_Data[[#This Row],[Time]])</f>
        <v>18</v>
      </c>
      <c r="I408" s="10" t="str">
        <f>IF(COUNTIF('Transform Data'!$D:$D,'Transform Data'!D408)&gt;1,"Repeat","Single")</f>
        <v>Repeat</v>
      </c>
      <c r="J408" s="10" t="str">
        <f>IF('Transform Data'!D408="Cash","Cash",IF(COUNTIF('Transform Data'!$D:$D,'Transform Data'!D408)&gt;1,"Repeat","Single"))</f>
        <v>Repeat</v>
      </c>
      <c r="K408" s="10" t="str">
        <f t="shared" si="6"/>
        <v>TRANS-0407</v>
      </c>
    </row>
    <row r="409" spans="1:11" x14ac:dyDescent="0.35">
      <c r="A409" s="5">
        <v>45414</v>
      </c>
      <c r="B409" s="3">
        <v>0.80454861111111109</v>
      </c>
      <c r="C409" t="s">
        <v>8</v>
      </c>
      <c r="D409" t="s">
        <v>199</v>
      </c>
      <c r="E409" s="4">
        <v>37.72</v>
      </c>
      <c r="F409" t="s">
        <v>32</v>
      </c>
      <c r="G409" s="10" t="str">
        <f>TEXT(Transform_Data[[#This Row],[Date]],"mmm yyyy")</f>
        <v>May 2024</v>
      </c>
      <c r="H409" s="10">
        <f>HOUR(Transform_Data[[#This Row],[Time]])</f>
        <v>19</v>
      </c>
      <c r="I409" s="10" t="str">
        <f>IF(COUNTIF('Transform Data'!$D:$D,'Transform Data'!D409)&gt;1,"Repeat","Single")</f>
        <v>Repeat</v>
      </c>
      <c r="J409" s="10" t="str">
        <f>IF('Transform Data'!D409="Cash","Cash",IF(COUNTIF('Transform Data'!$D:$D,'Transform Data'!D409)&gt;1,"Repeat","Single"))</f>
        <v>Repeat</v>
      </c>
      <c r="K409" s="10" t="str">
        <f t="shared" si="6"/>
        <v>TRANS-0408</v>
      </c>
    </row>
    <row r="410" spans="1:11" x14ac:dyDescent="0.35">
      <c r="A410" s="5">
        <v>45414</v>
      </c>
      <c r="B410" s="3">
        <v>0.80550925925925931</v>
      </c>
      <c r="C410" t="s">
        <v>8</v>
      </c>
      <c r="D410" t="s">
        <v>199</v>
      </c>
      <c r="E410" s="4">
        <v>37.72</v>
      </c>
      <c r="F410" t="s">
        <v>24</v>
      </c>
      <c r="G410" s="10" t="str">
        <f>TEXT(Transform_Data[[#This Row],[Date]],"mmm yyyy")</f>
        <v>May 2024</v>
      </c>
      <c r="H410" s="10">
        <f>HOUR(Transform_Data[[#This Row],[Time]])</f>
        <v>19</v>
      </c>
      <c r="I410" s="10" t="str">
        <f>IF(COUNTIF('Transform Data'!$D:$D,'Transform Data'!D410)&gt;1,"Repeat","Single")</f>
        <v>Repeat</v>
      </c>
      <c r="J410" s="10" t="str">
        <f>IF('Transform Data'!D410="Cash","Cash",IF(COUNTIF('Transform Data'!$D:$D,'Transform Data'!D410)&gt;1,"Repeat","Single"))</f>
        <v>Repeat</v>
      </c>
      <c r="K410" s="10" t="str">
        <f t="shared" si="6"/>
        <v>TRANS-0409</v>
      </c>
    </row>
    <row r="411" spans="1:11" x14ac:dyDescent="0.35">
      <c r="A411" s="5">
        <v>45415</v>
      </c>
      <c r="B411" s="3">
        <v>0.42491898148148149</v>
      </c>
      <c r="C411" t="s">
        <v>13</v>
      </c>
      <c r="D411" t="s">
        <v>37</v>
      </c>
      <c r="E411" s="4">
        <v>39</v>
      </c>
      <c r="F411" t="s">
        <v>32</v>
      </c>
      <c r="G411" s="10" t="str">
        <f>TEXT(Transform_Data[[#This Row],[Date]],"mmm yyyy")</f>
        <v>May 2024</v>
      </c>
      <c r="H411" s="10">
        <f>HOUR(Transform_Data[[#This Row],[Time]])</f>
        <v>10</v>
      </c>
      <c r="I411" s="10" t="str">
        <f>IF(COUNTIF('Transform Data'!$D:$D,'Transform Data'!D411)&gt;1,"Repeat","Single")</f>
        <v>Repeat</v>
      </c>
      <c r="J411" s="10" t="str">
        <f>IF('Transform Data'!D411="Cash","Cash",IF(COUNTIF('Transform Data'!$D:$D,'Transform Data'!D411)&gt;1,"Repeat","Single"))</f>
        <v>Repeat</v>
      </c>
      <c r="K411" s="10" t="str">
        <f t="shared" si="6"/>
        <v>TRANS-0410</v>
      </c>
    </row>
    <row r="412" spans="1:11" x14ac:dyDescent="0.35">
      <c r="A412" s="5">
        <v>45415</v>
      </c>
      <c r="B412" s="3">
        <v>0.60416666666666663</v>
      </c>
      <c r="C412" t="s">
        <v>8</v>
      </c>
      <c r="D412" t="s">
        <v>200</v>
      </c>
      <c r="E412" s="4">
        <v>37.72</v>
      </c>
      <c r="F412" t="s">
        <v>32</v>
      </c>
      <c r="G412" s="10" t="str">
        <f>TEXT(Transform_Data[[#This Row],[Date]],"mmm yyyy")</f>
        <v>May 2024</v>
      </c>
      <c r="H412" s="10">
        <f>HOUR(Transform_Data[[#This Row],[Time]])</f>
        <v>14</v>
      </c>
      <c r="I412" s="10" t="str">
        <f>IF(COUNTIF('Transform Data'!$D:$D,'Transform Data'!D412)&gt;1,"Repeat","Single")</f>
        <v>Single</v>
      </c>
      <c r="J412" s="10" t="str">
        <f>IF('Transform Data'!D412="Cash","Cash",IF(COUNTIF('Transform Data'!$D:$D,'Transform Data'!D412)&gt;1,"Repeat","Single"))</f>
        <v>Single</v>
      </c>
      <c r="K412" s="10" t="str">
        <f t="shared" si="6"/>
        <v>TRANS-0411</v>
      </c>
    </row>
    <row r="413" spans="1:11" x14ac:dyDescent="0.35">
      <c r="A413" s="5">
        <v>45415</v>
      </c>
      <c r="B413" s="3">
        <v>0.71069444444444441</v>
      </c>
      <c r="C413" t="s">
        <v>8</v>
      </c>
      <c r="D413" t="s">
        <v>201</v>
      </c>
      <c r="E413" s="4">
        <v>37.72</v>
      </c>
      <c r="F413" t="s">
        <v>32</v>
      </c>
      <c r="G413" s="10" t="str">
        <f>TEXT(Transform_Data[[#This Row],[Date]],"mmm yyyy")</f>
        <v>May 2024</v>
      </c>
      <c r="H413" s="10">
        <f>HOUR(Transform_Data[[#This Row],[Time]])</f>
        <v>17</v>
      </c>
      <c r="I413" s="10" t="str">
        <f>IF(COUNTIF('Transform Data'!$D:$D,'Transform Data'!D413)&gt;1,"Repeat","Single")</f>
        <v>Single</v>
      </c>
      <c r="J413" s="10" t="str">
        <f>IF('Transform Data'!D413="Cash","Cash",IF(COUNTIF('Transform Data'!$D:$D,'Transform Data'!D413)&gt;1,"Repeat","Single"))</f>
        <v>Single</v>
      </c>
      <c r="K413" s="10" t="str">
        <f t="shared" si="6"/>
        <v>TRANS-0412</v>
      </c>
    </row>
    <row r="414" spans="1:11" x14ac:dyDescent="0.35">
      <c r="A414" s="5">
        <v>45418</v>
      </c>
      <c r="B414" s="3">
        <v>0.42033564814814817</v>
      </c>
      <c r="C414" t="s">
        <v>8</v>
      </c>
      <c r="D414" t="s">
        <v>202</v>
      </c>
      <c r="E414" s="4">
        <v>27.92</v>
      </c>
      <c r="F414" t="s">
        <v>28</v>
      </c>
      <c r="G414" s="10" t="str">
        <f>TEXT(Transform_Data[[#This Row],[Date]],"mmm yyyy")</f>
        <v>May 2024</v>
      </c>
      <c r="H414" s="10">
        <f>HOUR(Transform_Data[[#This Row],[Time]])</f>
        <v>10</v>
      </c>
      <c r="I414" s="10" t="str">
        <f>IF(COUNTIF('Transform Data'!$D:$D,'Transform Data'!D414)&gt;1,"Repeat","Single")</f>
        <v>Repeat</v>
      </c>
      <c r="J414" s="10" t="str">
        <f>IF('Transform Data'!D414="Cash","Cash",IF(COUNTIF('Transform Data'!$D:$D,'Transform Data'!D414)&gt;1,"Repeat","Single"))</f>
        <v>Repeat</v>
      </c>
      <c r="K414" s="10" t="str">
        <f t="shared" si="6"/>
        <v>TRANS-0413</v>
      </c>
    </row>
    <row r="415" spans="1:11" x14ac:dyDescent="0.35">
      <c r="A415" s="5">
        <v>45418</v>
      </c>
      <c r="B415" s="3">
        <v>0.4214236111111111</v>
      </c>
      <c r="C415" t="s">
        <v>8</v>
      </c>
      <c r="D415" t="s">
        <v>203</v>
      </c>
      <c r="E415" s="4">
        <v>37.72</v>
      </c>
      <c r="F415" t="s">
        <v>24</v>
      </c>
      <c r="G415" s="10" t="str">
        <f>TEXT(Transform_Data[[#This Row],[Date]],"mmm yyyy")</f>
        <v>May 2024</v>
      </c>
      <c r="H415" s="10">
        <f>HOUR(Transform_Data[[#This Row],[Time]])</f>
        <v>10</v>
      </c>
      <c r="I415" s="10" t="str">
        <f>IF(COUNTIF('Transform Data'!$D:$D,'Transform Data'!D415)&gt;1,"Repeat","Single")</f>
        <v>Repeat</v>
      </c>
      <c r="J415" s="10" t="str">
        <f>IF('Transform Data'!D415="Cash","Cash",IF(COUNTIF('Transform Data'!$D:$D,'Transform Data'!D415)&gt;1,"Repeat","Single"))</f>
        <v>Repeat</v>
      </c>
      <c r="K415" s="10" t="str">
        <f t="shared" si="6"/>
        <v>TRANS-0414</v>
      </c>
    </row>
    <row r="416" spans="1:11" x14ac:dyDescent="0.35">
      <c r="A416" s="5">
        <v>45418</v>
      </c>
      <c r="B416" s="3">
        <v>0.42228009259259258</v>
      </c>
      <c r="C416" t="s">
        <v>8</v>
      </c>
      <c r="D416" t="s">
        <v>203</v>
      </c>
      <c r="E416" s="4">
        <v>32.82</v>
      </c>
      <c r="F416" t="s">
        <v>36</v>
      </c>
      <c r="G416" s="10" t="str">
        <f>TEXT(Transform_Data[[#This Row],[Date]],"mmm yyyy")</f>
        <v>May 2024</v>
      </c>
      <c r="H416" s="10">
        <f>HOUR(Transform_Data[[#This Row],[Time]])</f>
        <v>10</v>
      </c>
      <c r="I416" s="10" t="str">
        <f>IF(COUNTIF('Transform Data'!$D:$D,'Transform Data'!D416)&gt;1,"Repeat","Single")</f>
        <v>Repeat</v>
      </c>
      <c r="J416" s="10" t="str">
        <f>IF('Transform Data'!D416="Cash","Cash",IF(COUNTIF('Transform Data'!$D:$D,'Transform Data'!D416)&gt;1,"Repeat","Single"))</f>
        <v>Repeat</v>
      </c>
      <c r="K416" s="10" t="str">
        <f t="shared" si="6"/>
        <v>TRANS-0415</v>
      </c>
    </row>
    <row r="417" spans="1:11" x14ac:dyDescent="0.35">
      <c r="A417" s="5">
        <v>45418</v>
      </c>
      <c r="B417" s="3">
        <v>0.42299768518518521</v>
      </c>
      <c r="C417" t="s">
        <v>8</v>
      </c>
      <c r="D417" t="s">
        <v>204</v>
      </c>
      <c r="E417" s="4">
        <v>27.92</v>
      </c>
      <c r="F417" t="s">
        <v>28</v>
      </c>
      <c r="G417" s="10" t="str">
        <f>TEXT(Transform_Data[[#This Row],[Date]],"mmm yyyy")</f>
        <v>May 2024</v>
      </c>
      <c r="H417" s="10">
        <f>HOUR(Transform_Data[[#This Row],[Time]])</f>
        <v>10</v>
      </c>
      <c r="I417" s="10" t="str">
        <f>IF(COUNTIF('Transform Data'!$D:$D,'Transform Data'!D417)&gt;1,"Repeat","Single")</f>
        <v>Single</v>
      </c>
      <c r="J417" s="10" t="str">
        <f>IF('Transform Data'!D417="Cash","Cash",IF(COUNTIF('Transform Data'!$D:$D,'Transform Data'!D417)&gt;1,"Repeat","Single"))</f>
        <v>Single</v>
      </c>
      <c r="K417" s="10" t="str">
        <f t="shared" si="6"/>
        <v>TRANS-0416</v>
      </c>
    </row>
    <row r="418" spans="1:11" x14ac:dyDescent="0.35">
      <c r="A418" s="5">
        <v>45418</v>
      </c>
      <c r="B418" s="3">
        <v>0.44388888888888889</v>
      </c>
      <c r="C418" t="s">
        <v>8</v>
      </c>
      <c r="D418" t="s">
        <v>40</v>
      </c>
      <c r="E418" s="4">
        <v>27.92</v>
      </c>
      <c r="F418" t="s">
        <v>20</v>
      </c>
      <c r="G418" s="10" t="str">
        <f>TEXT(Transform_Data[[#This Row],[Date]],"mmm yyyy")</f>
        <v>May 2024</v>
      </c>
      <c r="H418" s="10">
        <f>HOUR(Transform_Data[[#This Row],[Time]])</f>
        <v>10</v>
      </c>
      <c r="I418" s="10" t="str">
        <f>IF(COUNTIF('Transform Data'!$D:$D,'Transform Data'!D418)&gt;1,"Repeat","Single")</f>
        <v>Repeat</v>
      </c>
      <c r="J418" s="10" t="str">
        <f>IF('Transform Data'!D418="Cash","Cash",IF(COUNTIF('Transform Data'!$D:$D,'Transform Data'!D418)&gt;1,"Repeat","Single"))</f>
        <v>Repeat</v>
      </c>
      <c r="K418" s="10" t="str">
        <f t="shared" si="6"/>
        <v>TRANS-0417</v>
      </c>
    </row>
    <row r="419" spans="1:11" x14ac:dyDescent="0.35">
      <c r="A419" s="5">
        <v>45418</v>
      </c>
      <c r="B419" s="3">
        <v>0.48217592592592595</v>
      </c>
      <c r="C419" t="s">
        <v>13</v>
      </c>
      <c r="D419" t="s">
        <v>37</v>
      </c>
      <c r="E419" s="4">
        <v>29</v>
      </c>
      <c r="F419" t="s">
        <v>28</v>
      </c>
      <c r="G419" s="10" t="str">
        <f>TEXT(Transform_Data[[#This Row],[Date]],"mmm yyyy")</f>
        <v>May 2024</v>
      </c>
      <c r="H419" s="10">
        <f>HOUR(Transform_Data[[#This Row],[Time]])</f>
        <v>11</v>
      </c>
      <c r="I419" s="10" t="str">
        <f>IF(COUNTIF('Transform Data'!$D:$D,'Transform Data'!D419)&gt;1,"Repeat","Single")</f>
        <v>Repeat</v>
      </c>
      <c r="J419" s="10" t="str">
        <f>IF('Transform Data'!D419="Cash","Cash",IF(COUNTIF('Transform Data'!$D:$D,'Transform Data'!D419)&gt;1,"Repeat","Single"))</f>
        <v>Repeat</v>
      </c>
      <c r="K419" s="10" t="str">
        <f t="shared" si="6"/>
        <v>TRANS-0418</v>
      </c>
    </row>
    <row r="420" spans="1:11" x14ac:dyDescent="0.35">
      <c r="A420" s="5">
        <v>45418</v>
      </c>
      <c r="B420" s="3">
        <v>0.55428240740740742</v>
      </c>
      <c r="C420" t="s">
        <v>8</v>
      </c>
      <c r="D420" t="s">
        <v>202</v>
      </c>
      <c r="E420" s="4">
        <v>27.92</v>
      </c>
      <c r="F420" t="s">
        <v>20</v>
      </c>
      <c r="G420" s="10" t="str">
        <f>TEXT(Transform_Data[[#This Row],[Date]],"mmm yyyy")</f>
        <v>May 2024</v>
      </c>
      <c r="H420" s="10">
        <f>HOUR(Transform_Data[[#This Row],[Time]])</f>
        <v>13</v>
      </c>
      <c r="I420" s="10" t="str">
        <f>IF(COUNTIF('Transform Data'!$D:$D,'Transform Data'!D420)&gt;1,"Repeat","Single")</f>
        <v>Repeat</v>
      </c>
      <c r="J420" s="10" t="str">
        <f>IF('Transform Data'!D420="Cash","Cash",IF(COUNTIF('Transform Data'!$D:$D,'Transform Data'!D420)&gt;1,"Repeat","Single"))</f>
        <v>Repeat</v>
      </c>
      <c r="K420" s="10" t="str">
        <f t="shared" si="6"/>
        <v>TRANS-0419</v>
      </c>
    </row>
    <row r="421" spans="1:11" x14ac:dyDescent="0.35">
      <c r="A421" s="5">
        <v>45418</v>
      </c>
      <c r="B421" s="3">
        <v>0.55486111111111114</v>
      </c>
      <c r="C421" t="s">
        <v>8</v>
      </c>
      <c r="D421" t="s">
        <v>202</v>
      </c>
      <c r="E421" s="4">
        <v>27.92</v>
      </c>
      <c r="F421" t="s">
        <v>28</v>
      </c>
      <c r="G421" s="10" t="str">
        <f>TEXT(Transform_Data[[#This Row],[Date]],"mmm yyyy")</f>
        <v>May 2024</v>
      </c>
      <c r="H421" s="10">
        <f>HOUR(Transform_Data[[#This Row],[Time]])</f>
        <v>13</v>
      </c>
      <c r="I421" s="10" t="str">
        <f>IF(COUNTIF('Transform Data'!$D:$D,'Transform Data'!D421)&gt;1,"Repeat","Single")</f>
        <v>Repeat</v>
      </c>
      <c r="J421" s="10" t="str">
        <f>IF('Transform Data'!D421="Cash","Cash",IF(COUNTIF('Transform Data'!$D:$D,'Transform Data'!D421)&gt;1,"Repeat","Single"))</f>
        <v>Repeat</v>
      </c>
      <c r="K421" s="10" t="str">
        <f t="shared" si="6"/>
        <v>TRANS-0420</v>
      </c>
    </row>
    <row r="422" spans="1:11" x14ac:dyDescent="0.35">
      <c r="A422" s="5">
        <v>45418</v>
      </c>
      <c r="B422" s="3">
        <v>0.80430555555555561</v>
      </c>
      <c r="C422" t="s">
        <v>8</v>
      </c>
      <c r="D422" t="s">
        <v>205</v>
      </c>
      <c r="E422" s="4">
        <v>37.72</v>
      </c>
      <c r="F422" t="s">
        <v>24</v>
      </c>
      <c r="G422" s="10" t="str">
        <f>TEXT(Transform_Data[[#This Row],[Date]],"mmm yyyy")</f>
        <v>May 2024</v>
      </c>
      <c r="H422" s="10">
        <f>HOUR(Transform_Data[[#This Row],[Time]])</f>
        <v>19</v>
      </c>
      <c r="I422" s="10" t="str">
        <f>IF(COUNTIF('Transform Data'!$D:$D,'Transform Data'!D422)&gt;1,"Repeat","Single")</f>
        <v>Repeat</v>
      </c>
      <c r="J422" s="10" t="str">
        <f>IF('Transform Data'!D422="Cash","Cash",IF(COUNTIF('Transform Data'!$D:$D,'Transform Data'!D422)&gt;1,"Repeat","Single"))</f>
        <v>Repeat</v>
      </c>
      <c r="K422" s="10" t="str">
        <f t="shared" si="6"/>
        <v>TRANS-0421</v>
      </c>
    </row>
    <row r="423" spans="1:11" x14ac:dyDescent="0.35">
      <c r="A423" s="5">
        <v>45418</v>
      </c>
      <c r="B423" s="3">
        <v>0.80542824074074071</v>
      </c>
      <c r="C423" t="s">
        <v>8</v>
      </c>
      <c r="D423" t="s">
        <v>205</v>
      </c>
      <c r="E423" s="4">
        <v>37.72</v>
      </c>
      <c r="F423" t="s">
        <v>24</v>
      </c>
      <c r="G423" s="10" t="str">
        <f>TEXT(Transform_Data[[#This Row],[Date]],"mmm yyyy")</f>
        <v>May 2024</v>
      </c>
      <c r="H423" s="10">
        <f>HOUR(Transform_Data[[#This Row],[Time]])</f>
        <v>19</v>
      </c>
      <c r="I423" s="10" t="str">
        <f>IF(COUNTIF('Transform Data'!$D:$D,'Transform Data'!D423)&gt;1,"Repeat","Single")</f>
        <v>Repeat</v>
      </c>
      <c r="J423" s="10" t="str">
        <f>IF('Transform Data'!D423="Cash","Cash",IF(COUNTIF('Transform Data'!$D:$D,'Transform Data'!D423)&gt;1,"Repeat","Single"))</f>
        <v>Repeat</v>
      </c>
      <c r="K423" s="10" t="str">
        <f t="shared" si="6"/>
        <v>TRANS-0422</v>
      </c>
    </row>
    <row r="424" spans="1:11" x14ac:dyDescent="0.35">
      <c r="A424" s="5">
        <v>45419</v>
      </c>
      <c r="B424" s="3">
        <v>0.44785879629629627</v>
      </c>
      <c r="C424" t="s">
        <v>8</v>
      </c>
      <c r="D424" t="s">
        <v>202</v>
      </c>
      <c r="E424" s="4">
        <v>37.72</v>
      </c>
      <c r="F424" t="s">
        <v>10</v>
      </c>
      <c r="G424" s="10" t="str">
        <f>TEXT(Transform_Data[[#This Row],[Date]],"mmm yyyy")</f>
        <v>May 2024</v>
      </c>
      <c r="H424" s="10">
        <f>HOUR(Transform_Data[[#This Row],[Time]])</f>
        <v>10</v>
      </c>
      <c r="I424" s="10" t="str">
        <f>IF(COUNTIF('Transform Data'!$D:$D,'Transform Data'!D424)&gt;1,"Repeat","Single")</f>
        <v>Repeat</v>
      </c>
      <c r="J424" s="10" t="str">
        <f>IF('Transform Data'!D424="Cash","Cash",IF(COUNTIF('Transform Data'!$D:$D,'Transform Data'!D424)&gt;1,"Repeat","Single"))</f>
        <v>Repeat</v>
      </c>
      <c r="K424" s="10" t="str">
        <f t="shared" si="6"/>
        <v>TRANS-0423</v>
      </c>
    </row>
    <row r="425" spans="1:11" x14ac:dyDescent="0.35">
      <c r="A425" s="5">
        <v>45419</v>
      </c>
      <c r="B425" s="3">
        <v>0.47358796296296296</v>
      </c>
      <c r="C425" t="s">
        <v>8</v>
      </c>
      <c r="D425" t="s">
        <v>40</v>
      </c>
      <c r="E425" s="4">
        <v>27.92</v>
      </c>
      <c r="F425" t="s">
        <v>20</v>
      </c>
      <c r="G425" s="10" t="str">
        <f>TEXT(Transform_Data[[#This Row],[Date]],"mmm yyyy")</f>
        <v>May 2024</v>
      </c>
      <c r="H425" s="10">
        <f>HOUR(Transform_Data[[#This Row],[Time]])</f>
        <v>11</v>
      </c>
      <c r="I425" s="10" t="str">
        <f>IF(COUNTIF('Transform Data'!$D:$D,'Transform Data'!D425)&gt;1,"Repeat","Single")</f>
        <v>Repeat</v>
      </c>
      <c r="J425" s="10" t="str">
        <f>IF('Transform Data'!D425="Cash","Cash",IF(COUNTIF('Transform Data'!$D:$D,'Transform Data'!D425)&gt;1,"Repeat","Single"))</f>
        <v>Repeat</v>
      </c>
      <c r="K425" s="10" t="str">
        <f t="shared" si="6"/>
        <v>TRANS-0424</v>
      </c>
    </row>
    <row r="426" spans="1:11" x14ac:dyDescent="0.35">
      <c r="A426" s="5">
        <v>45419</v>
      </c>
      <c r="B426" s="3">
        <v>0.55803240740740745</v>
      </c>
      <c r="C426" t="s">
        <v>8</v>
      </c>
      <c r="D426" t="s">
        <v>133</v>
      </c>
      <c r="E426" s="4">
        <v>27.92</v>
      </c>
      <c r="F426" t="s">
        <v>20</v>
      </c>
      <c r="G426" s="10" t="str">
        <f>TEXT(Transform_Data[[#This Row],[Date]],"mmm yyyy")</f>
        <v>May 2024</v>
      </c>
      <c r="H426" s="10">
        <f>HOUR(Transform_Data[[#This Row],[Time]])</f>
        <v>13</v>
      </c>
      <c r="I426" s="10" t="str">
        <f>IF(COUNTIF('Transform Data'!$D:$D,'Transform Data'!D426)&gt;1,"Repeat","Single")</f>
        <v>Repeat</v>
      </c>
      <c r="J426" s="10" t="str">
        <f>IF('Transform Data'!D426="Cash","Cash",IF(COUNTIF('Transform Data'!$D:$D,'Transform Data'!D426)&gt;1,"Repeat","Single"))</f>
        <v>Repeat</v>
      </c>
      <c r="K426" s="10" t="str">
        <f t="shared" si="6"/>
        <v>TRANS-0425</v>
      </c>
    </row>
    <row r="427" spans="1:11" x14ac:dyDescent="0.35">
      <c r="A427" s="5">
        <v>45419</v>
      </c>
      <c r="B427" s="3">
        <v>0.6959143518518518</v>
      </c>
      <c r="C427" t="s">
        <v>8</v>
      </c>
      <c r="D427" t="s">
        <v>202</v>
      </c>
      <c r="E427" s="4">
        <v>37.72</v>
      </c>
      <c r="F427" t="s">
        <v>10</v>
      </c>
      <c r="G427" s="10" t="str">
        <f>TEXT(Transform_Data[[#This Row],[Date]],"mmm yyyy")</f>
        <v>May 2024</v>
      </c>
      <c r="H427" s="10">
        <f>HOUR(Transform_Data[[#This Row],[Time]])</f>
        <v>16</v>
      </c>
      <c r="I427" s="10" t="str">
        <f>IF(COUNTIF('Transform Data'!$D:$D,'Transform Data'!D427)&gt;1,"Repeat","Single")</f>
        <v>Repeat</v>
      </c>
      <c r="J427" s="10" t="str">
        <f>IF('Transform Data'!D427="Cash","Cash",IF(COUNTIF('Transform Data'!$D:$D,'Transform Data'!D427)&gt;1,"Repeat","Single"))</f>
        <v>Repeat</v>
      </c>
      <c r="K427" s="10" t="str">
        <f t="shared" si="6"/>
        <v>TRANS-0426</v>
      </c>
    </row>
    <row r="428" spans="1:11" x14ac:dyDescent="0.35">
      <c r="A428" s="5">
        <v>45419</v>
      </c>
      <c r="B428" s="3">
        <v>0.70530092592592597</v>
      </c>
      <c r="C428" t="s">
        <v>8</v>
      </c>
      <c r="D428" t="s">
        <v>206</v>
      </c>
      <c r="E428" s="4">
        <v>27.92</v>
      </c>
      <c r="F428" t="s">
        <v>28</v>
      </c>
      <c r="G428" s="10" t="str">
        <f>TEXT(Transform_Data[[#This Row],[Date]],"mmm yyyy")</f>
        <v>May 2024</v>
      </c>
      <c r="H428" s="10">
        <f>HOUR(Transform_Data[[#This Row],[Time]])</f>
        <v>16</v>
      </c>
      <c r="I428" s="10" t="str">
        <f>IF(COUNTIF('Transform Data'!$D:$D,'Transform Data'!D428)&gt;1,"Repeat","Single")</f>
        <v>Single</v>
      </c>
      <c r="J428" s="10" t="str">
        <f>IF('Transform Data'!D428="Cash","Cash",IF(COUNTIF('Transform Data'!$D:$D,'Transform Data'!D428)&gt;1,"Repeat","Single"))</f>
        <v>Single</v>
      </c>
      <c r="K428" s="10" t="str">
        <f t="shared" si="6"/>
        <v>TRANS-0427</v>
      </c>
    </row>
    <row r="429" spans="1:11" x14ac:dyDescent="0.35">
      <c r="A429" s="5">
        <v>45419</v>
      </c>
      <c r="B429" s="3">
        <v>0.73456018518518518</v>
      </c>
      <c r="C429" t="s">
        <v>8</v>
      </c>
      <c r="D429" t="s">
        <v>207</v>
      </c>
      <c r="E429" s="4">
        <v>37.72</v>
      </c>
      <c r="F429" t="s">
        <v>24</v>
      </c>
      <c r="G429" s="10" t="str">
        <f>TEXT(Transform_Data[[#This Row],[Date]],"mmm yyyy")</f>
        <v>May 2024</v>
      </c>
      <c r="H429" s="10">
        <f>HOUR(Transform_Data[[#This Row],[Time]])</f>
        <v>17</v>
      </c>
      <c r="I429" s="10" t="str">
        <f>IF(COUNTIF('Transform Data'!$D:$D,'Transform Data'!D429)&gt;1,"Repeat","Single")</f>
        <v>Repeat</v>
      </c>
      <c r="J429" s="10" t="str">
        <f>IF('Transform Data'!D429="Cash","Cash",IF(COUNTIF('Transform Data'!$D:$D,'Transform Data'!D429)&gt;1,"Repeat","Single"))</f>
        <v>Repeat</v>
      </c>
      <c r="K429" s="10" t="str">
        <f t="shared" si="6"/>
        <v>TRANS-0428</v>
      </c>
    </row>
    <row r="430" spans="1:11" x14ac:dyDescent="0.35">
      <c r="A430" s="5">
        <v>45419</v>
      </c>
      <c r="B430" s="3">
        <v>0.73527777777777781</v>
      </c>
      <c r="C430" t="s">
        <v>8</v>
      </c>
      <c r="D430" t="s">
        <v>207</v>
      </c>
      <c r="E430" s="4">
        <v>37.72</v>
      </c>
      <c r="F430" t="s">
        <v>32</v>
      </c>
      <c r="G430" s="10" t="str">
        <f>TEXT(Transform_Data[[#This Row],[Date]],"mmm yyyy")</f>
        <v>May 2024</v>
      </c>
      <c r="H430" s="10">
        <f>HOUR(Transform_Data[[#This Row],[Time]])</f>
        <v>17</v>
      </c>
      <c r="I430" s="10" t="str">
        <f>IF(COUNTIF('Transform Data'!$D:$D,'Transform Data'!D430)&gt;1,"Repeat","Single")</f>
        <v>Repeat</v>
      </c>
      <c r="J430" s="10" t="str">
        <f>IF('Transform Data'!D430="Cash","Cash",IF(COUNTIF('Transform Data'!$D:$D,'Transform Data'!D430)&gt;1,"Repeat","Single"))</f>
        <v>Repeat</v>
      </c>
      <c r="K430" s="10" t="str">
        <f t="shared" si="6"/>
        <v>TRANS-0429</v>
      </c>
    </row>
    <row r="431" spans="1:11" x14ac:dyDescent="0.35">
      <c r="A431" s="5">
        <v>45419</v>
      </c>
      <c r="B431" s="3">
        <v>0.77473379629629635</v>
      </c>
      <c r="C431" t="s">
        <v>13</v>
      </c>
      <c r="D431" t="s">
        <v>37</v>
      </c>
      <c r="E431" s="4">
        <v>34</v>
      </c>
      <c r="F431" t="s">
        <v>36</v>
      </c>
      <c r="G431" s="10" t="str">
        <f>TEXT(Transform_Data[[#This Row],[Date]],"mmm yyyy")</f>
        <v>May 2024</v>
      </c>
      <c r="H431" s="10">
        <f>HOUR(Transform_Data[[#This Row],[Time]])</f>
        <v>18</v>
      </c>
      <c r="I431" s="10" t="str">
        <f>IF(COUNTIF('Transform Data'!$D:$D,'Transform Data'!D431)&gt;1,"Repeat","Single")</f>
        <v>Repeat</v>
      </c>
      <c r="J431" s="10" t="str">
        <f>IF('Transform Data'!D431="Cash","Cash",IF(COUNTIF('Transform Data'!$D:$D,'Transform Data'!D431)&gt;1,"Repeat","Single"))</f>
        <v>Repeat</v>
      </c>
      <c r="K431" s="10" t="str">
        <f t="shared" si="6"/>
        <v>TRANS-0430</v>
      </c>
    </row>
    <row r="432" spans="1:11" x14ac:dyDescent="0.35">
      <c r="A432" s="5">
        <v>45419</v>
      </c>
      <c r="B432" s="3">
        <v>0.80013888888888884</v>
      </c>
      <c r="C432" t="s">
        <v>8</v>
      </c>
      <c r="D432" t="s">
        <v>208</v>
      </c>
      <c r="E432" s="4">
        <v>37.72</v>
      </c>
      <c r="F432" t="s">
        <v>24</v>
      </c>
      <c r="G432" s="10" t="str">
        <f>TEXT(Transform_Data[[#This Row],[Date]],"mmm yyyy")</f>
        <v>May 2024</v>
      </c>
      <c r="H432" s="10">
        <f>HOUR(Transform_Data[[#This Row],[Time]])</f>
        <v>19</v>
      </c>
      <c r="I432" s="10" t="str">
        <f>IF(COUNTIF('Transform Data'!$D:$D,'Transform Data'!D432)&gt;1,"Repeat","Single")</f>
        <v>Repeat</v>
      </c>
      <c r="J432" s="10" t="str">
        <f>IF('Transform Data'!D432="Cash","Cash",IF(COUNTIF('Transform Data'!$D:$D,'Transform Data'!D432)&gt;1,"Repeat","Single"))</f>
        <v>Repeat</v>
      </c>
      <c r="K432" s="10" t="str">
        <f t="shared" si="6"/>
        <v>TRANS-0431</v>
      </c>
    </row>
    <row r="433" spans="1:11" x14ac:dyDescent="0.35">
      <c r="A433" s="5">
        <v>45419</v>
      </c>
      <c r="B433" s="3">
        <v>0.80083333333333329</v>
      </c>
      <c r="C433" t="s">
        <v>8</v>
      </c>
      <c r="D433" t="s">
        <v>208</v>
      </c>
      <c r="E433" s="4">
        <v>37.72</v>
      </c>
      <c r="F433" t="s">
        <v>24</v>
      </c>
      <c r="G433" s="10" t="str">
        <f>TEXT(Transform_Data[[#This Row],[Date]],"mmm yyyy")</f>
        <v>May 2024</v>
      </c>
      <c r="H433" s="10">
        <f>HOUR(Transform_Data[[#This Row],[Time]])</f>
        <v>19</v>
      </c>
      <c r="I433" s="10" t="str">
        <f>IF(COUNTIF('Transform Data'!$D:$D,'Transform Data'!D433)&gt;1,"Repeat","Single")</f>
        <v>Repeat</v>
      </c>
      <c r="J433" s="10" t="str">
        <f>IF('Transform Data'!D433="Cash","Cash",IF(COUNTIF('Transform Data'!$D:$D,'Transform Data'!D433)&gt;1,"Repeat","Single"))</f>
        <v>Repeat</v>
      </c>
      <c r="K433" s="10" t="str">
        <f t="shared" si="6"/>
        <v>TRANS-0432</v>
      </c>
    </row>
    <row r="434" spans="1:11" x14ac:dyDescent="0.35">
      <c r="A434" s="5">
        <v>45420</v>
      </c>
      <c r="B434" s="3">
        <v>0.42185185185185187</v>
      </c>
      <c r="C434" t="s">
        <v>8</v>
      </c>
      <c r="D434" t="s">
        <v>60</v>
      </c>
      <c r="E434" s="4">
        <v>37.72</v>
      </c>
      <c r="F434" t="s">
        <v>32</v>
      </c>
      <c r="G434" s="10" t="str">
        <f>TEXT(Transform_Data[[#This Row],[Date]],"mmm yyyy")</f>
        <v>May 2024</v>
      </c>
      <c r="H434" s="10">
        <f>HOUR(Transform_Data[[#This Row],[Time]])</f>
        <v>10</v>
      </c>
      <c r="I434" s="10" t="str">
        <f>IF(COUNTIF('Transform Data'!$D:$D,'Transform Data'!D434)&gt;1,"Repeat","Single")</f>
        <v>Repeat</v>
      </c>
      <c r="J434" s="10" t="str">
        <f>IF('Transform Data'!D434="Cash","Cash",IF(COUNTIF('Transform Data'!$D:$D,'Transform Data'!D434)&gt;1,"Repeat","Single"))</f>
        <v>Repeat</v>
      </c>
      <c r="K434" s="10" t="str">
        <f t="shared" si="6"/>
        <v>TRANS-0433</v>
      </c>
    </row>
    <row r="435" spans="1:11" x14ac:dyDescent="0.35">
      <c r="A435" s="5">
        <v>45421</v>
      </c>
      <c r="B435" s="3">
        <v>0.53774305555555557</v>
      </c>
      <c r="C435" t="s">
        <v>8</v>
      </c>
      <c r="D435" t="s">
        <v>209</v>
      </c>
      <c r="E435" s="4">
        <v>37.72</v>
      </c>
      <c r="F435" t="s">
        <v>24</v>
      </c>
      <c r="G435" s="10" t="str">
        <f>TEXT(Transform_Data[[#This Row],[Date]],"mmm yyyy")</f>
        <v>May 2024</v>
      </c>
      <c r="H435" s="10">
        <f>HOUR(Transform_Data[[#This Row],[Time]])</f>
        <v>12</v>
      </c>
      <c r="I435" s="10" t="str">
        <f>IF(COUNTIF('Transform Data'!$D:$D,'Transform Data'!D435)&gt;1,"Repeat","Single")</f>
        <v>Single</v>
      </c>
      <c r="J435" s="10" t="str">
        <f>IF('Transform Data'!D435="Cash","Cash",IF(COUNTIF('Transform Data'!$D:$D,'Transform Data'!D435)&gt;1,"Repeat","Single"))</f>
        <v>Single</v>
      </c>
      <c r="K435" s="10" t="str">
        <f t="shared" si="6"/>
        <v>TRANS-0434</v>
      </c>
    </row>
    <row r="436" spans="1:11" x14ac:dyDescent="0.35">
      <c r="A436" s="5">
        <v>45421</v>
      </c>
      <c r="B436" s="3">
        <v>0.54442129629629632</v>
      </c>
      <c r="C436" t="s">
        <v>8</v>
      </c>
      <c r="D436" t="s">
        <v>210</v>
      </c>
      <c r="E436" s="4">
        <v>27.92</v>
      </c>
      <c r="F436" t="s">
        <v>28</v>
      </c>
      <c r="G436" s="10" t="str">
        <f>TEXT(Transform_Data[[#This Row],[Date]],"mmm yyyy")</f>
        <v>May 2024</v>
      </c>
      <c r="H436" s="10">
        <f>HOUR(Transform_Data[[#This Row],[Time]])</f>
        <v>13</v>
      </c>
      <c r="I436" s="10" t="str">
        <f>IF(COUNTIF('Transform Data'!$D:$D,'Transform Data'!D436)&gt;1,"Repeat","Single")</f>
        <v>Repeat</v>
      </c>
      <c r="J436" s="10" t="str">
        <f>IF('Transform Data'!D436="Cash","Cash",IF(COUNTIF('Transform Data'!$D:$D,'Transform Data'!D436)&gt;1,"Repeat","Single"))</f>
        <v>Repeat</v>
      </c>
      <c r="K436" s="10" t="str">
        <f t="shared" si="6"/>
        <v>TRANS-0435</v>
      </c>
    </row>
    <row r="437" spans="1:11" x14ac:dyDescent="0.35">
      <c r="A437" s="5">
        <v>45421</v>
      </c>
      <c r="B437" s="3">
        <v>0.54510416666666661</v>
      </c>
      <c r="C437" t="s">
        <v>8</v>
      </c>
      <c r="D437" t="s">
        <v>210</v>
      </c>
      <c r="E437" s="4">
        <v>37.72</v>
      </c>
      <c r="F437" t="s">
        <v>32</v>
      </c>
      <c r="G437" s="10" t="str">
        <f>TEXT(Transform_Data[[#This Row],[Date]],"mmm yyyy")</f>
        <v>May 2024</v>
      </c>
      <c r="H437" s="10">
        <f>HOUR(Transform_Data[[#This Row],[Time]])</f>
        <v>13</v>
      </c>
      <c r="I437" s="10" t="str">
        <f>IF(COUNTIF('Transform Data'!$D:$D,'Transform Data'!D437)&gt;1,"Repeat","Single")</f>
        <v>Repeat</v>
      </c>
      <c r="J437" s="10" t="str">
        <f>IF('Transform Data'!D437="Cash","Cash",IF(COUNTIF('Transform Data'!$D:$D,'Transform Data'!D437)&gt;1,"Repeat","Single"))</f>
        <v>Repeat</v>
      </c>
      <c r="K437" s="10" t="str">
        <f t="shared" si="6"/>
        <v>TRANS-0436</v>
      </c>
    </row>
    <row r="438" spans="1:11" x14ac:dyDescent="0.35">
      <c r="A438" s="5">
        <v>45421</v>
      </c>
      <c r="B438" s="3">
        <v>0.54596064814814815</v>
      </c>
      <c r="C438" t="s">
        <v>8</v>
      </c>
      <c r="D438" t="s">
        <v>210</v>
      </c>
      <c r="E438" s="4">
        <v>37.72</v>
      </c>
      <c r="F438" t="s">
        <v>32</v>
      </c>
      <c r="G438" s="10" t="str">
        <f>TEXT(Transform_Data[[#This Row],[Date]],"mmm yyyy")</f>
        <v>May 2024</v>
      </c>
      <c r="H438" s="10">
        <f>HOUR(Transform_Data[[#This Row],[Time]])</f>
        <v>13</v>
      </c>
      <c r="I438" s="10" t="str">
        <f>IF(COUNTIF('Transform Data'!$D:$D,'Transform Data'!D438)&gt;1,"Repeat","Single")</f>
        <v>Repeat</v>
      </c>
      <c r="J438" s="10" t="str">
        <f>IF('Transform Data'!D438="Cash","Cash",IF(COUNTIF('Transform Data'!$D:$D,'Transform Data'!D438)&gt;1,"Repeat","Single"))</f>
        <v>Repeat</v>
      </c>
      <c r="K438" s="10" t="str">
        <f t="shared" si="6"/>
        <v>TRANS-0437</v>
      </c>
    </row>
    <row r="439" spans="1:11" x14ac:dyDescent="0.35">
      <c r="A439" s="5">
        <v>45421</v>
      </c>
      <c r="B439" s="3">
        <v>0.54671296296296301</v>
      </c>
      <c r="C439" t="s">
        <v>8</v>
      </c>
      <c r="D439" t="s">
        <v>210</v>
      </c>
      <c r="E439" s="4">
        <v>37.72</v>
      </c>
      <c r="F439" t="s">
        <v>32</v>
      </c>
      <c r="G439" s="10" t="str">
        <f>TEXT(Transform_Data[[#This Row],[Date]],"mmm yyyy")</f>
        <v>May 2024</v>
      </c>
      <c r="H439" s="10">
        <f>HOUR(Transform_Data[[#This Row],[Time]])</f>
        <v>13</v>
      </c>
      <c r="I439" s="10" t="str">
        <f>IF(COUNTIF('Transform Data'!$D:$D,'Transform Data'!D439)&gt;1,"Repeat","Single")</f>
        <v>Repeat</v>
      </c>
      <c r="J439" s="10" t="str">
        <f>IF('Transform Data'!D439="Cash","Cash",IF(COUNTIF('Transform Data'!$D:$D,'Transform Data'!D439)&gt;1,"Repeat","Single"))</f>
        <v>Repeat</v>
      </c>
      <c r="K439" s="10" t="str">
        <f t="shared" si="6"/>
        <v>TRANS-0438</v>
      </c>
    </row>
    <row r="440" spans="1:11" x14ac:dyDescent="0.35">
      <c r="A440" s="5">
        <v>45421</v>
      </c>
      <c r="B440" s="3">
        <v>0.70502314814814815</v>
      </c>
      <c r="C440" t="s">
        <v>8</v>
      </c>
      <c r="D440" t="s">
        <v>173</v>
      </c>
      <c r="E440" s="4">
        <v>27.92</v>
      </c>
      <c r="F440" t="s">
        <v>28</v>
      </c>
      <c r="G440" s="10" t="str">
        <f>TEXT(Transform_Data[[#This Row],[Date]],"mmm yyyy")</f>
        <v>May 2024</v>
      </c>
      <c r="H440" s="10">
        <f>HOUR(Transform_Data[[#This Row],[Time]])</f>
        <v>16</v>
      </c>
      <c r="I440" s="10" t="str">
        <f>IF(COUNTIF('Transform Data'!$D:$D,'Transform Data'!D440)&gt;1,"Repeat","Single")</f>
        <v>Repeat</v>
      </c>
      <c r="J440" s="10" t="str">
        <f>IF('Transform Data'!D440="Cash","Cash",IF(COUNTIF('Transform Data'!$D:$D,'Transform Data'!D440)&gt;1,"Repeat","Single"))</f>
        <v>Repeat</v>
      </c>
      <c r="K440" s="10" t="str">
        <f t="shared" si="6"/>
        <v>TRANS-0439</v>
      </c>
    </row>
    <row r="441" spans="1:11" x14ac:dyDescent="0.35">
      <c r="A441" s="5">
        <v>45421</v>
      </c>
      <c r="B441" s="3">
        <v>0.70571759259259259</v>
      </c>
      <c r="C441" t="s">
        <v>8</v>
      </c>
      <c r="D441" t="s">
        <v>173</v>
      </c>
      <c r="E441" s="4">
        <v>27.92</v>
      </c>
      <c r="F441" t="s">
        <v>28</v>
      </c>
      <c r="G441" s="10" t="str">
        <f>TEXT(Transform_Data[[#This Row],[Date]],"mmm yyyy")</f>
        <v>May 2024</v>
      </c>
      <c r="H441" s="10">
        <f>HOUR(Transform_Data[[#This Row],[Time]])</f>
        <v>16</v>
      </c>
      <c r="I441" s="10" t="str">
        <f>IF(COUNTIF('Transform Data'!$D:$D,'Transform Data'!D441)&gt;1,"Repeat","Single")</f>
        <v>Repeat</v>
      </c>
      <c r="J441" s="10" t="str">
        <f>IF('Transform Data'!D441="Cash","Cash",IF(COUNTIF('Transform Data'!$D:$D,'Transform Data'!D441)&gt;1,"Repeat","Single"))</f>
        <v>Repeat</v>
      </c>
      <c r="K441" s="10" t="str">
        <f t="shared" si="6"/>
        <v>TRANS-0440</v>
      </c>
    </row>
    <row r="442" spans="1:11" x14ac:dyDescent="0.35">
      <c r="A442" s="5">
        <v>45421</v>
      </c>
      <c r="B442" s="3">
        <v>0.75103009259259257</v>
      </c>
      <c r="C442" t="s">
        <v>8</v>
      </c>
      <c r="D442" t="s">
        <v>211</v>
      </c>
      <c r="E442" s="4">
        <v>27.92</v>
      </c>
      <c r="F442" t="s">
        <v>28</v>
      </c>
      <c r="G442" s="10" t="str">
        <f>TEXT(Transform_Data[[#This Row],[Date]],"mmm yyyy")</f>
        <v>May 2024</v>
      </c>
      <c r="H442" s="10">
        <f>HOUR(Transform_Data[[#This Row],[Time]])</f>
        <v>18</v>
      </c>
      <c r="I442" s="10" t="str">
        <f>IF(COUNTIF('Transform Data'!$D:$D,'Transform Data'!D442)&gt;1,"Repeat","Single")</f>
        <v>Single</v>
      </c>
      <c r="J442" s="10" t="str">
        <f>IF('Transform Data'!D442="Cash","Cash",IF(COUNTIF('Transform Data'!$D:$D,'Transform Data'!D442)&gt;1,"Repeat","Single"))</f>
        <v>Single</v>
      </c>
      <c r="K442" s="10" t="str">
        <f t="shared" si="6"/>
        <v>TRANS-0441</v>
      </c>
    </row>
    <row r="443" spans="1:11" x14ac:dyDescent="0.35">
      <c r="A443" s="5">
        <v>45421</v>
      </c>
      <c r="B443" s="3">
        <v>0.75967592592592592</v>
      </c>
      <c r="C443" t="s">
        <v>8</v>
      </c>
      <c r="D443" t="s">
        <v>197</v>
      </c>
      <c r="E443" s="4">
        <v>32.82</v>
      </c>
      <c r="F443" t="s">
        <v>36</v>
      </c>
      <c r="G443" s="10" t="str">
        <f>TEXT(Transform_Data[[#This Row],[Date]],"mmm yyyy")</f>
        <v>May 2024</v>
      </c>
      <c r="H443" s="10">
        <f>HOUR(Transform_Data[[#This Row],[Time]])</f>
        <v>18</v>
      </c>
      <c r="I443" s="10" t="str">
        <f>IF(COUNTIF('Transform Data'!$D:$D,'Transform Data'!D443)&gt;1,"Repeat","Single")</f>
        <v>Repeat</v>
      </c>
      <c r="J443" s="10" t="str">
        <f>IF('Transform Data'!D443="Cash","Cash",IF(COUNTIF('Transform Data'!$D:$D,'Transform Data'!D443)&gt;1,"Repeat","Single"))</f>
        <v>Repeat</v>
      </c>
      <c r="K443" s="10" t="str">
        <f t="shared" si="6"/>
        <v>TRANS-0442</v>
      </c>
    </row>
    <row r="444" spans="1:11" x14ac:dyDescent="0.35">
      <c r="A444" s="5">
        <v>45422</v>
      </c>
      <c r="B444" s="3">
        <v>0.4231597222222222</v>
      </c>
      <c r="C444" t="s">
        <v>13</v>
      </c>
      <c r="D444" t="s">
        <v>37</v>
      </c>
      <c r="E444" s="4">
        <v>39</v>
      </c>
      <c r="F444" t="s">
        <v>32</v>
      </c>
      <c r="G444" s="10" t="str">
        <f>TEXT(Transform_Data[[#This Row],[Date]],"mmm yyyy")</f>
        <v>May 2024</v>
      </c>
      <c r="H444" s="10">
        <f>HOUR(Transform_Data[[#This Row],[Time]])</f>
        <v>10</v>
      </c>
      <c r="I444" s="10" t="str">
        <f>IF(COUNTIF('Transform Data'!$D:$D,'Transform Data'!D444)&gt;1,"Repeat","Single")</f>
        <v>Repeat</v>
      </c>
      <c r="J444" s="10" t="str">
        <f>IF('Transform Data'!D444="Cash","Cash",IF(COUNTIF('Transform Data'!$D:$D,'Transform Data'!D444)&gt;1,"Repeat","Single"))</f>
        <v>Repeat</v>
      </c>
      <c r="K444" s="10" t="str">
        <f t="shared" si="6"/>
        <v>TRANS-0443</v>
      </c>
    </row>
    <row r="445" spans="1:11" x14ac:dyDescent="0.35">
      <c r="A445" s="5">
        <v>45422</v>
      </c>
      <c r="B445" s="3">
        <v>0.65718750000000004</v>
      </c>
      <c r="C445" t="s">
        <v>8</v>
      </c>
      <c r="D445" t="s">
        <v>212</v>
      </c>
      <c r="E445" s="4">
        <v>37.72</v>
      </c>
      <c r="F445" t="s">
        <v>32</v>
      </c>
      <c r="G445" s="10" t="str">
        <f>TEXT(Transform_Data[[#This Row],[Date]],"mmm yyyy")</f>
        <v>May 2024</v>
      </c>
      <c r="H445" s="10">
        <f>HOUR(Transform_Data[[#This Row],[Time]])</f>
        <v>15</v>
      </c>
      <c r="I445" s="10" t="str">
        <f>IF(COUNTIF('Transform Data'!$D:$D,'Transform Data'!D445)&gt;1,"Repeat","Single")</f>
        <v>Repeat</v>
      </c>
      <c r="J445" s="10" t="str">
        <f>IF('Transform Data'!D445="Cash","Cash",IF(COUNTIF('Transform Data'!$D:$D,'Transform Data'!D445)&gt;1,"Repeat","Single"))</f>
        <v>Repeat</v>
      </c>
      <c r="K445" s="10" t="str">
        <f t="shared" si="6"/>
        <v>TRANS-0444</v>
      </c>
    </row>
    <row r="446" spans="1:11" x14ac:dyDescent="0.35">
      <c r="A446" s="5">
        <v>45422</v>
      </c>
      <c r="B446" s="3">
        <v>0.65800925925925924</v>
      </c>
      <c r="C446" t="s">
        <v>8</v>
      </c>
      <c r="D446" t="s">
        <v>212</v>
      </c>
      <c r="E446" s="4">
        <v>37.72</v>
      </c>
      <c r="F446" t="s">
        <v>32</v>
      </c>
      <c r="G446" s="10" t="str">
        <f>TEXT(Transform_Data[[#This Row],[Date]],"mmm yyyy")</f>
        <v>May 2024</v>
      </c>
      <c r="H446" s="10">
        <f>HOUR(Transform_Data[[#This Row],[Time]])</f>
        <v>15</v>
      </c>
      <c r="I446" s="10" t="str">
        <f>IF(COUNTIF('Transform Data'!$D:$D,'Transform Data'!D446)&gt;1,"Repeat","Single")</f>
        <v>Repeat</v>
      </c>
      <c r="J446" s="10" t="str">
        <f>IF('Transform Data'!D446="Cash","Cash",IF(COUNTIF('Transform Data'!$D:$D,'Transform Data'!D446)&gt;1,"Repeat","Single"))</f>
        <v>Repeat</v>
      </c>
      <c r="K446" s="10" t="str">
        <f t="shared" si="6"/>
        <v>TRANS-0445</v>
      </c>
    </row>
    <row r="447" spans="1:11" x14ac:dyDescent="0.35">
      <c r="A447" s="5">
        <v>45422</v>
      </c>
      <c r="B447" s="3">
        <v>0.68072916666666672</v>
      </c>
      <c r="C447" t="s">
        <v>13</v>
      </c>
      <c r="D447" t="s">
        <v>37</v>
      </c>
      <c r="E447" s="4">
        <v>34</v>
      </c>
      <c r="F447" t="s">
        <v>36</v>
      </c>
      <c r="G447" s="10" t="str">
        <f>TEXT(Transform_Data[[#This Row],[Date]],"mmm yyyy")</f>
        <v>May 2024</v>
      </c>
      <c r="H447" s="10">
        <f>HOUR(Transform_Data[[#This Row],[Time]])</f>
        <v>16</v>
      </c>
      <c r="I447" s="10" t="str">
        <f>IF(COUNTIF('Transform Data'!$D:$D,'Transform Data'!D447)&gt;1,"Repeat","Single")</f>
        <v>Repeat</v>
      </c>
      <c r="J447" s="10" t="str">
        <f>IF('Transform Data'!D447="Cash","Cash",IF(COUNTIF('Transform Data'!$D:$D,'Transform Data'!D447)&gt;1,"Repeat","Single"))</f>
        <v>Repeat</v>
      </c>
      <c r="K447" s="10" t="str">
        <f t="shared" si="6"/>
        <v>TRANS-0446</v>
      </c>
    </row>
    <row r="448" spans="1:11" x14ac:dyDescent="0.35">
      <c r="A448" s="5">
        <v>45423</v>
      </c>
      <c r="B448" s="3">
        <v>0.48601851851851852</v>
      </c>
      <c r="C448" t="s">
        <v>8</v>
      </c>
      <c r="D448" t="s">
        <v>125</v>
      </c>
      <c r="E448" s="4">
        <v>37.72</v>
      </c>
      <c r="F448" t="s">
        <v>32</v>
      </c>
      <c r="G448" s="10" t="str">
        <f>TEXT(Transform_Data[[#This Row],[Date]],"mmm yyyy")</f>
        <v>May 2024</v>
      </c>
      <c r="H448" s="10">
        <f>HOUR(Transform_Data[[#This Row],[Time]])</f>
        <v>11</v>
      </c>
      <c r="I448" s="10" t="str">
        <f>IF(COUNTIF('Transform Data'!$D:$D,'Transform Data'!D448)&gt;1,"Repeat","Single")</f>
        <v>Repeat</v>
      </c>
      <c r="J448" s="10" t="str">
        <f>IF('Transform Data'!D448="Cash","Cash",IF(COUNTIF('Transform Data'!$D:$D,'Transform Data'!D448)&gt;1,"Repeat","Single"))</f>
        <v>Repeat</v>
      </c>
      <c r="K448" s="10" t="str">
        <f t="shared" si="6"/>
        <v>TRANS-0447</v>
      </c>
    </row>
    <row r="449" spans="1:11" x14ac:dyDescent="0.35">
      <c r="A449" s="5">
        <v>45423</v>
      </c>
      <c r="B449" s="3">
        <v>0.71021990740740737</v>
      </c>
      <c r="C449" t="s">
        <v>13</v>
      </c>
      <c r="D449" t="s">
        <v>37</v>
      </c>
      <c r="E449" s="4">
        <v>39</v>
      </c>
      <c r="F449" t="s">
        <v>32</v>
      </c>
      <c r="G449" s="10" t="str">
        <f>TEXT(Transform_Data[[#This Row],[Date]],"mmm yyyy")</f>
        <v>May 2024</v>
      </c>
      <c r="H449" s="10">
        <f>HOUR(Transform_Data[[#This Row],[Time]])</f>
        <v>17</v>
      </c>
      <c r="I449" s="10" t="str">
        <f>IF(COUNTIF('Transform Data'!$D:$D,'Transform Data'!D449)&gt;1,"Repeat","Single")</f>
        <v>Repeat</v>
      </c>
      <c r="J449" s="10" t="str">
        <f>IF('Transform Data'!D449="Cash","Cash",IF(COUNTIF('Transform Data'!$D:$D,'Transform Data'!D449)&gt;1,"Repeat","Single"))</f>
        <v>Repeat</v>
      </c>
      <c r="K449" s="10" t="str">
        <f t="shared" si="6"/>
        <v>TRANS-0448</v>
      </c>
    </row>
    <row r="450" spans="1:11" x14ac:dyDescent="0.35">
      <c r="A450" s="5">
        <v>45423</v>
      </c>
      <c r="B450" s="3">
        <v>0.72256944444444449</v>
      </c>
      <c r="C450" t="s">
        <v>8</v>
      </c>
      <c r="D450" t="s">
        <v>25</v>
      </c>
      <c r="E450" s="4">
        <v>32.82</v>
      </c>
      <c r="F450" t="s">
        <v>36</v>
      </c>
      <c r="G450" s="10" t="str">
        <f>TEXT(Transform_Data[[#This Row],[Date]],"mmm yyyy")</f>
        <v>May 2024</v>
      </c>
      <c r="H450" s="10">
        <f>HOUR(Transform_Data[[#This Row],[Time]])</f>
        <v>17</v>
      </c>
      <c r="I450" s="10" t="str">
        <f>IF(COUNTIF('Transform Data'!$D:$D,'Transform Data'!D450)&gt;1,"Repeat","Single")</f>
        <v>Repeat</v>
      </c>
      <c r="J450" s="10" t="str">
        <f>IF('Transform Data'!D450="Cash","Cash",IF(COUNTIF('Transform Data'!$D:$D,'Transform Data'!D450)&gt;1,"Repeat","Single"))</f>
        <v>Repeat</v>
      </c>
      <c r="K450" s="10" t="str">
        <f t="shared" ref="K450:K513" si="7">"TRANS-"&amp;TEXT(ROW(A449),"0000")</f>
        <v>TRANS-0449</v>
      </c>
    </row>
    <row r="451" spans="1:11" x14ac:dyDescent="0.35">
      <c r="A451" s="5">
        <v>45423</v>
      </c>
      <c r="B451" s="3">
        <v>0.72356481481481483</v>
      </c>
      <c r="C451" t="s">
        <v>8</v>
      </c>
      <c r="D451" t="s">
        <v>83</v>
      </c>
      <c r="E451" s="4">
        <v>37.72</v>
      </c>
      <c r="F451" t="s">
        <v>10</v>
      </c>
      <c r="G451" s="10" t="str">
        <f>TEXT(Transform_Data[[#This Row],[Date]],"mmm yyyy")</f>
        <v>May 2024</v>
      </c>
      <c r="H451" s="10">
        <f>HOUR(Transform_Data[[#This Row],[Time]])</f>
        <v>17</v>
      </c>
      <c r="I451" s="10" t="str">
        <f>IF(COUNTIF('Transform Data'!$D:$D,'Transform Data'!D451)&gt;1,"Repeat","Single")</f>
        <v>Repeat</v>
      </c>
      <c r="J451" s="10" t="str">
        <f>IF('Transform Data'!D451="Cash","Cash",IF(COUNTIF('Transform Data'!$D:$D,'Transform Data'!D451)&gt;1,"Repeat","Single"))</f>
        <v>Repeat</v>
      </c>
      <c r="K451" s="10" t="str">
        <f t="shared" si="7"/>
        <v>TRANS-0450</v>
      </c>
    </row>
    <row r="452" spans="1:11" x14ac:dyDescent="0.35">
      <c r="A452" s="5">
        <v>45423</v>
      </c>
      <c r="B452" s="3">
        <v>0.72496527777777775</v>
      </c>
      <c r="C452" t="s">
        <v>8</v>
      </c>
      <c r="D452" t="s">
        <v>16</v>
      </c>
      <c r="E452" s="4">
        <v>37.72</v>
      </c>
      <c r="F452" t="s">
        <v>24</v>
      </c>
      <c r="G452" s="10" t="str">
        <f>TEXT(Transform_Data[[#This Row],[Date]],"mmm yyyy")</f>
        <v>May 2024</v>
      </c>
      <c r="H452" s="10">
        <f>HOUR(Transform_Data[[#This Row],[Time]])</f>
        <v>17</v>
      </c>
      <c r="I452" s="10" t="str">
        <f>IF(COUNTIF('Transform Data'!$D:$D,'Transform Data'!D452)&gt;1,"Repeat","Single")</f>
        <v>Repeat</v>
      </c>
      <c r="J452" s="10" t="str">
        <f>IF('Transform Data'!D452="Cash","Cash",IF(COUNTIF('Transform Data'!$D:$D,'Transform Data'!D452)&gt;1,"Repeat","Single"))</f>
        <v>Repeat</v>
      </c>
      <c r="K452" s="10" t="str">
        <f t="shared" si="7"/>
        <v>TRANS-0451</v>
      </c>
    </row>
    <row r="453" spans="1:11" x14ac:dyDescent="0.35">
      <c r="A453" s="5">
        <v>45423</v>
      </c>
      <c r="B453" s="3">
        <v>0.72840277777777773</v>
      </c>
      <c r="C453" t="s">
        <v>8</v>
      </c>
      <c r="D453" t="s">
        <v>43</v>
      </c>
      <c r="E453" s="4">
        <v>32.82</v>
      </c>
      <c r="F453" t="s">
        <v>36</v>
      </c>
      <c r="G453" s="10" t="str">
        <f>TEXT(Transform_Data[[#This Row],[Date]],"mmm yyyy")</f>
        <v>May 2024</v>
      </c>
      <c r="H453" s="10">
        <f>HOUR(Transform_Data[[#This Row],[Time]])</f>
        <v>17</v>
      </c>
      <c r="I453" s="10" t="str">
        <f>IF(COUNTIF('Transform Data'!$D:$D,'Transform Data'!D453)&gt;1,"Repeat","Single")</f>
        <v>Repeat</v>
      </c>
      <c r="J453" s="10" t="str">
        <f>IF('Transform Data'!D453="Cash","Cash",IF(COUNTIF('Transform Data'!$D:$D,'Transform Data'!D453)&gt;1,"Repeat","Single"))</f>
        <v>Repeat</v>
      </c>
      <c r="K453" s="10" t="str">
        <f t="shared" si="7"/>
        <v>TRANS-0452</v>
      </c>
    </row>
    <row r="454" spans="1:11" x14ac:dyDescent="0.35">
      <c r="A454" s="5">
        <v>45423</v>
      </c>
      <c r="B454" s="3">
        <v>0.77476851851851847</v>
      </c>
      <c r="C454" t="s">
        <v>8</v>
      </c>
      <c r="D454" t="s">
        <v>170</v>
      </c>
      <c r="E454" s="4">
        <v>37.72</v>
      </c>
      <c r="F454" t="s">
        <v>24</v>
      </c>
      <c r="G454" s="10" t="str">
        <f>TEXT(Transform_Data[[#This Row],[Date]],"mmm yyyy")</f>
        <v>May 2024</v>
      </c>
      <c r="H454" s="10">
        <f>HOUR(Transform_Data[[#This Row],[Time]])</f>
        <v>18</v>
      </c>
      <c r="I454" s="10" t="str">
        <f>IF(COUNTIF('Transform Data'!$D:$D,'Transform Data'!D454)&gt;1,"Repeat","Single")</f>
        <v>Repeat</v>
      </c>
      <c r="J454" s="10" t="str">
        <f>IF('Transform Data'!D454="Cash","Cash",IF(COUNTIF('Transform Data'!$D:$D,'Transform Data'!D454)&gt;1,"Repeat","Single"))</f>
        <v>Repeat</v>
      </c>
      <c r="K454" s="10" t="str">
        <f t="shared" si="7"/>
        <v>TRANS-0453</v>
      </c>
    </row>
    <row r="455" spans="1:11" x14ac:dyDescent="0.35">
      <c r="A455" s="5">
        <v>45423</v>
      </c>
      <c r="B455" s="3">
        <v>0.81824074074074071</v>
      </c>
      <c r="C455" t="s">
        <v>8</v>
      </c>
      <c r="D455" t="s">
        <v>213</v>
      </c>
      <c r="E455" s="4">
        <v>37.72</v>
      </c>
      <c r="F455" t="s">
        <v>32</v>
      </c>
      <c r="G455" s="10" t="str">
        <f>TEXT(Transform_Data[[#This Row],[Date]],"mmm yyyy")</f>
        <v>May 2024</v>
      </c>
      <c r="H455" s="10">
        <f>HOUR(Transform_Data[[#This Row],[Time]])</f>
        <v>19</v>
      </c>
      <c r="I455" s="10" t="str">
        <f>IF(COUNTIF('Transform Data'!$D:$D,'Transform Data'!D455)&gt;1,"Repeat","Single")</f>
        <v>Repeat</v>
      </c>
      <c r="J455" s="10" t="str">
        <f>IF('Transform Data'!D455="Cash","Cash",IF(COUNTIF('Transform Data'!$D:$D,'Transform Data'!D455)&gt;1,"Repeat","Single"))</f>
        <v>Repeat</v>
      </c>
      <c r="K455" s="10" t="str">
        <f t="shared" si="7"/>
        <v>TRANS-0454</v>
      </c>
    </row>
    <row r="456" spans="1:11" x14ac:dyDescent="0.35">
      <c r="A456" s="5">
        <v>45424</v>
      </c>
      <c r="B456" s="3">
        <v>0.43104166666666666</v>
      </c>
      <c r="C456" t="s">
        <v>8</v>
      </c>
      <c r="D456" t="s">
        <v>60</v>
      </c>
      <c r="E456" s="4">
        <v>37.72</v>
      </c>
      <c r="F456" t="s">
        <v>32</v>
      </c>
      <c r="G456" s="10" t="str">
        <f>TEXT(Transform_Data[[#This Row],[Date]],"mmm yyyy")</f>
        <v>May 2024</v>
      </c>
      <c r="H456" s="10">
        <f>HOUR(Transform_Data[[#This Row],[Time]])</f>
        <v>10</v>
      </c>
      <c r="I456" s="10" t="str">
        <f>IF(COUNTIF('Transform Data'!$D:$D,'Transform Data'!D456)&gt;1,"Repeat","Single")</f>
        <v>Repeat</v>
      </c>
      <c r="J456" s="10" t="str">
        <f>IF('Transform Data'!D456="Cash","Cash",IF(COUNTIF('Transform Data'!$D:$D,'Transform Data'!D456)&gt;1,"Repeat","Single"))</f>
        <v>Repeat</v>
      </c>
      <c r="K456" s="10" t="str">
        <f t="shared" si="7"/>
        <v>TRANS-0455</v>
      </c>
    </row>
    <row r="457" spans="1:11" x14ac:dyDescent="0.35">
      <c r="A457" s="5">
        <v>45424</v>
      </c>
      <c r="B457" s="3">
        <v>0.55836805555555558</v>
      </c>
      <c r="C457" t="s">
        <v>8</v>
      </c>
      <c r="D457" t="s">
        <v>214</v>
      </c>
      <c r="E457" s="4">
        <v>37.72</v>
      </c>
      <c r="F457" t="s">
        <v>32</v>
      </c>
      <c r="G457" s="10" t="str">
        <f>TEXT(Transform_Data[[#This Row],[Date]],"mmm yyyy")</f>
        <v>May 2024</v>
      </c>
      <c r="H457" s="10">
        <f>HOUR(Transform_Data[[#This Row],[Time]])</f>
        <v>13</v>
      </c>
      <c r="I457" s="10" t="str">
        <f>IF(COUNTIF('Transform Data'!$D:$D,'Transform Data'!D457)&gt;1,"Repeat","Single")</f>
        <v>Single</v>
      </c>
      <c r="J457" s="10" t="str">
        <f>IF('Transform Data'!D457="Cash","Cash",IF(COUNTIF('Transform Data'!$D:$D,'Transform Data'!D457)&gt;1,"Repeat","Single"))</f>
        <v>Single</v>
      </c>
      <c r="K457" s="10" t="str">
        <f t="shared" si="7"/>
        <v>TRANS-0456</v>
      </c>
    </row>
    <row r="458" spans="1:11" x14ac:dyDescent="0.35">
      <c r="A458" s="5">
        <v>45424</v>
      </c>
      <c r="B458" s="3">
        <v>0.56086805555555552</v>
      </c>
      <c r="C458" t="s">
        <v>8</v>
      </c>
      <c r="D458" t="s">
        <v>215</v>
      </c>
      <c r="E458" s="4">
        <v>27.92</v>
      </c>
      <c r="F458" t="s">
        <v>28</v>
      </c>
      <c r="G458" s="10" t="str">
        <f>TEXT(Transform_Data[[#This Row],[Date]],"mmm yyyy")</f>
        <v>May 2024</v>
      </c>
      <c r="H458" s="10">
        <f>HOUR(Transform_Data[[#This Row],[Time]])</f>
        <v>13</v>
      </c>
      <c r="I458" s="10" t="str">
        <f>IF(COUNTIF('Transform Data'!$D:$D,'Transform Data'!D458)&gt;1,"Repeat","Single")</f>
        <v>Single</v>
      </c>
      <c r="J458" s="10" t="str">
        <f>IF('Transform Data'!D458="Cash","Cash",IF(COUNTIF('Transform Data'!$D:$D,'Transform Data'!D458)&gt;1,"Repeat","Single"))</f>
        <v>Single</v>
      </c>
      <c r="K458" s="10" t="str">
        <f t="shared" si="7"/>
        <v>TRANS-0457</v>
      </c>
    </row>
    <row r="459" spans="1:11" x14ac:dyDescent="0.35">
      <c r="A459" s="5">
        <v>45424</v>
      </c>
      <c r="B459" s="3">
        <v>0.63633101851851848</v>
      </c>
      <c r="C459" t="s">
        <v>8</v>
      </c>
      <c r="D459" t="s">
        <v>133</v>
      </c>
      <c r="E459" s="4">
        <v>37.72</v>
      </c>
      <c r="F459" t="s">
        <v>32</v>
      </c>
      <c r="G459" s="10" t="str">
        <f>TEXT(Transform_Data[[#This Row],[Date]],"mmm yyyy")</f>
        <v>May 2024</v>
      </c>
      <c r="H459" s="10">
        <f>HOUR(Transform_Data[[#This Row],[Time]])</f>
        <v>15</v>
      </c>
      <c r="I459" s="10" t="str">
        <f>IF(COUNTIF('Transform Data'!$D:$D,'Transform Data'!D459)&gt;1,"Repeat","Single")</f>
        <v>Repeat</v>
      </c>
      <c r="J459" s="10" t="str">
        <f>IF('Transform Data'!D459="Cash","Cash",IF(COUNTIF('Transform Data'!$D:$D,'Transform Data'!D459)&gt;1,"Repeat","Single"))</f>
        <v>Repeat</v>
      </c>
      <c r="K459" s="10" t="str">
        <f t="shared" si="7"/>
        <v>TRANS-0458</v>
      </c>
    </row>
    <row r="460" spans="1:11" x14ac:dyDescent="0.35">
      <c r="A460" s="5">
        <v>45424</v>
      </c>
      <c r="B460" s="3">
        <v>0.65141203703703698</v>
      </c>
      <c r="C460" t="s">
        <v>8</v>
      </c>
      <c r="D460" t="s">
        <v>216</v>
      </c>
      <c r="E460" s="4">
        <v>32.82</v>
      </c>
      <c r="F460" t="s">
        <v>36</v>
      </c>
      <c r="G460" s="10" t="str">
        <f>TEXT(Transform_Data[[#This Row],[Date]],"mmm yyyy")</f>
        <v>May 2024</v>
      </c>
      <c r="H460" s="10">
        <f>HOUR(Transform_Data[[#This Row],[Time]])</f>
        <v>15</v>
      </c>
      <c r="I460" s="10" t="str">
        <f>IF(COUNTIF('Transform Data'!$D:$D,'Transform Data'!D460)&gt;1,"Repeat","Single")</f>
        <v>Single</v>
      </c>
      <c r="J460" s="10" t="str">
        <f>IF('Transform Data'!D460="Cash","Cash",IF(COUNTIF('Transform Data'!$D:$D,'Transform Data'!D460)&gt;1,"Repeat","Single"))</f>
        <v>Single</v>
      </c>
      <c r="K460" s="10" t="str">
        <f t="shared" si="7"/>
        <v>TRANS-0459</v>
      </c>
    </row>
    <row r="461" spans="1:11" x14ac:dyDescent="0.35">
      <c r="A461" s="5">
        <v>45424</v>
      </c>
      <c r="B461" s="3">
        <v>0.66127314814814819</v>
      </c>
      <c r="C461" t="s">
        <v>8</v>
      </c>
      <c r="D461" t="s">
        <v>217</v>
      </c>
      <c r="E461" s="4">
        <v>32.82</v>
      </c>
      <c r="F461" t="s">
        <v>36</v>
      </c>
      <c r="G461" s="10" t="str">
        <f>TEXT(Transform_Data[[#This Row],[Date]],"mmm yyyy")</f>
        <v>May 2024</v>
      </c>
      <c r="H461" s="10">
        <f>HOUR(Transform_Data[[#This Row],[Time]])</f>
        <v>15</v>
      </c>
      <c r="I461" s="10" t="str">
        <f>IF(COUNTIF('Transform Data'!$D:$D,'Transform Data'!D461)&gt;1,"Repeat","Single")</f>
        <v>Single</v>
      </c>
      <c r="J461" s="10" t="str">
        <f>IF('Transform Data'!D461="Cash","Cash",IF(COUNTIF('Transform Data'!$D:$D,'Transform Data'!D461)&gt;1,"Repeat","Single"))</f>
        <v>Single</v>
      </c>
      <c r="K461" s="10" t="str">
        <f t="shared" si="7"/>
        <v>TRANS-0460</v>
      </c>
    </row>
    <row r="462" spans="1:11" x14ac:dyDescent="0.35">
      <c r="A462" s="5">
        <v>45424</v>
      </c>
      <c r="B462" s="3">
        <v>0.66968749999999999</v>
      </c>
      <c r="C462" t="s">
        <v>8</v>
      </c>
      <c r="D462" t="s">
        <v>43</v>
      </c>
      <c r="E462" s="4">
        <v>32.82</v>
      </c>
      <c r="F462" t="s">
        <v>36</v>
      </c>
      <c r="G462" s="10" t="str">
        <f>TEXT(Transform_Data[[#This Row],[Date]],"mmm yyyy")</f>
        <v>May 2024</v>
      </c>
      <c r="H462" s="10">
        <f>HOUR(Transform_Data[[#This Row],[Time]])</f>
        <v>16</v>
      </c>
      <c r="I462" s="10" t="str">
        <f>IF(COUNTIF('Transform Data'!$D:$D,'Transform Data'!D462)&gt;1,"Repeat","Single")</f>
        <v>Repeat</v>
      </c>
      <c r="J462" s="10" t="str">
        <f>IF('Transform Data'!D462="Cash","Cash",IF(COUNTIF('Transform Data'!$D:$D,'Transform Data'!D462)&gt;1,"Repeat","Single"))</f>
        <v>Repeat</v>
      </c>
      <c r="K462" s="10" t="str">
        <f t="shared" si="7"/>
        <v>TRANS-0461</v>
      </c>
    </row>
    <row r="463" spans="1:11" x14ac:dyDescent="0.35">
      <c r="A463" s="5">
        <v>45424</v>
      </c>
      <c r="B463" s="3">
        <v>0.82048611111111114</v>
      </c>
      <c r="C463" t="s">
        <v>8</v>
      </c>
      <c r="D463" t="s">
        <v>25</v>
      </c>
      <c r="E463" s="4">
        <v>32.82</v>
      </c>
      <c r="F463" t="s">
        <v>36</v>
      </c>
      <c r="G463" s="10" t="str">
        <f>TEXT(Transform_Data[[#This Row],[Date]],"mmm yyyy")</f>
        <v>May 2024</v>
      </c>
      <c r="H463" s="10">
        <f>HOUR(Transform_Data[[#This Row],[Time]])</f>
        <v>19</v>
      </c>
      <c r="I463" s="10" t="str">
        <f>IF(COUNTIF('Transform Data'!$D:$D,'Transform Data'!D463)&gt;1,"Repeat","Single")</f>
        <v>Repeat</v>
      </c>
      <c r="J463" s="10" t="str">
        <f>IF('Transform Data'!D463="Cash","Cash",IF(COUNTIF('Transform Data'!$D:$D,'Transform Data'!D463)&gt;1,"Repeat","Single"))</f>
        <v>Repeat</v>
      </c>
      <c r="K463" s="10" t="str">
        <f t="shared" si="7"/>
        <v>TRANS-0462</v>
      </c>
    </row>
    <row r="464" spans="1:11" x14ac:dyDescent="0.35">
      <c r="A464" s="5">
        <v>45425</v>
      </c>
      <c r="B464" s="3">
        <v>0.46103009259259259</v>
      </c>
      <c r="C464" t="s">
        <v>8</v>
      </c>
      <c r="D464" t="s">
        <v>218</v>
      </c>
      <c r="E464" s="4">
        <v>32.82</v>
      </c>
      <c r="F464" t="s">
        <v>36</v>
      </c>
      <c r="G464" s="10" t="str">
        <f>TEXT(Transform_Data[[#This Row],[Date]],"mmm yyyy")</f>
        <v>May 2024</v>
      </c>
      <c r="H464" s="10">
        <f>HOUR(Transform_Data[[#This Row],[Time]])</f>
        <v>11</v>
      </c>
      <c r="I464" s="10" t="str">
        <f>IF(COUNTIF('Transform Data'!$D:$D,'Transform Data'!D464)&gt;1,"Repeat","Single")</f>
        <v>Repeat</v>
      </c>
      <c r="J464" s="10" t="str">
        <f>IF('Transform Data'!D464="Cash","Cash",IF(COUNTIF('Transform Data'!$D:$D,'Transform Data'!D464)&gt;1,"Repeat","Single"))</f>
        <v>Repeat</v>
      </c>
      <c r="K464" s="10" t="str">
        <f t="shared" si="7"/>
        <v>TRANS-0463</v>
      </c>
    </row>
    <row r="465" spans="1:11" x14ac:dyDescent="0.35">
      <c r="A465" s="5">
        <v>45425</v>
      </c>
      <c r="B465" s="3">
        <v>0.64664351851851853</v>
      </c>
      <c r="C465" t="s">
        <v>13</v>
      </c>
      <c r="D465" t="s">
        <v>37</v>
      </c>
      <c r="E465" s="4">
        <v>29</v>
      </c>
      <c r="F465" t="s">
        <v>28</v>
      </c>
      <c r="G465" s="10" t="str">
        <f>TEXT(Transform_Data[[#This Row],[Date]],"mmm yyyy")</f>
        <v>May 2024</v>
      </c>
      <c r="H465" s="10">
        <f>HOUR(Transform_Data[[#This Row],[Time]])</f>
        <v>15</v>
      </c>
      <c r="I465" s="10" t="str">
        <f>IF(COUNTIF('Transform Data'!$D:$D,'Transform Data'!D465)&gt;1,"Repeat","Single")</f>
        <v>Repeat</v>
      </c>
      <c r="J465" s="10" t="str">
        <f>IF('Transform Data'!D465="Cash","Cash",IF(COUNTIF('Transform Data'!$D:$D,'Transform Data'!D465)&gt;1,"Repeat","Single"))</f>
        <v>Repeat</v>
      </c>
      <c r="K465" s="10" t="str">
        <f t="shared" si="7"/>
        <v>TRANS-0464</v>
      </c>
    </row>
    <row r="466" spans="1:11" x14ac:dyDescent="0.35">
      <c r="A466" s="5">
        <v>45425</v>
      </c>
      <c r="B466" s="3">
        <v>0.64710648148148153</v>
      </c>
      <c r="C466" t="s">
        <v>13</v>
      </c>
      <c r="D466" t="s">
        <v>37</v>
      </c>
      <c r="E466" s="4">
        <v>29</v>
      </c>
      <c r="F466" t="s">
        <v>28</v>
      </c>
      <c r="G466" s="10" t="str">
        <f>TEXT(Transform_Data[[#This Row],[Date]],"mmm yyyy")</f>
        <v>May 2024</v>
      </c>
      <c r="H466" s="10">
        <f>HOUR(Transform_Data[[#This Row],[Time]])</f>
        <v>15</v>
      </c>
      <c r="I466" s="10" t="str">
        <f>IF(COUNTIF('Transform Data'!$D:$D,'Transform Data'!D466)&gt;1,"Repeat","Single")</f>
        <v>Repeat</v>
      </c>
      <c r="J466" s="10" t="str">
        <f>IF('Transform Data'!D466="Cash","Cash",IF(COUNTIF('Transform Data'!$D:$D,'Transform Data'!D466)&gt;1,"Repeat","Single"))</f>
        <v>Repeat</v>
      </c>
      <c r="K466" s="10" t="str">
        <f t="shared" si="7"/>
        <v>TRANS-0465</v>
      </c>
    </row>
    <row r="467" spans="1:11" x14ac:dyDescent="0.35">
      <c r="A467" s="5">
        <v>45426</v>
      </c>
      <c r="B467" s="3">
        <v>0.35988425925925926</v>
      </c>
      <c r="C467" t="s">
        <v>8</v>
      </c>
      <c r="D467" t="s">
        <v>43</v>
      </c>
      <c r="E467" s="4">
        <v>27.92</v>
      </c>
      <c r="F467" t="s">
        <v>28</v>
      </c>
      <c r="G467" s="10" t="str">
        <f>TEXT(Transform_Data[[#This Row],[Date]],"mmm yyyy")</f>
        <v>May 2024</v>
      </c>
      <c r="H467" s="10">
        <f>HOUR(Transform_Data[[#This Row],[Time]])</f>
        <v>8</v>
      </c>
      <c r="I467" s="10" t="str">
        <f>IF(COUNTIF('Transform Data'!$D:$D,'Transform Data'!D467)&gt;1,"Repeat","Single")</f>
        <v>Repeat</v>
      </c>
      <c r="J467" s="10" t="str">
        <f>IF('Transform Data'!D467="Cash","Cash",IF(COUNTIF('Transform Data'!$D:$D,'Transform Data'!D467)&gt;1,"Repeat","Single"))</f>
        <v>Repeat</v>
      </c>
      <c r="K467" s="10" t="str">
        <f t="shared" si="7"/>
        <v>TRANS-0466</v>
      </c>
    </row>
    <row r="468" spans="1:11" x14ac:dyDescent="0.35">
      <c r="A468" s="5">
        <v>45426</v>
      </c>
      <c r="B468" s="3">
        <v>0.36070601851851852</v>
      </c>
      <c r="C468" t="s">
        <v>8</v>
      </c>
      <c r="D468" t="s">
        <v>43</v>
      </c>
      <c r="E468" s="4">
        <v>27.92</v>
      </c>
      <c r="F468" t="s">
        <v>28</v>
      </c>
      <c r="G468" s="10" t="str">
        <f>TEXT(Transform_Data[[#This Row],[Date]],"mmm yyyy")</f>
        <v>May 2024</v>
      </c>
      <c r="H468" s="10">
        <f>HOUR(Transform_Data[[#This Row],[Time]])</f>
        <v>8</v>
      </c>
      <c r="I468" s="10" t="str">
        <f>IF(COUNTIF('Transform Data'!$D:$D,'Transform Data'!D468)&gt;1,"Repeat","Single")</f>
        <v>Repeat</v>
      </c>
      <c r="J468" s="10" t="str">
        <f>IF('Transform Data'!D468="Cash","Cash",IF(COUNTIF('Transform Data'!$D:$D,'Transform Data'!D468)&gt;1,"Repeat","Single"))</f>
        <v>Repeat</v>
      </c>
      <c r="K468" s="10" t="str">
        <f t="shared" si="7"/>
        <v>TRANS-0467</v>
      </c>
    </row>
    <row r="469" spans="1:11" x14ac:dyDescent="0.35">
      <c r="A469" s="5">
        <v>45426</v>
      </c>
      <c r="B469" s="3">
        <v>0.36130787037037038</v>
      </c>
      <c r="C469" t="s">
        <v>8</v>
      </c>
      <c r="D469" t="s">
        <v>43</v>
      </c>
      <c r="E469" s="4">
        <v>27.92</v>
      </c>
      <c r="F469" t="s">
        <v>28</v>
      </c>
      <c r="G469" s="10" t="str">
        <f>TEXT(Transform_Data[[#This Row],[Date]],"mmm yyyy")</f>
        <v>May 2024</v>
      </c>
      <c r="H469" s="10">
        <f>HOUR(Transform_Data[[#This Row],[Time]])</f>
        <v>8</v>
      </c>
      <c r="I469" s="10" t="str">
        <f>IF(COUNTIF('Transform Data'!$D:$D,'Transform Data'!D469)&gt;1,"Repeat","Single")</f>
        <v>Repeat</v>
      </c>
      <c r="J469" s="10" t="str">
        <f>IF('Transform Data'!D469="Cash","Cash",IF(COUNTIF('Transform Data'!$D:$D,'Transform Data'!D469)&gt;1,"Repeat","Single"))</f>
        <v>Repeat</v>
      </c>
      <c r="K469" s="10" t="str">
        <f t="shared" si="7"/>
        <v>TRANS-0468</v>
      </c>
    </row>
    <row r="470" spans="1:11" x14ac:dyDescent="0.35">
      <c r="A470" s="5">
        <v>45426</v>
      </c>
      <c r="B470" s="3">
        <v>0.43012731481481481</v>
      </c>
      <c r="C470" t="s">
        <v>8</v>
      </c>
      <c r="D470" t="s">
        <v>43</v>
      </c>
      <c r="E470" s="4">
        <v>37.72</v>
      </c>
      <c r="F470" t="s">
        <v>24</v>
      </c>
      <c r="G470" s="10" t="str">
        <f>TEXT(Transform_Data[[#This Row],[Date]],"mmm yyyy")</f>
        <v>May 2024</v>
      </c>
      <c r="H470" s="10">
        <f>HOUR(Transform_Data[[#This Row],[Time]])</f>
        <v>10</v>
      </c>
      <c r="I470" s="10" t="str">
        <f>IF(COUNTIF('Transform Data'!$D:$D,'Transform Data'!D470)&gt;1,"Repeat","Single")</f>
        <v>Repeat</v>
      </c>
      <c r="J470" s="10" t="str">
        <f>IF('Transform Data'!D470="Cash","Cash",IF(COUNTIF('Transform Data'!$D:$D,'Transform Data'!D470)&gt;1,"Repeat","Single"))</f>
        <v>Repeat</v>
      </c>
      <c r="K470" s="10" t="str">
        <f t="shared" si="7"/>
        <v>TRANS-0469</v>
      </c>
    </row>
    <row r="471" spans="1:11" x14ac:dyDescent="0.35">
      <c r="A471" s="5">
        <v>45426</v>
      </c>
      <c r="B471" s="3">
        <v>0.4808912037037037</v>
      </c>
      <c r="C471" t="s">
        <v>8</v>
      </c>
      <c r="D471" t="s">
        <v>219</v>
      </c>
      <c r="E471" s="4">
        <v>37.72</v>
      </c>
      <c r="F471" t="s">
        <v>32</v>
      </c>
      <c r="G471" s="10" t="str">
        <f>TEXT(Transform_Data[[#This Row],[Date]],"mmm yyyy")</f>
        <v>May 2024</v>
      </c>
      <c r="H471" s="10">
        <f>HOUR(Transform_Data[[#This Row],[Time]])</f>
        <v>11</v>
      </c>
      <c r="I471" s="10" t="str">
        <f>IF(COUNTIF('Transform Data'!$D:$D,'Transform Data'!D471)&gt;1,"Repeat","Single")</f>
        <v>Repeat</v>
      </c>
      <c r="J471" s="10" t="str">
        <f>IF('Transform Data'!D471="Cash","Cash",IF(COUNTIF('Transform Data'!$D:$D,'Transform Data'!D471)&gt;1,"Repeat","Single"))</f>
        <v>Repeat</v>
      </c>
      <c r="K471" s="10" t="str">
        <f t="shared" si="7"/>
        <v>TRANS-0470</v>
      </c>
    </row>
    <row r="472" spans="1:11" x14ac:dyDescent="0.35">
      <c r="A472" s="5">
        <v>45426</v>
      </c>
      <c r="B472" s="3">
        <v>0.48208333333333331</v>
      </c>
      <c r="C472" t="s">
        <v>8</v>
      </c>
      <c r="D472" t="s">
        <v>219</v>
      </c>
      <c r="E472" s="4">
        <v>37.72</v>
      </c>
      <c r="F472" t="s">
        <v>24</v>
      </c>
      <c r="G472" s="10" t="str">
        <f>TEXT(Transform_Data[[#This Row],[Date]],"mmm yyyy")</f>
        <v>May 2024</v>
      </c>
      <c r="H472" s="10">
        <f>HOUR(Transform_Data[[#This Row],[Time]])</f>
        <v>11</v>
      </c>
      <c r="I472" s="10" t="str">
        <f>IF(COUNTIF('Transform Data'!$D:$D,'Transform Data'!D472)&gt;1,"Repeat","Single")</f>
        <v>Repeat</v>
      </c>
      <c r="J472" s="10" t="str">
        <f>IF('Transform Data'!D472="Cash","Cash",IF(COUNTIF('Transform Data'!$D:$D,'Transform Data'!D472)&gt;1,"Repeat","Single"))</f>
        <v>Repeat</v>
      </c>
      <c r="K472" s="10" t="str">
        <f t="shared" si="7"/>
        <v>TRANS-0471</v>
      </c>
    </row>
    <row r="473" spans="1:11" x14ac:dyDescent="0.35">
      <c r="A473" s="5">
        <v>45426</v>
      </c>
      <c r="B473" s="3">
        <v>0.58673611111111112</v>
      </c>
      <c r="C473" t="s">
        <v>8</v>
      </c>
      <c r="D473" t="s">
        <v>82</v>
      </c>
      <c r="E473" s="4">
        <v>37.72</v>
      </c>
      <c r="F473" t="s">
        <v>24</v>
      </c>
      <c r="G473" s="10" t="str">
        <f>TEXT(Transform_Data[[#This Row],[Date]],"mmm yyyy")</f>
        <v>May 2024</v>
      </c>
      <c r="H473" s="10">
        <f>HOUR(Transform_Data[[#This Row],[Time]])</f>
        <v>14</v>
      </c>
      <c r="I473" s="10" t="str">
        <f>IF(COUNTIF('Transform Data'!$D:$D,'Transform Data'!D473)&gt;1,"Repeat","Single")</f>
        <v>Repeat</v>
      </c>
      <c r="J473" s="10" t="str">
        <f>IF('Transform Data'!D473="Cash","Cash",IF(COUNTIF('Transform Data'!$D:$D,'Transform Data'!D473)&gt;1,"Repeat","Single"))</f>
        <v>Repeat</v>
      </c>
      <c r="K473" s="10" t="str">
        <f t="shared" si="7"/>
        <v>TRANS-0472</v>
      </c>
    </row>
    <row r="474" spans="1:11" x14ac:dyDescent="0.35">
      <c r="A474" s="5">
        <v>45426</v>
      </c>
      <c r="B474" s="3">
        <v>0.58750000000000002</v>
      </c>
      <c r="C474" t="s">
        <v>8</v>
      </c>
      <c r="D474" t="s">
        <v>25</v>
      </c>
      <c r="E474" s="4">
        <v>32.82</v>
      </c>
      <c r="F474" t="s">
        <v>36</v>
      </c>
      <c r="G474" s="10" t="str">
        <f>TEXT(Transform_Data[[#This Row],[Date]],"mmm yyyy")</f>
        <v>May 2024</v>
      </c>
      <c r="H474" s="10">
        <f>HOUR(Transform_Data[[#This Row],[Time]])</f>
        <v>14</v>
      </c>
      <c r="I474" s="10" t="str">
        <f>IF(COUNTIF('Transform Data'!$D:$D,'Transform Data'!D474)&gt;1,"Repeat","Single")</f>
        <v>Repeat</v>
      </c>
      <c r="J474" s="10" t="str">
        <f>IF('Transform Data'!D474="Cash","Cash",IF(COUNTIF('Transform Data'!$D:$D,'Transform Data'!D474)&gt;1,"Repeat","Single"))</f>
        <v>Repeat</v>
      </c>
      <c r="K474" s="10" t="str">
        <f t="shared" si="7"/>
        <v>TRANS-0473</v>
      </c>
    </row>
    <row r="475" spans="1:11" x14ac:dyDescent="0.35">
      <c r="A475" s="5">
        <v>45426</v>
      </c>
      <c r="B475" s="3">
        <v>0.62631944444444443</v>
      </c>
      <c r="C475" t="s">
        <v>8</v>
      </c>
      <c r="D475" t="s">
        <v>16</v>
      </c>
      <c r="E475" s="4">
        <v>27.92</v>
      </c>
      <c r="F475" t="s">
        <v>28</v>
      </c>
      <c r="G475" s="10" t="str">
        <f>TEXT(Transform_Data[[#This Row],[Date]],"mmm yyyy")</f>
        <v>May 2024</v>
      </c>
      <c r="H475" s="10">
        <f>HOUR(Transform_Data[[#This Row],[Time]])</f>
        <v>15</v>
      </c>
      <c r="I475" s="10" t="str">
        <f>IF(COUNTIF('Transform Data'!$D:$D,'Transform Data'!D475)&gt;1,"Repeat","Single")</f>
        <v>Repeat</v>
      </c>
      <c r="J475" s="10" t="str">
        <f>IF('Transform Data'!D475="Cash","Cash",IF(COUNTIF('Transform Data'!$D:$D,'Transform Data'!D475)&gt;1,"Repeat","Single"))</f>
        <v>Repeat</v>
      </c>
      <c r="K475" s="10" t="str">
        <f t="shared" si="7"/>
        <v>TRANS-0474</v>
      </c>
    </row>
    <row r="476" spans="1:11" x14ac:dyDescent="0.35">
      <c r="A476" s="5">
        <v>45426</v>
      </c>
      <c r="B476" s="3">
        <v>0.70690972222222226</v>
      </c>
      <c r="C476" t="s">
        <v>8</v>
      </c>
      <c r="D476" t="s">
        <v>220</v>
      </c>
      <c r="E476" s="4">
        <v>32.82</v>
      </c>
      <c r="F476" t="s">
        <v>36</v>
      </c>
      <c r="G476" s="10" t="str">
        <f>TEXT(Transform_Data[[#This Row],[Date]],"mmm yyyy")</f>
        <v>May 2024</v>
      </c>
      <c r="H476" s="10">
        <f>HOUR(Transform_Data[[#This Row],[Time]])</f>
        <v>16</v>
      </c>
      <c r="I476" s="10" t="str">
        <f>IF(COUNTIF('Transform Data'!$D:$D,'Transform Data'!D476)&gt;1,"Repeat","Single")</f>
        <v>Repeat</v>
      </c>
      <c r="J476" s="10" t="str">
        <f>IF('Transform Data'!D476="Cash","Cash",IF(COUNTIF('Transform Data'!$D:$D,'Transform Data'!D476)&gt;1,"Repeat","Single"))</f>
        <v>Repeat</v>
      </c>
      <c r="K476" s="10" t="str">
        <f t="shared" si="7"/>
        <v>TRANS-0475</v>
      </c>
    </row>
    <row r="477" spans="1:11" x14ac:dyDescent="0.35">
      <c r="A477" s="5">
        <v>45426</v>
      </c>
      <c r="B477" s="3">
        <v>0.70775462962962965</v>
      </c>
      <c r="C477" t="s">
        <v>8</v>
      </c>
      <c r="D477" t="s">
        <v>220</v>
      </c>
      <c r="E477" s="4">
        <v>37.72</v>
      </c>
      <c r="F477" t="s">
        <v>24</v>
      </c>
      <c r="G477" s="10" t="str">
        <f>TEXT(Transform_Data[[#This Row],[Date]],"mmm yyyy")</f>
        <v>May 2024</v>
      </c>
      <c r="H477" s="10">
        <f>HOUR(Transform_Data[[#This Row],[Time]])</f>
        <v>16</v>
      </c>
      <c r="I477" s="10" t="str">
        <f>IF(COUNTIF('Transform Data'!$D:$D,'Transform Data'!D477)&gt;1,"Repeat","Single")</f>
        <v>Repeat</v>
      </c>
      <c r="J477" s="10" t="str">
        <f>IF('Transform Data'!D477="Cash","Cash",IF(COUNTIF('Transform Data'!$D:$D,'Transform Data'!D477)&gt;1,"Repeat","Single"))</f>
        <v>Repeat</v>
      </c>
      <c r="K477" s="10" t="str">
        <f t="shared" si="7"/>
        <v>TRANS-0476</v>
      </c>
    </row>
    <row r="478" spans="1:11" x14ac:dyDescent="0.35">
      <c r="A478" s="5">
        <v>45426</v>
      </c>
      <c r="B478" s="3">
        <v>0.95237268518518514</v>
      </c>
      <c r="C478" t="s">
        <v>8</v>
      </c>
      <c r="D478" t="s">
        <v>221</v>
      </c>
      <c r="E478" s="4">
        <v>37.72</v>
      </c>
      <c r="F478" t="s">
        <v>15</v>
      </c>
      <c r="G478" s="10" t="str">
        <f>TEXT(Transform_Data[[#This Row],[Date]],"mmm yyyy")</f>
        <v>May 2024</v>
      </c>
      <c r="H478" s="10">
        <f>HOUR(Transform_Data[[#This Row],[Time]])</f>
        <v>22</v>
      </c>
      <c r="I478" s="10" t="str">
        <f>IF(COUNTIF('Transform Data'!$D:$D,'Transform Data'!D478)&gt;1,"Repeat","Single")</f>
        <v>Single</v>
      </c>
      <c r="J478" s="10" t="str">
        <f>IF('Transform Data'!D478="Cash","Cash",IF(COUNTIF('Transform Data'!$D:$D,'Transform Data'!D478)&gt;1,"Repeat","Single"))</f>
        <v>Single</v>
      </c>
      <c r="K478" s="10" t="str">
        <f t="shared" si="7"/>
        <v>TRANS-0477</v>
      </c>
    </row>
    <row r="479" spans="1:11" x14ac:dyDescent="0.35">
      <c r="A479" s="5">
        <v>45427</v>
      </c>
      <c r="B479" s="3">
        <v>0.36116898148148147</v>
      </c>
      <c r="C479" t="s">
        <v>8</v>
      </c>
      <c r="D479" t="s">
        <v>222</v>
      </c>
      <c r="E479" s="4">
        <v>37.72</v>
      </c>
      <c r="F479" t="s">
        <v>32</v>
      </c>
      <c r="G479" s="10" t="str">
        <f>TEXT(Transform_Data[[#This Row],[Date]],"mmm yyyy")</f>
        <v>May 2024</v>
      </c>
      <c r="H479" s="10">
        <f>HOUR(Transform_Data[[#This Row],[Time]])</f>
        <v>8</v>
      </c>
      <c r="I479" s="10" t="str">
        <f>IF(COUNTIF('Transform Data'!$D:$D,'Transform Data'!D479)&gt;1,"Repeat","Single")</f>
        <v>Repeat</v>
      </c>
      <c r="J479" s="10" t="str">
        <f>IF('Transform Data'!D479="Cash","Cash",IF(COUNTIF('Transform Data'!$D:$D,'Transform Data'!D479)&gt;1,"Repeat","Single"))</f>
        <v>Repeat</v>
      </c>
      <c r="K479" s="10" t="str">
        <f t="shared" si="7"/>
        <v>TRANS-0478</v>
      </c>
    </row>
    <row r="480" spans="1:11" x14ac:dyDescent="0.35">
      <c r="A480" s="5">
        <v>45427</v>
      </c>
      <c r="B480" s="3">
        <v>0.46827546296296296</v>
      </c>
      <c r="C480" t="s">
        <v>8</v>
      </c>
      <c r="D480" t="s">
        <v>43</v>
      </c>
      <c r="E480" s="4">
        <v>23.02</v>
      </c>
      <c r="F480" t="s">
        <v>5</v>
      </c>
      <c r="G480" s="10" t="str">
        <f>TEXT(Transform_Data[[#This Row],[Date]],"mmm yyyy")</f>
        <v>May 2024</v>
      </c>
      <c r="H480" s="10">
        <f>HOUR(Transform_Data[[#This Row],[Time]])</f>
        <v>11</v>
      </c>
      <c r="I480" s="10" t="str">
        <f>IF(COUNTIF('Transform Data'!$D:$D,'Transform Data'!D480)&gt;1,"Repeat","Single")</f>
        <v>Repeat</v>
      </c>
      <c r="J480" s="10" t="str">
        <f>IF('Transform Data'!D480="Cash","Cash",IF(COUNTIF('Transform Data'!$D:$D,'Transform Data'!D480)&gt;1,"Repeat","Single"))</f>
        <v>Repeat</v>
      </c>
      <c r="K480" s="10" t="str">
        <f t="shared" si="7"/>
        <v>TRANS-0479</v>
      </c>
    </row>
    <row r="481" spans="1:11" x14ac:dyDescent="0.35">
      <c r="A481" s="5">
        <v>45427</v>
      </c>
      <c r="B481" s="3">
        <v>0.47164351851851855</v>
      </c>
      <c r="C481" t="s">
        <v>8</v>
      </c>
      <c r="D481" t="s">
        <v>43</v>
      </c>
      <c r="E481" s="4">
        <v>27.92</v>
      </c>
      <c r="F481" t="s">
        <v>28</v>
      </c>
      <c r="G481" s="10" t="str">
        <f>TEXT(Transform_Data[[#This Row],[Date]],"mmm yyyy")</f>
        <v>May 2024</v>
      </c>
      <c r="H481" s="10">
        <f>HOUR(Transform_Data[[#This Row],[Time]])</f>
        <v>11</v>
      </c>
      <c r="I481" s="10" t="str">
        <f>IF(COUNTIF('Transform Data'!$D:$D,'Transform Data'!D481)&gt;1,"Repeat","Single")</f>
        <v>Repeat</v>
      </c>
      <c r="J481" s="10" t="str">
        <f>IF('Transform Data'!D481="Cash","Cash",IF(COUNTIF('Transform Data'!$D:$D,'Transform Data'!D481)&gt;1,"Repeat","Single"))</f>
        <v>Repeat</v>
      </c>
      <c r="K481" s="10" t="str">
        <f t="shared" si="7"/>
        <v>TRANS-0480</v>
      </c>
    </row>
    <row r="482" spans="1:11" x14ac:dyDescent="0.35">
      <c r="A482" s="5">
        <v>45427</v>
      </c>
      <c r="B482" s="3">
        <v>0.56568287037037035</v>
      </c>
      <c r="C482" t="s">
        <v>8</v>
      </c>
      <c r="D482" t="s">
        <v>62</v>
      </c>
      <c r="E482" s="4">
        <v>27.92</v>
      </c>
      <c r="F482" t="s">
        <v>28</v>
      </c>
      <c r="G482" s="10" t="str">
        <f>TEXT(Transform_Data[[#This Row],[Date]],"mmm yyyy")</f>
        <v>May 2024</v>
      </c>
      <c r="H482" s="10">
        <f>HOUR(Transform_Data[[#This Row],[Time]])</f>
        <v>13</v>
      </c>
      <c r="I482" s="10" t="str">
        <f>IF(COUNTIF('Transform Data'!$D:$D,'Transform Data'!D482)&gt;1,"Repeat","Single")</f>
        <v>Repeat</v>
      </c>
      <c r="J482" s="10" t="str">
        <f>IF('Transform Data'!D482="Cash","Cash",IF(COUNTIF('Transform Data'!$D:$D,'Transform Data'!D482)&gt;1,"Repeat","Single"))</f>
        <v>Repeat</v>
      </c>
      <c r="K482" s="10" t="str">
        <f t="shared" si="7"/>
        <v>TRANS-0481</v>
      </c>
    </row>
    <row r="483" spans="1:11" x14ac:dyDescent="0.35">
      <c r="A483" s="5">
        <v>45427</v>
      </c>
      <c r="B483" s="3">
        <v>0.56630787037037034</v>
      </c>
      <c r="C483" t="s">
        <v>8</v>
      </c>
      <c r="D483" t="s">
        <v>62</v>
      </c>
      <c r="E483" s="4">
        <v>27.92</v>
      </c>
      <c r="F483" t="s">
        <v>28</v>
      </c>
      <c r="G483" s="10" t="str">
        <f>TEXT(Transform_Data[[#This Row],[Date]],"mmm yyyy")</f>
        <v>May 2024</v>
      </c>
      <c r="H483" s="10">
        <f>HOUR(Transform_Data[[#This Row],[Time]])</f>
        <v>13</v>
      </c>
      <c r="I483" s="10" t="str">
        <f>IF(COUNTIF('Transform Data'!$D:$D,'Transform Data'!D483)&gt;1,"Repeat","Single")</f>
        <v>Repeat</v>
      </c>
      <c r="J483" s="10" t="str">
        <f>IF('Transform Data'!D483="Cash","Cash",IF(COUNTIF('Transform Data'!$D:$D,'Transform Data'!D483)&gt;1,"Repeat","Single"))</f>
        <v>Repeat</v>
      </c>
      <c r="K483" s="10" t="str">
        <f t="shared" si="7"/>
        <v>TRANS-0482</v>
      </c>
    </row>
    <row r="484" spans="1:11" x14ac:dyDescent="0.35">
      <c r="A484" s="5">
        <v>45427</v>
      </c>
      <c r="B484" s="3">
        <v>0.5669791666666667</v>
      </c>
      <c r="C484" t="s">
        <v>8</v>
      </c>
      <c r="D484" t="s">
        <v>62</v>
      </c>
      <c r="E484" s="4">
        <v>27.92</v>
      </c>
      <c r="F484" t="s">
        <v>28</v>
      </c>
      <c r="G484" s="10" t="str">
        <f>TEXT(Transform_Data[[#This Row],[Date]],"mmm yyyy")</f>
        <v>May 2024</v>
      </c>
      <c r="H484" s="10">
        <f>HOUR(Transform_Data[[#This Row],[Time]])</f>
        <v>13</v>
      </c>
      <c r="I484" s="10" t="str">
        <f>IF(COUNTIF('Transform Data'!$D:$D,'Transform Data'!D484)&gt;1,"Repeat","Single")</f>
        <v>Repeat</v>
      </c>
      <c r="J484" s="10" t="str">
        <f>IF('Transform Data'!D484="Cash","Cash",IF(COUNTIF('Transform Data'!$D:$D,'Transform Data'!D484)&gt;1,"Repeat","Single"))</f>
        <v>Repeat</v>
      </c>
      <c r="K484" s="10" t="str">
        <f t="shared" si="7"/>
        <v>TRANS-0483</v>
      </c>
    </row>
    <row r="485" spans="1:11" x14ac:dyDescent="0.35">
      <c r="A485" s="5">
        <v>45427</v>
      </c>
      <c r="B485" s="3">
        <v>0.58018518518518514</v>
      </c>
      <c r="C485" t="s">
        <v>8</v>
      </c>
      <c r="D485" t="s">
        <v>218</v>
      </c>
      <c r="E485" s="4">
        <v>32.82</v>
      </c>
      <c r="F485" t="s">
        <v>36</v>
      </c>
      <c r="G485" s="10" t="str">
        <f>TEXT(Transform_Data[[#This Row],[Date]],"mmm yyyy")</f>
        <v>May 2024</v>
      </c>
      <c r="H485" s="10">
        <f>HOUR(Transform_Data[[#This Row],[Time]])</f>
        <v>13</v>
      </c>
      <c r="I485" s="10" t="str">
        <f>IF(COUNTIF('Transform Data'!$D:$D,'Transform Data'!D485)&gt;1,"Repeat","Single")</f>
        <v>Repeat</v>
      </c>
      <c r="J485" s="10" t="str">
        <f>IF('Transform Data'!D485="Cash","Cash",IF(COUNTIF('Transform Data'!$D:$D,'Transform Data'!D485)&gt;1,"Repeat","Single"))</f>
        <v>Repeat</v>
      </c>
      <c r="K485" s="10" t="str">
        <f t="shared" si="7"/>
        <v>TRANS-0484</v>
      </c>
    </row>
    <row r="486" spans="1:11" x14ac:dyDescent="0.35">
      <c r="A486" s="5">
        <v>45427</v>
      </c>
      <c r="B486" s="3">
        <v>0.609837962962963</v>
      </c>
      <c r="C486" t="s">
        <v>13</v>
      </c>
      <c r="D486" t="s">
        <v>37</v>
      </c>
      <c r="E486" s="4">
        <v>29</v>
      </c>
      <c r="F486" t="s">
        <v>28</v>
      </c>
      <c r="G486" s="10" t="str">
        <f>TEXT(Transform_Data[[#This Row],[Date]],"mmm yyyy")</f>
        <v>May 2024</v>
      </c>
      <c r="H486" s="10">
        <f>HOUR(Transform_Data[[#This Row],[Time]])</f>
        <v>14</v>
      </c>
      <c r="I486" s="10" t="str">
        <f>IF(COUNTIF('Transform Data'!$D:$D,'Transform Data'!D486)&gt;1,"Repeat","Single")</f>
        <v>Repeat</v>
      </c>
      <c r="J486" s="10" t="str">
        <f>IF('Transform Data'!D486="Cash","Cash",IF(COUNTIF('Transform Data'!$D:$D,'Transform Data'!D486)&gt;1,"Repeat","Single"))</f>
        <v>Repeat</v>
      </c>
      <c r="K486" s="10" t="str">
        <f t="shared" si="7"/>
        <v>TRANS-0485</v>
      </c>
    </row>
    <row r="487" spans="1:11" x14ac:dyDescent="0.35">
      <c r="A487" s="5">
        <v>45427</v>
      </c>
      <c r="B487" s="3">
        <v>0.61032407407407407</v>
      </c>
      <c r="C487" t="s">
        <v>8</v>
      </c>
      <c r="D487" t="s">
        <v>223</v>
      </c>
      <c r="E487" s="4">
        <v>27.92</v>
      </c>
      <c r="F487" t="s">
        <v>20</v>
      </c>
      <c r="G487" s="10" t="str">
        <f>TEXT(Transform_Data[[#This Row],[Date]],"mmm yyyy")</f>
        <v>May 2024</v>
      </c>
      <c r="H487" s="10">
        <f>HOUR(Transform_Data[[#This Row],[Time]])</f>
        <v>14</v>
      </c>
      <c r="I487" s="10" t="str">
        <f>IF(COUNTIF('Transform Data'!$D:$D,'Transform Data'!D487)&gt;1,"Repeat","Single")</f>
        <v>Single</v>
      </c>
      <c r="J487" s="10" t="str">
        <f>IF('Transform Data'!D487="Cash","Cash",IF(COUNTIF('Transform Data'!$D:$D,'Transform Data'!D487)&gt;1,"Repeat","Single"))</f>
        <v>Single</v>
      </c>
      <c r="K487" s="10" t="str">
        <f t="shared" si="7"/>
        <v>TRANS-0486</v>
      </c>
    </row>
    <row r="488" spans="1:11" x14ac:dyDescent="0.35">
      <c r="A488" s="5">
        <v>45427</v>
      </c>
      <c r="B488" s="3">
        <v>0.61092592592592587</v>
      </c>
      <c r="C488" t="s">
        <v>8</v>
      </c>
      <c r="D488" t="s">
        <v>43</v>
      </c>
      <c r="E488" s="4">
        <v>27.92</v>
      </c>
      <c r="F488" t="s">
        <v>20</v>
      </c>
      <c r="G488" s="10" t="str">
        <f>TEXT(Transform_Data[[#This Row],[Date]],"mmm yyyy")</f>
        <v>May 2024</v>
      </c>
      <c r="H488" s="10">
        <f>HOUR(Transform_Data[[#This Row],[Time]])</f>
        <v>14</v>
      </c>
      <c r="I488" s="10" t="str">
        <f>IF(COUNTIF('Transform Data'!$D:$D,'Transform Data'!D488)&gt;1,"Repeat","Single")</f>
        <v>Repeat</v>
      </c>
      <c r="J488" s="10" t="str">
        <f>IF('Transform Data'!D488="Cash","Cash",IF(COUNTIF('Transform Data'!$D:$D,'Transform Data'!D488)&gt;1,"Repeat","Single"))</f>
        <v>Repeat</v>
      </c>
      <c r="K488" s="10" t="str">
        <f t="shared" si="7"/>
        <v>TRANS-0487</v>
      </c>
    </row>
    <row r="489" spans="1:11" x14ac:dyDescent="0.35">
      <c r="A489" s="5">
        <v>45427</v>
      </c>
      <c r="B489" s="3">
        <v>0.72844907407407411</v>
      </c>
      <c r="C489" t="s">
        <v>8</v>
      </c>
      <c r="D489" t="s">
        <v>224</v>
      </c>
      <c r="E489" s="4">
        <v>23.02</v>
      </c>
      <c r="F489" t="s">
        <v>5</v>
      </c>
      <c r="G489" s="10" t="str">
        <f>TEXT(Transform_Data[[#This Row],[Date]],"mmm yyyy")</f>
        <v>May 2024</v>
      </c>
      <c r="H489" s="10">
        <f>HOUR(Transform_Data[[#This Row],[Time]])</f>
        <v>17</v>
      </c>
      <c r="I489" s="10" t="str">
        <f>IF(COUNTIF('Transform Data'!$D:$D,'Transform Data'!D489)&gt;1,"Repeat","Single")</f>
        <v>Single</v>
      </c>
      <c r="J489" s="10" t="str">
        <f>IF('Transform Data'!D489="Cash","Cash",IF(COUNTIF('Transform Data'!$D:$D,'Transform Data'!D489)&gt;1,"Repeat","Single"))</f>
        <v>Single</v>
      </c>
      <c r="K489" s="10" t="str">
        <f t="shared" si="7"/>
        <v>TRANS-0488</v>
      </c>
    </row>
    <row r="490" spans="1:11" x14ac:dyDescent="0.35">
      <c r="A490" s="5">
        <v>45427</v>
      </c>
      <c r="B490" s="3">
        <v>0.84761574074074075</v>
      </c>
      <c r="C490" t="s">
        <v>8</v>
      </c>
      <c r="D490" t="s">
        <v>225</v>
      </c>
      <c r="E490" s="4">
        <v>37.72</v>
      </c>
      <c r="F490" t="s">
        <v>24</v>
      </c>
      <c r="G490" s="10" t="str">
        <f>TEXT(Transform_Data[[#This Row],[Date]],"mmm yyyy")</f>
        <v>May 2024</v>
      </c>
      <c r="H490" s="10">
        <f>HOUR(Transform_Data[[#This Row],[Time]])</f>
        <v>20</v>
      </c>
      <c r="I490" s="10" t="str">
        <f>IF(COUNTIF('Transform Data'!$D:$D,'Transform Data'!D490)&gt;1,"Repeat","Single")</f>
        <v>Single</v>
      </c>
      <c r="J490" s="10" t="str">
        <f>IF('Transform Data'!D490="Cash","Cash",IF(COUNTIF('Transform Data'!$D:$D,'Transform Data'!D490)&gt;1,"Repeat","Single"))</f>
        <v>Single</v>
      </c>
      <c r="K490" s="10" t="str">
        <f t="shared" si="7"/>
        <v>TRANS-0489</v>
      </c>
    </row>
    <row r="491" spans="1:11" x14ac:dyDescent="0.35">
      <c r="A491" s="5">
        <v>45428</v>
      </c>
      <c r="B491" s="3">
        <v>0.44354166666666667</v>
      </c>
      <c r="C491" t="s">
        <v>8</v>
      </c>
      <c r="D491" t="s">
        <v>11</v>
      </c>
      <c r="E491" s="4">
        <v>32.82</v>
      </c>
      <c r="F491" t="s">
        <v>36</v>
      </c>
      <c r="G491" s="10" t="str">
        <f>TEXT(Transform_Data[[#This Row],[Date]],"mmm yyyy")</f>
        <v>May 2024</v>
      </c>
      <c r="H491" s="10">
        <f>HOUR(Transform_Data[[#This Row],[Time]])</f>
        <v>10</v>
      </c>
      <c r="I491" s="10" t="str">
        <f>IF(COUNTIF('Transform Data'!$D:$D,'Transform Data'!D491)&gt;1,"Repeat","Single")</f>
        <v>Repeat</v>
      </c>
      <c r="J491" s="10" t="str">
        <f>IF('Transform Data'!D491="Cash","Cash",IF(COUNTIF('Transform Data'!$D:$D,'Transform Data'!D491)&gt;1,"Repeat","Single"))</f>
        <v>Repeat</v>
      </c>
      <c r="K491" s="10" t="str">
        <f t="shared" si="7"/>
        <v>TRANS-0490</v>
      </c>
    </row>
    <row r="492" spans="1:11" x14ac:dyDescent="0.35">
      <c r="A492" s="5">
        <v>45428</v>
      </c>
      <c r="B492" s="3">
        <v>0.4443171296296296</v>
      </c>
      <c r="C492" t="s">
        <v>8</v>
      </c>
      <c r="D492" t="s">
        <v>226</v>
      </c>
      <c r="E492" s="4">
        <v>32.82</v>
      </c>
      <c r="F492" t="s">
        <v>36</v>
      </c>
      <c r="G492" s="10" t="str">
        <f>TEXT(Transform_Data[[#This Row],[Date]],"mmm yyyy")</f>
        <v>May 2024</v>
      </c>
      <c r="H492" s="10">
        <f>HOUR(Transform_Data[[#This Row],[Time]])</f>
        <v>10</v>
      </c>
      <c r="I492" s="10" t="str">
        <f>IF(COUNTIF('Transform Data'!$D:$D,'Transform Data'!D492)&gt;1,"Repeat","Single")</f>
        <v>Repeat</v>
      </c>
      <c r="J492" s="10" t="str">
        <f>IF('Transform Data'!D492="Cash","Cash",IF(COUNTIF('Transform Data'!$D:$D,'Transform Data'!D492)&gt;1,"Repeat","Single"))</f>
        <v>Repeat</v>
      </c>
      <c r="K492" s="10" t="str">
        <f t="shared" si="7"/>
        <v>TRANS-0491</v>
      </c>
    </row>
    <row r="493" spans="1:11" x14ac:dyDescent="0.35">
      <c r="A493" s="5">
        <v>45428</v>
      </c>
      <c r="B493" s="3">
        <v>0.48807870370370371</v>
      </c>
      <c r="C493" t="s">
        <v>13</v>
      </c>
      <c r="D493" t="s">
        <v>37</v>
      </c>
      <c r="E493" s="4">
        <v>39</v>
      </c>
      <c r="F493" t="s">
        <v>32</v>
      </c>
      <c r="G493" s="10" t="str">
        <f>TEXT(Transform_Data[[#This Row],[Date]],"mmm yyyy")</f>
        <v>May 2024</v>
      </c>
      <c r="H493" s="10">
        <f>HOUR(Transform_Data[[#This Row],[Time]])</f>
        <v>11</v>
      </c>
      <c r="I493" s="10" t="str">
        <f>IF(COUNTIF('Transform Data'!$D:$D,'Transform Data'!D493)&gt;1,"Repeat","Single")</f>
        <v>Repeat</v>
      </c>
      <c r="J493" s="10" t="str">
        <f>IF('Transform Data'!D493="Cash","Cash",IF(COUNTIF('Transform Data'!$D:$D,'Transform Data'!D493)&gt;1,"Repeat","Single"))</f>
        <v>Repeat</v>
      </c>
      <c r="K493" s="10" t="str">
        <f t="shared" si="7"/>
        <v>TRANS-0492</v>
      </c>
    </row>
    <row r="494" spans="1:11" x14ac:dyDescent="0.35">
      <c r="A494" s="5">
        <v>45428</v>
      </c>
      <c r="B494" s="3">
        <v>0.48912037037037037</v>
      </c>
      <c r="C494" t="s">
        <v>13</v>
      </c>
      <c r="D494" t="s">
        <v>37</v>
      </c>
      <c r="E494" s="4">
        <v>39</v>
      </c>
      <c r="F494" t="s">
        <v>24</v>
      </c>
      <c r="G494" s="10" t="str">
        <f>TEXT(Transform_Data[[#This Row],[Date]],"mmm yyyy")</f>
        <v>May 2024</v>
      </c>
      <c r="H494" s="10">
        <f>HOUR(Transform_Data[[#This Row],[Time]])</f>
        <v>11</v>
      </c>
      <c r="I494" s="10" t="str">
        <f>IF(COUNTIF('Transform Data'!$D:$D,'Transform Data'!D494)&gt;1,"Repeat","Single")</f>
        <v>Repeat</v>
      </c>
      <c r="J494" s="10" t="str">
        <f>IF('Transform Data'!D494="Cash","Cash",IF(COUNTIF('Transform Data'!$D:$D,'Transform Data'!D494)&gt;1,"Repeat","Single"))</f>
        <v>Repeat</v>
      </c>
      <c r="K494" s="10" t="str">
        <f t="shared" si="7"/>
        <v>TRANS-0493</v>
      </c>
    </row>
    <row r="495" spans="1:11" x14ac:dyDescent="0.35">
      <c r="A495" s="5">
        <v>45428</v>
      </c>
      <c r="B495" s="3">
        <v>0.50972222222222219</v>
      </c>
      <c r="C495" t="s">
        <v>8</v>
      </c>
      <c r="D495" t="s">
        <v>227</v>
      </c>
      <c r="E495" s="4">
        <v>32.82</v>
      </c>
      <c r="F495" t="s">
        <v>36</v>
      </c>
      <c r="G495" s="10" t="str">
        <f>TEXT(Transform_Data[[#This Row],[Date]],"mmm yyyy")</f>
        <v>May 2024</v>
      </c>
      <c r="H495" s="10">
        <f>HOUR(Transform_Data[[#This Row],[Time]])</f>
        <v>12</v>
      </c>
      <c r="I495" s="10" t="str">
        <f>IF(COUNTIF('Transform Data'!$D:$D,'Transform Data'!D495)&gt;1,"Repeat","Single")</f>
        <v>Single</v>
      </c>
      <c r="J495" s="10" t="str">
        <f>IF('Transform Data'!D495="Cash","Cash",IF(COUNTIF('Transform Data'!$D:$D,'Transform Data'!D495)&gt;1,"Repeat","Single"))</f>
        <v>Single</v>
      </c>
      <c r="K495" s="10" t="str">
        <f t="shared" si="7"/>
        <v>TRANS-0494</v>
      </c>
    </row>
    <row r="496" spans="1:11" x14ac:dyDescent="0.35">
      <c r="A496" s="5">
        <v>45428</v>
      </c>
      <c r="B496" s="3">
        <v>0.63560185185185181</v>
      </c>
      <c r="C496" t="s">
        <v>8</v>
      </c>
      <c r="D496" t="s">
        <v>228</v>
      </c>
      <c r="E496" s="4">
        <v>37.72</v>
      </c>
      <c r="F496" t="s">
        <v>15</v>
      </c>
      <c r="G496" s="10" t="str">
        <f>TEXT(Transform_Data[[#This Row],[Date]],"mmm yyyy")</f>
        <v>May 2024</v>
      </c>
      <c r="H496" s="10">
        <f>HOUR(Transform_Data[[#This Row],[Time]])</f>
        <v>15</v>
      </c>
      <c r="I496" s="10" t="str">
        <f>IF(COUNTIF('Transform Data'!$D:$D,'Transform Data'!D496)&gt;1,"Repeat","Single")</f>
        <v>Single</v>
      </c>
      <c r="J496" s="10" t="str">
        <f>IF('Transform Data'!D496="Cash","Cash",IF(COUNTIF('Transform Data'!$D:$D,'Transform Data'!D496)&gt;1,"Repeat","Single"))</f>
        <v>Single</v>
      </c>
      <c r="K496" s="10" t="str">
        <f t="shared" si="7"/>
        <v>TRANS-0495</v>
      </c>
    </row>
    <row r="497" spans="1:11" x14ac:dyDescent="0.35">
      <c r="A497" s="5">
        <v>45428</v>
      </c>
      <c r="B497" s="3">
        <v>0.73924768518518513</v>
      </c>
      <c r="C497" t="s">
        <v>8</v>
      </c>
      <c r="D497" t="s">
        <v>125</v>
      </c>
      <c r="E497" s="4">
        <v>37.72</v>
      </c>
      <c r="F497" t="s">
        <v>32</v>
      </c>
      <c r="G497" s="10" t="str">
        <f>TEXT(Transform_Data[[#This Row],[Date]],"mmm yyyy")</f>
        <v>May 2024</v>
      </c>
      <c r="H497" s="10">
        <f>HOUR(Transform_Data[[#This Row],[Time]])</f>
        <v>17</v>
      </c>
      <c r="I497" s="10" t="str">
        <f>IF(COUNTIF('Transform Data'!$D:$D,'Transform Data'!D497)&gt;1,"Repeat","Single")</f>
        <v>Repeat</v>
      </c>
      <c r="J497" s="10" t="str">
        <f>IF('Transform Data'!D497="Cash","Cash",IF(COUNTIF('Transform Data'!$D:$D,'Transform Data'!D497)&gt;1,"Repeat","Single"))</f>
        <v>Repeat</v>
      </c>
      <c r="K497" s="10" t="str">
        <f t="shared" si="7"/>
        <v>TRANS-0496</v>
      </c>
    </row>
    <row r="498" spans="1:11" x14ac:dyDescent="0.35">
      <c r="A498" s="5">
        <v>45428</v>
      </c>
      <c r="B498" s="3">
        <v>0.75898148148148148</v>
      </c>
      <c r="C498" t="s">
        <v>8</v>
      </c>
      <c r="D498" t="s">
        <v>229</v>
      </c>
      <c r="E498" s="4">
        <v>37.72</v>
      </c>
      <c r="F498" t="s">
        <v>15</v>
      </c>
      <c r="G498" s="10" t="str">
        <f>TEXT(Transform_Data[[#This Row],[Date]],"mmm yyyy")</f>
        <v>May 2024</v>
      </c>
      <c r="H498" s="10">
        <f>HOUR(Transform_Data[[#This Row],[Time]])</f>
        <v>18</v>
      </c>
      <c r="I498" s="10" t="str">
        <f>IF(COUNTIF('Transform Data'!$D:$D,'Transform Data'!D498)&gt;1,"Repeat","Single")</f>
        <v>Repeat</v>
      </c>
      <c r="J498" s="10" t="str">
        <f>IF('Transform Data'!D498="Cash","Cash",IF(COUNTIF('Transform Data'!$D:$D,'Transform Data'!D498)&gt;1,"Repeat","Single"))</f>
        <v>Repeat</v>
      </c>
      <c r="K498" s="10" t="str">
        <f t="shared" si="7"/>
        <v>TRANS-0497</v>
      </c>
    </row>
    <row r="499" spans="1:11" x14ac:dyDescent="0.35">
      <c r="A499" s="5">
        <v>45428</v>
      </c>
      <c r="B499" s="3">
        <v>0.75969907407407411</v>
      </c>
      <c r="C499" t="s">
        <v>8</v>
      </c>
      <c r="D499" t="s">
        <v>229</v>
      </c>
      <c r="E499" s="4">
        <v>37.72</v>
      </c>
      <c r="F499" t="s">
        <v>32</v>
      </c>
      <c r="G499" s="10" t="str">
        <f>TEXT(Transform_Data[[#This Row],[Date]],"mmm yyyy")</f>
        <v>May 2024</v>
      </c>
      <c r="H499" s="10">
        <f>HOUR(Transform_Data[[#This Row],[Time]])</f>
        <v>18</v>
      </c>
      <c r="I499" s="10" t="str">
        <f>IF(COUNTIF('Transform Data'!$D:$D,'Transform Data'!D499)&gt;1,"Repeat","Single")</f>
        <v>Repeat</v>
      </c>
      <c r="J499" s="10" t="str">
        <f>IF('Transform Data'!D499="Cash","Cash",IF(COUNTIF('Transform Data'!$D:$D,'Transform Data'!D499)&gt;1,"Repeat","Single"))</f>
        <v>Repeat</v>
      </c>
      <c r="K499" s="10" t="str">
        <f t="shared" si="7"/>
        <v>TRANS-0498</v>
      </c>
    </row>
    <row r="500" spans="1:11" x14ac:dyDescent="0.35">
      <c r="A500" s="5">
        <v>45429</v>
      </c>
      <c r="B500" s="3">
        <v>0.37555555555555553</v>
      </c>
      <c r="C500" t="s">
        <v>8</v>
      </c>
      <c r="D500" t="s">
        <v>90</v>
      </c>
      <c r="E500" s="4">
        <v>27.92</v>
      </c>
      <c r="F500" t="s">
        <v>28</v>
      </c>
      <c r="G500" s="10" t="str">
        <f>TEXT(Transform_Data[[#This Row],[Date]],"mmm yyyy")</f>
        <v>May 2024</v>
      </c>
      <c r="H500" s="10">
        <f>HOUR(Transform_Data[[#This Row],[Time]])</f>
        <v>9</v>
      </c>
      <c r="I500" s="10" t="str">
        <f>IF(COUNTIF('Transform Data'!$D:$D,'Transform Data'!D500)&gt;1,"Repeat","Single")</f>
        <v>Repeat</v>
      </c>
      <c r="J500" s="10" t="str">
        <f>IF('Transform Data'!D500="Cash","Cash",IF(COUNTIF('Transform Data'!$D:$D,'Transform Data'!D500)&gt;1,"Repeat","Single"))</f>
        <v>Repeat</v>
      </c>
      <c r="K500" s="10" t="str">
        <f t="shared" si="7"/>
        <v>TRANS-0499</v>
      </c>
    </row>
    <row r="501" spans="1:11" x14ac:dyDescent="0.35">
      <c r="A501" s="5">
        <v>45429</v>
      </c>
      <c r="B501" s="3">
        <v>0.47947916666666668</v>
      </c>
      <c r="C501" t="s">
        <v>8</v>
      </c>
      <c r="D501" t="s">
        <v>218</v>
      </c>
      <c r="E501" s="4">
        <v>32.82</v>
      </c>
      <c r="F501" t="s">
        <v>36</v>
      </c>
      <c r="G501" s="10" t="str">
        <f>TEXT(Transform_Data[[#This Row],[Date]],"mmm yyyy")</f>
        <v>May 2024</v>
      </c>
      <c r="H501" s="10">
        <f>HOUR(Transform_Data[[#This Row],[Time]])</f>
        <v>11</v>
      </c>
      <c r="I501" s="10" t="str">
        <f>IF(COUNTIF('Transform Data'!$D:$D,'Transform Data'!D501)&gt;1,"Repeat","Single")</f>
        <v>Repeat</v>
      </c>
      <c r="J501" s="10" t="str">
        <f>IF('Transform Data'!D501="Cash","Cash",IF(COUNTIF('Transform Data'!$D:$D,'Transform Data'!D501)&gt;1,"Repeat","Single"))</f>
        <v>Repeat</v>
      </c>
      <c r="K501" s="10" t="str">
        <f t="shared" si="7"/>
        <v>TRANS-0500</v>
      </c>
    </row>
    <row r="502" spans="1:11" x14ac:dyDescent="0.35">
      <c r="A502" s="5">
        <v>45429</v>
      </c>
      <c r="B502" s="3">
        <v>0.62364583333333334</v>
      </c>
      <c r="C502" t="s">
        <v>13</v>
      </c>
      <c r="D502" t="s">
        <v>37</v>
      </c>
      <c r="E502" s="4">
        <v>34</v>
      </c>
      <c r="F502" t="s">
        <v>36</v>
      </c>
      <c r="G502" s="10" t="str">
        <f>TEXT(Transform_Data[[#This Row],[Date]],"mmm yyyy")</f>
        <v>May 2024</v>
      </c>
      <c r="H502" s="10">
        <f>HOUR(Transform_Data[[#This Row],[Time]])</f>
        <v>14</v>
      </c>
      <c r="I502" s="10" t="str">
        <f>IF(COUNTIF('Transform Data'!$D:$D,'Transform Data'!D502)&gt;1,"Repeat","Single")</f>
        <v>Repeat</v>
      </c>
      <c r="J502" s="10" t="str">
        <f>IF('Transform Data'!D502="Cash","Cash",IF(COUNTIF('Transform Data'!$D:$D,'Transform Data'!D502)&gt;1,"Repeat","Single"))</f>
        <v>Repeat</v>
      </c>
      <c r="K502" s="10" t="str">
        <f t="shared" si="7"/>
        <v>TRANS-0501</v>
      </c>
    </row>
    <row r="503" spans="1:11" x14ac:dyDescent="0.35">
      <c r="A503" s="5">
        <v>45429</v>
      </c>
      <c r="B503" s="3">
        <v>0.83006944444444442</v>
      </c>
      <c r="C503" t="s">
        <v>8</v>
      </c>
      <c r="D503" t="s">
        <v>43</v>
      </c>
      <c r="E503" s="4">
        <v>32.82</v>
      </c>
      <c r="F503" t="s">
        <v>36</v>
      </c>
      <c r="G503" s="10" t="str">
        <f>TEXT(Transform_Data[[#This Row],[Date]],"mmm yyyy")</f>
        <v>May 2024</v>
      </c>
      <c r="H503" s="10">
        <f>HOUR(Transform_Data[[#This Row],[Time]])</f>
        <v>19</v>
      </c>
      <c r="I503" s="10" t="str">
        <f>IF(COUNTIF('Transform Data'!$D:$D,'Transform Data'!D503)&gt;1,"Repeat","Single")</f>
        <v>Repeat</v>
      </c>
      <c r="J503" s="10" t="str">
        <f>IF('Transform Data'!D503="Cash","Cash",IF(COUNTIF('Transform Data'!$D:$D,'Transform Data'!D503)&gt;1,"Repeat","Single"))</f>
        <v>Repeat</v>
      </c>
      <c r="K503" s="10" t="str">
        <f t="shared" si="7"/>
        <v>TRANS-0502</v>
      </c>
    </row>
    <row r="504" spans="1:11" x14ac:dyDescent="0.35">
      <c r="A504" s="5">
        <v>45429</v>
      </c>
      <c r="B504" s="3">
        <v>0.83108796296296295</v>
      </c>
      <c r="C504" t="s">
        <v>8</v>
      </c>
      <c r="D504" t="s">
        <v>25</v>
      </c>
      <c r="E504" s="4">
        <v>37.72</v>
      </c>
      <c r="F504" t="s">
        <v>24</v>
      </c>
      <c r="G504" s="10" t="str">
        <f>TEXT(Transform_Data[[#This Row],[Date]],"mmm yyyy")</f>
        <v>May 2024</v>
      </c>
      <c r="H504" s="10">
        <f>HOUR(Transform_Data[[#This Row],[Time]])</f>
        <v>19</v>
      </c>
      <c r="I504" s="10" t="str">
        <f>IF(COUNTIF('Transform Data'!$D:$D,'Transform Data'!D504)&gt;1,"Repeat","Single")</f>
        <v>Repeat</v>
      </c>
      <c r="J504" s="10" t="str">
        <f>IF('Transform Data'!D504="Cash","Cash",IF(COUNTIF('Transform Data'!$D:$D,'Transform Data'!D504)&gt;1,"Repeat","Single"))</f>
        <v>Repeat</v>
      </c>
      <c r="K504" s="10" t="str">
        <f t="shared" si="7"/>
        <v>TRANS-0503</v>
      </c>
    </row>
    <row r="505" spans="1:11" x14ac:dyDescent="0.35">
      <c r="A505" s="5">
        <v>45429</v>
      </c>
      <c r="B505" s="3">
        <v>0.85962962962962963</v>
      </c>
      <c r="C505" t="s">
        <v>8</v>
      </c>
      <c r="D505" t="s">
        <v>230</v>
      </c>
      <c r="E505" s="4">
        <v>37.72</v>
      </c>
      <c r="F505" t="s">
        <v>24</v>
      </c>
      <c r="G505" s="10" t="str">
        <f>TEXT(Transform_Data[[#This Row],[Date]],"mmm yyyy")</f>
        <v>May 2024</v>
      </c>
      <c r="H505" s="10">
        <f>HOUR(Transform_Data[[#This Row],[Time]])</f>
        <v>20</v>
      </c>
      <c r="I505" s="10" t="str">
        <f>IF(COUNTIF('Transform Data'!$D:$D,'Transform Data'!D505)&gt;1,"Repeat","Single")</f>
        <v>Single</v>
      </c>
      <c r="J505" s="10" t="str">
        <f>IF('Transform Data'!D505="Cash","Cash",IF(COUNTIF('Transform Data'!$D:$D,'Transform Data'!D505)&gt;1,"Repeat","Single"))</f>
        <v>Single</v>
      </c>
      <c r="K505" s="10" t="str">
        <f t="shared" si="7"/>
        <v>TRANS-0504</v>
      </c>
    </row>
    <row r="506" spans="1:11" x14ac:dyDescent="0.35">
      <c r="A506" s="5">
        <v>45429</v>
      </c>
      <c r="B506" s="3">
        <v>0.94085648148148149</v>
      </c>
      <c r="C506" t="s">
        <v>8</v>
      </c>
      <c r="D506" t="s">
        <v>231</v>
      </c>
      <c r="E506" s="4">
        <v>27.92</v>
      </c>
      <c r="F506" t="s">
        <v>28</v>
      </c>
      <c r="G506" s="10" t="str">
        <f>TEXT(Transform_Data[[#This Row],[Date]],"mmm yyyy")</f>
        <v>May 2024</v>
      </c>
      <c r="H506" s="10">
        <f>HOUR(Transform_Data[[#This Row],[Time]])</f>
        <v>22</v>
      </c>
      <c r="I506" s="10" t="str">
        <f>IF(COUNTIF('Transform Data'!$D:$D,'Transform Data'!D506)&gt;1,"Repeat","Single")</f>
        <v>Repeat</v>
      </c>
      <c r="J506" s="10" t="str">
        <f>IF('Transform Data'!D506="Cash","Cash",IF(COUNTIF('Transform Data'!$D:$D,'Transform Data'!D506)&gt;1,"Repeat","Single"))</f>
        <v>Repeat</v>
      </c>
      <c r="K506" s="10" t="str">
        <f t="shared" si="7"/>
        <v>TRANS-0505</v>
      </c>
    </row>
    <row r="507" spans="1:11" x14ac:dyDescent="0.35">
      <c r="A507" s="5">
        <v>45429</v>
      </c>
      <c r="B507" s="3">
        <v>0.94204861111111116</v>
      </c>
      <c r="C507" t="s">
        <v>8</v>
      </c>
      <c r="D507" t="s">
        <v>232</v>
      </c>
      <c r="E507" s="4">
        <v>37.72</v>
      </c>
      <c r="F507" t="s">
        <v>32</v>
      </c>
      <c r="G507" s="10" t="str">
        <f>TEXT(Transform_Data[[#This Row],[Date]],"mmm yyyy")</f>
        <v>May 2024</v>
      </c>
      <c r="H507" s="10">
        <f>HOUR(Transform_Data[[#This Row],[Time]])</f>
        <v>22</v>
      </c>
      <c r="I507" s="10" t="str">
        <f>IF(COUNTIF('Transform Data'!$D:$D,'Transform Data'!D507)&gt;1,"Repeat","Single")</f>
        <v>Repeat</v>
      </c>
      <c r="J507" s="10" t="str">
        <f>IF('Transform Data'!D507="Cash","Cash",IF(COUNTIF('Transform Data'!$D:$D,'Transform Data'!D507)&gt;1,"Repeat","Single"))</f>
        <v>Repeat</v>
      </c>
      <c r="K507" s="10" t="str">
        <f t="shared" si="7"/>
        <v>TRANS-0506</v>
      </c>
    </row>
    <row r="508" spans="1:11" x14ac:dyDescent="0.35">
      <c r="A508" s="5">
        <v>45429</v>
      </c>
      <c r="B508" s="3">
        <v>0.94284722222222217</v>
      </c>
      <c r="C508" t="s">
        <v>8</v>
      </c>
      <c r="D508" t="s">
        <v>233</v>
      </c>
      <c r="E508" s="4">
        <v>37.72</v>
      </c>
      <c r="F508" t="s">
        <v>32</v>
      </c>
      <c r="G508" s="10" t="str">
        <f>TEXT(Transform_Data[[#This Row],[Date]],"mmm yyyy")</f>
        <v>May 2024</v>
      </c>
      <c r="H508" s="10">
        <f>HOUR(Transform_Data[[#This Row],[Time]])</f>
        <v>22</v>
      </c>
      <c r="I508" s="10" t="str">
        <f>IF(COUNTIF('Transform Data'!$D:$D,'Transform Data'!D508)&gt;1,"Repeat","Single")</f>
        <v>Repeat</v>
      </c>
      <c r="J508" s="10" t="str">
        <f>IF('Transform Data'!D508="Cash","Cash",IF(COUNTIF('Transform Data'!$D:$D,'Transform Data'!D508)&gt;1,"Repeat","Single"))</f>
        <v>Repeat</v>
      </c>
      <c r="K508" s="10" t="str">
        <f t="shared" si="7"/>
        <v>TRANS-0507</v>
      </c>
    </row>
    <row r="509" spans="1:11" x14ac:dyDescent="0.35">
      <c r="A509" s="5">
        <v>45430</v>
      </c>
      <c r="B509" s="3">
        <v>0.33445601851851853</v>
      </c>
      <c r="C509" t="s">
        <v>8</v>
      </c>
      <c r="D509" t="s">
        <v>234</v>
      </c>
      <c r="E509" s="4">
        <v>37.72</v>
      </c>
      <c r="F509" t="s">
        <v>24</v>
      </c>
      <c r="G509" s="10" t="str">
        <f>TEXT(Transform_Data[[#This Row],[Date]],"mmm yyyy")</f>
        <v>May 2024</v>
      </c>
      <c r="H509" s="10">
        <f>HOUR(Transform_Data[[#This Row],[Time]])</f>
        <v>8</v>
      </c>
      <c r="I509" s="10" t="str">
        <f>IF(COUNTIF('Transform Data'!$D:$D,'Transform Data'!D509)&gt;1,"Repeat","Single")</f>
        <v>Repeat</v>
      </c>
      <c r="J509" s="10" t="str">
        <f>IF('Transform Data'!D509="Cash","Cash",IF(COUNTIF('Transform Data'!$D:$D,'Transform Data'!D509)&gt;1,"Repeat","Single"))</f>
        <v>Repeat</v>
      </c>
      <c r="K509" s="10" t="str">
        <f t="shared" si="7"/>
        <v>TRANS-0508</v>
      </c>
    </row>
    <row r="510" spans="1:11" x14ac:dyDescent="0.35">
      <c r="A510" s="5">
        <v>45430</v>
      </c>
      <c r="B510" s="3">
        <v>0.3351736111111111</v>
      </c>
      <c r="C510" t="s">
        <v>8</v>
      </c>
      <c r="D510" t="s">
        <v>234</v>
      </c>
      <c r="E510" s="4">
        <v>37.72</v>
      </c>
      <c r="F510" t="s">
        <v>24</v>
      </c>
      <c r="G510" s="10" t="str">
        <f>TEXT(Transform_Data[[#This Row],[Date]],"mmm yyyy")</f>
        <v>May 2024</v>
      </c>
      <c r="H510" s="10">
        <f>HOUR(Transform_Data[[#This Row],[Time]])</f>
        <v>8</v>
      </c>
      <c r="I510" s="10" t="str">
        <f>IF(COUNTIF('Transform Data'!$D:$D,'Transform Data'!D510)&gt;1,"Repeat","Single")</f>
        <v>Repeat</v>
      </c>
      <c r="J510" s="10" t="str">
        <f>IF('Transform Data'!D510="Cash","Cash",IF(COUNTIF('Transform Data'!$D:$D,'Transform Data'!D510)&gt;1,"Repeat","Single"))</f>
        <v>Repeat</v>
      </c>
      <c r="K510" s="10" t="str">
        <f t="shared" si="7"/>
        <v>TRANS-0509</v>
      </c>
    </row>
    <row r="511" spans="1:11" x14ac:dyDescent="0.35">
      <c r="A511" s="5">
        <v>45430</v>
      </c>
      <c r="B511" s="3">
        <v>0.46939814814814818</v>
      </c>
      <c r="C511" t="s">
        <v>8</v>
      </c>
      <c r="D511" t="s">
        <v>235</v>
      </c>
      <c r="E511" s="4">
        <v>32.82</v>
      </c>
      <c r="F511" t="s">
        <v>36</v>
      </c>
      <c r="G511" s="10" t="str">
        <f>TEXT(Transform_Data[[#This Row],[Date]],"mmm yyyy")</f>
        <v>May 2024</v>
      </c>
      <c r="H511" s="10">
        <f>HOUR(Transform_Data[[#This Row],[Time]])</f>
        <v>11</v>
      </c>
      <c r="I511" s="10" t="str">
        <f>IF(COUNTIF('Transform Data'!$D:$D,'Transform Data'!D511)&gt;1,"Repeat","Single")</f>
        <v>Repeat</v>
      </c>
      <c r="J511" s="10" t="str">
        <f>IF('Transform Data'!D511="Cash","Cash",IF(COUNTIF('Transform Data'!$D:$D,'Transform Data'!D511)&gt;1,"Repeat","Single"))</f>
        <v>Repeat</v>
      </c>
      <c r="K511" s="10" t="str">
        <f t="shared" si="7"/>
        <v>TRANS-0510</v>
      </c>
    </row>
    <row r="512" spans="1:11" x14ac:dyDescent="0.35">
      <c r="A512" s="5">
        <v>45430</v>
      </c>
      <c r="B512" s="3">
        <v>0.70033564814814819</v>
      </c>
      <c r="C512" t="s">
        <v>8</v>
      </c>
      <c r="D512" t="s">
        <v>226</v>
      </c>
      <c r="E512" s="4">
        <v>32.82</v>
      </c>
      <c r="F512" t="s">
        <v>36</v>
      </c>
      <c r="G512" s="10" t="str">
        <f>TEXT(Transform_Data[[#This Row],[Date]],"mmm yyyy")</f>
        <v>May 2024</v>
      </c>
      <c r="H512" s="10">
        <f>HOUR(Transform_Data[[#This Row],[Time]])</f>
        <v>16</v>
      </c>
      <c r="I512" s="10" t="str">
        <f>IF(COUNTIF('Transform Data'!$D:$D,'Transform Data'!D512)&gt;1,"Repeat","Single")</f>
        <v>Repeat</v>
      </c>
      <c r="J512" s="10" t="str">
        <f>IF('Transform Data'!D512="Cash","Cash",IF(COUNTIF('Transform Data'!$D:$D,'Transform Data'!D512)&gt;1,"Repeat","Single"))</f>
        <v>Repeat</v>
      </c>
      <c r="K512" s="10" t="str">
        <f t="shared" si="7"/>
        <v>TRANS-0511</v>
      </c>
    </row>
    <row r="513" spans="1:11" x14ac:dyDescent="0.35">
      <c r="A513" s="5">
        <v>45430</v>
      </c>
      <c r="B513" s="3">
        <v>0.70100694444444445</v>
      </c>
      <c r="C513" t="s">
        <v>8</v>
      </c>
      <c r="D513" t="s">
        <v>11</v>
      </c>
      <c r="E513" s="4">
        <v>32.82</v>
      </c>
      <c r="F513" t="s">
        <v>36</v>
      </c>
      <c r="G513" s="10" t="str">
        <f>TEXT(Transform_Data[[#This Row],[Date]],"mmm yyyy")</f>
        <v>May 2024</v>
      </c>
      <c r="H513" s="10">
        <f>HOUR(Transform_Data[[#This Row],[Time]])</f>
        <v>16</v>
      </c>
      <c r="I513" s="10" t="str">
        <f>IF(COUNTIF('Transform Data'!$D:$D,'Transform Data'!D513)&gt;1,"Repeat","Single")</f>
        <v>Repeat</v>
      </c>
      <c r="J513" s="10" t="str">
        <f>IF('Transform Data'!D513="Cash","Cash",IF(COUNTIF('Transform Data'!$D:$D,'Transform Data'!D513)&gt;1,"Repeat","Single"))</f>
        <v>Repeat</v>
      </c>
      <c r="K513" s="10" t="str">
        <f t="shared" si="7"/>
        <v>TRANS-0512</v>
      </c>
    </row>
    <row r="514" spans="1:11" x14ac:dyDescent="0.35">
      <c r="A514" s="5">
        <v>45430</v>
      </c>
      <c r="B514" s="3">
        <v>0.83245370370370375</v>
      </c>
      <c r="C514" t="s">
        <v>8</v>
      </c>
      <c r="D514" t="s">
        <v>16</v>
      </c>
      <c r="E514" s="4">
        <v>32.82</v>
      </c>
      <c r="F514" t="s">
        <v>36</v>
      </c>
      <c r="G514" s="10" t="str">
        <f>TEXT(Transform_Data[[#This Row],[Date]],"mmm yyyy")</f>
        <v>May 2024</v>
      </c>
      <c r="H514" s="10">
        <f>HOUR(Transform_Data[[#This Row],[Time]])</f>
        <v>19</v>
      </c>
      <c r="I514" s="10" t="str">
        <f>IF(COUNTIF('Transform Data'!$D:$D,'Transform Data'!D514)&gt;1,"Repeat","Single")</f>
        <v>Repeat</v>
      </c>
      <c r="J514" s="10" t="str">
        <f>IF('Transform Data'!D514="Cash","Cash",IF(COUNTIF('Transform Data'!$D:$D,'Transform Data'!D514)&gt;1,"Repeat","Single"))</f>
        <v>Repeat</v>
      </c>
      <c r="K514" s="10" t="str">
        <f t="shared" ref="K514:K577" si="8">"TRANS-"&amp;TEXT(ROW(A513),"0000")</f>
        <v>TRANS-0513</v>
      </c>
    </row>
    <row r="515" spans="1:11" x14ac:dyDescent="0.35">
      <c r="A515" s="5">
        <v>45430</v>
      </c>
      <c r="B515" s="3">
        <v>0.84922453703703704</v>
      </c>
      <c r="C515" t="s">
        <v>8</v>
      </c>
      <c r="D515" t="s">
        <v>25</v>
      </c>
      <c r="E515" s="4">
        <v>37.72</v>
      </c>
      <c r="F515" t="s">
        <v>32</v>
      </c>
      <c r="G515" s="10" t="str">
        <f>TEXT(Transform_Data[[#This Row],[Date]],"mmm yyyy")</f>
        <v>May 2024</v>
      </c>
      <c r="H515" s="10">
        <f>HOUR(Transform_Data[[#This Row],[Time]])</f>
        <v>20</v>
      </c>
      <c r="I515" s="10" t="str">
        <f>IF(COUNTIF('Transform Data'!$D:$D,'Transform Data'!D515)&gt;1,"Repeat","Single")</f>
        <v>Repeat</v>
      </c>
      <c r="J515" s="10" t="str">
        <f>IF('Transform Data'!D515="Cash","Cash",IF(COUNTIF('Transform Data'!$D:$D,'Transform Data'!D515)&gt;1,"Repeat","Single"))</f>
        <v>Repeat</v>
      </c>
      <c r="K515" s="10" t="str">
        <f t="shared" si="8"/>
        <v>TRANS-0514</v>
      </c>
    </row>
    <row r="516" spans="1:11" x14ac:dyDescent="0.35">
      <c r="A516" s="5">
        <v>45430</v>
      </c>
      <c r="B516" s="3">
        <v>0.92045138888888889</v>
      </c>
      <c r="C516" t="s">
        <v>13</v>
      </c>
      <c r="D516" t="s">
        <v>37</v>
      </c>
      <c r="E516" s="4">
        <v>39</v>
      </c>
      <c r="F516" t="s">
        <v>24</v>
      </c>
      <c r="G516" s="10" t="str">
        <f>TEXT(Transform_Data[[#This Row],[Date]],"mmm yyyy")</f>
        <v>May 2024</v>
      </c>
      <c r="H516" s="10">
        <f>HOUR(Transform_Data[[#This Row],[Time]])</f>
        <v>22</v>
      </c>
      <c r="I516" s="10" t="str">
        <f>IF(COUNTIF('Transform Data'!$D:$D,'Transform Data'!D516)&gt;1,"Repeat","Single")</f>
        <v>Repeat</v>
      </c>
      <c r="J516" s="10" t="str">
        <f>IF('Transform Data'!D516="Cash","Cash",IF(COUNTIF('Transform Data'!$D:$D,'Transform Data'!D516)&gt;1,"Repeat","Single"))</f>
        <v>Repeat</v>
      </c>
      <c r="K516" s="10" t="str">
        <f t="shared" si="8"/>
        <v>TRANS-0515</v>
      </c>
    </row>
    <row r="517" spans="1:11" x14ac:dyDescent="0.35">
      <c r="A517" s="5">
        <v>45431</v>
      </c>
      <c r="B517" s="3">
        <v>0.33238425925925924</v>
      </c>
      <c r="C517" t="s">
        <v>8</v>
      </c>
      <c r="D517" t="s">
        <v>236</v>
      </c>
      <c r="E517" s="4">
        <v>27.92</v>
      </c>
      <c r="F517" t="s">
        <v>28</v>
      </c>
      <c r="G517" s="10" t="str">
        <f>TEXT(Transform_Data[[#This Row],[Date]],"mmm yyyy")</f>
        <v>May 2024</v>
      </c>
      <c r="H517" s="10">
        <f>HOUR(Transform_Data[[#This Row],[Time]])</f>
        <v>7</v>
      </c>
      <c r="I517" s="10" t="str">
        <f>IF(COUNTIF('Transform Data'!$D:$D,'Transform Data'!D517)&gt;1,"Repeat","Single")</f>
        <v>Repeat</v>
      </c>
      <c r="J517" s="10" t="str">
        <f>IF('Transform Data'!D517="Cash","Cash",IF(COUNTIF('Transform Data'!$D:$D,'Transform Data'!D517)&gt;1,"Repeat","Single"))</f>
        <v>Repeat</v>
      </c>
      <c r="K517" s="10" t="str">
        <f t="shared" si="8"/>
        <v>TRANS-0516</v>
      </c>
    </row>
    <row r="518" spans="1:11" x14ac:dyDescent="0.35">
      <c r="A518" s="5">
        <v>45431</v>
      </c>
      <c r="B518" s="3">
        <v>0.33302083333333332</v>
      </c>
      <c r="C518" t="s">
        <v>8</v>
      </c>
      <c r="D518" t="s">
        <v>236</v>
      </c>
      <c r="E518" s="4">
        <v>27.92</v>
      </c>
      <c r="F518" t="s">
        <v>28</v>
      </c>
      <c r="G518" s="10" t="str">
        <f>TEXT(Transform_Data[[#This Row],[Date]],"mmm yyyy")</f>
        <v>May 2024</v>
      </c>
      <c r="H518" s="10">
        <f>HOUR(Transform_Data[[#This Row],[Time]])</f>
        <v>7</v>
      </c>
      <c r="I518" s="10" t="str">
        <f>IF(COUNTIF('Transform Data'!$D:$D,'Transform Data'!D518)&gt;1,"Repeat","Single")</f>
        <v>Repeat</v>
      </c>
      <c r="J518" s="10" t="str">
        <f>IF('Transform Data'!D518="Cash","Cash",IF(COUNTIF('Transform Data'!$D:$D,'Transform Data'!D518)&gt;1,"Repeat","Single"))</f>
        <v>Repeat</v>
      </c>
      <c r="K518" s="10" t="str">
        <f t="shared" si="8"/>
        <v>TRANS-0517</v>
      </c>
    </row>
    <row r="519" spans="1:11" x14ac:dyDescent="0.35">
      <c r="A519" s="5">
        <v>45431</v>
      </c>
      <c r="B519" s="3">
        <v>0.33373842592592595</v>
      </c>
      <c r="C519" t="s">
        <v>8</v>
      </c>
      <c r="D519" t="s">
        <v>237</v>
      </c>
      <c r="E519" s="4">
        <v>37.72</v>
      </c>
      <c r="F519" t="s">
        <v>24</v>
      </c>
      <c r="G519" s="10" t="str">
        <f>TEXT(Transform_Data[[#This Row],[Date]],"mmm yyyy")</f>
        <v>May 2024</v>
      </c>
      <c r="H519" s="10">
        <f>HOUR(Transform_Data[[#This Row],[Time]])</f>
        <v>8</v>
      </c>
      <c r="I519" s="10" t="str">
        <f>IF(COUNTIF('Transform Data'!$D:$D,'Transform Data'!D519)&gt;1,"Repeat","Single")</f>
        <v>Single</v>
      </c>
      <c r="J519" s="10" t="str">
        <f>IF('Transform Data'!D519="Cash","Cash",IF(COUNTIF('Transform Data'!$D:$D,'Transform Data'!D519)&gt;1,"Repeat","Single"))</f>
        <v>Single</v>
      </c>
      <c r="K519" s="10" t="str">
        <f t="shared" si="8"/>
        <v>TRANS-0518</v>
      </c>
    </row>
    <row r="520" spans="1:11" x14ac:dyDescent="0.35">
      <c r="A520" s="5">
        <v>45431</v>
      </c>
      <c r="B520" s="3">
        <v>0.39501157407407406</v>
      </c>
      <c r="C520" t="s">
        <v>13</v>
      </c>
      <c r="D520" t="s">
        <v>37</v>
      </c>
      <c r="E520" s="4">
        <v>24</v>
      </c>
      <c r="F520" t="s">
        <v>5</v>
      </c>
      <c r="G520" s="10" t="str">
        <f>TEXT(Transform_Data[[#This Row],[Date]],"mmm yyyy")</f>
        <v>May 2024</v>
      </c>
      <c r="H520" s="10">
        <f>HOUR(Transform_Data[[#This Row],[Time]])</f>
        <v>9</v>
      </c>
      <c r="I520" s="10" t="str">
        <f>IF(COUNTIF('Transform Data'!$D:$D,'Transform Data'!D520)&gt;1,"Repeat","Single")</f>
        <v>Repeat</v>
      </c>
      <c r="J520" s="10" t="str">
        <f>IF('Transform Data'!D520="Cash","Cash",IF(COUNTIF('Transform Data'!$D:$D,'Transform Data'!D520)&gt;1,"Repeat","Single"))</f>
        <v>Repeat</v>
      </c>
      <c r="K520" s="10" t="str">
        <f t="shared" si="8"/>
        <v>TRANS-0519</v>
      </c>
    </row>
    <row r="521" spans="1:11" x14ac:dyDescent="0.35">
      <c r="A521" s="5">
        <v>45431</v>
      </c>
      <c r="B521" s="3">
        <v>0.5100231481481482</v>
      </c>
      <c r="C521" t="s">
        <v>8</v>
      </c>
      <c r="D521" t="s">
        <v>238</v>
      </c>
      <c r="E521" s="4">
        <v>32.82</v>
      </c>
      <c r="F521" t="s">
        <v>36</v>
      </c>
      <c r="G521" s="10" t="str">
        <f>TEXT(Transform_Data[[#This Row],[Date]],"mmm yyyy")</f>
        <v>May 2024</v>
      </c>
      <c r="H521" s="10">
        <f>HOUR(Transform_Data[[#This Row],[Time]])</f>
        <v>12</v>
      </c>
      <c r="I521" s="10" t="str">
        <f>IF(COUNTIF('Transform Data'!$D:$D,'Transform Data'!D521)&gt;1,"Repeat","Single")</f>
        <v>Single</v>
      </c>
      <c r="J521" s="10" t="str">
        <f>IF('Transform Data'!D521="Cash","Cash",IF(COUNTIF('Transform Data'!$D:$D,'Transform Data'!D521)&gt;1,"Repeat","Single"))</f>
        <v>Single</v>
      </c>
      <c r="K521" s="10" t="str">
        <f t="shared" si="8"/>
        <v>TRANS-0520</v>
      </c>
    </row>
    <row r="522" spans="1:11" x14ac:dyDescent="0.35">
      <c r="A522" s="5">
        <v>45431</v>
      </c>
      <c r="B522" s="3">
        <v>0.61365740740740737</v>
      </c>
      <c r="C522" t="s">
        <v>8</v>
      </c>
      <c r="D522" t="s">
        <v>43</v>
      </c>
      <c r="E522" s="4">
        <v>27.92</v>
      </c>
      <c r="F522" t="s">
        <v>28</v>
      </c>
      <c r="G522" s="10" t="str">
        <f>TEXT(Transform_Data[[#This Row],[Date]],"mmm yyyy")</f>
        <v>May 2024</v>
      </c>
      <c r="H522" s="10">
        <f>HOUR(Transform_Data[[#This Row],[Time]])</f>
        <v>14</v>
      </c>
      <c r="I522" s="10" t="str">
        <f>IF(COUNTIF('Transform Data'!$D:$D,'Transform Data'!D522)&gt;1,"Repeat","Single")</f>
        <v>Repeat</v>
      </c>
      <c r="J522" s="10" t="str">
        <f>IF('Transform Data'!D522="Cash","Cash",IF(COUNTIF('Transform Data'!$D:$D,'Transform Data'!D522)&gt;1,"Repeat","Single"))</f>
        <v>Repeat</v>
      </c>
      <c r="K522" s="10" t="str">
        <f t="shared" si="8"/>
        <v>TRANS-0521</v>
      </c>
    </row>
    <row r="523" spans="1:11" x14ac:dyDescent="0.35">
      <c r="A523" s="5">
        <v>45431</v>
      </c>
      <c r="B523" s="3">
        <v>0.66594907407407411</v>
      </c>
      <c r="C523" t="s">
        <v>8</v>
      </c>
      <c r="D523" t="s">
        <v>239</v>
      </c>
      <c r="E523" s="4">
        <v>32.82</v>
      </c>
      <c r="F523" t="s">
        <v>36</v>
      </c>
      <c r="G523" s="10" t="str">
        <f>TEXT(Transform_Data[[#This Row],[Date]],"mmm yyyy")</f>
        <v>May 2024</v>
      </c>
      <c r="H523" s="10">
        <f>HOUR(Transform_Data[[#This Row],[Time]])</f>
        <v>15</v>
      </c>
      <c r="I523" s="10" t="str">
        <f>IF(COUNTIF('Transform Data'!$D:$D,'Transform Data'!D523)&gt;1,"Repeat","Single")</f>
        <v>Single</v>
      </c>
      <c r="J523" s="10" t="str">
        <f>IF('Transform Data'!D523="Cash","Cash",IF(COUNTIF('Transform Data'!$D:$D,'Transform Data'!D523)&gt;1,"Repeat","Single"))</f>
        <v>Single</v>
      </c>
      <c r="K523" s="10" t="str">
        <f t="shared" si="8"/>
        <v>TRANS-0522</v>
      </c>
    </row>
    <row r="524" spans="1:11" x14ac:dyDescent="0.35">
      <c r="A524" s="5">
        <v>45431</v>
      </c>
      <c r="B524" s="3">
        <v>0.75875000000000004</v>
      </c>
      <c r="C524" t="s">
        <v>8</v>
      </c>
      <c r="D524" t="s">
        <v>240</v>
      </c>
      <c r="E524" s="4">
        <v>32.82</v>
      </c>
      <c r="F524" t="s">
        <v>36</v>
      </c>
      <c r="G524" s="10" t="str">
        <f>TEXT(Transform_Data[[#This Row],[Date]],"mmm yyyy")</f>
        <v>May 2024</v>
      </c>
      <c r="H524" s="10">
        <f>HOUR(Transform_Data[[#This Row],[Time]])</f>
        <v>18</v>
      </c>
      <c r="I524" s="10" t="str">
        <f>IF(COUNTIF('Transform Data'!$D:$D,'Transform Data'!D524)&gt;1,"Repeat","Single")</f>
        <v>Repeat</v>
      </c>
      <c r="J524" s="10" t="str">
        <f>IF('Transform Data'!D524="Cash","Cash",IF(COUNTIF('Transform Data'!$D:$D,'Transform Data'!D524)&gt;1,"Repeat","Single"))</f>
        <v>Repeat</v>
      </c>
      <c r="K524" s="10" t="str">
        <f t="shared" si="8"/>
        <v>TRANS-0523</v>
      </c>
    </row>
    <row r="525" spans="1:11" x14ac:dyDescent="0.35">
      <c r="A525" s="5">
        <v>45431</v>
      </c>
      <c r="B525" s="3">
        <v>0.75957175925925924</v>
      </c>
      <c r="C525" t="s">
        <v>8</v>
      </c>
      <c r="D525" t="s">
        <v>240</v>
      </c>
      <c r="E525" s="4">
        <v>23.02</v>
      </c>
      <c r="F525" t="s">
        <v>5</v>
      </c>
      <c r="G525" s="10" t="str">
        <f>TEXT(Transform_Data[[#This Row],[Date]],"mmm yyyy")</f>
        <v>May 2024</v>
      </c>
      <c r="H525" s="10">
        <f>HOUR(Transform_Data[[#This Row],[Time]])</f>
        <v>18</v>
      </c>
      <c r="I525" s="10" t="str">
        <f>IF(COUNTIF('Transform Data'!$D:$D,'Transform Data'!D525)&gt;1,"Repeat","Single")</f>
        <v>Repeat</v>
      </c>
      <c r="J525" s="10" t="str">
        <f>IF('Transform Data'!D525="Cash","Cash",IF(COUNTIF('Transform Data'!$D:$D,'Transform Data'!D525)&gt;1,"Repeat","Single"))</f>
        <v>Repeat</v>
      </c>
      <c r="K525" s="10" t="str">
        <f t="shared" si="8"/>
        <v>TRANS-0524</v>
      </c>
    </row>
    <row r="526" spans="1:11" x14ac:dyDescent="0.35">
      <c r="A526" s="5">
        <v>45431</v>
      </c>
      <c r="B526" s="3">
        <v>0.76145833333333335</v>
      </c>
      <c r="C526" t="s">
        <v>8</v>
      </c>
      <c r="D526" t="s">
        <v>240</v>
      </c>
      <c r="E526" s="4">
        <v>37.72</v>
      </c>
      <c r="F526" t="s">
        <v>15</v>
      </c>
      <c r="G526" s="10" t="str">
        <f>TEXT(Transform_Data[[#This Row],[Date]],"mmm yyyy")</f>
        <v>May 2024</v>
      </c>
      <c r="H526" s="10">
        <f>HOUR(Transform_Data[[#This Row],[Time]])</f>
        <v>18</v>
      </c>
      <c r="I526" s="10" t="str">
        <f>IF(COUNTIF('Transform Data'!$D:$D,'Transform Data'!D526)&gt;1,"Repeat","Single")</f>
        <v>Repeat</v>
      </c>
      <c r="J526" s="10" t="str">
        <f>IF('Transform Data'!D526="Cash","Cash",IF(COUNTIF('Transform Data'!$D:$D,'Transform Data'!D526)&gt;1,"Repeat","Single"))</f>
        <v>Repeat</v>
      </c>
      <c r="K526" s="10" t="str">
        <f t="shared" si="8"/>
        <v>TRANS-0525</v>
      </c>
    </row>
    <row r="527" spans="1:11" x14ac:dyDescent="0.35">
      <c r="A527" s="5">
        <v>45431</v>
      </c>
      <c r="B527" s="3">
        <v>0.82715277777777774</v>
      </c>
      <c r="C527" t="s">
        <v>8</v>
      </c>
      <c r="D527" t="s">
        <v>241</v>
      </c>
      <c r="E527" s="4">
        <v>37.72</v>
      </c>
      <c r="F527" t="s">
        <v>24</v>
      </c>
      <c r="G527" s="10" t="str">
        <f>TEXT(Transform_Data[[#This Row],[Date]],"mmm yyyy")</f>
        <v>May 2024</v>
      </c>
      <c r="H527" s="10">
        <f>HOUR(Transform_Data[[#This Row],[Time]])</f>
        <v>19</v>
      </c>
      <c r="I527" s="10" t="str">
        <f>IF(COUNTIF('Transform Data'!$D:$D,'Transform Data'!D527)&gt;1,"Repeat","Single")</f>
        <v>Single</v>
      </c>
      <c r="J527" s="10" t="str">
        <f>IF('Transform Data'!D527="Cash","Cash",IF(COUNTIF('Transform Data'!$D:$D,'Transform Data'!D527)&gt;1,"Repeat","Single"))</f>
        <v>Single</v>
      </c>
      <c r="K527" s="10" t="str">
        <f t="shared" si="8"/>
        <v>TRANS-0526</v>
      </c>
    </row>
    <row r="528" spans="1:11" x14ac:dyDescent="0.35">
      <c r="A528" s="5">
        <v>45431</v>
      </c>
      <c r="B528" s="3">
        <v>0.88589120370370367</v>
      </c>
      <c r="C528" t="s">
        <v>8</v>
      </c>
      <c r="D528" t="s">
        <v>242</v>
      </c>
      <c r="E528" s="4">
        <v>37.72</v>
      </c>
      <c r="F528" t="s">
        <v>24</v>
      </c>
      <c r="G528" s="10" t="str">
        <f>TEXT(Transform_Data[[#This Row],[Date]],"mmm yyyy")</f>
        <v>May 2024</v>
      </c>
      <c r="H528" s="10">
        <f>HOUR(Transform_Data[[#This Row],[Time]])</f>
        <v>21</v>
      </c>
      <c r="I528" s="10" t="str">
        <f>IF(COUNTIF('Transform Data'!$D:$D,'Transform Data'!D528)&gt;1,"Repeat","Single")</f>
        <v>Single</v>
      </c>
      <c r="J528" s="10" t="str">
        <f>IF('Transform Data'!D528="Cash","Cash",IF(COUNTIF('Transform Data'!$D:$D,'Transform Data'!D528)&gt;1,"Repeat","Single"))</f>
        <v>Single</v>
      </c>
      <c r="K528" s="10" t="str">
        <f t="shared" si="8"/>
        <v>TRANS-0527</v>
      </c>
    </row>
    <row r="529" spans="1:11" x14ac:dyDescent="0.35">
      <c r="A529" s="5">
        <v>45431</v>
      </c>
      <c r="B529" s="3">
        <v>0.88791666666666669</v>
      </c>
      <c r="C529" t="s">
        <v>8</v>
      </c>
      <c r="D529" t="s">
        <v>243</v>
      </c>
      <c r="E529" s="4">
        <v>37.72</v>
      </c>
      <c r="F529" t="s">
        <v>24</v>
      </c>
      <c r="G529" s="10" t="str">
        <f>TEXT(Transform_Data[[#This Row],[Date]],"mmm yyyy")</f>
        <v>May 2024</v>
      </c>
      <c r="H529" s="10">
        <f>HOUR(Transform_Data[[#This Row],[Time]])</f>
        <v>21</v>
      </c>
      <c r="I529" s="10" t="str">
        <f>IF(COUNTIF('Transform Data'!$D:$D,'Transform Data'!D529)&gt;1,"Repeat","Single")</f>
        <v>Single</v>
      </c>
      <c r="J529" s="10" t="str">
        <f>IF('Transform Data'!D529="Cash","Cash",IF(COUNTIF('Transform Data'!$D:$D,'Transform Data'!D529)&gt;1,"Repeat","Single"))</f>
        <v>Single</v>
      </c>
      <c r="K529" s="10" t="str">
        <f t="shared" si="8"/>
        <v>TRANS-0528</v>
      </c>
    </row>
    <row r="530" spans="1:11" x14ac:dyDescent="0.35">
      <c r="A530" s="5">
        <v>45432</v>
      </c>
      <c r="B530" s="3">
        <v>0.42082175925925924</v>
      </c>
      <c r="C530" t="s">
        <v>8</v>
      </c>
      <c r="D530" t="s">
        <v>244</v>
      </c>
      <c r="E530" s="4">
        <v>32.82</v>
      </c>
      <c r="F530" t="s">
        <v>36</v>
      </c>
      <c r="G530" s="10" t="str">
        <f>TEXT(Transform_Data[[#This Row],[Date]],"mmm yyyy")</f>
        <v>May 2024</v>
      </c>
      <c r="H530" s="10">
        <f>HOUR(Transform_Data[[#This Row],[Time]])</f>
        <v>10</v>
      </c>
      <c r="I530" s="10" t="str">
        <f>IF(COUNTIF('Transform Data'!$D:$D,'Transform Data'!D530)&gt;1,"Repeat","Single")</f>
        <v>Single</v>
      </c>
      <c r="J530" s="10" t="str">
        <f>IF('Transform Data'!D530="Cash","Cash",IF(COUNTIF('Transform Data'!$D:$D,'Transform Data'!D530)&gt;1,"Repeat","Single"))</f>
        <v>Single</v>
      </c>
      <c r="K530" s="10" t="str">
        <f t="shared" si="8"/>
        <v>TRANS-0529</v>
      </c>
    </row>
    <row r="531" spans="1:11" x14ac:dyDescent="0.35">
      <c r="A531" s="5">
        <v>45432</v>
      </c>
      <c r="B531" s="3">
        <v>0.42906250000000001</v>
      </c>
      <c r="C531" t="s">
        <v>8</v>
      </c>
      <c r="D531" t="s">
        <v>245</v>
      </c>
      <c r="E531" s="4">
        <v>37.72</v>
      </c>
      <c r="F531" t="s">
        <v>32</v>
      </c>
      <c r="G531" s="10" t="str">
        <f>TEXT(Transform_Data[[#This Row],[Date]],"mmm yyyy")</f>
        <v>May 2024</v>
      </c>
      <c r="H531" s="10">
        <f>HOUR(Transform_Data[[#This Row],[Time]])</f>
        <v>10</v>
      </c>
      <c r="I531" s="10" t="str">
        <f>IF(COUNTIF('Transform Data'!$D:$D,'Transform Data'!D531)&gt;1,"Repeat","Single")</f>
        <v>Repeat</v>
      </c>
      <c r="J531" s="10" t="str">
        <f>IF('Transform Data'!D531="Cash","Cash",IF(COUNTIF('Transform Data'!$D:$D,'Transform Data'!D531)&gt;1,"Repeat","Single"))</f>
        <v>Repeat</v>
      </c>
      <c r="K531" s="10" t="str">
        <f t="shared" si="8"/>
        <v>TRANS-0530</v>
      </c>
    </row>
    <row r="532" spans="1:11" x14ac:dyDescent="0.35">
      <c r="A532" s="5">
        <v>45432</v>
      </c>
      <c r="B532" s="3">
        <v>0.45750000000000002</v>
      </c>
      <c r="C532" t="s">
        <v>8</v>
      </c>
      <c r="D532" t="s">
        <v>60</v>
      </c>
      <c r="E532" s="4">
        <v>37.72</v>
      </c>
      <c r="F532" t="s">
        <v>32</v>
      </c>
      <c r="G532" s="10" t="str">
        <f>TEXT(Transform_Data[[#This Row],[Date]],"mmm yyyy")</f>
        <v>May 2024</v>
      </c>
      <c r="H532" s="10">
        <f>HOUR(Transform_Data[[#This Row],[Time]])</f>
        <v>10</v>
      </c>
      <c r="I532" s="10" t="str">
        <f>IF(COUNTIF('Transform Data'!$D:$D,'Transform Data'!D532)&gt;1,"Repeat","Single")</f>
        <v>Repeat</v>
      </c>
      <c r="J532" s="10" t="str">
        <f>IF('Transform Data'!D532="Cash","Cash",IF(COUNTIF('Transform Data'!$D:$D,'Transform Data'!D532)&gt;1,"Repeat","Single"))</f>
        <v>Repeat</v>
      </c>
      <c r="K532" s="10" t="str">
        <f t="shared" si="8"/>
        <v>TRANS-0531</v>
      </c>
    </row>
    <row r="533" spans="1:11" x14ac:dyDescent="0.35">
      <c r="A533" s="5">
        <v>45432</v>
      </c>
      <c r="B533" s="3">
        <v>0.46893518518518518</v>
      </c>
      <c r="C533" t="s">
        <v>8</v>
      </c>
      <c r="D533" t="s">
        <v>197</v>
      </c>
      <c r="E533" s="4">
        <v>27.92</v>
      </c>
      <c r="F533" t="s">
        <v>28</v>
      </c>
      <c r="G533" s="10" t="str">
        <f>TEXT(Transform_Data[[#This Row],[Date]],"mmm yyyy")</f>
        <v>May 2024</v>
      </c>
      <c r="H533" s="10">
        <f>HOUR(Transform_Data[[#This Row],[Time]])</f>
        <v>11</v>
      </c>
      <c r="I533" s="10" t="str">
        <f>IF(COUNTIF('Transform Data'!$D:$D,'Transform Data'!D533)&gt;1,"Repeat","Single")</f>
        <v>Repeat</v>
      </c>
      <c r="J533" s="10" t="str">
        <f>IF('Transform Data'!D533="Cash","Cash",IF(COUNTIF('Transform Data'!$D:$D,'Transform Data'!D533)&gt;1,"Repeat","Single"))</f>
        <v>Repeat</v>
      </c>
      <c r="K533" s="10" t="str">
        <f t="shared" si="8"/>
        <v>TRANS-0532</v>
      </c>
    </row>
    <row r="534" spans="1:11" x14ac:dyDescent="0.35">
      <c r="A534" s="5">
        <v>45432</v>
      </c>
      <c r="B534" s="3">
        <v>0.46966435185185185</v>
      </c>
      <c r="C534" t="s">
        <v>8</v>
      </c>
      <c r="D534" t="s">
        <v>197</v>
      </c>
      <c r="E534" s="4">
        <v>27.92</v>
      </c>
      <c r="F534" t="s">
        <v>28</v>
      </c>
      <c r="G534" s="10" t="str">
        <f>TEXT(Transform_Data[[#This Row],[Date]],"mmm yyyy")</f>
        <v>May 2024</v>
      </c>
      <c r="H534" s="10">
        <f>HOUR(Transform_Data[[#This Row],[Time]])</f>
        <v>11</v>
      </c>
      <c r="I534" s="10" t="str">
        <f>IF(COUNTIF('Transform Data'!$D:$D,'Transform Data'!D534)&gt;1,"Repeat","Single")</f>
        <v>Repeat</v>
      </c>
      <c r="J534" s="10" t="str">
        <f>IF('Transform Data'!D534="Cash","Cash",IF(COUNTIF('Transform Data'!$D:$D,'Transform Data'!D534)&gt;1,"Repeat","Single"))</f>
        <v>Repeat</v>
      </c>
      <c r="K534" s="10" t="str">
        <f t="shared" si="8"/>
        <v>TRANS-0533</v>
      </c>
    </row>
    <row r="535" spans="1:11" x14ac:dyDescent="0.35">
      <c r="A535" s="5">
        <v>45432</v>
      </c>
      <c r="B535" s="3">
        <v>0.56056712962962962</v>
      </c>
      <c r="C535" t="s">
        <v>8</v>
      </c>
      <c r="D535" t="s">
        <v>62</v>
      </c>
      <c r="E535" s="4">
        <v>27.92</v>
      </c>
      <c r="F535" t="s">
        <v>28</v>
      </c>
      <c r="G535" s="10" t="str">
        <f>TEXT(Transform_Data[[#This Row],[Date]],"mmm yyyy")</f>
        <v>May 2024</v>
      </c>
      <c r="H535" s="10">
        <f>HOUR(Transform_Data[[#This Row],[Time]])</f>
        <v>13</v>
      </c>
      <c r="I535" s="10" t="str">
        <f>IF(COUNTIF('Transform Data'!$D:$D,'Transform Data'!D535)&gt;1,"Repeat","Single")</f>
        <v>Repeat</v>
      </c>
      <c r="J535" s="10" t="str">
        <f>IF('Transform Data'!D535="Cash","Cash",IF(COUNTIF('Transform Data'!$D:$D,'Transform Data'!D535)&gt;1,"Repeat","Single"))</f>
        <v>Repeat</v>
      </c>
      <c r="K535" s="10" t="str">
        <f t="shared" si="8"/>
        <v>TRANS-0534</v>
      </c>
    </row>
    <row r="536" spans="1:11" x14ac:dyDescent="0.35">
      <c r="A536" s="5">
        <v>45432</v>
      </c>
      <c r="B536" s="3">
        <v>0.56122685185185184</v>
      </c>
      <c r="C536" t="s">
        <v>8</v>
      </c>
      <c r="D536" t="s">
        <v>62</v>
      </c>
      <c r="E536" s="4">
        <v>27.92</v>
      </c>
      <c r="F536" t="s">
        <v>28</v>
      </c>
      <c r="G536" s="10" t="str">
        <f>TEXT(Transform_Data[[#This Row],[Date]],"mmm yyyy")</f>
        <v>May 2024</v>
      </c>
      <c r="H536" s="10">
        <f>HOUR(Transform_Data[[#This Row],[Time]])</f>
        <v>13</v>
      </c>
      <c r="I536" s="10" t="str">
        <f>IF(COUNTIF('Transform Data'!$D:$D,'Transform Data'!D536)&gt;1,"Repeat","Single")</f>
        <v>Repeat</v>
      </c>
      <c r="J536" s="10" t="str">
        <f>IF('Transform Data'!D536="Cash","Cash",IF(COUNTIF('Transform Data'!$D:$D,'Transform Data'!D536)&gt;1,"Repeat","Single"))</f>
        <v>Repeat</v>
      </c>
      <c r="K536" s="10" t="str">
        <f t="shared" si="8"/>
        <v>TRANS-0535</v>
      </c>
    </row>
    <row r="537" spans="1:11" x14ac:dyDescent="0.35">
      <c r="A537" s="5">
        <v>45432</v>
      </c>
      <c r="B537" s="3">
        <v>0.59258101851851852</v>
      </c>
      <c r="C537" t="s">
        <v>8</v>
      </c>
      <c r="D537" t="s">
        <v>246</v>
      </c>
      <c r="E537" s="4">
        <v>32.82</v>
      </c>
      <c r="F537" t="s">
        <v>36</v>
      </c>
      <c r="G537" s="10" t="str">
        <f>TEXT(Transform_Data[[#This Row],[Date]],"mmm yyyy")</f>
        <v>May 2024</v>
      </c>
      <c r="H537" s="10">
        <f>HOUR(Transform_Data[[#This Row],[Time]])</f>
        <v>14</v>
      </c>
      <c r="I537" s="10" t="str">
        <f>IF(COUNTIF('Transform Data'!$D:$D,'Transform Data'!D537)&gt;1,"Repeat","Single")</f>
        <v>Repeat</v>
      </c>
      <c r="J537" s="10" t="str">
        <f>IF('Transform Data'!D537="Cash","Cash",IF(COUNTIF('Transform Data'!$D:$D,'Transform Data'!D537)&gt;1,"Repeat","Single"))</f>
        <v>Repeat</v>
      </c>
      <c r="K537" s="10" t="str">
        <f t="shared" si="8"/>
        <v>TRANS-0536</v>
      </c>
    </row>
    <row r="538" spans="1:11" x14ac:dyDescent="0.35">
      <c r="A538" s="5">
        <v>45432</v>
      </c>
      <c r="B538" s="3">
        <v>0.59341435185185187</v>
      </c>
      <c r="C538" t="s">
        <v>8</v>
      </c>
      <c r="D538" t="s">
        <v>246</v>
      </c>
      <c r="E538" s="4">
        <v>37.72</v>
      </c>
      <c r="F538" t="s">
        <v>24</v>
      </c>
      <c r="G538" s="10" t="str">
        <f>TEXT(Transform_Data[[#This Row],[Date]],"mmm yyyy")</f>
        <v>May 2024</v>
      </c>
      <c r="H538" s="10">
        <f>HOUR(Transform_Data[[#This Row],[Time]])</f>
        <v>14</v>
      </c>
      <c r="I538" s="10" t="str">
        <f>IF(COUNTIF('Transform Data'!$D:$D,'Transform Data'!D538)&gt;1,"Repeat","Single")</f>
        <v>Repeat</v>
      </c>
      <c r="J538" s="10" t="str">
        <f>IF('Transform Data'!D538="Cash","Cash",IF(COUNTIF('Transform Data'!$D:$D,'Transform Data'!D538)&gt;1,"Repeat","Single"))</f>
        <v>Repeat</v>
      </c>
      <c r="K538" s="10" t="str">
        <f t="shared" si="8"/>
        <v>TRANS-0537</v>
      </c>
    </row>
    <row r="539" spans="1:11" x14ac:dyDescent="0.35">
      <c r="A539" s="5">
        <v>45432</v>
      </c>
      <c r="B539" s="3">
        <v>0.60579861111111111</v>
      </c>
      <c r="C539" t="s">
        <v>13</v>
      </c>
      <c r="D539" t="s">
        <v>37</v>
      </c>
      <c r="E539" s="4">
        <v>29</v>
      </c>
      <c r="F539" t="s">
        <v>28</v>
      </c>
      <c r="G539" s="10" t="str">
        <f>TEXT(Transform_Data[[#This Row],[Date]],"mmm yyyy")</f>
        <v>May 2024</v>
      </c>
      <c r="H539" s="10">
        <f>HOUR(Transform_Data[[#This Row],[Time]])</f>
        <v>14</v>
      </c>
      <c r="I539" s="10" t="str">
        <f>IF(COUNTIF('Transform Data'!$D:$D,'Transform Data'!D539)&gt;1,"Repeat","Single")</f>
        <v>Repeat</v>
      </c>
      <c r="J539" s="10" t="str">
        <f>IF('Transform Data'!D539="Cash","Cash",IF(COUNTIF('Transform Data'!$D:$D,'Transform Data'!D539)&gt;1,"Repeat","Single"))</f>
        <v>Repeat</v>
      </c>
      <c r="K539" s="10" t="str">
        <f t="shared" si="8"/>
        <v>TRANS-0538</v>
      </c>
    </row>
    <row r="540" spans="1:11" x14ac:dyDescent="0.35">
      <c r="A540" s="5">
        <v>45432</v>
      </c>
      <c r="B540" s="3">
        <v>0.71725694444444443</v>
      </c>
      <c r="C540" t="s">
        <v>8</v>
      </c>
      <c r="D540" t="s">
        <v>175</v>
      </c>
      <c r="E540" s="4">
        <v>37.72</v>
      </c>
      <c r="F540" t="s">
        <v>32</v>
      </c>
      <c r="G540" s="10" t="str">
        <f>TEXT(Transform_Data[[#This Row],[Date]],"mmm yyyy")</f>
        <v>May 2024</v>
      </c>
      <c r="H540" s="10">
        <f>HOUR(Transform_Data[[#This Row],[Time]])</f>
        <v>17</v>
      </c>
      <c r="I540" s="10" t="str">
        <f>IF(COUNTIF('Transform Data'!$D:$D,'Transform Data'!D540)&gt;1,"Repeat","Single")</f>
        <v>Repeat</v>
      </c>
      <c r="J540" s="10" t="str">
        <f>IF('Transform Data'!D540="Cash","Cash",IF(COUNTIF('Transform Data'!$D:$D,'Transform Data'!D540)&gt;1,"Repeat","Single"))</f>
        <v>Repeat</v>
      </c>
      <c r="K540" s="10" t="str">
        <f t="shared" si="8"/>
        <v>TRANS-0539</v>
      </c>
    </row>
    <row r="541" spans="1:11" x14ac:dyDescent="0.35">
      <c r="A541" s="5">
        <v>45432</v>
      </c>
      <c r="B541" s="3">
        <v>0.71800925925925929</v>
      </c>
      <c r="C541" t="s">
        <v>8</v>
      </c>
      <c r="D541" t="s">
        <v>247</v>
      </c>
      <c r="E541" s="4">
        <v>37.72</v>
      </c>
      <c r="F541" t="s">
        <v>32</v>
      </c>
      <c r="G541" s="10" t="str">
        <f>TEXT(Transform_Data[[#This Row],[Date]],"mmm yyyy")</f>
        <v>May 2024</v>
      </c>
      <c r="H541" s="10">
        <f>HOUR(Transform_Data[[#This Row],[Time]])</f>
        <v>17</v>
      </c>
      <c r="I541" s="10" t="str">
        <f>IF(COUNTIF('Transform Data'!$D:$D,'Transform Data'!D541)&gt;1,"Repeat","Single")</f>
        <v>Single</v>
      </c>
      <c r="J541" s="10" t="str">
        <f>IF('Transform Data'!D541="Cash","Cash",IF(COUNTIF('Transform Data'!$D:$D,'Transform Data'!D541)&gt;1,"Repeat","Single"))</f>
        <v>Single</v>
      </c>
      <c r="K541" s="10" t="str">
        <f t="shared" si="8"/>
        <v>TRANS-0540</v>
      </c>
    </row>
    <row r="542" spans="1:11" x14ac:dyDescent="0.35">
      <c r="A542" s="5">
        <v>45432</v>
      </c>
      <c r="B542" s="3">
        <v>0.85888888888888892</v>
      </c>
      <c r="C542" t="s">
        <v>8</v>
      </c>
      <c r="D542" t="s">
        <v>248</v>
      </c>
      <c r="E542" s="4">
        <v>32.82</v>
      </c>
      <c r="F542" t="s">
        <v>36</v>
      </c>
      <c r="G542" s="10" t="str">
        <f>TEXT(Transform_Data[[#This Row],[Date]],"mmm yyyy")</f>
        <v>May 2024</v>
      </c>
      <c r="H542" s="10">
        <f>HOUR(Transform_Data[[#This Row],[Time]])</f>
        <v>20</v>
      </c>
      <c r="I542" s="10" t="str">
        <f>IF(COUNTIF('Transform Data'!$D:$D,'Transform Data'!D542)&gt;1,"Repeat","Single")</f>
        <v>Repeat</v>
      </c>
      <c r="J542" s="10" t="str">
        <f>IF('Transform Data'!D542="Cash","Cash",IF(COUNTIF('Transform Data'!$D:$D,'Transform Data'!D542)&gt;1,"Repeat","Single"))</f>
        <v>Repeat</v>
      </c>
      <c r="K542" s="10" t="str">
        <f t="shared" si="8"/>
        <v>TRANS-0541</v>
      </c>
    </row>
    <row r="543" spans="1:11" x14ac:dyDescent="0.35">
      <c r="A543" s="5">
        <v>45432</v>
      </c>
      <c r="B543" s="3">
        <v>0.85968750000000005</v>
      </c>
      <c r="C543" t="s">
        <v>8</v>
      </c>
      <c r="D543" t="s">
        <v>248</v>
      </c>
      <c r="E543" s="4">
        <v>37.72</v>
      </c>
      <c r="F543" t="s">
        <v>10</v>
      </c>
      <c r="G543" s="10" t="str">
        <f>TEXT(Transform_Data[[#This Row],[Date]],"mmm yyyy")</f>
        <v>May 2024</v>
      </c>
      <c r="H543" s="10">
        <f>HOUR(Transform_Data[[#This Row],[Time]])</f>
        <v>20</v>
      </c>
      <c r="I543" s="10" t="str">
        <f>IF(COUNTIF('Transform Data'!$D:$D,'Transform Data'!D543)&gt;1,"Repeat","Single")</f>
        <v>Repeat</v>
      </c>
      <c r="J543" s="10" t="str">
        <f>IF('Transform Data'!D543="Cash","Cash",IF(COUNTIF('Transform Data'!$D:$D,'Transform Data'!D543)&gt;1,"Repeat","Single"))</f>
        <v>Repeat</v>
      </c>
      <c r="K543" s="10" t="str">
        <f t="shared" si="8"/>
        <v>TRANS-0542</v>
      </c>
    </row>
    <row r="544" spans="1:11" x14ac:dyDescent="0.35">
      <c r="A544" s="5">
        <v>45432</v>
      </c>
      <c r="B544" s="3">
        <v>0.86587962962962961</v>
      </c>
      <c r="C544" t="s">
        <v>8</v>
      </c>
      <c r="D544" t="s">
        <v>249</v>
      </c>
      <c r="E544" s="4">
        <v>27.92</v>
      </c>
      <c r="F544" t="s">
        <v>20</v>
      </c>
      <c r="G544" s="10" t="str">
        <f>TEXT(Transform_Data[[#This Row],[Date]],"mmm yyyy")</f>
        <v>May 2024</v>
      </c>
      <c r="H544" s="10">
        <f>HOUR(Transform_Data[[#This Row],[Time]])</f>
        <v>20</v>
      </c>
      <c r="I544" s="10" t="str">
        <f>IF(COUNTIF('Transform Data'!$D:$D,'Transform Data'!D544)&gt;1,"Repeat","Single")</f>
        <v>Repeat</v>
      </c>
      <c r="J544" s="10" t="str">
        <f>IF('Transform Data'!D544="Cash","Cash",IF(COUNTIF('Transform Data'!$D:$D,'Transform Data'!D544)&gt;1,"Repeat","Single"))</f>
        <v>Repeat</v>
      </c>
      <c r="K544" s="10" t="str">
        <f t="shared" si="8"/>
        <v>TRANS-0543</v>
      </c>
    </row>
    <row r="545" spans="1:11" x14ac:dyDescent="0.35">
      <c r="A545" s="5">
        <v>45432</v>
      </c>
      <c r="B545" s="3">
        <v>0.90061342592592597</v>
      </c>
      <c r="C545" t="s">
        <v>8</v>
      </c>
      <c r="D545" t="s">
        <v>43</v>
      </c>
      <c r="E545" s="4">
        <v>32.82</v>
      </c>
      <c r="F545" t="s">
        <v>36</v>
      </c>
      <c r="G545" s="10" t="str">
        <f>TEXT(Transform_Data[[#This Row],[Date]],"mmm yyyy")</f>
        <v>May 2024</v>
      </c>
      <c r="H545" s="10">
        <f>HOUR(Transform_Data[[#This Row],[Time]])</f>
        <v>21</v>
      </c>
      <c r="I545" s="10" t="str">
        <f>IF(COUNTIF('Transform Data'!$D:$D,'Transform Data'!D545)&gt;1,"Repeat","Single")</f>
        <v>Repeat</v>
      </c>
      <c r="J545" s="10" t="str">
        <f>IF('Transform Data'!D545="Cash","Cash",IF(COUNTIF('Transform Data'!$D:$D,'Transform Data'!D545)&gt;1,"Repeat","Single"))</f>
        <v>Repeat</v>
      </c>
      <c r="K545" s="10" t="str">
        <f t="shared" si="8"/>
        <v>TRANS-0544</v>
      </c>
    </row>
    <row r="546" spans="1:11" x14ac:dyDescent="0.35">
      <c r="A546" s="5">
        <v>45432</v>
      </c>
      <c r="B546" s="3">
        <v>0.90135416666666668</v>
      </c>
      <c r="C546" t="s">
        <v>8</v>
      </c>
      <c r="D546" t="s">
        <v>43</v>
      </c>
      <c r="E546" s="4">
        <v>32.82</v>
      </c>
      <c r="F546" t="s">
        <v>36</v>
      </c>
      <c r="G546" s="10" t="str">
        <f>TEXT(Transform_Data[[#This Row],[Date]],"mmm yyyy")</f>
        <v>May 2024</v>
      </c>
      <c r="H546" s="10">
        <f>HOUR(Transform_Data[[#This Row],[Time]])</f>
        <v>21</v>
      </c>
      <c r="I546" s="10" t="str">
        <f>IF(COUNTIF('Transform Data'!$D:$D,'Transform Data'!D546)&gt;1,"Repeat","Single")</f>
        <v>Repeat</v>
      </c>
      <c r="J546" s="10" t="str">
        <f>IF('Transform Data'!D546="Cash","Cash",IF(COUNTIF('Transform Data'!$D:$D,'Transform Data'!D546)&gt;1,"Repeat","Single"))</f>
        <v>Repeat</v>
      </c>
      <c r="K546" s="10" t="str">
        <f t="shared" si="8"/>
        <v>TRANS-0545</v>
      </c>
    </row>
    <row r="547" spans="1:11" x14ac:dyDescent="0.35">
      <c r="A547" s="5">
        <v>45433</v>
      </c>
      <c r="B547" s="3">
        <v>0.35252314814814817</v>
      </c>
      <c r="C547" t="s">
        <v>8</v>
      </c>
      <c r="D547" t="s">
        <v>250</v>
      </c>
      <c r="E547" s="4">
        <v>37.72</v>
      </c>
      <c r="F547" t="s">
        <v>32</v>
      </c>
      <c r="G547" s="10" t="str">
        <f>TEXT(Transform_Data[[#This Row],[Date]],"mmm yyyy")</f>
        <v>May 2024</v>
      </c>
      <c r="H547" s="10">
        <f>HOUR(Transform_Data[[#This Row],[Time]])</f>
        <v>8</v>
      </c>
      <c r="I547" s="10" t="str">
        <f>IF(COUNTIF('Transform Data'!$D:$D,'Transform Data'!D547)&gt;1,"Repeat","Single")</f>
        <v>Single</v>
      </c>
      <c r="J547" s="10" t="str">
        <f>IF('Transform Data'!D547="Cash","Cash",IF(COUNTIF('Transform Data'!$D:$D,'Transform Data'!D547)&gt;1,"Repeat","Single"))</f>
        <v>Single</v>
      </c>
      <c r="K547" s="10" t="str">
        <f t="shared" si="8"/>
        <v>TRANS-0546</v>
      </c>
    </row>
    <row r="548" spans="1:11" x14ac:dyDescent="0.35">
      <c r="A548" s="5">
        <v>45433</v>
      </c>
      <c r="B548" s="3">
        <v>0.40543981481481484</v>
      </c>
      <c r="C548" t="s">
        <v>13</v>
      </c>
      <c r="D548" t="s">
        <v>37</v>
      </c>
      <c r="E548" s="4">
        <v>29</v>
      </c>
      <c r="F548" t="s">
        <v>28</v>
      </c>
      <c r="G548" s="10" t="str">
        <f>TEXT(Transform_Data[[#This Row],[Date]],"mmm yyyy")</f>
        <v>May 2024</v>
      </c>
      <c r="H548" s="10">
        <f>HOUR(Transform_Data[[#This Row],[Time]])</f>
        <v>9</v>
      </c>
      <c r="I548" s="10" t="str">
        <f>IF(COUNTIF('Transform Data'!$D:$D,'Transform Data'!D548)&gt;1,"Repeat","Single")</f>
        <v>Repeat</v>
      </c>
      <c r="J548" s="10" t="str">
        <f>IF('Transform Data'!D548="Cash","Cash",IF(COUNTIF('Transform Data'!$D:$D,'Transform Data'!D548)&gt;1,"Repeat","Single"))</f>
        <v>Repeat</v>
      </c>
      <c r="K548" s="10" t="str">
        <f t="shared" si="8"/>
        <v>TRANS-0547</v>
      </c>
    </row>
    <row r="549" spans="1:11" x14ac:dyDescent="0.35">
      <c r="A549" s="5">
        <v>45433</v>
      </c>
      <c r="B549" s="3">
        <v>0.4060185185185185</v>
      </c>
      <c r="C549" t="s">
        <v>13</v>
      </c>
      <c r="D549" t="s">
        <v>37</v>
      </c>
      <c r="E549" s="4">
        <v>34</v>
      </c>
      <c r="F549" t="s">
        <v>36</v>
      </c>
      <c r="G549" s="10" t="str">
        <f>TEXT(Transform_Data[[#This Row],[Date]],"mmm yyyy")</f>
        <v>May 2024</v>
      </c>
      <c r="H549" s="10">
        <f>HOUR(Transform_Data[[#This Row],[Time]])</f>
        <v>9</v>
      </c>
      <c r="I549" s="10" t="str">
        <f>IF(COUNTIF('Transform Data'!$D:$D,'Transform Data'!D549)&gt;1,"Repeat","Single")</f>
        <v>Repeat</v>
      </c>
      <c r="J549" s="10" t="str">
        <f>IF('Transform Data'!D549="Cash","Cash",IF(COUNTIF('Transform Data'!$D:$D,'Transform Data'!D549)&gt;1,"Repeat","Single"))</f>
        <v>Repeat</v>
      </c>
      <c r="K549" s="10" t="str">
        <f t="shared" si="8"/>
        <v>TRANS-0548</v>
      </c>
    </row>
    <row r="550" spans="1:11" x14ac:dyDescent="0.35">
      <c r="A550" s="5">
        <v>45433</v>
      </c>
      <c r="B550" s="3">
        <v>0.40704861111111112</v>
      </c>
      <c r="C550" t="s">
        <v>13</v>
      </c>
      <c r="D550" t="s">
        <v>37</v>
      </c>
      <c r="E550" s="4">
        <v>39</v>
      </c>
      <c r="F550" t="s">
        <v>10</v>
      </c>
      <c r="G550" s="10" t="str">
        <f>TEXT(Transform_Data[[#This Row],[Date]],"mmm yyyy")</f>
        <v>May 2024</v>
      </c>
      <c r="H550" s="10">
        <f>HOUR(Transform_Data[[#This Row],[Time]])</f>
        <v>9</v>
      </c>
      <c r="I550" s="10" t="str">
        <f>IF(COUNTIF('Transform Data'!$D:$D,'Transform Data'!D550)&gt;1,"Repeat","Single")</f>
        <v>Repeat</v>
      </c>
      <c r="J550" s="10" t="str">
        <f>IF('Transform Data'!D550="Cash","Cash",IF(COUNTIF('Transform Data'!$D:$D,'Transform Data'!D550)&gt;1,"Repeat","Single"))</f>
        <v>Repeat</v>
      </c>
      <c r="K550" s="10" t="str">
        <f t="shared" si="8"/>
        <v>TRANS-0549</v>
      </c>
    </row>
    <row r="551" spans="1:11" x14ac:dyDescent="0.35">
      <c r="A551" s="5">
        <v>45433</v>
      </c>
      <c r="B551" s="3">
        <v>0.42023148148148148</v>
      </c>
      <c r="C551" t="s">
        <v>13</v>
      </c>
      <c r="D551" t="s">
        <v>37</v>
      </c>
      <c r="E551" s="4">
        <v>39</v>
      </c>
      <c r="F551" t="s">
        <v>32</v>
      </c>
      <c r="G551" s="10" t="str">
        <f>TEXT(Transform_Data[[#This Row],[Date]],"mmm yyyy")</f>
        <v>May 2024</v>
      </c>
      <c r="H551" s="10">
        <f>HOUR(Transform_Data[[#This Row],[Time]])</f>
        <v>10</v>
      </c>
      <c r="I551" s="10" t="str">
        <f>IF(COUNTIF('Transform Data'!$D:$D,'Transform Data'!D551)&gt;1,"Repeat","Single")</f>
        <v>Repeat</v>
      </c>
      <c r="J551" s="10" t="str">
        <f>IF('Transform Data'!D551="Cash","Cash",IF(COUNTIF('Transform Data'!$D:$D,'Transform Data'!D551)&gt;1,"Repeat","Single"))</f>
        <v>Repeat</v>
      </c>
      <c r="K551" s="10" t="str">
        <f t="shared" si="8"/>
        <v>TRANS-0550</v>
      </c>
    </row>
    <row r="552" spans="1:11" x14ac:dyDescent="0.35">
      <c r="A552" s="5">
        <v>45433</v>
      </c>
      <c r="B552" s="3">
        <v>0.67383101851851857</v>
      </c>
      <c r="C552" t="s">
        <v>8</v>
      </c>
      <c r="D552" t="s">
        <v>251</v>
      </c>
      <c r="E552" s="4">
        <v>37.72</v>
      </c>
      <c r="F552" t="s">
        <v>32</v>
      </c>
      <c r="G552" s="10" t="str">
        <f>TEXT(Transform_Data[[#This Row],[Date]],"mmm yyyy")</f>
        <v>May 2024</v>
      </c>
      <c r="H552" s="10">
        <f>HOUR(Transform_Data[[#This Row],[Time]])</f>
        <v>16</v>
      </c>
      <c r="I552" s="10" t="str">
        <f>IF(COUNTIF('Transform Data'!$D:$D,'Transform Data'!D552)&gt;1,"Repeat","Single")</f>
        <v>Repeat</v>
      </c>
      <c r="J552" s="10" t="str">
        <f>IF('Transform Data'!D552="Cash","Cash",IF(COUNTIF('Transform Data'!$D:$D,'Transform Data'!D552)&gt;1,"Repeat","Single"))</f>
        <v>Repeat</v>
      </c>
      <c r="K552" s="10" t="str">
        <f t="shared" si="8"/>
        <v>TRANS-0551</v>
      </c>
    </row>
    <row r="553" spans="1:11" x14ac:dyDescent="0.35">
      <c r="A553" s="5">
        <v>45433</v>
      </c>
      <c r="B553" s="3">
        <v>0.75929398148148153</v>
      </c>
      <c r="C553" t="s">
        <v>8</v>
      </c>
      <c r="D553" t="s">
        <v>43</v>
      </c>
      <c r="E553" s="4">
        <v>23.02</v>
      </c>
      <c r="F553" t="s">
        <v>5</v>
      </c>
      <c r="G553" s="10" t="str">
        <f>TEXT(Transform_Data[[#This Row],[Date]],"mmm yyyy")</f>
        <v>May 2024</v>
      </c>
      <c r="H553" s="10">
        <f>HOUR(Transform_Data[[#This Row],[Time]])</f>
        <v>18</v>
      </c>
      <c r="I553" s="10" t="str">
        <f>IF(COUNTIF('Transform Data'!$D:$D,'Transform Data'!D553)&gt;1,"Repeat","Single")</f>
        <v>Repeat</v>
      </c>
      <c r="J553" s="10" t="str">
        <f>IF('Transform Data'!D553="Cash","Cash",IF(COUNTIF('Transform Data'!$D:$D,'Transform Data'!D553)&gt;1,"Repeat","Single"))</f>
        <v>Repeat</v>
      </c>
      <c r="K553" s="10" t="str">
        <f t="shared" si="8"/>
        <v>TRANS-0552</v>
      </c>
    </row>
    <row r="554" spans="1:11" x14ac:dyDescent="0.35">
      <c r="A554" s="5">
        <v>45433</v>
      </c>
      <c r="B554" s="3">
        <v>0.79940972222222217</v>
      </c>
      <c r="C554" t="s">
        <v>8</v>
      </c>
      <c r="D554" t="s">
        <v>252</v>
      </c>
      <c r="E554" s="4">
        <v>37.72</v>
      </c>
      <c r="F554" t="s">
        <v>24</v>
      </c>
      <c r="G554" s="10" t="str">
        <f>TEXT(Transform_Data[[#This Row],[Date]],"mmm yyyy")</f>
        <v>May 2024</v>
      </c>
      <c r="H554" s="10">
        <f>HOUR(Transform_Data[[#This Row],[Time]])</f>
        <v>19</v>
      </c>
      <c r="I554" s="10" t="str">
        <f>IF(COUNTIF('Transform Data'!$D:$D,'Transform Data'!D554)&gt;1,"Repeat","Single")</f>
        <v>Single</v>
      </c>
      <c r="J554" s="10" t="str">
        <f>IF('Transform Data'!D554="Cash","Cash",IF(COUNTIF('Transform Data'!$D:$D,'Transform Data'!D554)&gt;1,"Repeat","Single"))</f>
        <v>Single</v>
      </c>
      <c r="K554" s="10" t="str">
        <f t="shared" si="8"/>
        <v>TRANS-0553</v>
      </c>
    </row>
    <row r="555" spans="1:11" x14ac:dyDescent="0.35">
      <c r="A555" s="5">
        <v>45433</v>
      </c>
      <c r="B555" s="3">
        <v>0.84291666666666665</v>
      </c>
      <c r="C555" t="s">
        <v>8</v>
      </c>
      <c r="D555" t="s">
        <v>253</v>
      </c>
      <c r="E555" s="4">
        <v>37.72</v>
      </c>
      <c r="F555" t="s">
        <v>24</v>
      </c>
      <c r="G555" s="10" t="str">
        <f>TEXT(Transform_Data[[#This Row],[Date]],"mmm yyyy")</f>
        <v>May 2024</v>
      </c>
      <c r="H555" s="10">
        <f>HOUR(Transform_Data[[#This Row],[Time]])</f>
        <v>20</v>
      </c>
      <c r="I555" s="10" t="str">
        <f>IF(COUNTIF('Transform Data'!$D:$D,'Transform Data'!D555)&gt;1,"Repeat","Single")</f>
        <v>Single</v>
      </c>
      <c r="J555" s="10" t="str">
        <f>IF('Transform Data'!D555="Cash","Cash",IF(COUNTIF('Transform Data'!$D:$D,'Transform Data'!D555)&gt;1,"Repeat","Single"))</f>
        <v>Single</v>
      </c>
      <c r="K555" s="10" t="str">
        <f t="shared" si="8"/>
        <v>TRANS-0554</v>
      </c>
    </row>
    <row r="556" spans="1:11" x14ac:dyDescent="0.35">
      <c r="A556" s="5">
        <v>45434</v>
      </c>
      <c r="B556" s="3">
        <v>0.39908564814814818</v>
      </c>
      <c r="C556" t="s">
        <v>8</v>
      </c>
      <c r="D556" t="s">
        <v>254</v>
      </c>
      <c r="E556" s="4">
        <v>37.72</v>
      </c>
      <c r="F556" t="s">
        <v>24</v>
      </c>
      <c r="G556" s="10" t="str">
        <f>TEXT(Transform_Data[[#This Row],[Date]],"mmm yyyy")</f>
        <v>May 2024</v>
      </c>
      <c r="H556" s="10">
        <f>HOUR(Transform_Data[[#This Row],[Time]])</f>
        <v>9</v>
      </c>
      <c r="I556" s="10" t="str">
        <f>IF(COUNTIF('Transform Data'!$D:$D,'Transform Data'!D556)&gt;1,"Repeat","Single")</f>
        <v>Single</v>
      </c>
      <c r="J556" s="10" t="str">
        <f>IF('Transform Data'!D556="Cash","Cash",IF(COUNTIF('Transform Data'!$D:$D,'Transform Data'!D556)&gt;1,"Repeat","Single"))</f>
        <v>Single</v>
      </c>
      <c r="K556" s="10" t="str">
        <f t="shared" si="8"/>
        <v>TRANS-0555</v>
      </c>
    </row>
    <row r="557" spans="1:11" x14ac:dyDescent="0.35">
      <c r="A557" s="5">
        <v>45434</v>
      </c>
      <c r="B557" s="3">
        <v>0.45123842592592595</v>
      </c>
      <c r="C557" t="s">
        <v>8</v>
      </c>
      <c r="D557" t="s">
        <v>245</v>
      </c>
      <c r="E557" s="4">
        <v>32.82</v>
      </c>
      <c r="F557" t="s">
        <v>36</v>
      </c>
      <c r="G557" s="10" t="str">
        <f>TEXT(Transform_Data[[#This Row],[Date]],"mmm yyyy")</f>
        <v>May 2024</v>
      </c>
      <c r="H557" s="10">
        <f>HOUR(Transform_Data[[#This Row],[Time]])</f>
        <v>10</v>
      </c>
      <c r="I557" s="10" t="str">
        <f>IF(COUNTIF('Transform Data'!$D:$D,'Transform Data'!D557)&gt;1,"Repeat","Single")</f>
        <v>Repeat</v>
      </c>
      <c r="J557" s="10" t="str">
        <f>IF('Transform Data'!D557="Cash","Cash",IF(COUNTIF('Transform Data'!$D:$D,'Transform Data'!D557)&gt;1,"Repeat","Single"))</f>
        <v>Repeat</v>
      </c>
      <c r="K557" s="10" t="str">
        <f t="shared" si="8"/>
        <v>TRANS-0556</v>
      </c>
    </row>
    <row r="558" spans="1:11" x14ac:dyDescent="0.35">
      <c r="A558" s="5">
        <v>45434</v>
      </c>
      <c r="B558" s="3">
        <v>0.47099537037037037</v>
      </c>
      <c r="C558" t="s">
        <v>8</v>
      </c>
      <c r="D558" t="s">
        <v>40</v>
      </c>
      <c r="E558" s="4">
        <v>27.92</v>
      </c>
      <c r="F558" t="s">
        <v>20</v>
      </c>
      <c r="G558" s="10" t="str">
        <f>TEXT(Transform_Data[[#This Row],[Date]],"mmm yyyy")</f>
        <v>May 2024</v>
      </c>
      <c r="H558" s="10">
        <f>HOUR(Transform_Data[[#This Row],[Time]])</f>
        <v>11</v>
      </c>
      <c r="I558" s="10" t="str">
        <f>IF(COUNTIF('Transform Data'!$D:$D,'Transform Data'!D558)&gt;1,"Repeat","Single")</f>
        <v>Repeat</v>
      </c>
      <c r="J558" s="10" t="str">
        <f>IF('Transform Data'!D558="Cash","Cash",IF(COUNTIF('Transform Data'!$D:$D,'Transform Data'!D558)&gt;1,"Repeat","Single"))</f>
        <v>Repeat</v>
      </c>
      <c r="K558" s="10" t="str">
        <f t="shared" si="8"/>
        <v>TRANS-0557</v>
      </c>
    </row>
    <row r="559" spans="1:11" x14ac:dyDescent="0.35">
      <c r="A559" s="5">
        <v>45434</v>
      </c>
      <c r="B559" s="3">
        <v>0.48256944444444444</v>
      </c>
      <c r="C559" t="s">
        <v>8</v>
      </c>
      <c r="D559" t="s">
        <v>11</v>
      </c>
      <c r="E559" s="4">
        <v>32.82</v>
      </c>
      <c r="F559" t="s">
        <v>36</v>
      </c>
      <c r="G559" s="10" t="str">
        <f>TEXT(Transform_Data[[#This Row],[Date]],"mmm yyyy")</f>
        <v>May 2024</v>
      </c>
      <c r="H559" s="10">
        <f>HOUR(Transform_Data[[#This Row],[Time]])</f>
        <v>11</v>
      </c>
      <c r="I559" s="10" t="str">
        <f>IF(COUNTIF('Transform Data'!$D:$D,'Transform Data'!D559)&gt;1,"Repeat","Single")</f>
        <v>Repeat</v>
      </c>
      <c r="J559" s="10" t="str">
        <f>IF('Transform Data'!D559="Cash","Cash",IF(COUNTIF('Transform Data'!$D:$D,'Transform Data'!D559)&gt;1,"Repeat","Single"))</f>
        <v>Repeat</v>
      </c>
      <c r="K559" s="10" t="str">
        <f t="shared" si="8"/>
        <v>TRANS-0558</v>
      </c>
    </row>
    <row r="560" spans="1:11" x14ac:dyDescent="0.35">
      <c r="A560" s="5">
        <v>45434</v>
      </c>
      <c r="B560" s="3">
        <v>0.52071759259259254</v>
      </c>
      <c r="C560" t="s">
        <v>8</v>
      </c>
      <c r="D560" t="s">
        <v>43</v>
      </c>
      <c r="E560" s="4">
        <v>27.92</v>
      </c>
      <c r="F560" t="s">
        <v>28</v>
      </c>
      <c r="G560" s="10" t="str">
        <f>TEXT(Transform_Data[[#This Row],[Date]],"mmm yyyy")</f>
        <v>May 2024</v>
      </c>
      <c r="H560" s="10">
        <f>HOUR(Transform_Data[[#This Row],[Time]])</f>
        <v>12</v>
      </c>
      <c r="I560" s="10" t="str">
        <f>IF(COUNTIF('Transform Data'!$D:$D,'Transform Data'!D560)&gt;1,"Repeat","Single")</f>
        <v>Repeat</v>
      </c>
      <c r="J560" s="10" t="str">
        <f>IF('Transform Data'!D560="Cash","Cash",IF(COUNTIF('Transform Data'!$D:$D,'Transform Data'!D560)&gt;1,"Repeat","Single"))</f>
        <v>Repeat</v>
      </c>
      <c r="K560" s="10" t="str">
        <f t="shared" si="8"/>
        <v>TRANS-0559</v>
      </c>
    </row>
    <row r="561" spans="1:11" x14ac:dyDescent="0.35">
      <c r="A561" s="5">
        <v>45434</v>
      </c>
      <c r="B561" s="3">
        <v>0.52133101851851849</v>
      </c>
      <c r="C561" t="s">
        <v>8</v>
      </c>
      <c r="D561" t="s">
        <v>43</v>
      </c>
      <c r="E561" s="4">
        <v>27.92</v>
      </c>
      <c r="F561" t="s">
        <v>28</v>
      </c>
      <c r="G561" s="10" t="str">
        <f>TEXT(Transform_Data[[#This Row],[Date]],"mmm yyyy")</f>
        <v>May 2024</v>
      </c>
      <c r="H561" s="10">
        <f>HOUR(Transform_Data[[#This Row],[Time]])</f>
        <v>12</v>
      </c>
      <c r="I561" s="10" t="str">
        <f>IF(COUNTIF('Transform Data'!$D:$D,'Transform Data'!D561)&gt;1,"Repeat","Single")</f>
        <v>Repeat</v>
      </c>
      <c r="J561" s="10" t="str">
        <f>IF('Transform Data'!D561="Cash","Cash",IF(COUNTIF('Transform Data'!$D:$D,'Transform Data'!D561)&gt;1,"Repeat","Single"))</f>
        <v>Repeat</v>
      </c>
      <c r="K561" s="10" t="str">
        <f t="shared" si="8"/>
        <v>TRANS-0560</v>
      </c>
    </row>
    <row r="562" spans="1:11" x14ac:dyDescent="0.35">
      <c r="A562" s="5">
        <v>45434</v>
      </c>
      <c r="B562" s="3">
        <v>0.58356481481481481</v>
      </c>
      <c r="C562" t="s">
        <v>8</v>
      </c>
      <c r="D562" t="s">
        <v>25</v>
      </c>
      <c r="E562" s="4">
        <v>32.82</v>
      </c>
      <c r="F562" t="s">
        <v>36</v>
      </c>
      <c r="G562" s="10" t="str">
        <f>TEXT(Transform_Data[[#This Row],[Date]],"mmm yyyy")</f>
        <v>May 2024</v>
      </c>
      <c r="H562" s="10">
        <f>HOUR(Transform_Data[[#This Row],[Time]])</f>
        <v>14</v>
      </c>
      <c r="I562" s="10" t="str">
        <f>IF(COUNTIF('Transform Data'!$D:$D,'Transform Data'!D562)&gt;1,"Repeat","Single")</f>
        <v>Repeat</v>
      </c>
      <c r="J562" s="10" t="str">
        <f>IF('Transform Data'!D562="Cash","Cash",IF(COUNTIF('Transform Data'!$D:$D,'Transform Data'!D562)&gt;1,"Repeat","Single"))</f>
        <v>Repeat</v>
      </c>
      <c r="K562" s="10" t="str">
        <f t="shared" si="8"/>
        <v>TRANS-0561</v>
      </c>
    </row>
    <row r="563" spans="1:11" x14ac:dyDescent="0.35">
      <c r="A563" s="5">
        <v>45434</v>
      </c>
      <c r="B563" s="3">
        <v>0.8090046296296296</v>
      </c>
      <c r="C563" t="s">
        <v>8</v>
      </c>
      <c r="D563" t="s">
        <v>189</v>
      </c>
      <c r="E563" s="4">
        <v>37.72</v>
      </c>
      <c r="F563" t="s">
        <v>24</v>
      </c>
      <c r="G563" s="10" t="str">
        <f>TEXT(Transform_Data[[#This Row],[Date]],"mmm yyyy")</f>
        <v>May 2024</v>
      </c>
      <c r="H563" s="10">
        <f>HOUR(Transform_Data[[#This Row],[Time]])</f>
        <v>19</v>
      </c>
      <c r="I563" s="10" t="str">
        <f>IF(COUNTIF('Transform Data'!$D:$D,'Transform Data'!D563)&gt;1,"Repeat","Single")</f>
        <v>Repeat</v>
      </c>
      <c r="J563" s="10" t="str">
        <f>IF('Transform Data'!D563="Cash","Cash",IF(COUNTIF('Transform Data'!$D:$D,'Transform Data'!D563)&gt;1,"Repeat","Single"))</f>
        <v>Repeat</v>
      </c>
      <c r="K563" s="10" t="str">
        <f t="shared" si="8"/>
        <v>TRANS-0562</v>
      </c>
    </row>
    <row r="564" spans="1:11" x14ac:dyDescent="0.35">
      <c r="A564" s="5">
        <v>45434</v>
      </c>
      <c r="B564" s="3">
        <v>0.80969907407407404</v>
      </c>
      <c r="C564" t="s">
        <v>8</v>
      </c>
      <c r="D564" t="s">
        <v>189</v>
      </c>
      <c r="E564" s="4">
        <v>37.72</v>
      </c>
      <c r="F564" t="s">
        <v>24</v>
      </c>
      <c r="G564" s="10" t="str">
        <f>TEXT(Transform_Data[[#This Row],[Date]],"mmm yyyy")</f>
        <v>May 2024</v>
      </c>
      <c r="H564" s="10">
        <f>HOUR(Transform_Data[[#This Row],[Time]])</f>
        <v>19</v>
      </c>
      <c r="I564" s="10" t="str">
        <f>IF(COUNTIF('Transform Data'!$D:$D,'Transform Data'!D564)&gt;1,"Repeat","Single")</f>
        <v>Repeat</v>
      </c>
      <c r="J564" s="10" t="str">
        <f>IF('Transform Data'!D564="Cash","Cash",IF(COUNTIF('Transform Data'!$D:$D,'Transform Data'!D564)&gt;1,"Repeat","Single"))</f>
        <v>Repeat</v>
      </c>
      <c r="K564" s="10" t="str">
        <f t="shared" si="8"/>
        <v>TRANS-0563</v>
      </c>
    </row>
    <row r="565" spans="1:11" x14ac:dyDescent="0.35">
      <c r="A565" s="5">
        <v>45434</v>
      </c>
      <c r="B565" s="3">
        <v>0.89158564814814811</v>
      </c>
      <c r="C565" t="s">
        <v>8</v>
      </c>
      <c r="D565" t="s">
        <v>234</v>
      </c>
      <c r="E565" s="4">
        <v>37.72</v>
      </c>
      <c r="F565" t="s">
        <v>15</v>
      </c>
      <c r="G565" s="10" t="str">
        <f>TEXT(Transform_Data[[#This Row],[Date]],"mmm yyyy")</f>
        <v>May 2024</v>
      </c>
      <c r="H565" s="10">
        <f>HOUR(Transform_Data[[#This Row],[Time]])</f>
        <v>21</v>
      </c>
      <c r="I565" s="10" t="str">
        <f>IF(COUNTIF('Transform Data'!$D:$D,'Transform Data'!D565)&gt;1,"Repeat","Single")</f>
        <v>Repeat</v>
      </c>
      <c r="J565" s="10" t="str">
        <f>IF('Transform Data'!D565="Cash","Cash",IF(COUNTIF('Transform Data'!$D:$D,'Transform Data'!D565)&gt;1,"Repeat","Single"))</f>
        <v>Repeat</v>
      </c>
      <c r="K565" s="10" t="str">
        <f t="shared" si="8"/>
        <v>TRANS-0564</v>
      </c>
    </row>
    <row r="566" spans="1:11" x14ac:dyDescent="0.35">
      <c r="A566" s="5">
        <v>45434</v>
      </c>
      <c r="B566" s="3">
        <v>0.89223379629629629</v>
      </c>
      <c r="C566" t="s">
        <v>8</v>
      </c>
      <c r="D566" t="s">
        <v>234</v>
      </c>
      <c r="E566" s="4">
        <v>37.72</v>
      </c>
      <c r="F566" t="s">
        <v>24</v>
      </c>
      <c r="G566" s="10" t="str">
        <f>TEXT(Transform_Data[[#This Row],[Date]],"mmm yyyy")</f>
        <v>May 2024</v>
      </c>
      <c r="H566" s="10">
        <f>HOUR(Transform_Data[[#This Row],[Time]])</f>
        <v>21</v>
      </c>
      <c r="I566" s="10" t="str">
        <f>IF(COUNTIF('Transform Data'!$D:$D,'Transform Data'!D566)&gt;1,"Repeat","Single")</f>
        <v>Repeat</v>
      </c>
      <c r="J566" s="10" t="str">
        <f>IF('Transform Data'!D566="Cash","Cash",IF(COUNTIF('Transform Data'!$D:$D,'Transform Data'!D566)&gt;1,"Repeat","Single"))</f>
        <v>Repeat</v>
      </c>
      <c r="K566" s="10" t="str">
        <f t="shared" si="8"/>
        <v>TRANS-0565</v>
      </c>
    </row>
    <row r="567" spans="1:11" x14ac:dyDescent="0.35">
      <c r="A567" s="5">
        <v>45435</v>
      </c>
      <c r="B567" s="3">
        <v>0.42383101851851851</v>
      </c>
      <c r="C567" t="s">
        <v>8</v>
      </c>
      <c r="D567" t="s">
        <v>255</v>
      </c>
      <c r="E567" s="4">
        <v>37.72</v>
      </c>
      <c r="F567" t="s">
        <v>24</v>
      </c>
      <c r="G567" s="10" t="str">
        <f>TEXT(Transform_Data[[#This Row],[Date]],"mmm yyyy")</f>
        <v>May 2024</v>
      </c>
      <c r="H567" s="10">
        <f>HOUR(Transform_Data[[#This Row],[Time]])</f>
        <v>10</v>
      </c>
      <c r="I567" s="10" t="str">
        <f>IF(COUNTIF('Transform Data'!$D:$D,'Transform Data'!D567)&gt;1,"Repeat","Single")</f>
        <v>Single</v>
      </c>
      <c r="J567" s="10" t="str">
        <f>IF('Transform Data'!D567="Cash","Cash",IF(COUNTIF('Transform Data'!$D:$D,'Transform Data'!D567)&gt;1,"Repeat","Single"))</f>
        <v>Single</v>
      </c>
      <c r="K567" s="10" t="str">
        <f t="shared" si="8"/>
        <v>TRANS-0566</v>
      </c>
    </row>
    <row r="568" spans="1:11" x14ac:dyDescent="0.35">
      <c r="A568" s="5">
        <v>45435</v>
      </c>
      <c r="B568" s="3">
        <v>0.51534722222222218</v>
      </c>
      <c r="C568" t="s">
        <v>8</v>
      </c>
      <c r="D568" t="s">
        <v>256</v>
      </c>
      <c r="E568" s="4">
        <v>23.02</v>
      </c>
      <c r="F568" t="s">
        <v>5</v>
      </c>
      <c r="G568" s="10" t="str">
        <f>TEXT(Transform_Data[[#This Row],[Date]],"mmm yyyy")</f>
        <v>May 2024</v>
      </c>
      <c r="H568" s="10">
        <f>HOUR(Transform_Data[[#This Row],[Time]])</f>
        <v>12</v>
      </c>
      <c r="I568" s="10" t="str">
        <f>IF(COUNTIF('Transform Data'!$D:$D,'Transform Data'!D568)&gt;1,"Repeat","Single")</f>
        <v>Single</v>
      </c>
      <c r="J568" s="10" t="str">
        <f>IF('Transform Data'!D568="Cash","Cash",IF(COUNTIF('Transform Data'!$D:$D,'Transform Data'!D568)&gt;1,"Repeat","Single"))</f>
        <v>Single</v>
      </c>
      <c r="K568" s="10" t="str">
        <f t="shared" si="8"/>
        <v>TRANS-0567</v>
      </c>
    </row>
    <row r="569" spans="1:11" x14ac:dyDescent="0.35">
      <c r="A569" s="5">
        <v>45435</v>
      </c>
      <c r="B569" s="3">
        <v>0.6633796296296296</v>
      </c>
      <c r="C569" t="s">
        <v>8</v>
      </c>
      <c r="D569" t="s">
        <v>234</v>
      </c>
      <c r="E569" s="4">
        <v>37.72</v>
      </c>
      <c r="F569" t="s">
        <v>24</v>
      </c>
      <c r="G569" s="10" t="str">
        <f>TEXT(Transform_Data[[#This Row],[Date]],"mmm yyyy")</f>
        <v>May 2024</v>
      </c>
      <c r="H569" s="10">
        <f>HOUR(Transform_Data[[#This Row],[Time]])</f>
        <v>15</v>
      </c>
      <c r="I569" s="10" t="str">
        <f>IF(COUNTIF('Transform Data'!$D:$D,'Transform Data'!D569)&gt;1,"Repeat","Single")</f>
        <v>Repeat</v>
      </c>
      <c r="J569" s="10" t="str">
        <f>IF('Transform Data'!D569="Cash","Cash",IF(COUNTIF('Transform Data'!$D:$D,'Transform Data'!D569)&gt;1,"Repeat","Single"))</f>
        <v>Repeat</v>
      </c>
      <c r="K569" s="10" t="str">
        <f t="shared" si="8"/>
        <v>TRANS-0568</v>
      </c>
    </row>
    <row r="570" spans="1:11" x14ac:dyDescent="0.35">
      <c r="A570" s="5">
        <v>45435</v>
      </c>
      <c r="B570" s="3">
        <v>0.66420138888888891</v>
      </c>
      <c r="C570" t="s">
        <v>8</v>
      </c>
      <c r="D570" t="s">
        <v>257</v>
      </c>
      <c r="E570" s="4">
        <v>37.72</v>
      </c>
      <c r="F570" t="s">
        <v>24</v>
      </c>
      <c r="G570" s="10" t="str">
        <f>TEXT(Transform_Data[[#This Row],[Date]],"mmm yyyy")</f>
        <v>May 2024</v>
      </c>
      <c r="H570" s="10">
        <f>HOUR(Transform_Data[[#This Row],[Time]])</f>
        <v>15</v>
      </c>
      <c r="I570" s="10" t="str">
        <f>IF(COUNTIF('Transform Data'!$D:$D,'Transform Data'!D570)&gt;1,"Repeat","Single")</f>
        <v>Repeat</v>
      </c>
      <c r="J570" s="10" t="str">
        <f>IF('Transform Data'!D570="Cash","Cash",IF(COUNTIF('Transform Data'!$D:$D,'Transform Data'!D570)&gt;1,"Repeat","Single"))</f>
        <v>Repeat</v>
      </c>
      <c r="K570" s="10" t="str">
        <f t="shared" si="8"/>
        <v>TRANS-0569</v>
      </c>
    </row>
    <row r="571" spans="1:11" x14ac:dyDescent="0.35">
      <c r="A571" s="5">
        <v>45435</v>
      </c>
      <c r="B571" s="3">
        <v>0.67932870370370368</v>
      </c>
      <c r="C571" t="s">
        <v>8</v>
      </c>
      <c r="D571" t="s">
        <v>234</v>
      </c>
      <c r="E571" s="4">
        <v>37.72</v>
      </c>
      <c r="F571" t="s">
        <v>24</v>
      </c>
      <c r="G571" s="10" t="str">
        <f>TEXT(Transform_Data[[#This Row],[Date]],"mmm yyyy")</f>
        <v>May 2024</v>
      </c>
      <c r="H571" s="10">
        <f>HOUR(Transform_Data[[#This Row],[Time]])</f>
        <v>16</v>
      </c>
      <c r="I571" s="10" t="str">
        <f>IF(COUNTIF('Transform Data'!$D:$D,'Transform Data'!D571)&gt;1,"Repeat","Single")</f>
        <v>Repeat</v>
      </c>
      <c r="J571" s="10" t="str">
        <f>IF('Transform Data'!D571="Cash","Cash",IF(COUNTIF('Transform Data'!$D:$D,'Transform Data'!D571)&gt;1,"Repeat","Single"))</f>
        <v>Repeat</v>
      </c>
      <c r="K571" s="10" t="str">
        <f t="shared" si="8"/>
        <v>TRANS-0570</v>
      </c>
    </row>
    <row r="572" spans="1:11" x14ac:dyDescent="0.35">
      <c r="A572" s="5">
        <v>45435</v>
      </c>
      <c r="B572" s="3">
        <v>0.69513888888888886</v>
      </c>
      <c r="C572" t="s">
        <v>8</v>
      </c>
      <c r="D572" t="s">
        <v>133</v>
      </c>
      <c r="E572" s="4">
        <v>37.72</v>
      </c>
      <c r="F572" t="s">
        <v>32</v>
      </c>
      <c r="G572" s="10" t="str">
        <f>TEXT(Transform_Data[[#This Row],[Date]],"mmm yyyy")</f>
        <v>May 2024</v>
      </c>
      <c r="H572" s="10">
        <f>HOUR(Transform_Data[[#This Row],[Time]])</f>
        <v>16</v>
      </c>
      <c r="I572" s="10" t="str">
        <f>IF(COUNTIF('Transform Data'!$D:$D,'Transform Data'!D572)&gt;1,"Repeat","Single")</f>
        <v>Repeat</v>
      </c>
      <c r="J572" s="10" t="str">
        <f>IF('Transform Data'!D572="Cash","Cash",IF(COUNTIF('Transform Data'!$D:$D,'Transform Data'!D572)&gt;1,"Repeat","Single"))</f>
        <v>Repeat</v>
      </c>
      <c r="K572" s="10" t="str">
        <f t="shared" si="8"/>
        <v>TRANS-0571</v>
      </c>
    </row>
    <row r="573" spans="1:11" x14ac:dyDescent="0.35">
      <c r="A573" s="5">
        <v>45435</v>
      </c>
      <c r="B573" s="3">
        <v>0.71843749999999995</v>
      </c>
      <c r="C573" t="s">
        <v>8</v>
      </c>
      <c r="D573" t="s">
        <v>207</v>
      </c>
      <c r="E573" s="4">
        <v>37.72</v>
      </c>
      <c r="F573" t="s">
        <v>24</v>
      </c>
      <c r="G573" s="10" t="str">
        <f>TEXT(Transform_Data[[#This Row],[Date]],"mmm yyyy")</f>
        <v>May 2024</v>
      </c>
      <c r="H573" s="10">
        <f>HOUR(Transform_Data[[#This Row],[Time]])</f>
        <v>17</v>
      </c>
      <c r="I573" s="10" t="str">
        <f>IF(COUNTIF('Transform Data'!$D:$D,'Transform Data'!D573)&gt;1,"Repeat","Single")</f>
        <v>Repeat</v>
      </c>
      <c r="J573" s="10" t="str">
        <f>IF('Transform Data'!D573="Cash","Cash",IF(COUNTIF('Transform Data'!$D:$D,'Transform Data'!D573)&gt;1,"Repeat","Single"))</f>
        <v>Repeat</v>
      </c>
      <c r="K573" s="10" t="str">
        <f t="shared" si="8"/>
        <v>TRANS-0572</v>
      </c>
    </row>
    <row r="574" spans="1:11" x14ac:dyDescent="0.35">
      <c r="A574" s="5">
        <v>45435</v>
      </c>
      <c r="B574" s="3">
        <v>0.71925925925925926</v>
      </c>
      <c r="C574" t="s">
        <v>8</v>
      </c>
      <c r="D574" t="s">
        <v>207</v>
      </c>
      <c r="E574" s="4">
        <v>37.72</v>
      </c>
      <c r="F574" t="s">
        <v>32</v>
      </c>
      <c r="G574" s="10" t="str">
        <f>TEXT(Transform_Data[[#This Row],[Date]],"mmm yyyy")</f>
        <v>May 2024</v>
      </c>
      <c r="H574" s="10">
        <f>HOUR(Transform_Data[[#This Row],[Time]])</f>
        <v>17</v>
      </c>
      <c r="I574" s="10" t="str">
        <f>IF(COUNTIF('Transform Data'!$D:$D,'Transform Data'!D574)&gt;1,"Repeat","Single")</f>
        <v>Repeat</v>
      </c>
      <c r="J574" s="10" t="str">
        <f>IF('Transform Data'!D574="Cash","Cash",IF(COUNTIF('Transform Data'!$D:$D,'Transform Data'!D574)&gt;1,"Repeat","Single"))</f>
        <v>Repeat</v>
      </c>
      <c r="K574" s="10" t="str">
        <f t="shared" si="8"/>
        <v>TRANS-0573</v>
      </c>
    </row>
    <row r="575" spans="1:11" x14ac:dyDescent="0.35">
      <c r="A575" s="5">
        <v>45435</v>
      </c>
      <c r="B575" s="3">
        <v>0.7943634259259259</v>
      </c>
      <c r="C575" t="s">
        <v>8</v>
      </c>
      <c r="D575" t="s">
        <v>258</v>
      </c>
      <c r="E575" s="4">
        <v>27.92</v>
      </c>
      <c r="F575" t="s">
        <v>20</v>
      </c>
      <c r="G575" s="10" t="str">
        <f>TEXT(Transform_Data[[#This Row],[Date]],"mmm yyyy")</f>
        <v>May 2024</v>
      </c>
      <c r="H575" s="10">
        <f>HOUR(Transform_Data[[#This Row],[Time]])</f>
        <v>19</v>
      </c>
      <c r="I575" s="10" t="str">
        <f>IF(COUNTIF('Transform Data'!$D:$D,'Transform Data'!D575)&gt;1,"Repeat","Single")</f>
        <v>Single</v>
      </c>
      <c r="J575" s="10" t="str">
        <f>IF('Transform Data'!D575="Cash","Cash",IF(COUNTIF('Transform Data'!$D:$D,'Transform Data'!D575)&gt;1,"Repeat","Single"))</f>
        <v>Single</v>
      </c>
      <c r="K575" s="10" t="str">
        <f t="shared" si="8"/>
        <v>TRANS-0574</v>
      </c>
    </row>
    <row r="576" spans="1:11" x14ac:dyDescent="0.35">
      <c r="A576" s="5">
        <v>45435</v>
      </c>
      <c r="B576" s="3">
        <v>0.80379629629629634</v>
      </c>
      <c r="C576" t="s">
        <v>8</v>
      </c>
      <c r="D576" t="s">
        <v>189</v>
      </c>
      <c r="E576" s="4">
        <v>37.72</v>
      </c>
      <c r="F576" t="s">
        <v>24</v>
      </c>
      <c r="G576" s="10" t="str">
        <f>TEXT(Transform_Data[[#This Row],[Date]],"mmm yyyy")</f>
        <v>May 2024</v>
      </c>
      <c r="H576" s="10">
        <f>HOUR(Transform_Data[[#This Row],[Time]])</f>
        <v>19</v>
      </c>
      <c r="I576" s="10" t="str">
        <f>IF(COUNTIF('Transform Data'!$D:$D,'Transform Data'!D576)&gt;1,"Repeat","Single")</f>
        <v>Repeat</v>
      </c>
      <c r="J576" s="10" t="str">
        <f>IF('Transform Data'!D576="Cash","Cash",IF(COUNTIF('Transform Data'!$D:$D,'Transform Data'!D576)&gt;1,"Repeat","Single"))</f>
        <v>Repeat</v>
      </c>
      <c r="K576" s="10" t="str">
        <f t="shared" si="8"/>
        <v>TRANS-0575</v>
      </c>
    </row>
    <row r="577" spans="1:11" x14ac:dyDescent="0.35">
      <c r="A577" s="5">
        <v>45435</v>
      </c>
      <c r="B577" s="3">
        <v>0.8044675925925926</v>
      </c>
      <c r="C577" t="s">
        <v>8</v>
      </c>
      <c r="D577" t="s">
        <v>259</v>
      </c>
      <c r="E577" s="4">
        <v>37.72</v>
      </c>
      <c r="F577" t="s">
        <v>24</v>
      </c>
      <c r="G577" s="10" t="str">
        <f>TEXT(Transform_Data[[#This Row],[Date]],"mmm yyyy")</f>
        <v>May 2024</v>
      </c>
      <c r="H577" s="10">
        <f>HOUR(Transform_Data[[#This Row],[Time]])</f>
        <v>19</v>
      </c>
      <c r="I577" s="10" t="str">
        <f>IF(COUNTIF('Transform Data'!$D:$D,'Transform Data'!D577)&gt;1,"Repeat","Single")</f>
        <v>Repeat</v>
      </c>
      <c r="J577" s="10" t="str">
        <f>IF('Transform Data'!D577="Cash","Cash",IF(COUNTIF('Transform Data'!$D:$D,'Transform Data'!D577)&gt;1,"Repeat","Single"))</f>
        <v>Repeat</v>
      </c>
      <c r="K577" s="10" t="str">
        <f t="shared" si="8"/>
        <v>TRANS-0576</v>
      </c>
    </row>
    <row r="578" spans="1:11" x14ac:dyDescent="0.35">
      <c r="A578" s="5">
        <v>45435</v>
      </c>
      <c r="B578" s="3">
        <v>0.82119212962962962</v>
      </c>
      <c r="C578" t="s">
        <v>8</v>
      </c>
      <c r="D578" t="s">
        <v>260</v>
      </c>
      <c r="E578" s="4">
        <v>37.72</v>
      </c>
      <c r="F578" t="s">
        <v>24</v>
      </c>
      <c r="G578" s="10" t="str">
        <f>TEXT(Transform_Data[[#This Row],[Date]],"mmm yyyy")</f>
        <v>May 2024</v>
      </c>
      <c r="H578" s="10">
        <f>HOUR(Transform_Data[[#This Row],[Time]])</f>
        <v>19</v>
      </c>
      <c r="I578" s="10" t="str">
        <f>IF(COUNTIF('Transform Data'!$D:$D,'Transform Data'!D578)&gt;1,"Repeat","Single")</f>
        <v>Repeat</v>
      </c>
      <c r="J578" s="10" t="str">
        <f>IF('Transform Data'!D578="Cash","Cash",IF(COUNTIF('Transform Data'!$D:$D,'Transform Data'!D578)&gt;1,"Repeat","Single"))</f>
        <v>Repeat</v>
      </c>
      <c r="K578" s="10" t="str">
        <f t="shared" ref="K578:K641" si="9">"TRANS-"&amp;TEXT(ROW(A577),"0000")</f>
        <v>TRANS-0577</v>
      </c>
    </row>
    <row r="579" spans="1:11" x14ac:dyDescent="0.35">
      <c r="A579" s="5">
        <v>45435</v>
      </c>
      <c r="B579" s="3">
        <v>0.84376157407407404</v>
      </c>
      <c r="C579" t="s">
        <v>8</v>
      </c>
      <c r="D579" t="s">
        <v>261</v>
      </c>
      <c r="E579" s="4">
        <v>37.72</v>
      </c>
      <c r="F579" t="s">
        <v>24</v>
      </c>
      <c r="G579" s="10" t="str">
        <f>TEXT(Transform_Data[[#This Row],[Date]],"mmm yyyy")</f>
        <v>May 2024</v>
      </c>
      <c r="H579" s="10">
        <f>HOUR(Transform_Data[[#This Row],[Time]])</f>
        <v>20</v>
      </c>
      <c r="I579" s="10" t="str">
        <f>IF(COUNTIF('Transform Data'!$D:$D,'Transform Data'!D579)&gt;1,"Repeat","Single")</f>
        <v>Repeat</v>
      </c>
      <c r="J579" s="10" t="str">
        <f>IF('Transform Data'!D579="Cash","Cash",IF(COUNTIF('Transform Data'!$D:$D,'Transform Data'!D579)&gt;1,"Repeat","Single"))</f>
        <v>Repeat</v>
      </c>
      <c r="K579" s="10" t="str">
        <f t="shared" si="9"/>
        <v>TRANS-0578</v>
      </c>
    </row>
    <row r="580" spans="1:11" x14ac:dyDescent="0.35">
      <c r="A580" s="5">
        <v>45435</v>
      </c>
      <c r="B580" s="3">
        <v>0.84472222222222226</v>
      </c>
      <c r="C580" t="s">
        <v>8</v>
      </c>
      <c r="D580" t="s">
        <v>261</v>
      </c>
      <c r="E580" s="4">
        <v>37.72</v>
      </c>
      <c r="F580" t="s">
        <v>32</v>
      </c>
      <c r="G580" s="10" t="str">
        <f>TEXT(Transform_Data[[#This Row],[Date]],"mmm yyyy")</f>
        <v>May 2024</v>
      </c>
      <c r="H580" s="10">
        <f>HOUR(Transform_Data[[#This Row],[Time]])</f>
        <v>20</v>
      </c>
      <c r="I580" s="10" t="str">
        <f>IF(COUNTIF('Transform Data'!$D:$D,'Transform Data'!D580)&gt;1,"Repeat","Single")</f>
        <v>Repeat</v>
      </c>
      <c r="J580" s="10" t="str">
        <f>IF('Transform Data'!D580="Cash","Cash",IF(COUNTIF('Transform Data'!$D:$D,'Transform Data'!D580)&gt;1,"Repeat","Single"))</f>
        <v>Repeat</v>
      </c>
      <c r="K580" s="10" t="str">
        <f t="shared" si="9"/>
        <v>TRANS-0579</v>
      </c>
    </row>
    <row r="581" spans="1:11" x14ac:dyDescent="0.35">
      <c r="A581" s="5">
        <v>45435</v>
      </c>
      <c r="B581" s="3">
        <v>0.95011574074074079</v>
      </c>
      <c r="C581" t="s">
        <v>8</v>
      </c>
      <c r="D581" t="s">
        <v>262</v>
      </c>
      <c r="E581" s="4">
        <v>32.82</v>
      </c>
      <c r="F581" t="s">
        <v>36</v>
      </c>
      <c r="G581" s="10" t="str">
        <f>TEXT(Transform_Data[[#This Row],[Date]],"mmm yyyy")</f>
        <v>May 2024</v>
      </c>
      <c r="H581" s="10">
        <f>HOUR(Transform_Data[[#This Row],[Time]])</f>
        <v>22</v>
      </c>
      <c r="I581" s="10" t="str">
        <f>IF(COUNTIF('Transform Data'!$D:$D,'Transform Data'!D581)&gt;1,"Repeat","Single")</f>
        <v>Single</v>
      </c>
      <c r="J581" s="10" t="str">
        <f>IF('Transform Data'!D581="Cash","Cash",IF(COUNTIF('Transform Data'!$D:$D,'Transform Data'!D581)&gt;1,"Repeat","Single"))</f>
        <v>Single</v>
      </c>
      <c r="K581" s="10" t="str">
        <f t="shared" si="9"/>
        <v>TRANS-0580</v>
      </c>
    </row>
    <row r="582" spans="1:11" x14ac:dyDescent="0.35">
      <c r="A582" s="5">
        <v>45435</v>
      </c>
      <c r="B582" s="3">
        <v>0.95527777777777778</v>
      </c>
      <c r="C582" t="s">
        <v>13</v>
      </c>
      <c r="D582" t="s">
        <v>37</v>
      </c>
      <c r="E582" s="4">
        <v>39</v>
      </c>
      <c r="F582" t="s">
        <v>15</v>
      </c>
      <c r="G582" s="10" t="str">
        <f>TEXT(Transform_Data[[#This Row],[Date]],"mmm yyyy")</f>
        <v>May 2024</v>
      </c>
      <c r="H582" s="10">
        <f>HOUR(Transform_Data[[#This Row],[Time]])</f>
        <v>22</v>
      </c>
      <c r="I582" s="10" t="str">
        <f>IF(COUNTIF('Transform Data'!$D:$D,'Transform Data'!D582)&gt;1,"Repeat","Single")</f>
        <v>Repeat</v>
      </c>
      <c r="J582" s="10" t="str">
        <f>IF('Transform Data'!D582="Cash","Cash",IF(COUNTIF('Transform Data'!$D:$D,'Transform Data'!D582)&gt;1,"Repeat","Single"))</f>
        <v>Repeat</v>
      </c>
      <c r="K582" s="10" t="str">
        <f t="shared" si="9"/>
        <v>TRANS-0581</v>
      </c>
    </row>
    <row r="583" spans="1:11" x14ac:dyDescent="0.35">
      <c r="A583" s="5">
        <v>45436</v>
      </c>
      <c r="B583" s="3">
        <v>0.46665509259259258</v>
      </c>
      <c r="C583" t="s">
        <v>8</v>
      </c>
      <c r="D583" t="s">
        <v>40</v>
      </c>
      <c r="E583" s="4">
        <v>27.92</v>
      </c>
      <c r="F583" t="s">
        <v>20</v>
      </c>
      <c r="G583" s="10" t="str">
        <f>TEXT(Transform_Data[[#This Row],[Date]],"mmm yyyy")</f>
        <v>May 2024</v>
      </c>
      <c r="H583" s="10">
        <f>HOUR(Transform_Data[[#This Row],[Time]])</f>
        <v>11</v>
      </c>
      <c r="I583" s="10" t="str">
        <f>IF(COUNTIF('Transform Data'!$D:$D,'Transform Data'!D583)&gt;1,"Repeat","Single")</f>
        <v>Repeat</v>
      </c>
      <c r="J583" s="10" t="str">
        <f>IF('Transform Data'!D583="Cash","Cash",IF(COUNTIF('Transform Data'!$D:$D,'Transform Data'!D583)&gt;1,"Repeat","Single"))</f>
        <v>Repeat</v>
      </c>
      <c r="K583" s="10" t="str">
        <f t="shared" si="9"/>
        <v>TRANS-0582</v>
      </c>
    </row>
    <row r="584" spans="1:11" x14ac:dyDescent="0.35">
      <c r="A584" s="5">
        <v>45436</v>
      </c>
      <c r="B584" s="3">
        <v>0.46884259259259259</v>
      </c>
      <c r="C584" t="s">
        <v>8</v>
      </c>
      <c r="D584" t="s">
        <v>43</v>
      </c>
      <c r="E584" s="4">
        <v>27.92</v>
      </c>
      <c r="F584" t="s">
        <v>28</v>
      </c>
      <c r="G584" s="10" t="str">
        <f>TEXT(Transform_Data[[#This Row],[Date]],"mmm yyyy")</f>
        <v>May 2024</v>
      </c>
      <c r="H584" s="10">
        <f>HOUR(Transform_Data[[#This Row],[Time]])</f>
        <v>11</v>
      </c>
      <c r="I584" s="10" t="str">
        <f>IF(COUNTIF('Transform Data'!$D:$D,'Transform Data'!D584)&gt;1,"Repeat","Single")</f>
        <v>Repeat</v>
      </c>
      <c r="J584" s="10" t="str">
        <f>IF('Transform Data'!D584="Cash","Cash",IF(COUNTIF('Transform Data'!$D:$D,'Transform Data'!D584)&gt;1,"Repeat","Single"))</f>
        <v>Repeat</v>
      </c>
      <c r="K584" s="10" t="str">
        <f t="shared" si="9"/>
        <v>TRANS-0583</v>
      </c>
    </row>
    <row r="585" spans="1:11" x14ac:dyDescent="0.35">
      <c r="A585" s="5">
        <v>45436</v>
      </c>
      <c r="B585" s="3">
        <v>0.46959490740740739</v>
      </c>
      <c r="C585" t="s">
        <v>8</v>
      </c>
      <c r="D585" t="s">
        <v>43</v>
      </c>
      <c r="E585" s="4">
        <v>27.92</v>
      </c>
      <c r="F585" t="s">
        <v>28</v>
      </c>
      <c r="G585" s="10" t="str">
        <f>TEXT(Transform_Data[[#This Row],[Date]],"mmm yyyy")</f>
        <v>May 2024</v>
      </c>
      <c r="H585" s="10">
        <f>HOUR(Transform_Data[[#This Row],[Time]])</f>
        <v>11</v>
      </c>
      <c r="I585" s="10" t="str">
        <f>IF(COUNTIF('Transform Data'!$D:$D,'Transform Data'!D585)&gt;1,"Repeat","Single")</f>
        <v>Repeat</v>
      </c>
      <c r="J585" s="10" t="str">
        <f>IF('Transform Data'!D585="Cash","Cash",IF(COUNTIF('Transform Data'!$D:$D,'Transform Data'!D585)&gt;1,"Repeat","Single"))</f>
        <v>Repeat</v>
      </c>
      <c r="K585" s="10" t="str">
        <f t="shared" si="9"/>
        <v>TRANS-0584</v>
      </c>
    </row>
    <row r="586" spans="1:11" x14ac:dyDescent="0.35">
      <c r="A586" s="5">
        <v>45436</v>
      </c>
      <c r="B586" s="3">
        <v>0.67174768518518524</v>
      </c>
      <c r="C586" t="s">
        <v>8</v>
      </c>
      <c r="D586" t="s">
        <v>137</v>
      </c>
      <c r="E586" s="4">
        <v>37.72</v>
      </c>
      <c r="F586" t="s">
        <v>15</v>
      </c>
      <c r="G586" s="10" t="str">
        <f>TEXT(Transform_Data[[#This Row],[Date]],"mmm yyyy")</f>
        <v>May 2024</v>
      </c>
      <c r="H586" s="10">
        <f>HOUR(Transform_Data[[#This Row],[Time]])</f>
        <v>16</v>
      </c>
      <c r="I586" s="10" t="str">
        <f>IF(COUNTIF('Transform Data'!$D:$D,'Transform Data'!D586)&gt;1,"Repeat","Single")</f>
        <v>Repeat</v>
      </c>
      <c r="J586" s="10" t="str">
        <f>IF('Transform Data'!D586="Cash","Cash",IF(COUNTIF('Transform Data'!$D:$D,'Transform Data'!D586)&gt;1,"Repeat","Single"))</f>
        <v>Repeat</v>
      </c>
      <c r="K586" s="10" t="str">
        <f t="shared" si="9"/>
        <v>TRANS-0585</v>
      </c>
    </row>
    <row r="587" spans="1:11" x14ac:dyDescent="0.35">
      <c r="A587" s="5">
        <v>45436</v>
      </c>
      <c r="B587" s="3">
        <v>0.76226851851851851</v>
      </c>
      <c r="C587" t="s">
        <v>8</v>
      </c>
      <c r="D587" t="s">
        <v>263</v>
      </c>
      <c r="E587" s="4">
        <v>27.92</v>
      </c>
      <c r="F587" t="s">
        <v>20</v>
      </c>
      <c r="G587" s="10" t="str">
        <f>TEXT(Transform_Data[[#This Row],[Date]],"mmm yyyy")</f>
        <v>May 2024</v>
      </c>
      <c r="H587" s="10">
        <f>HOUR(Transform_Data[[#This Row],[Time]])</f>
        <v>18</v>
      </c>
      <c r="I587" s="10" t="str">
        <f>IF(COUNTIF('Transform Data'!$D:$D,'Transform Data'!D587)&gt;1,"Repeat","Single")</f>
        <v>Repeat</v>
      </c>
      <c r="J587" s="10" t="str">
        <f>IF('Transform Data'!D587="Cash","Cash",IF(COUNTIF('Transform Data'!$D:$D,'Transform Data'!D587)&gt;1,"Repeat","Single"))</f>
        <v>Repeat</v>
      </c>
      <c r="K587" s="10" t="str">
        <f t="shared" si="9"/>
        <v>TRANS-0586</v>
      </c>
    </row>
    <row r="588" spans="1:11" x14ac:dyDescent="0.35">
      <c r="A588" s="5">
        <v>45436</v>
      </c>
      <c r="B588" s="3">
        <v>0.76291666666666669</v>
      </c>
      <c r="C588" t="s">
        <v>8</v>
      </c>
      <c r="D588" t="s">
        <v>263</v>
      </c>
      <c r="E588" s="4">
        <v>27.92</v>
      </c>
      <c r="F588" t="s">
        <v>20</v>
      </c>
      <c r="G588" s="10" t="str">
        <f>TEXT(Transform_Data[[#This Row],[Date]],"mmm yyyy")</f>
        <v>May 2024</v>
      </c>
      <c r="H588" s="10">
        <f>HOUR(Transform_Data[[#This Row],[Time]])</f>
        <v>18</v>
      </c>
      <c r="I588" s="10" t="str">
        <f>IF(COUNTIF('Transform Data'!$D:$D,'Transform Data'!D588)&gt;1,"Repeat","Single")</f>
        <v>Repeat</v>
      </c>
      <c r="J588" s="10" t="str">
        <f>IF('Transform Data'!D588="Cash","Cash",IF(COUNTIF('Transform Data'!$D:$D,'Transform Data'!D588)&gt;1,"Repeat","Single"))</f>
        <v>Repeat</v>
      </c>
      <c r="K588" s="10" t="str">
        <f t="shared" si="9"/>
        <v>TRANS-0587</v>
      </c>
    </row>
    <row r="589" spans="1:11" x14ac:dyDescent="0.35">
      <c r="A589" s="5">
        <v>45436</v>
      </c>
      <c r="B589" s="3">
        <v>0.937962962962963</v>
      </c>
      <c r="C589" t="s">
        <v>8</v>
      </c>
      <c r="D589" t="s">
        <v>264</v>
      </c>
      <c r="E589" s="4">
        <v>32.82</v>
      </c>
      <c r="F589" t="s">
        <v>36</v>
      </c>
      <c r="G589" s="10" t="str">
        <f>TEXT(Transform_Data[[#This Row],[Date]],"mmm yyyy")</f>
        <v>May 2024</v>
      </c>
      <c r="H589" s="10">
        <f>HOUR(Transform_Data[[#This Row],[Time]])</f>
        <v>22</v>
      </c>
      <c r="I589" s="10" t="str">
        <f>IF(COUNTIF('Transform Data'!$D:$D,'Transform Data'!D589)&gt;1,"Repeat","Single")</f>
        <v>Single</v>
      </c>
      <c r="J589" s="10" t="str">
        <f>IF('Transform Data'!D589="Cash","Cash",IF(COUNTIF('Transform Data'!$D:$D,'Transform Data'!D589)&gt;1,"Repeat","Single"))</f>
        <v>Single</v>
      </c>
      <c r="K589" s="10" t="str">
        <f t="shared" si="9"/>
        <v>TRANS-0588</v>
      </c>
    </row>
    <row r="590" spans="1:11" x14ac:dyDescent="0.35">
      <c r="A590" s="5">
        <v>45437</v>
      </c>
      <c r="B590" s="3">
        <v>0.32011574074074073</v>
      </c>
      <c r="C590" t="s">
        <v>13</v>
      </c>
      <c r="D590" t="s">
        <v>37</v>
      </c>
      <c r="E590" s="4">
        <v>29</v>
      </c>
      <c r="F590" t="s">
        <v>28</v>
      </c>
      <c r="G590" s="10" t="str">
        <f>TEXT(Transform_Data[[#This Row],[Date]],"mmm yyyy")</f>
        <v>May 2024</v>
      </c>
      <c r="H590" s="10">
        <f>HOUR(Transform_Data[[#This Row],[Time]])</f>
        <v>7</v>
      </c>
      <c r="I590" s="10" t="str">
        <f>IF(COUNTIF('Transform Data'!$D:$D,'Transform Data'!D590)&gt;1,"Repeat","Single")</f>
        <v>Repeat</v>
      </c>
      <c r="J590" s="10" t="str">
        <f>IF('Transform Data'!D590="Cash","Cash",IF(COUNTIF('Transform Data'!$D:$D,'Transform Data'!D590)&gt;1,"Repeat","Single"))</f>
        <v>Repeat</v>
      </c>
      <c r="K590" s="10" t="str">
        <f t="shared" si="9"/>
        <v>TRANS-0589</v>
      </c>
    </row>
    <row r="591" spans="1:11" x14ac:dyDescent="0.35">
      <c r="A591" s="5">
        <v>45437</v>
      </c>
      <c r="B591" s="3">
        <v>0.50964120370370369</v>
      </c>
      <c r="C591" t="s">
        <v>8</v>
      </c>
      <c r="D591" t="s">
        <v>265</v>
      </c>
      <c r="E591" s="4">
        <v>37.72</v>
      </c>
      <c r="F591" t="s">
        <v>32</v>
      </c>
      <c r="G591" s="10" t="str">
        <f>TEXT(Transform_Data[[#This Row],[Date]],"mmm yyyy")</f>
        <v>May 2024</v>
      </c>
      <c r="H591" s="10">
        <f>HOUR(Transform_Data[[#This Row],[Time]])</f>
        <v>12</v>
      </c>
      <c r="I591" s="10" t="str">
        <f>IF(COUNTIF('Transform Data'!$D:$D,'Transform Data'!D591)&gt;1,"Repeat","Single")</f>
        <v>Single</v>
      </c>
      <c r="J591" s="10" t="str">
        <f>IF('Transform Data'!D591="Cash","Cash",IF(COUNTIF('Transform Data'!$D:$D,'Transform Data'!D591)&gt;1,"Repeat","Single"))</f>
        <v>Single</v>
      </c>
      <c r="K591" s="10" t="str">
        <f t="shared" si="9"/>
        <v>TRANS-0590</v>
      </c>
    </row>
    <row r="592" spans="1:11" x14ac:dyDescent="0.35">
      <c r="A592" s="5">
        <v>45437</v>
      </c>
      <c r="B592" s="3">
        <v>0.52804398148148146</v>
      </c>
      <c r="C592" t="s">
        <v>13</v>
      </c>
      <c r="D592" t="s">
        <v>37</v>
      </c>
      <c r="E592" s="4">
        <v>29</v>
      </c>
      <c r="F592" t="s">
        <v>28</v>
      </c>
      <c r="G592" s="10" t="str">
        <f>TEXT(Transform_Data[[#This Row],[Date]],"mmm yyyy")</f>
        <v>May 2024</v>
      </c>
      <c r="H592" s="10">
        <f>HOUR(Transform_Data[[#This Row],[Time]])</f>
        <v>12</v>
      </c>
      <c r="I592" s="10" t="str">
        <f>IF(COUNTIF('Transform Data'!$D:$D,'Transform Data'!D592)&gt;1,"Repeat","Single")</f>
        <v>Repeat</v>
      </c>
      <c r="J592" s="10" t="str">
        <f>IF('Transform Data'!D592="Cash","Cash",IF(COUNTIF('Transform Data'!$D:$D,'Transform Data'!D592)&gt;1,"Repeat","Single"))</f>
        <v>Repeat</v>
      </c>
      <c r="K592" s="10" t="str">
        <f t="shared" si="9"/>
        <v>TRANS-0591</v>
      </c>
    </row>
    <row r="593" spans="1:11" x14ac:dyDescent="0.35">
      <c r="A593" s="5">
        <v>45437</v>
      </c>
      <c r="B593" s="3">
        <v>0.5292824074074074</v>
      </c>
      <c r="C593" t="s">
        <v>8</v>
      </c>
      <c r="D593" t="s">
        <v>266</v>
      </c>
      <c r="E593" s="4">
        <v>32.82</v>
      </c>
      <c r="F593" t="s">
        <v>36</v>
      </c>
      <c r="G593" s="10" t="str">
        <f>TEXT(Transform_Data[[#This Row],[Date]],"mmm yyyy")</f>
        <v>May 2024</v>
      </c>
      <c r="H593" s="10">
        <f>HOUR(Transform_Data[[#This Row],[Time]])</f>
        <v>12</v>
      </c>
      <c r="I593" s="10" t="str">
        <f>IF(COUNTIF('Transform Data'!$D:$D,'Transform Data'!D593)&gt;1,"Repeat","Single")</f>
        <v>Repeat</v>
      </c>
      <c r="J593" s="10" t="str">
        <f>IF('Transform Data'!D593="Cash","Cash",IF(COUNTIF('Transform Data'!$D:$D,'Transform Data'!D593)&gt;1,"Repeat","Single"))</f>
        <v>Repeat</v>
      </c>
      <c r="K593" s="10" t="str">
        <f t="shared" si="9"/>
        <v>TRANS-0592</v>
      </c>
    </row>
    <row r="594" spans="1:11" x14ac:dyDescent="0.35">
      <c r="A594" s="5">
        <v>45437</v>
      </c>
      <c r="B594" s="3">
        <v>0.53001157407407407</v>
      </c>
      <c r="C594" t="s">
        <v>8</v>
      </c>
      <c r="D594" t="s">
        <v>266</v>
      </c>
      <c r="E594" s="4">
        <v>32.82</v>
      </c>
      <c r="F594" t="s">
        <v>36</v>
      </c>
      <c r="G594" s="10" t="str">
        <f>TEXT(Transform_Data[[#This Row],[Date]],"mmm yyyy")</f>
        <v>May 2024</v>
      </c>
      <c r="H594" s="10">
        <f>HOUR(Transform_Data[[#This Row],[Time]])</f>
        <v>12</v>
      </c>
      <c r="I594" s="10" t="str">
        <f>IF(COUNTIF('Transform Data'!$D:$D,'Transform Data'!D594)&gt;1,"Repeat","Single")</f>
        <v>Repeat</v>
      </c>
      <c r="J594" s="10" t="str">
        <f>IF('Transform Data'!D594="Cash","Cash",IF(COUNTIF('Transform Data'!$D:$D,'Transform Data'!D594)&gt;1,"Repeat","Single"))</f>
        <v>Repeat</v>
      </c>
      <c r="K594" s="10" t="str">
        <f t="shared" si="9"/>
        <v>TRANS-0593</v>
      </c>
    </row>
    <row r="595" spans="1:11" x14ac:dyDescent="0.35">
      <c r="A595" s="5">
        <v>45437</v>
      </c>
      <c r="B595" s="3">
        <v>0.54041666666666666</v>
      </c>
      <c r="C595" t="s">
        <v>8</v>
      </c>
      <c r="D595" t="s">
        <v>267</v>
      </c>
      <c r="E595" s="4">
        <v>32.82</v>
      </c>
      <c r="F595" t="s">
        <v>36</v>
      </c>
      <c r="G595" s="10" t="str">
        <f>TEXT(Transform_Data[[#This Row],[Date]],"mmm yyyy")</f>
        <v>May 2024</v>
      </c>
      <c r="H595" s="10">
        <f>HOUR(Transform_Data[[#This Row],[Time]])</f>
        <v>12</v>
      </c>
      <c r="I595" s="10" t="str">
        <f>IF(COUNTIF('Transform Data'!$D:$D,'Transform Data'!D595)&gt;1,"Repeat","Single")</f>
        <v>Single</v>
      </c>
      <c r="J595" s="10" t="str">
        <f>IF('Transform Data'!D595="Cash","Cash",IF(COUNTIF('Transform Data'!$D:$D,'Transform Data'!D595)&gt;1,"Repeat","Single"))</f>
        <v>Single</v>
      </c>
      <c r="K595" s="10" t="str">
        <f t="shared" si="9"/>
        <v>TRANS-0594</v>
      </c>
    </row>
    <row r="596" spans="1:11" x14ac:dyDescent="0.35">
      <c r="A596" s="5">
        <v>45437</v>
      </c>
      <c r="B596" s="3">
        <v>0.6994097222222222</v>
      </c>
      <c r="C596" t="s">
        <v>8</v>
      </c>
      <c r="D596" t="s">
        <v>16</v>
      </c>
      <c r="E596" s="4">
        <v>32.82</v>
      </c>
      <c r="F596" t="s">
        <v>36</v>
      </c>
      <c r="G596" s="10" t="str">
        <f>TEXT(Transform_Data[[#This Row],[Date]],"mmm yyyy")</f>
        <v>May 2024</v>
      </c>
      <c r="H596" s="10">
        <f>HOUR(Transform_Data[[#This Row],[Time]])</f>
        <v>16</v>
      </c>
      <c r="I596" s="10" t="str">
        <f>IF(COUNTIF('Transform Data'!$D:$D,'Transform Data'!D596)&gt;1,"Repeat","Single")</f>
        <v>Repeat</v>
      </c>
      <c r="J596" s="10" t="str">
        <f>IF('Transform Data'!D596="Cash","Cash",IF(COUNTIF('Transform Data'!$D:$D,'Transform Data'!D596)&gt;1,"Repeat","Single"))</f>
        <v>Repeat</v>
      </c>
      <c r="K596" s="10" t="str">
        <f t="shared" si="9"/>
        <v>TRANS-0595</v>
      </c>
    </row>
    <row r="597" spans="1:11" x14ac:dyDescent="0.35">
      <c r="A597" s="5">
        <v>45437</v>
      </c>
      <c r="B597" s="3">
        <v>0.70018518518518513</v>
      </c>
      <c r="C597" t="s">
        <v>8</v>
      </c>
      <c r="D597" t="s">
        <v>16</v>
      </c>
      <c r="E597" s="4">
        <v>27.92</v>
      </c>
      <c r="F597" t="s">
        <v>28</v>
      </c>
      <c r="G597" s="10" t="str">
        <f>TEXT(Transform_Data[[#This Row],[Date]],"mmm yyyy")</f>
        <v>May 2024</v>
      </c>
      <c r="H597" s="10">
        <f>HOUR(Transform_Data[[#This Row],[Time]])</f>
        <v>16</v>
      </c>
      <c r="I597" s="10" t="str">
        <f>IF(COUNTIF('Transform Data'!$D:$D,'Transform Data'!D597)&gt;1,"Repeat","Single")</f>
        <v>Repeat</v>
      </c>
      <c r="J597" s="10" t="str">
        <f>IF('Transform Data'!D597="Cash","Cash",IF(COUNTIF('Transform Data'!$D:$D,'Transform Data'!D597)&gt;1,"Repeat","Single"))</f>
        <v>Repeat</v>
      </c>
      <c r="K597" s="10" t="str">
        <f t="shared" si="9"/>
        <v>TRANS-0596</v>
      </c>
    </row>
    <row r="598" spans="1:11" x14ac:dyDescent="0.35">
      <c r="A598" s="5">
        <v>45438</v>
      </c>
      <c r="B598" s="3">
        <v>0.43057870370370371</v>
      </c>
      <c r="C598" t="s">
        <v>8</v>
      </c>
      <c r="D598" t="s">
        <v>60</v>
      </c>
      <c r="E598" s="4">
        <v>37.72</v>
      </c>
      <c r="F598" t="s">
        <v>32</v>
      </c>
      <c r="G598" s="10" t="str">
        <f>TEXT(Transform_Data[[#This Row],[Date]],"mmm yyyy")</f>
        <v>May 2024</v>
      </c>
      <c r="H598" s="10">
        <f>HOUR(Transform_Data[[#This Row],[Time]])</f>
        <v>10</v>
      </c>
      <c r="I598" s="10" t="str">
        <f>IF(COUNTIF('Transform Data'!$D:$D,'Transform Data'!D598)&gt;1,"Repeat","Single")</f>
        <v>Repeat</v>
      </c>
      <c r="J598" s="10" t="str">
        <f>IF('Transform Data'!D598="Cash","Cash",IF(COUNTIF('Transform Data'!$D:$D,'Transform Data'!D598)&gt;1,"Repeat","Single"))</f>
        <v>Repeat</v>
      </c>
      <c r="K598" s="10" t="str">
        <f t="shared" si="9"/>
        <v>TRANS-0597</v>
      </c>
    </row>
    <row r="599" spans="1:11" x14ac:dyDescent="0.35">
      <c r="A599" s="5">
        <v>45438</v>
      </c>
      <c r="B599" s="3">
        <v>0.60056712962962966</v>
      </c>
      <c r="C599" t="s">
        <v>8</v>
      </c>
      <c r="D599" t="s">
        <v>268</v>
      </c>
      <c r="E599" s="4">
        <v>32.82</v>
      </c>
      <c r="F599" t="s">
        <v>36</v>
      </c>
      <c r="G599" s="10" t="str">
        <f>TEXT(Transform_Data[[#This Row],[Date]],"mmm yyyy")</f>
        <v>May 2024</v>
      </c>
      <c r="H599" s="10">
        <f>HOUR(Transform_Data[[#This Row],[Time]])</f>
        <v>14</v>
      </c>
      <c r="I599" s="10" t="str">
        <f>IF(COUNTIF('Transform Data'!$D:$D,'Transform Data'!D599)&gt;1,"Repeat","Single")</f>
        <v>Single</v>
      </c>
      <c r="J599" s="10" t="str">
        <f>IF('Transform Data'!D599="Cash","Cash",IF(COUNTIF('Transform Data'!$D:$D,'Transform Data'!D599)&gt;1,"Repeat","Single"))</f>
        <v>Single</v>
      </c>
      <c r="K599" s="10" t="str">
        <f t="shared" si="9"/>
        <v>TRANS-0598</v>
      </c>
    </row>
    <row r="600" spans="1:11" x14ac:dyDescent="0.35">
      <c r="A600" s="5">
        <v>45438</v>
      </c>
      <c r="B600" s="3">
        <v>0.60144675925925928</v>
      </c>
      <c r="C600" t="s">
        <v>8</v>
      </c>
      <c r="D600" t="s">
        <v>269</v>
      </c>
      <c r="E600" s="4">
        <v>27.92</v>
      </c>
      <c r="F600" t="s">
        <v>20</v>
      </c>
      <c r="G600" s="10" t="str">
        <f>TEXT(Transform_Data[[#This Row],[Date]],"mmm yyyy")</f>
        <v>May 2024</v>
      </c>
      <c r="H600" s="10">
        <f>HOUR(Transform_Data[[#This Row],[Time]])</f>
        <v>14</v>
      </c>
      <c r="I600" s="10" t="str">
        <f>IF(COUNTIF('Transform Data'!$D:$D,'Transform Data'!D600)&gt;1,"Repeat","Single")</f>
        <v>Single</v>
      </c>
      <c r="J600" s="10" t="str">
        <f>IF('Transform Data'!D600="Cash","Cash",IF(COUNTIF('Transform Data'!$D:$D,'Transform Data'!D600)&gt;1,"Repeat","Single"))</f>
        <v>Single</v>
      </c>
      <c r="K600" s="10" t="str">
        <f t="shared" si="9"/>
        <v>TRANS-0599</v>
      </c>
    </row>
    <row r="601" spans="1:11" x14ac:dyDescent="0.35">
      <c r="A601" s="5">
        <v>45438</v>
      </c>
      <c r="B601" s="3">
        <v>0.61178240740740741</v>
      </c>
      <c r="C601" t="s">
        <v>8</v>
      </c>
      <c r="D601" t="s">
        <v>270</v>
      </c>
      <c r="E601" s="4">
        <v>32.82</v>
      </c>
      <c r="F601" t="s">
        <v>36</v>
      </c>
      <c r="G601" s="10" t="str">
        <f>TEXT(Transform_Data[[#This Row],[Date]],"mmm yyyy")</f>
        <v>May 2024</v>
      </c>
      <c r="H601" s="10">
        <f>HOUR(Transform_Data[[#This Row],[Time]])</f>
        <v>14</v>
      </c>
      <c r="I601" s="10" t="str">
        <f>IF(COUNTIF('Transform Data'!$D:$D,'Transform Data'!D601)&gt;1,"Repeat","Single")</f>
        <v>Single</v>
      </c>
      <c r="J601" s="10" t="str">
        <f>IF('Transform Data'!D601="Cash","Cash",IF(COUNTIF('Transform Data'!$D:$D,'Transform Data'!D601)&gt;1,"Repeat","Single"))</f>
        <v>Single</v>
      </c>
      <c r="K601" s="10" t="str">
        <f t="shared" si="9"/>
        <v>TRANS-0600</v>
      </c>
    </row>
    <row r="602" spans="1:11" x14ac:dyDescent="0.35">
      <c r="A602" s="5">
        <v>45438</v>
      </c>
      <c r="B602" s="3">
        <v>0.72170138888888891</v>
      </c>
      <c r="C602" t="s">
        <v>8</v>
      </c>
      <c r="D602" t="s">
        <v>271</v>
      </c>
      <c r="E602" s="4">
        <v>37.72</v>
      </c>
      <c r="F602" t="s">
        <v>24</v>
      </c>
      <c r="G602" s="10" t="str">
        <f>TEXT(Transform_Data[[#This Row],[Date]],"mmm yyyy")</f>
        <v>May 2024</v>
      </c>
      <c r="H602" s="10">
        <f>HOUR(Transform_Data[[#This Row],[Time]])</f>
        <v>17</v>
      </c>
      <c r="I602" s="10" t="str">
        <f>IF(COUNTIF('Transform Data'!$D:$D,'Transform Data'!D602)&gt;1,"Repeat","Single")</f>
        <v>Single</v>
      </c>
      <c r="J602" s="10" t="str">
        <f>IF('Transform Data'!D602="Cash","Cash",IF(COUNTIF('Transform Data'!$D:$D,'Transform Data'!D602)&gt;1,"Repeat","Single"))</f>
        <v>Single</v>
      </c>
      <c r="K602" s="10" t="str">
        <f t="shared" si="9"/>
        <v>TRANS-0601</v>
      </c>
    </row>
    <row r="603" spans="1:11" x14ac:dyDescent="0.35">
      <c r="A603" s="5">
        <v>45438</v>
      </c>
      <c r="B603" s="3">
        <v>0.75685185185185189</v>
      </c>
      <c r="C603" t="s">
        <v>8</v>
      </c>
      <c r="D603" t="s">
        <v>272</v>
      </c>
      <c r="E603" s="4">
        <v>37.72</v>
      </c>
      <c r="F603" t="s">
        <v>15</v>
      </c>
      <c r="G603" s="10" t="str">
        <f>TEXT(Transform_Data[[#This Row],[Date]],"mmm yyyy")</f>
        <v>May 2024</v>
      </c>
      <c r="H603" s="10">
        <f>HOUR(Transform_Data[[#This Row],[Time]])</f>
        <v>18</v>
      </c>
      <c r="I603" s="10" t="str">
        <f>IF(COUNTIF('Transform Data'!$D:$D,'Transform Data'!D603)&gt;1,"Repeat","Single")</f>
        <v>Repeat</v>
      </c>
      <c r="J603" s="10" t="str">
        <f>IF('Transform Data'!D603="Cash","Cash",IF(COUNTIF('Transform Data'!$D:$D,'Transform Data'!D603)&gt;1,"Repeat","Single"))</f>
        <v>Repeat</v>
      </c>
      <c r="K603" s="10" t="str">
        <f t="shared" si="9"/>
        <v>TRANS-0602</v>
      </c>
    </row>
    <row r="604" spans="1:11" x14ac:dyDescent="0.35">
      <c r="A604" s="5">
        <v>45438</v>
      </c>
      <c r="B604" s="3">
        <v>0.75766203703703705</v>
      </c>
      <c r="C604" t="s">
        <v>8</v>
      </c>
      <c r="D604" t="s">
        <v>272</v>
      </c>
      <c r="E604" s="4">
        <v>37.72</v>
      </c>
      <c r="F604" t="s">
        <v>15</v>
      </c>
      <c r="G604" s="10" t="str">
        <f>TEXT(Transform_Data[[#This Row],[Date]],"mmm yyyy")</f>
        <v>May 2024</v>
      </c>
      <c r="H604" s="10">
        <f>HOUR(Transform_Data[[#This Row],[Time]])</f>
        <v>18</v>
      </c>
      <c r="I604" s="10" t="str">
        <f>IF(COUNTIF('Transform Data'!$D:$D,'Transform Data'!D604)&gt;1,"Repeat","Single")</f>
        <v>Repeat</v>
      </c>
      <c r="J604" s="10" t="str">
        <f>IF('Transform Data'!D604="Cash","Cash",IF(COUNTIF('Transform Data'!$D:$D,'Transform Data'!D604)&gt;1,"Repeat","Single"))</f>
        <v>Repeat</v>
      </c>
      <c r="K604" s="10" t="str">
        <f t="shared" si="9"/>
        <v>TRANS-0603</v>
      </c>
    </row>
    <row r="605" spans="1:11" x14ac:dyDescent="0.35">
      <c r="A605" s="5">
        <v>45438</v>
      </c>
      <c r="B605" s="3">
        <v>0.75918981481481485</v>
      </c>
      <c r="C605" t="s">
        <v>8</v>
      </c>
      <c r="D605" t="s">
        <v>272</v>
      </c>
      <c r="E605" s="4">
        <v>27.92</v>
      </c>
      <c r="F605" t="s">
        <v>28</v>
      </c>
      <c r="G605" s="10" t="str">
        <f>TEXT(Transform_Data[[#This Row],[Date]],"mmm yyyy")</f>
        <v>May 2024</v>
      </c>
      <c r="H605" s="10">
        <f>HOUR(Transform_Data[[#This Row],[Time]])</f>
        <v>18</v>
      </c>
      <c r="I605" s="10" t="str">
        <f>IF(COUNTIF('Transform Data'!$D:$D,'Transform Data'!D605)&gt;1,"Repeat","Single")</f>
        <v>Repeat</v>
      </c>
      <c r="J605" s="10" t="str">
        <f>IF('Transform Data'!D605="Cash","Cash",IF(COUNTIF('Transform Data'!$D:$D,'Transform Data'!D605)&gt;1,"Repeat","Single"))</f>
        <v>Repeat</v>
      </c>
      <c r="K605" s="10" t="str">
        <f t="shared" si="9"/>
        <v>TRANS-0604</v>
      </c>
    </row>
    <row r="606" spans="1:11" x14ac:dyDescent="0.35">
      <c r="A606" s="5">
        <v>45438</v>
      </c>
      <c r="B606" s="3">
        <v>0.77729166666666671</v>
      </c>
      <c r="C606" t="s">
        <v>8</v>
      </c>
      <c r="D606" t="s">
        <v>273</v>
      </c>
      <c r="E606" s="4">
        <v>37.72</v>
      </c>
      <c r="F606" t="s">
        <v>32</v>
      </c>
      <c r="G606" s="10" t="str">
        <f>TEXT(Transform_Data[[#This Row],[Date]],"mmm yyyy")</f>
        <v>May 2024</v>
      </c>
      <c r="H606" s="10">
        <f>HOUR(Transform_Data[[#This Row],[Time]])</f>
        <v>18</v>
      </c>
      <c r="I606" s="10" t="str">
        <f>IF(COUNTIF('Transform Data'!$D:$D,'Transform Data'!D606)&gt;1,"Repeat","Single")</f>
        <v>Single</v>
      </c>
      <c r="J606" s="10" t="str">
        <f>IF('Transform Data'!D606="Cash","Cash",IF(COUNTIF('Transform Data'!$D:$D,'Transform Data'!D606)&gt;1,"Repeat","Single"))</f>
        <v>Single</v>
      </c>
      <c r="K606" s="10" t="str">
        <f t="shared" si="9"/>
        <v>TRANS-0605</v>
      </c>
    </row>
    <row r="607" spans="1:11" x14ac:dyDescent="0.35">
      <c r="A607" s="5">
        <v>45438</v>
      </c>
      <c r="B607" s="3">
        <v>0.87446759259259255</v>
      </c>
      <c r="C607" t="s">
        <v>8</v>
      </c>
      <c r="D607" t="s">
        <v>274</v>
      </c>
      <c r="E607" s="4">
        <v>37.72</v>
      </c>
      <c r="F607" t="s">
        <v>15</v>
      </c>
      <c r="G607" s="10" t="str">
        <f>TEXT(Transform_Data[[#This Row],[Date]],"mmm yyyy")</f>
        <v>May 2024</v>
      </c>
      <c r="H607" s="10">
        <f>HOUR(Transform_Data[[#This Row],[Time]])</f>
        <v>20</v>
      </c>
      <c r="I607" s="10" t="str">
        <f>IF(COUNTIF('Transform Data'!$D:$D,'Transform Data'!D607)&gt;1,"Repeat","Single")</f>
        <v>Repeat</v>
      </c>
      <c r="J607" s="10" t="str">
        <f>IF('Transform Data'!D607="Cash","Cash",IF(COUNTIF('Transform Data'!$D:$D,'Transform Data'!D607)&gt;1,"Repeat","Single"))</f>
        <v>Repeat</v>
      </c>
      <c r="K607" s="10" t="str">
        <f t="shared" si="9"/>
        <v>TRANS-0606</v>
      </c>
    </row>
    <row r="608" spans="1:11" x14ac:dyDescent="0.35">
      <c r="A608" s="5">
        <v>45438</v>
      </c>
      <c r="B608" s="3">
        <v>0.87505787037037042</v>
      </c>
      <c r="C608" t="s">
        <v>8</v>
      </c>
      <c r="D608" t="s">
        <v>274</v>
      </c>
      <c r="E608" s="4">
        <v>37.72</v>
      </c>
      <c r="F608" t="s">
        <v>24</v>
      </c>
      <c r="G608" s="10" t="str">
        <f>TEXT(Transform_Data[[#This Row],[Date]],"mmm yyyy")</f>
        <v>May 2024</v>
      </c>
      <c r="H608" s="10">
        <f>HOUR(Transform_Data[[#This Row],[Time]])</f>
        <v>21</v>
      </c>
      <c r="I608" s="10" t="str">
        <f>IF(COUNTIF('Transform Data'!$D:$D,'Transform Data'!D608)&gt;1,"Repeat","Single")</f>
        <v>Repeat</v>
      </c>
      <c r="J608" s="10" t="str">
        <f>IF('Transform Data'!D608="Cash","Cash",IF(COUNTIF('Transform Data'!$D:$D,'Transform Data'!D608)&gt;1,"Repeat","Single"))</f>
        <v>Repeat</v>
      </c>
      <c r="K608" s="10" t="str">
        <f t="shared" si="9"/>
        <v>TRANS-0607</v>
      </c>
    </row>
    <row r="609" spans="1:11" x14ac:dyDescent="0.35">
      <c r="A609" s="5">
        <v>45438</v>
      </c>
      <c r="B609" s="3">
        <v>0.8768055555555555</v>
      </c>
      <c r="C609" t="s">
        <v>8</v>
      </c>
      <c r="D609" t="s">
        <v>275</v>
      </c>
      <c r="E609" s="4">
        <v>27.92</v>
      </c>
      <c r="F609" t="s">
        <v>20</v>
      </c>
      <c r="G609" s="10" t="str">
        <f>TEXT(Transform_Data[[#This Row],[Date]],"mmm yyyy")</f>
        <v>May 2024</v>
      </c>
      <c r="H609" s="10">
        <f>HOUR(Transform_Data[[#This Row],[Time]])</f>
        <v>21</v>
      </c>
      <c r="I609" s="10" t="str">
        <f>IF(COUNTIF('Transform Data'!$D:$D,'Transform Data'!D609)&gt;1,"Repeat","Single")</f>
        <v>Repeat</v>
      </c>
      <c r="J609" s="10" t="str">
        <f>IF('Transform Data'!D609="Cash","Cash",IF(COUNTIF('Transform Data'!$D:$D,'Transform Data'!D609)&gt;1,"Repeat","Single"))</f>
        <v>Repeat</v>
      </c>
      <c r="K609" s="10" t="str">
        <f t="shared" si="9"/>
        <v>TRANS-0608</v>
      </c>
    </row>
    <row r="610" spans="1:11" x14ac:dyDescent="0.35">
      <c r="A610" s="5">
        <v>45438</v>
      </c>
      <c r="B610" s="3">
        <v>0.87767361111111108</v>
      </c>
      <c r="C610" t="s">
        <v>8</v>
      </c>
      <c r="D610" t="s">
        <v>276</v>
      </c>
      <c r="E610" s="4">
        <v>37.72</v>
      </c>
      <c r="F610" t="s">
        <v>24</v>
      </c>
      <c r="G610" s="10" t="str">
        <f>TEXT(Transform_Data[[#This Row],[Date]],"mmm yyyy")</f>
        <v>May 2024</v>
      </c>
      <c r="H610" s="10">
        <f>HOUR(Transform_Data[[#This Row],[Time]])</f>
        <v>21</v>
      </c>
      <c r="I610" s="10" t="str">
        <f>IF(COUNTIF('Transform Data'!$D:$D,'Transform Data'!D610)&gt;1,"Repeat","Single")</f>
        <v>Single</v>
      </c>
      <c r="J610" s="10" t="str">
        <f>IF('Transform Data'!D610="Cash","Cash",IF(COUNTIF('Transform Data'!$D:$D,'Transform Data'!D610)&gt;1,"Repeat","Single"))</f>
        <v>Single</v>
      </c>
      <c r="K610" s="10" t="str">
        <f t="shared" si="9"/>
        <v>TRANS-0609</v>
      </c>
    </row>
    <row r="611" spans="1:11" x14ac:dyDescent="0.35">
      <c r="A611" s="5">
        <v>45438</v>
      </c>
      <c r="B611" s="3">
        <v>0.87844907407407402</v>
      </c>
      <c r="C611" t="s">
        <v>8</v>
      </c>
      <c r="D611" t="s">
        <v>275</v>
      </c>
      <c r="E611" s="4">
        <v>37.72</v>
      </c>
      <c r="F611" t="s">
        <v>32</v>
      </c>
      <c r="G611" s="10" t="str">
        <f>TEXT(Transform_Data[[#This Row],[Date]],"mmm yyyy")</f>
        <v>May 2024</v>
      </c>
      <c r="H611" s="10">
        <f>HOUR(Transform_Data[[#This Row],[Time]])</f>
        <v>21</v>
      </c>
      <c r="I611" s="10" t="str">
        <f>IF(COUNTIF('Transform Data'!$D:$D,'Transform Data'!D611)&gt;1,"Repeat","Single")</f>
        <v>Repeat</v>
      </c>
      <c r="J611" s="10" t="str">
        <f>IF('Transform Data'!D611="Cash","Cash",IF(COUNTIF('Transform Data'!$D:$D,'Transform Data'!D611)&gt;1,"Repeat","Single"))</f>
        <v>Repeat</v>
      </c>
      <c r="K611" s="10" t="str">
        <f t="shared" si="9"/>
        <v>TRANS-0610</v>
      </c>
    </row>
    <row r="612" spans="1:11" x14ac:dyDescent="0.35">
      <c r="A612" s="5">
        <v>45438</v>
      </c>
      <c r="B612" s="3">
        <v>0.87918981481481484</v>
      </c>
      <c r="C612" t="s">
        <v>8</v>
      </c>
      <c r="D612" t="s">
        <v>277</v>
      </c>
      <c r="E612" s="4">
        <v>37.72</v>
      </c>
      <c r="F612" t="s">
        <v>24</v>
      </c>
      <c r="G612" s="10" t="str">
        <f>TEXT(Transform_Data[[#This Row],[Date]],"mmm yyyy")</f>
        <v>May 2024</v>
      </c>
      <c r="H612" s="10">
        <f>HOUR(Transform_Data[[#This Row],[Time]])</f>
        <v>21</v>
      </c>
      <c r="I612" s="10" t="str">
        <f>IF(COUNTIF('Transform Data'!$D:$D,'Transform Data'!D612)&gt;1,"Repeat","Single")</f>
        <v>Single</v>
      </c>
      <c r="J612" s="10" t="str">
        <f>IF('Transform Data'!D612="Cash","Cash",IF(COUNTIF('Transform Data'!$D:$D,'Transform Data'!D612)&gt;1,"Repeat","Single"))</f>
        <v>Single</v>
      </c>
      <c r="K612" s="10" t="str">
        <f t="shared" si="9"/>
        <v>TRANS-0611</v>
      </c>
    </row>
    <row r="613" spans="1:11" x14ac:dyDescent="0.35">
      <c r="A613" s="5">
        <v>45439</v>
      </c>
      <c r="B613" s="3">
        <v>0.48258101851851853</v>
      </c>
      <c r="C613" t="s">
        <v>8</v>
      </c>
      <c r="D613" t="s">
        <v>43</v>
      </c>
      <c r="E613" s="4">
        <v>27.92</v>
      </c>
      <c r="F613" t="s">
        <v>28</v>
      </c>
      <c r="G613" s="10" t="str">
        <f>TEXT(Transform_Data[[#This Row],[Date]],"mmm yyyy")</f>
        <v>May 2024</v>
      </c>
      <c r="H613" s="10">
        <f>HOUR(Transform_Data[[#This Row],[Time]])</f>
        <v>11</v>
      </c>
      <c r="I613" s="10" t="str">
        <f>IF(COUNTIF('Transform Data'!$D:$D,'Transform Data'!D613)&gt;1,"Repeat","Single")</f>
        <v>Repeat</v>
      </c>
      <c r="J613" s="10" t="str">
        <f>IF('Transform Data'!D613="Cash","Cash",IF(COUNTIF('Transform Data'!$D:$D,'Transform Data'!D613)&gt;1,"Repeat","Single"))</f>
        <v>Repeat</v>
      </c>
      <c r="K613" s="10" t="str">
        <f t="shared" si="9"/>
        <v>TRANS-0612</v>
      </c>
    </row>
    <row r="614" spans="1:11" x14ac:dyDescent="0.35">
      <c r="A614" s="5">
        <v>45439</v>
      </c>
      <c r="B614" s="3">
        <v>0.58704861111111106</v>
      </c>
      <c r="C614" t="s">
        <v>8</v>
      </c>
      <c r="D614" t="s">
        <v>278</v>
      </c>
      <c r="E614" s="4">
        <v>32.82</v>
      </c>
      <c r="F614" t="s">
        <v>36</v>
      </c>
      <c r="G614" s="10" t="str">
        <f>TEXT(Transform_Data[[#This Row],[Date]],"mmm yyyy")</f>
        <v>May 2024</v>
      </c>
      <c r="H614" s="10">
        <f>HOUR(Transform_Data[[#This Row],[Time]])</f>
        <v>14</v>
      </c>
      <c r="I614" s="10" t="str">
        <f>IF(COUNTIF('Transform Data'!$D:$D,'Transform Data'!D614)&gt;1,"Repeat","Single")</f>
        <v>Repeat</v>
      </c>
      <c r="J614" s="10" t="str">
        <f>IF('Transform Data'!D614="Cash","Cash",IF(COUNTIF('Transform Data'!$D:$D,'Transform Data'!D614)&gt;1,"Repeat","Single"))</f>
        <v>Repeat</v>
      </c>
      <c r="K614" s="10" t="str">
        <f t="shared" si="9"/>
        <v>TRANS-0613</v>
      </c>
    </row>
    <row r="615" spans="1:11" x14ac:dyDescent="0.35">
      <c r="A615" s="5">
        <v>45439</v>
      </c>
      <c r="B615" s="3">
        <v>0.58799768518518514</v>
      </c>
      <c r="C615" t="s">
        <v>8</v>
      </c>
      <c r="D615" t="s">
        <v>278</v>
      </c>
      <c r="E615" s="4">
        <v>37.72</v>
      </c>
      <c r="F615" t="s">
        <v>10</v>
      </c>
      <c r="G615" s="10" t="str">
        <f>TEXT(Transform_Data[[#This Row],[Date]],"mmm yyyy")</f>
        <v>May 2024</v>
      </c>
      <c r="H615" s="10">
        <f>HOUR(Transform_Data[[#This Row],[Time]])</f>
        <v>14</v>
      </c>
      <c r="I615" s="10" t="str">
        <f>IF(COUNTIF('Transform Data'!$D:$D,'Transform Data'!D615)&gt;1,"Repeat","Single")</f>
        <v>Repeat</v>
      </c>
      <c r="J615" s="10" t="str">
        <f>IF('Transform Data'!D615="Cash","Cash",IF(COUNTIF('Transform Data'!$D:$D,'Transform Data'!D615)&gt;1,"Repeat","Single"))</f>
        <v>Repeat</v>
      </c>
      <c r="K615" s="10" t="str">
        <f t="shared" si="9"/>
        <v>TRANS-0614</v>
      </c>
    </row>
    <row r="616" spans="1:11" x14ac:dyDescent="0.35">
      <c r="A616" s="5">
        <v>45439</v>
      </c>
      <c r="B616" s="3">
        <v>0.6330324074074074</v>
      </c>
      <c r="C616" t="s">
        <v>8</v>
      </c>
      <c r="D616" t="s">
        <v>279</v>
      </c>
      <c r="E616" s="4">
        <v>27.92</v>
      </c>
      <c r="F616" t="s">
        <v>28</v>
      </c>
      <c r="G616" s="10" t="str">
        <f>TEXT(Transform_Data[[#This Row],[Date]],"mmm yyyy")</f>
        <v>May 2024</v>
      </c>
      <c r="H616" s="10">
        <f>HOUR(Transform_Data[[#This Row],[Time]])</f>
        <v>15</v>
      </c>
      <c r="I616" s="10" t="str">
        <f>IF(COUNTIF('Transform Data'!$D:$D,'Transform Data'!D616)&gt;1,"Repeat","Single")</f>
        <v>Repeat</v>
      </c>
      <c r="J616" s="10" t="str">
        <f>IF('Transform Data'!D616="Cash","Cash",IF(COUNTIF('Transform Data'!$D:$D,'Transform Data'!D616)&gt;1,"Repeat","Single"))</f>
        <v>Repeat</v>
      </c>
      <c r="K616" s="10" t="str">
        <f t="shared" si="9"/>
        <v>TRANS-0615</v>
      </c>
    </row>
    <row r="617" spans="1:11" x14ac:dyDescent="0.35">
      <c r="A617" s="5">
        <v>45439</v>
      </c>
      <c r="B617" s="3">
        <v>0.6347800925925926</v>
      </c>
      <c r="C617" t="s">
        <v>8</v>
      </c>
      <c r="D617" t="s">
        <v>279</v>
      </c>
      <c r="E617" s="4">
        <v>27.92</v>
      </c>
      <c r="F617" t="s">
        <v>28</v>
      </c>
      <c r="G617" s="10" t="str">
        <f>TEXT(Transform_Data[[#This Row],[Date]],"mmm yyyy")</f>
        <v>May 2024</v>
      </c>
      <c r="H617" s="10">
        <f>HOUR(Transform_Data[[#This Row],[Time]])</f>
        <v>15</v>
      </c>
      <c r="I617" s="10" t="str">
        <f>IF(COUNTIF('Transform Data'!$D:$D,'Transform Data'!D617)&gt;1,"Repeat","Single")</f>
        <v>Repeat</v>
      </c>
      <c r="J617" s="10" t="str">
        <f>IF('Transform Data'!D617="Cash","Cash",IF(COUNTIF('Transform Data'!$D:$D,'Transform Data'!D617)&gt;1,"Repeat","Single"))</f>
        <v>Repeat</v>
      </c>
      <c r="K617" s="10" t="str">
        <f t="shared" si="9"/>
        <v>TRANS-0616</v>
      </c>
    </row>
    <row r="618" spans="1:11" x14ac:dyDescent="0.35">
      <c r="A618" s="5">
        <v>45439</v>
      </c>
      <c r="B618" s="3">
        <v>0.74369212962962961</v>
      </c>
      <c r="C618" t="s">
        <v>8</v>
      </c>
      <c r="D618" t="s">
        <v>257</v>
      </c>
      <c r="E618" s="4">
        <v>37.72</v>
      </c>
      <c r="F618" t="s">
        <v>32</v>
      </c>
      <c r="G618" s="10" t="str">
        <f>TEXT(Transform_Data[[#This Row],[Date]],"mmm yyyy")</f>
        <v>May 2024</v>
      </c>
      <c r="H618" s="10">
        <f>HOUR(Transform_Data[[#This Row],[Time]])</f>
        <v>17</v>
      </c>
      <c r="I618" s="10" t="str">
        <f>IF(COUNTIF('Transform Data'!$D:$D,'Transform Data'!D618)&gt;1,"Repeat","Single")</f>
        <v>Repeat</v>
      </c>
      <c r="J618" s="10" t="str">
        <f>IF('Transform Data'!D618="Cash","Cash",IF(COUNTIF('Transform Data'!$D:$D,'Transform Data'!D618)&gt;1,"Repeat","Single"))</f>
        <v>Repeat</v>
      </c>
      <c r="K618" s="10" t="str">
        <f t="shared" si="9"/>
        <v>TRANS-0617</v>
      </c>
    </row>
    <row r="619" spans="1:11" x14ac:dyDescent="0.35">
      <c r="A619" s="5">
        <v>45439</v>
      </c>
      <c r="B619" s="3">
        <v>0.75057870370370372</v>
      </c>
      <c r="C619" t="s">
        <v>8</v>
      </c>
      <c r="D619" t="s">
        <v>280</v>
      </c>
      <c r="E619" s="4">
        <v>27.92</v>
      </c>
      <c r="F619" t="s">
        <v>28</v>
      </c>
      <c r="G619" s="10" t="str">
        <f>TEXT(Transform_Data[[#This Row],[Date]],"mmm yyyy")</f>
        <v>May 2024</v>
      </c>
      <c r="H619" s="10">
        <f>HOUR(Transform_Data[[#This Row],[Time]])</f>
        <v>18</v>
      </c>
      <c r="I619" s="10" t="str">
        <f>IF(COUNTIF('Transform Data'!$D:$D,'Transform Data'!D619)&gt;1,"Repeat","Single")</f>
        <v>Single</v>
      </c>
      <c r="J619" s="10" t="str">
        <f>IF('Transform Data'!D619="Cash","Cash",IF(COUNTIF('Transform Data'!$D:$D,'Transform Data'!D619)&gt;1,"Repeat","Single"))</f>
        <v>Single</v>
      </c>
      <c r="K619" s="10" t="str">
        <f t="shared" si="9"/>
        <v>TRANS-0618</v>
      </c>
    </row>
    <row r="620" spans="1:11" x14ac:dyDescent="0.35">
      <c r="A620" s="5">
        <v>45439</v>
      </c>
      <c r="B620" s="3">
        <v>0.80309027777777775</v>
      </c>
      <c r="C620" t="s">
        <v>8</v>
      </c>
      <c r="D620" t="s">
        <v>281</v>
      </c>
      <c r="E620" s="4">
        <v>37.72</v>
      </c>
      <c r="F620" t="s">
        <v>32</v>
      </c>
      <c r="G620" s="10" t="str">
        <f>TEXT(Transform_Data[[#This Row],[Date]],"mmm yyyy")</f>
        <v>May 2024</v>
      </c>
      <c r="H620" s="10">
        <f>HOUR(Transform_Data[[#This Row],[Time]])</f>
        <v>19</v>
      </c>
      <c r="I620" s="10" t="str">
        <f>IF(COUNTIF('Transform Data'!$D:$D,'Transform Data'!D620)&gt;1,"Repeat","Single")</f>
        <v>Single</v>
      </c>
      <c r="J620" s="10" t="str">
        <f>IF('Transform Data'!D620="Cash","Cash",IF(COUNTIF('Transform Data'!$D:$D,'Transform Data'!D620)&gt;1,"Repeat","Single"))</f>
        <v>Single</v>
      </c>
      <c r="K620" s="10" t="str">
        <f t="shared" si="9"/>
        <v>TRANS-0619</v>
      </c>
    </row>
    <row r="621" spans="1:11" x14ac:dyDescent="0.35">
      <c r="A621" s="5">
        <v>45439</v>
      </c>
      <c r="B621" s="3">
        <v>0.80391203703703706</v>
      </c>
      <c r="C621" t="s">
        <v>8</v>
      </c>
      <c r="D621" t="s">
        <v>282</v>
      </c>
      <c r="E621" s="4">
        <v>37.72</v>
      </c>
      <c r="F621" t="s">
        <v>32</v>
      </c>
      <c r="G621" s="10" t="str">
        <f>TEXT(Transform_Data[[#This Row],[Date]],"mmm yyyy")</f>
        <v>May 2024</v>
      </c>
      <c r="H621" s="10">
        <f>HOUR(Transform_Data[[#This Row],[Time]])</f>
        <v>19</v>
      </c>
      <c r="I621" s="10" t="str">
        <f>IF(COUNTIF('Transform Data'!$D:$D,'Transform Data'!D621)&gt;1,"Repeat","Single")</f>
        <v>Repeat</v>
      </c>
      <c r="J621" s="10" t="str">
        <f>IF('Transform Data'!D621="Cash","Cash",IF(COUNTIF('Transform Data'!$D:$D,'Transform Data'!D621)&gt;1,"Repeat","Single"))</f>
        <v>Repeat</v>
      </c>
      <c r="K621" s="10" t="str">
        <f t="shared" si="9"/>
        <v>TRANS-0620</v>
      </c>
    </row>
    <row r="622" spans="1:11" x14ac:dyDescent="0.35">
      <c r="A622" s="5">
        <v>45439</v>
      </c>
      <c r="B622" s="3">
        <v>0.89521990740740742</v>
      </c>
      <c r="C622" t="s">
        <v>8</v>
      </c>
      <c r="D622" t="s">
        <v>246</v>
      </c>
      <c r="E622" s="4">
        <v>32.82</v>
      </c>
      <c r="F622" t="s">
        <v>36</v>
      </c>
      <c r="G622" s="10" t="str">
        <f>TEXT(Transform_Data[[#This Row],[Date]],"mmm yyyy")</f>
        <v>May 2024</v>
      </c>
      <c r="H622" s="10">
        <f>HOUR(Transform_Data[[#This Row],[Time]])</f>
        <v>21</v>
      </c>
      <c r="I622" s="10" t="str">
        <f>IF(COUNTIF('Transform Data'!$D:$D,'Transform Data'!D622)&gt;1,"Repeat","Single")</f>
        <v>Repeat</v>
      </c>
      <c r="J622" s="10" t="str">
        <f>IF('Transform Data'!D622="Cash","Cash",IF(COUNTIF('Transform Data'!$D:$D,'Transform Data'!D622)&gt;1,"Repeat","Single"))</f>
        <v>Repeat</v>
      </c>
      <c r="K622" s="10" t="str">
        <f t="shared" si="9"/>
        <v>TRANS-0621</v>
      </c>
    </row>
    <row r="623" spans="1:11" x14ac:dyDescent="0.35">
      <c r="A623" s="5">
        <v>45439</v>
      </c>
      <c r="B623" s="3">
        <v>0.89605324074074078</v>
      </c>
      <c r="C623" t="s">
        <v>8</v>
      </c>
      <c r="D623" t="s">
        <v>260</v>
      </c>
      <c r="E623" s="4">
        <v>37.72</v>
      </c>
      <c r="F623" t="s">
        <v>24</v>
      </c>
      <c r="G623" s="10" t="str">
        <f>TEXT(Transform_Data[[#This Row],[Date]],"mmm yyyy")</f>
        <v>May 2024</v>
      </c>
      <c r="H623" s="10">
        <f>HOUR(Transform_Data[[#This Row],[Time]])</f>
        <v>21</v>
      </c>
      <c r="I623" s="10" t="str">
        <f>IF(COUNTIF('Transform Data'!$D:$D,'Transform Data'!D623)&gt;1,"Repeat","Single")</f>
        <v>Repeat</v>
      </c>
      <c r="J623" s="10" t="str">
        <f>IF('Transform Data'!D623="Cash","Cash",IF(COUNTIF('Transform Data'!$D:$D,'Transform Data'!D623)&gt;1,"Repeat","Single"))</f>
        <v>Repeat</v>
      </c>
      <c r="K623" s="10" t="str">
        <f t="shared" si="9"/>
        <v>TRANS-0622</v>
      </c>
    </row>
    <row r="624" spans="1:11" x14ac:dyDescent="0.35">
      <c r="A624" s="5">
        <v>45440</v>
      </c>
      <c r="B624" s="3">
        <v>0.35913194444444446</v>
      </c>
      <c r="C624" t="s">
        <v>8</v>
      </c>
      <c r="D624" t="s">
        <v>43</v>
      </c>
      <c r="E624" s="4">
        <v>32.82</v>
      </c>
      <c r="F624" t="s">
        <v>36</v>
      </c>
      <c r="G624" s="10" t="str">
        <f>TEXT(Transform_Data[[#This Row],[Date]],"mmm yyyy")</f>
        <v>May 2024</v>
      </c>
      <c r="H624" s="10">
        <f>HOUR(Transform_Data[[#This Row],[Time]])</f>
        <v>8</v>
      </c>
      <c r="I624" s="10" t="str">
        <f>IF(COUNTIF('Transform Data'!$D:$D,'Transform Data'!D624)&gt;1,"Repeat","Single")</f>
        <v>Repeat</v>
      </c>
      <c r="J624" s="10" t="str">
        <f>IF('Transform Data'!D624="Cash","Cash",IF(COUNTIF('Transform Data'!$D:$D,'Transform Data'!D624)&gt;1,"Repeat","Single"))</f>
        <v>Repeat</v>
      </c>
      <c r="K624" s="10" t="str">
        <f t="shared" si="9"/>
        <v>TRANS-0623</v>
      </c>
    </row>
    <row r="625" spans="1:11" x14ac:dyDescent="0.35">
      <c r="A625" s="5">
        <v>45440</v>
      </c>
      <c r="B625" s="3">
        <v>0.38900462962962962</v>
      </c>
      <c r="C625" t="s">
        <v>8</v>
      </c>
      <c r="D625" t="s">
        <v>11</v>
      </c>
      <c r="E625" s="4">
        <v>32.82</v>
      </c>
      <c r="F625" t="s">
        <v>36</v>
      </c>
      <c r="G625" s="10" t="str">
        <f>TEXT(Transform_Data[[#This Row],[Date]],"mmm yyyy")</f>
        <v>May 2024</v>
      </c>
      <c r="H625" s="10">
        <f>HOUR(Transform_Data[[#This Row],[Time]])</f>
        <v>9</v>
      </c>
      <c r="I625" s="10" t="str">
        <f>IF(COUNTIF('Transform Data'!$D:$D,'Transform Data'!D625)&gt;1,"Repeat","Single")</f>
        <v>Repeat</v>
      </c>
      <c r="J625" s="10" t="str">
        <f>IF('Transform Data'!D625="Cash","Cash",IF(COUNTIF('Transform Data'!$D:$D,'Transform Data'!D625)&gt;1,"Repeat","Single"))</f>
        <v>Repeat</v>
      </c>
      <c r="K625" s="10" t="str">
        <f t="shared" si="9"/>
        <v>TRANS-0624</v>
      </c>
    </row>
    <row r="626" spans="1:11" x14ac:dyDescent="0.35">
      <c r="A626" s="5">
        <v>45440</v>
      </c>
      <c r="B626" s="3">
        <v>0.49187500000000001</v>
      </c>
      <c r="C626" t="s">
        <v>8</v>
      </c>
      <c r="D626" t="s">
        <v>283</v>
      </c>
      <c r="E626" s="4">
        <v>37.72</v>
      </c>
      <c r="F626" t="s">
        <v>24</v>
      </c>
      <c r="G626" s="10" t="str">
        <f>TEXT(Transform_Data[[#This Row],[Date]],"mmm yyyy")</f>
        <v>May 2024</v>
      </c>
      <c r="H626" s="10">
        <f>HOUR(Transform_Data[[#This Row],[Time]])</f>
        <v>11</v>
      </c>
      <c r="I626" s="10" t="str">
        <f>IF(COUNTIF('Transform Data'!$D:$D,'Transform Data'!D626)&gt;1,"Repeat","Single")</f>
        <v>Single</v>
      </c>
      <c r="J626" s="10" t="str">
        <f>IF('Transform Data'!D626="Cash","Cash",IF(COUNTIF('Transform Data'!$D:$D,'Transform Data'!D626)&gt;1,"Repeat","Single"))</f>
        <v>Single</v>
      </c>
      <c r="K626" s="10" t="str">
        <f t="shared" si="9"/>
        <v>TRANS-0625</v>
      </c>
    </row>
    <row r="627" spans="1:11" x14ac:dyDescent="0.35">
      <c r="A627" s="5">
        <v>45440</v>
      </c>
      <c r="B627" s="3">
        <v>0.55185185185185182</v>
      </c>
      <c r="C627" t="s">
        <v>8</v>
      </c>
      <c r="D627" t="s">
        <v>284</v>
      </c>
      <c r="E627" s="4">
        <v>37.72</v>
      </c>
      <c r="F627" t="s">
        <v>24</v>
      </c>
      <c r="G627" s="10" t="str">
        <f>TEXT(Transform_Data[[#This Row],[Date]],"mmm yyyy")</f>
        <v>May 2024</v>
      </c>
      <c r="H627" s="10">
        <f>HOUR(Transform_Data[[#This Row],[Time]])</f>
        <v>13</v>
      </c>
      <c r="I627" s="10" t="str">
        <f>IF(COUNTIF('Transform Data'!$D:$D,'Transform Data'!D627)&gt;1,"Repeat","Single")</f>
        <v>Single</v>
      </c>
      <c r="J627" s="10" t="str">
        <f>IF('Transform Data'!D627="Cash","Cash",IF(COUNTIF('Transform Data'!$D:$D,'Transform Data'!D627)&gt;1,"Repeat","Single"))</f>
        <v>Single</v>
      </c>
      <c r="K627" s="10" t="str">
        <f t="shared" si="9"/>
        <v>TRANS-0626</v>
      </c>
    </row>
    <row r="628" spans="1:11" x14ac:dyDescent="0.35">
      <c r="A628" s="5">
        <v>45440</v>
      </c>
      <c r="B628" s="3">
        <v>0.59089120370370374</v>
      </c>
      <c r="C628" t="s">
        <v>8</v>
      </c>
      <c r="D628" t="s">
        <v>248</v>
      </c>
      <c r="E628" s="4">
        <v>37.72</v>
      </c>
      <c r="F628" t="s">
        <v>10</v>
      </c>
      <c r="G628" s="10" t="str">
        <f>TEXT(Transform_Data[[#This Row],[Date]],"mmm yyyy")</f>
        <v>May 2024</v>
      </c>
      <c r="H628" s="10">
        <f>HOUR(Transform_Data[[#This Row],[Time]])</f>
        <v>14</v>
      </c>
      <c r="I628" s="10" t="str">
        <f>IF(COUNTIF('Transform Data'!$D:$D,'Transform Data'!D628)&gt;1,"Repeat","Single")</f>
        <v>Repeat</v>
      </c>
      <c r="J628" s="10" t="str">
        <f>IF('Transform Data'!D628="Cash","Cash",IF(COUNTIF('Transform Data'!$D:$D,'Transform Data'!D628)&gt;1,"Repeat","Single"))</f>
        <v>Repeat</v>
      </c>
      <c r="K628" s="10" t="str">
        <f t="shared" si="9"/>
        <v>TRANS-0627</v>
      </c>
    </row>
    <row r="629" spans="1:11" x14ac:dyDescent="0.35">
      <c r="A629" s="5">
        <v>45440</v>
      </c>
      <c r="B629" s="3">
        <v>0.68447916666666664</v>
      </c>
      <c r="C629" t="s">
        <v>8</v>
      </c>
      <c r="D629" t="s">
        <v>40</v>
      </c>
      <c r="E629" s="4">
        <v>27.92</v>
      </c>
      <c r="F629" t="s">
        <v>20</v>
      </c>
      <c r="G629" s="10" t="str">
        <f>TEXT(Transform_Data[[#This Row],[Date]],"mmm yyyy")</f>
        <v>May 2024</v>
      </c>
      <c r="H629" s="10">
        <f>HOUR(Transform_Data[[#This Row],[Time]])</f>
        <v>16</v>
      </c>
      <c r="I629" s="10" t="str">
        <f>IF(COUNTIF('Transform Data'!$D:$D,'Transform Data'!D629)&gt;1,"Repeat","Single")</f>
        <v>Repeat</v>
      </c>
      <c r="J629" s="10" t="str">
        <f>IF('Transform Data'!D629="Cash","Cash",IF(COUNTIF('Transform Data'!$D:$D,'Transform Data'!D629)&gt;1,"Repeat","Single"))</f>
        <v>Repeat</v>
      </c>
      <c r="K629" s="10" t="str">
        <f t="shared" si="9"/>
        <v>TRANS-0628</v>
      </c>
    </row>
    <row r="630" spans="1:11" x14ac:dyDescent="0.35">
      <c r="A630" s="5">
        <v>45440</v>
      </c>
      <c r="B630" s="3">
        <v>0.72341435185185188</v>
      </c>
      <c r="C630" t="s">
        <v>13</v>
      </c>
      <c r="D630" t="s">
        <v>37</v>
      </c>
      <c r="E630" s="4">
        <v>39</v>
      </c>
      <c r="F630" t="s">
        <v>24</v>
      </c>
      <c r="G630" s="10" t="str">
        <f>TEXT(Transform_Data[[#This Row],[Date]],"mmm yyyy")</f>
        <v>May 2024</v>
      </c>
      <c r="H630" s="10">
        <f>HOUR(Transform_Data[[#This Row],[Time]])</f>
        <v>17</v>
      </c>
      <c r="I630" s="10" t="str">
        <f>IF(COUNTIF('Transform Data'!$D:$D,'Transform Data'!D630)&gt;1,"Repeat","Single")</f>
        <v>Repeat</v>
      </c>
      <c r="J630" s="10" t="str">
        <f>IF('Transform Data'!D630="Cash","Cash",IF(COUNTIF('Transform Data'!$D:$D,'Transform Data'!D630)&gt;1,"Repeat","Single"))</f>
        <v>Repeat</v>
      </c>
      <c r="K630" s="10" t="str">
        <f t="shared" si="9"/>
        <v>TRANS-0629</v>
      </c>
    </row>
    <row r="631" spans="1:11" x14ac:dyDescent="0.35">
      <c r="A631" s="5">
        <v>45440</v>
      </c>
      <c r="B631" s="3">
        <v>0.79825231481481485</v>
      </c>
      <c r="C631" t="s">
        <v>8</v>
      </c>
      <c r="D631" t="s">
        <v>285</v>
      </c>
      <c r="E631" s="4">
        <v>27.92</v>
      </c>
      <c r="F631" t="s">
        <v>28</v>
      </c>
      <c r="G631" s="10" t="str">
        <f>TEXT(Transform_Data[[#This Row],[Date]],"mmm yyyy")</f>
        <v>May 2024</v>
      </c>
      <c r="H631" s="10">
        <f>HOUR(Transform_Data[[#This Row],[Time]])</f>
        <v>19</v>
      </c>
      <c r="I631" s="10" t="str">
        <f>IF(COUNTIF('Transform Data'!$D:$D,'Transform Data'!D631)&gt;1,"Repeat","Single")</f>
        <v>Repeat</v>
      </c>
      <c r="J631" s="10" t="str">
        <f>IF('Transform Data'!D631="Cash","Cash",IF(COUNTIF('Transform Data'!$D:$D,'Transform Data'!D631)&gt;1,"Repeat","Single"))</f>
        <v>Repeat</v>
      </c>
      <c r="K631" s="10" t="str">
        <f t="shared" si="9"/>
        <v>TRANS-0630</v>
      </c>
    </row>
    <row r="632" spans="1:11" x14ac:dyDescent="0.35">
      <c r="A632" s="5">
        <v>45440</v>
      </c>
      <c r="B632" s="3">
        <v>0.79896990740740736</v>
      </c>
      <c r="C632" t="s">
        <v>8</v>
      </c>
      <c r="D632" t="s">
        <v>285</v>
      </c>
      <c r="E632" s="4">
        <v>37.72</v>
      </c>
      <c r="F632" t="s">
        <v>32</v>
      </c>
      <c r="G632" s="10" t="str">
        <f>TEXT(Transform_Data[[#This Row],[Date]],"mmm yyyy")</f>
        <v>May 2024</v>
      </c>
      <c r="H632" s="10">
        <f>HOUR(Transform_Data[[#This Row],[Time]])</f>
        <v>19</v>
      </c>
      <c r="I632" s="10" t="str">
        <f>IF(COUNTIF('Transform Data'!$D:$D,'Transform Data'!D632)&gt;1,"Repeat","Single")</f>
        <v>Repeat</v>
      </c>
      <c r="J632" s="10" t="str">
        <f>IF('Transform Data'!D632="Cash","Cash",IF(COUNTIF('Transform Data'!$D:$D,'Transform Data'!D632)&gt;1,"Repeat","Single"))</f>
        <v>Repeat</v>
      </c>
      <c r="K632" s="10" t="str">
        <f t="shared" si="9"/>
        <v>TRANS-0631</v>
      </c>
    </row>
    <row r="633" spans="1:11" x14ac:dyDescent="0.35">
      <c r="A633" s="5">
        <v>45440</v>
      </c>
      <c r="B633" s="3">
        <v>0.85037037037037033</v>
      </c>
      <c r="C633" t="s">
        <v>8</v>
      </c>
      <c r="D633" t="s">
        <v>25</v>
      </c>
      <c r="E633" s="4">
        <v>32.82</v>
      </c>
      <c r="F633" t="s">
        <v>36</v>
      </c>
      <c r="G633" s="10" t="str">
        <f>TEXT(Transform_Data[[#This Row],[Date]],"mmm yyyy")</f>
        <v>May 2024</v>
      </c>
      <c r="H633" s="10">
        <f>HOUR(Transform_Data[[#This Row],[Time]])</f>
        <v>20</v>
      </c>
      <c r="I633" s="10" t="str">
        <f>IF(COUNTIF('Transform Data'!$D:$D,'Transform Data'!D633)&gt;1,"Repeat","Single")</f>
        <v>Repeat</v>
      </c>
      <c r="J633" s="10" t="str">
        <f>IF('Transform Data'!D633="Cash","Cash",IF(COUNTIF('Transform Data'!$D:$D,'Transform Data'!D633)&gt;1,"Repeat","Single"))</f>
        <v>Repeat</v>
      </c>
      <c r="K633" s="10" t="str">
        <f t="shared" si="9"/>
        <v>TRANS-0632</v>
      </c>
    </row>
    <row r="634" spans="1:11" x14ac:dyDescent="0.35">
      <c r="A634" s="5">
        <v>45440</v>
      </c>
      <c r="B634" s="3">
        <v>0.86827546296296299</v>
      </c>
      <c r="C634" t="s">
        <v>8</v>
      </c>
      <c r="D634" t="s">
        <v>43</v>
      </c>
      <c r="E634" s="4">
        <v>27.92</v>
      </c>
      <c r="F634" t="s">
        <v>28</v>
      </c>
      <c r="G634" s="10" t="str">
        <f>TEXT(Transform_Data[[#This Row],[Date]],"mmm yyyy")</f>
        <v>May 2024</v>
      </c>
      <c r="H634" s="10">
        <f>HOUR(Transform_Data[[#This Row],[Time]])</f>
        <v>20</v>
      </c>
      <c r="I634" s="10" t="str">
        <f>IF(COUNTIF('Transform Data'!$D:$D,'Transform Data'!D634)&gt;1,"Repeat","Single")</f>
        <v>Repeat</v>
      </c>
      <c r="J634" s="10" t="str">
        <f>IF('Transform Data'!D634="Cash","Cash",IF(COUNTIF('Transform Data'!$D:$D,'Transform Data'!D634)&gt;1,"Repeat","Single"))</f>
        <v>Repeat</v>
      </c>
      <c r="K634" s="10" t="str">
        <f t="shared" si="9"/>
        <v>TRANS-0633</v>
      </c>
    </row>
    <row r="635" spans="1:11" x14ac:dyDescent="0.35">
      <c r="A635" s="5">
        <v>45441</v>
      </c>
      <c r="B635" s="3">
        <v>0.38521990740740741</v>
      </c>
      <c r="C635" t="s">
        <v>8</v>
      </c>
      <c r="D635" t="s">
        <v>286</v>
      </c>
      <c r="E635" s="4">
        <v>37.72</v>
      </c>
      <c r="F635" t="s">
        <v>32</v>
      </c>
      <c r="G635" s="10" t="str">
        <f>TEXT(Transform_Data[[#This Row],[Date]],"mmm yyyy")</f>
        <v>May 2024</v>
      </c>
      <c r="H635" s="10">
        <f>HOUR(Transform_Data[[#This Row],[Time]])</f>
        <v>9</v>
      </c>
      <c r="I635" s="10" t="str">
        <f>IF(COUNTIF('Transform Data'!$D:$D,'Transform Data'!D635)&gt;1,"Repeat","Single")</f>
        <v>Repeat</v>
      </c>
      <c r="J635" s="10" t="str">
        <f>IF('Transform Data'!D635="Cash","Cash",IF(COUNTIF('Transform Data'!$D:$D,'Transform Data'!D635)&gt;1,"Repeat","Single"))</f>
        <v>Repeat</v>
      </c>
      <c r="K635" s="10" t="str">
        <f t="shared" si="9"/>
        <v>TRANS-0634</v>
      </c>
    </row>
    <row r="636" spans="1:11" x14ac:dyDescent="0.35">
      <c r="A636" s="5">
        <v>45441</v>
      </c>
      <c r="B636" s="3">
        <v>0.45053240740740741</v>
      </c>
      <c r="C636" t="s">
        <v>13</v>
      </c>
      <c r="D636" t="s">
        <v>37</v>
      </c>
      <c r="E636" s="4">
        <v>39</v>
      </c>
      <c r="F636" t="s">
        <v>32</v>
      </c>
      <c r="G636" s="10" t="str">
        <f>TEXT(Transform_Data[[#This Row],[Date]],"mmm yyyy")</f>
        <v>May 2024</v>
      </c>
      <c r="H636" s="10">
        <f>HOUR(Transform_Data[[#This Row],[Time]])</f>
        <v>10</v>
      </c>
      <c r="I636" s="10" t="str">
        <f>IF(COUNTIF('Transform Data'!$D:$D,'Transform Data'!D636)&gt;1,"Repeat","Single")</f>
        <v>Repeat</v>
      </c>
      <c r="J636" s="10" t="str">
        <f>IF('Transform Data'!D636="Cash","Cash",IF(COUNTIF('Transform Data'!$D:$D,'Transform Data'!D636)&gt;1,"Repeat","Single"))</f>
        <v>Repeat</v>
      </c>
      <c r="K636" s="10" t="str">
        <f t="shared" si="9"/>
        <v>TRANS-0635</v>
      </c>
    </row>
    <row r="637" spans="1:11" x14ac:dyDescent="0.35">
      <c r="A637" s="5">
        <v>45441</v>
      </c>
      <c r="B637" s="3">
        <v>0.46807870370370369</v>
      </c>
      <c r="C637" t="s">
        <v>8</v>
      </c>
      <c r="D637" t="s">
        <v>287</v>
      </c>
      <c r="E637" s="4">
        <v>37.72</v>
      </c>
      <c r="F637" t="s">
        <v>15</v>
      </c>
      <c r="G637" s="10" t="str">
        <f>TEXT(Transform_Data[[#This Row],[Date]],"mmm yyyy")</f>
        <v>May 2024</v>
      </c>
      <c r="H637" s="10">
        <f>HOUR(Transform_Data[[#This Row],[Time]])</f>
        <v>11</v>
      </c>
      <c r="I637" s="10" t="str">
        <f>IF(COUNTIF('Transform Data'!$D:$D,'Transform Data'!D637)&gt;1,"Repeat","Single")</f>
        <v>Single</v>
      </c>
      <c r="J637" s="10" t="str">
        <f>IF('Transform Data'!D637="Cash","Cash",IF(COUNTIF('Transform Data'!$D:$D,'Transform Data'!D637)&gt;1,"Repeat","Single"))</f>
        <v>Single</v>
      </c>
      <c r="K637" s="10" t="str">
        <f t="shared" si="9"/>
        <v>TRANS-0636</v>
      </c>
    </row>
    <row r="638" spans="1:11" x14ac:dyDescent="0.35">
      <c r="A638" s="5">
        <v>45441</v>
      </c>
      <c r="B638" s="3">
        <v>0.63249999999999995</v>
      </c>
      <c r="C638" t="s">
        <v>8</v>
      </c>
      <c r="D638" t="s">
        <v>288</v>
      </c>
      <c r="E638" s="4">
        <v>27.92</v>
      </c>
      <c r="F638" t="s">
        <v>28</v>
      </c>
      <c r="G638" s="10" t="str">
        <f>TEXT(Transform_Data[[#This Row],[Date]],"mmm yyyy")</f>
        <v>May 2024</v>
      </c>
      <c r="H638" s="10">
        <f>HOUR(Transform_Data[[#This Row],[Time]])</f>
        <v>15</v>
      </c>
      <c r="I638" s="10" t="str">
        <f>IF(COUNTIF('Transform Data'!$D:$D,'Transform Data'!D638)&gt;1,"Repeat","Single")</f>
        <v>Single</v>
      </c>
      <c r="J638" s="10" t="str">
        <f>IF('Transform Data'!D638="Cash","Cash",IF(COUNTIF('Transform Data'!$D:$D,'Transform Data'!D638)&gt;1,"Repeat","Single"))</f>
        <v>Single</v>
      </c>
      <c r="K638" s="10" t="str">
        <f t="shared" si="9"/>
        <v>TRANS-0637</v>
      </c>
    </row>
    <row r="639" spans="1:11" x14ac:dyDescent="0.35">
      <c r="A639" s="5">
        <v>45441</v>
      </c>
      <c r="B639" s="3">
        <v>0.6409259259259259</v>
      </c>
      <c r="C639" t="s">
        <v>8</v>
      </c>
      <c r="D639" t="s">
        <v>289</v>
      </c>
      <c r="E639" s="4">
        <v>37.72</v>
      </c>
      <c r="F639" t="s">
        <v>32</v>
      </c>
      <c r="G639" s="10" t="str">
        <f>TEXT(Transform_Data[[#This Row],[Date]],"mmm yyyy")</f>
        <v>May 2024</v>
      </c>
      <c r="H639" s="10">
        <f>HOUR(Transform_Data[[#This Row],[Time]])</f>
        <v>15</v>
      </c>
      <c r="I639" s="10" t="str">
        <f>IF(COUNTIF('Transform Data'!$D:$D,'Transform Data'!D639)&gt;1,"Repeat","Single")</f>
        <v>Single</v>
      </c>
      <c r="J639" s="10" t="str">
        <f>IF('Transform Data'!D639="Cash","Cash",IF(COUNTIF('Transform Data'!$D:$D,'Transform Data'!D639)&gt;1,"Repeat","Single"))</f>
        <v>Single</v>
      </c>
      <c r="K639" s="10" t="str">
        <f t="shared" si="9"/>
        <v>TRANS-0638</v>
      </c>
    </row>
    <row r="640" spans="1:11" x14ac:dyDescent="0.35">
      <c r="A640" s="5">
        <v>45441</v>
      </c>
      <c r="B640" s="3">
        <v>0.65638888888888891</v>
      </c>
      <c r="C640" t="s">
        <v>8</v>
      </c>
      <c r="D640" t="s">
        <v>290</v>
      </c>
      <c r="E640" s="4">
        <v>37.72</v>
      </c>
      <c r="F640" t="s">
        <v>24</v>
      </c>
      <c r="G640" s="10" t="str">
        <f>TEXT(Transform_Data[[#This Row],[Date]],"mmm yyyy")</f>
        <v>May 2024</v>
      </c>
      <c r="H640" s="10">
        <f>HOUR(Transform_Data[[#This Row],[Time]])</f>
        <v>15</v>
      </c>
      <c r="I640" s="10" t="str">
        <f>IF(COUNTIF('Transform Data'!$D:$D,'Transform Data'!D640)&gt;1,"Repeat","Single")</f>
        <v>Single</v>
      </c>
      <c r="J640" s="10" t="str">
        <f>IF('Transform Data'!D640="Cash","Cash",IF(COUNTIF('Transform Data'!$D:$D,'Transform Data'!D640)&gt;1,"Repeat","Single"))</f>
        <v>Single</v>
      </c>
      <c r="K640" s="10" t="str">
        <f t="shared" si="9"/>
        <v>TRANS-0639</v>
      </c>
    </row>
    <row r="641" spans="1:11" x14ac:dyDescent="0.35">
      <c r="A641" s="5">
        <v>45441</v>
      </c>
      <c r="B641" s="3">
        <v>0.69795138888888886</v>
      </c>
      <c r="C641" t="s">
        <v>8</v>
      </c>
      <c r="D641" t="s">
        <v>291</v>
      </c>
      <c r="E641" s="4">
        <v>37.72</v>
      </c>
      <c r="F641" t="s">
        <v>32</v>
      </c>
      <c r="G641" s="10" t="str">
        <f>TEXT(Transform_Data[[#This Row],[Date]],"mmm yyyy")</f>
        <v>May 2024</v>
      </c>
      <c r="H641" s="10">
        <f>HOUR(Transform_Data[[#This Row],[Time]])</f>
        <v>16</v>
      </c>
      <c r="I641" s="10" t="str">
        <f>IF(COUNTIF('Transform Data'!$D:$D,'Transform Data'!D641)&gt;1,"Repeat","Single")</f>
        <v>Single</v>
      </c>
      <c r="J641" s="10" t="str">
        <f>IF('Transform Data'!D641="Cash","Cash",IF(COUNTIF('Transform Data'!$D:$D,'Transform Data'!D641)&gt;1,"Repeat","Single"))</f>
        <v>Single</v>
      </c>
      <c r="K641" s="10" t="str">
        <f t="shared" si="9"/>
        <v>TRANS-0640</v>
      </c>
    </row>
    <row r="642" spans="1:11" x14ac:dyDescent="0.35">
      <c r="A642" s="5">
        <v>45441</v>
      </c>
      <c r="B642" s="3">
        <v>0.76670138888888884</v>
      </c>
      <c r="C642" t="s">
        <v>8</v>
      </c>
      <c r="D642" t="s">
        <v>292</v>
      </c>
      <c r="E642" s="4">
        <v>27.92</v>
      </c>
      <c r="F642" t="s">
        <v>20</v>
      </c>
      <c r="G642" s="10" t="str">
        <f>TEXT(Transform_Data[[#This Row],[Date]],"mmm yyyy")</f>
        <v>May 2024</v>
      </c>
      <c r="H642" s="10">
        <f>HOUR(Transform_Data[[#This Row],[Time]])</f>
        <v>18</v>
      </c>
      <c r="I642" s="10" t="str">
        <f>IF(COUNTIF('Transform Data'!$D:$D,'Transform Data'!D642)&gt;1,"Repeat","Single")</f>
        <v>Repeat</v>
      </c>
      <c r="J642" s="10" t="str">
        <f>IF('Transform Data'!D642="Cash","Cash",IF(COUNTIF('Transform Data'!$D:$D,'Transform Data'!D642)&gt;1,"Repeat","Single"))</f>
        <v>Repeat</v>
      </c>
      <c r="K642" s="10" t="str">
        <f t="shared" ref="K642:K705" si="10">"TRANS-"&amp;TEXT(ROW(A641),"0000")</f>
        <v>TRANS-0641</v>
      </c>
    </row>
    <row r="643" spans="1:11" x14ac:dyDescent="0.35">
      <c r="A643" s="5">
        <v>45441</v>
      </c>
      <c r="B643" s="3">
        <v>0.76734953703703701</v>
      </c>
      <c r="C643" t="s">
        <v>8</v>
      </c>
      <c r="D643" t="s">
        <v>292</v>
      </c>
      <c r="E643" s="4">
        <v>37.72</v>
      </c>
      <c r="F643" t="s">
        <v>32</v>
      </c>
      <c r="G643" s="10" t="str">
        <f>TEXT(Transform_Data[[#This Row],[Date]],"mmm yyyy")</f>
        <v>May 2024</v>
      </c>
      <c r="H643" s="10">
        <f>HOUR(Transform_Data[[#This Row],[Time]])</f>
        <v>18</v>
      </c>
      <c r="I643" s="10" t="str">
        <f>IF(COUNTIF('Transform Data'!$D:$D,'Transform Data'!D643)&gt;1,"Repeat","Single")</f>
        <v>Repeat</v>
      </c>
      <c r="J643" s="10" t="str">
        <f>IF('Transform Data'!D643="Cash","Cash",IF(COUNTIF('Transform Data'!$D:$D,'Transform Data'!D643)&gt;1,"Repeat","Single"))</f>
        <v>Repeat</v>
      </c>
      <c r="K643" s="10" t="str">
        <f t="shared" si="10"/>
        <v>TRANS-0642</v>
      </c>
    </row>
    <row r="644" spans="1:11" x14ac:dyDescent="0.35">
      <c r="A644" s="5">
        <v>45441</v>
      </c>
      <c r="B644" s="3">
        <v>0.85465277777777782</v>
      </c>
      <c r="C644" t="s">
        <v>8</v>
      </c>
      <c r="D644" t="s">
        <v>293</v>
      </c>
      <c r="E644" s="4">
        <v>37.72</v>
      </c>
      <c r="F644" t="s">
        <v>15</v>
      </c>
      <c r="G644" s="10" t="str">
        <f>TEXT(Transform_Data[[#This Row],[Date]],"mmm yyyy")</f>
        <v>May 2024</v>
      </c>
      <c r="H644" s="10">
        <f>HOUR(Transform_Data[[#This Row],[Time]])</f>
        <v>20</v>
      </c>
      <c r="I644" s="10" t="str">
        <f>IF(COUNTIF('Transform Data'!$D:$D,'Transform Data'!D644)&gt;1,"Repeat","Single")</f>
        <v>Single</v>
      </c>
      <c r="J644" s="10" t="str">
        <f>IF('Transform Data'!D644="Cash","Cash",IF(COUNTIF('Transform Data'!$D:$D,'Transform Data'!D644)&gt;1,"Repeat","Single"))</f>
        <v>Single</v>
      </c>
      <c r="K644" s="10" t="str">
        <f t="shared" si="10"/>
        <v>TRANS-0643</v>
      </c>
    </row>
    <row r="645" spans="1:11" x14ac:dyDescent="0.35">
      <c r="A645" s="5">
        <v>45441</v>
      </c>
      <c r="B645" s="3">
        <v>0.8559606481481481</v>
      </c>
      <c r="C645" t="s">
        <v>8</v>
      </c>
      <c r="D645" t="s">
        <v>294</v>
      </c>
      <c r="E645" s="4">
        <v>37.72</v>
      </c>
      <c r="F645" t="s">
        <v>10</v>
      </c>
      <c r="G645" s="10" t="str">
        <f>TEXT(Transform_Data[[#This Row],[Date]],"mmm yyyy")</f>
        <v>May 2024</v>
      </c>
      <c r="H645" s="10">
        <f>HOUR(Transform_Data[[#This Row],[Time]])</f>
        <v>20</v>
      </c>
      <c r="I645" s="10" t="str">
        <f>IF(COUNTIF('Transform Data'!$D:$D,'Transform Data'!D645)&gt;1,"Repeat","Single")</f>
        <v>Single</v>
      </c>
      <c r="J645" s="10" t="str">
        <f>IF('Transform Data'!D645="Cash","Cash",IF(COUNTIF('Transform Data'!$D:$D,'Transform Data'!D645)&gt;1,"Repeat","Single"))</f>
        <v>Single</v>
      </c>
      <c r="K645" s="10" t="str">
        <f t="shared" si="10"/>
        <v>TRANS-0644</v>
      </c>
    </row>
    <row r="646" spans="1:11" x14ac:dyDescent="0.35">
      <c r="A646" s="5">
        <v>45442</v>
      </c>
      <c r="B646" s="3">
        <v>0.35354166666666664</v>
      </c>
      <c r="C646" t="s">
        <v>8</v>
      </c>
      <c r="D646" t="s">
        <v>295</v>
      </c>
      <c r="E646" s="4">
        <v>37.72</v>
      </c>
      <c r="F646" t="s">
        <v>24</v>
      </c>
      <c r="G646" s="10" t="str">
        <f>TEXT(Transform_Data[[#This Row],[Date]],"mmm yyyy")</f>
        <v>May 2024</v>
      </c>
      <c r="H646" s="10">
        <f>HOUR(Transform_Data[[#This Row],[Time]])</f>
        <v>8</v>
      </c>
      <c r="I646" s="10" t="str">
        <f>IF(COUNTIF('Transform Data'!$D:$D,'Transform Data'!D646)&gt;1,"Repeat","Single")</f>
        <v>Repeat</v>
      </c>
      <c r="J646" s="10" t="str">
        <f>IF('Transform Data'!D646="Cash","Cash",IF(COUNTIF('Transform Data'!$D:$D,'Transform Data'!D646)&gt;1,"Repeat","Single"))</f>
        <v>Repeat</v>
      </c>
      <c r="K646" s="10" t="str">
        <f t="shared" si="10"/>
        <v>TRANS-0645</v>
      </c>
    </row>
    <row r="647" spans="1:11" x14ac:dyDescent="0.35">
      <c r="A647" s="5">
        <v>45442</v>
      </c>
      <c r="B647" s="3">
        <v>0.35440972222222222</v>
      </c>
      <c r="C647" t="s">
        <v>8</v>
      </c>
      <c r="D647" t="s">
        <v>295</v>
      </c>
      <c r="E647" s="4">
        <v>37.72</v>
      </c>
      <c r="F647" t="s">
        <v>32</v>
      </c>
      <c r="G647" s="10" t="str">
        <f>TEXT(Transform_Data[[#This Row],[Date]],"mmm yyyy")</f>
        <v>May 2024</v>
      </c>
      <c r="H647" s="10">
        <f>HOUR(Transform_Data[[#This Row],[Time]])</f>
        <v>8</v>
      </c>
      <c r="I647" s="10" t="str">
        <f>IF(COUNTIF('Transform Data'!$D:$D,'Transform Data'!D647)&gt;1,"Repeat","Single")</f>
        <v>Repeat</v>
      </c>
      <c r="J647" s="10" t="str">
        <f>IF('Transform Data'!D647="Cash","Cash",IF(COUNTIF('Transform Data'!$D:$D,'Transform Data'!D647)&gt;1,"Repeat","Single"))</f>
        <v>Repeat</v>
      </c>
      <c r="K647" s="10" t="str">
        <f t="shared" si="10"/>
        <v>TRANS-0646</v>
      </c>
    </row>
    <row r="648" spans="1:11" x14ac:dyDescent="0.35">
      <c r="A648" s="5">
        <v>45442</v>
      </c>
      <c r="B648" s="3">
        <v>0.35908564814814814</v>
      </c>
      <c r="C648" t="s">
        <v>8</v>
      </c>
      <c r="D648" t="s">
        <v>296</v>
      </c>
      <c r="E648" s="4">
        <v>32.82</v>
      </c>
      <c r="F648" t="s">
        <v>36</v>
      </c>
      <c r="G648" s="10" t="str">
        <f>TEXT(Transform_Data[[#This Row],[Date]],"mmm yyyy")</f>
        <v>May 2024</v>
      </c>
      <c r="H648" s="10">
        <f>HOUR(Transform_Data[[#This Row],[Time]])</f>
        <v>8</v>
      </c>
      <c r="I648" s="10" t="str">
        <f>IF(COUNTIF('Transform Data'!$D:$D,'Transform Data'!D648)&gt;1,"Repeat","Single")</f>
        <v>Repeat</v>
      </c>
      <c r="J648" s="10" t="str">
        <f>IF('Transform Data'!D648="Cash","Cash",IF(COUNTIF('Transform Data'!$D:$D,'Transform Data'!D648)&gt;1,"Repeat","Single"))</f>
        <v>Repeat</v>
      </c>
      <c r="K648" s="10" t="str">
        <f t="shared" si="10"/>
        <v>TRANS-0647</v>
      </c>
    </row>
    <row r="649" spans="1:11" x14ac:dyDescent="0.35">
      <c r="A649" s="5">
        <v>45442</v>
      </c>
      <c r="B649" s="3">
        <v>0.40832175925925923</v>
      </c>
      <c r="C649" t="s">
        <v>8</v>
      </c>
      <c r="D649" t="s">
        <v>60</v>
      </c>
      <c r="E649" s="4">
        <v>37.72</v>
      </c>
      <c r="F649" t="s">
        <v>32</v>
      </c>
      <c r="G649" s="10" t="str">
        <f>TEXT(Transform_Data[[#This Row],[Date]],"mmm yyyy")</f>
        <v>May 2024</v>
      </c>
      <c r="H649" s="10">
        <f>HOUR(Transform_Data[[#This Row],[Time]])</f>
        <v>9</v>
      </c>
      <c r="I649" s="10" t="str">
        <f>IF(COUNTIF('Transform Data'!$D:$D,'Transform Data'!D649)&gt;1,"Repeat","Single")</f>
        <v>Repeat</v>
      </c>
      <c r="J649" s="10" t="str">
        <f>IF('Transform Data'!D649="Cash","Cash",IF(COUNTIF('Transform Data'!$D:$D,'Transform Data'!D649)&gt;1,"Repeat","Single"))</f>
        <v>Repeat</v>
      </c>
      <c r="K649" s="10" t="str">
        <f t="shared" si="10"/>
        <v>TRANS-0648</v>
      </c>
    </row>
    <row r="650" spans="1:11" x14ac:dyDescent="0.35">
      <c r="A650" s="5">
        <v>45442</v>
      </c>
      <c r="B650" s="3">
        <v>0.62239583333333337</v>
      </c>
      <c r="C650" t="s">
        <v>8</v>
      </c>
      <c r="D650" t="s">
        <v>11</v>
      </c>
      <c r="E650" s="4">
        <v>32.82</v>
      </c>
      <c r="F650" t="s">
        <v>36</v>
      </c>
      <c r="G650" s="10" t="str">
        <f>TEXT(Transform_Data[[#This Row],[Date]],"mmm yyyy")</f>
        <v>May 2024</v>
      </c>
      <c r="H650" s="10">
        <f>HOUR(Transform_Data[[#This Row],[Time]])</f>
        <v>14</v>
      </c>
      <c r="I650" s="10" t="str">
        <f>IF(COUNTIF('Transform Data'!$D:$D,'Transform Data'!D650)&gt;1,"Repeat","Single")</f>
        <v>Repeat</v>
      </c>
      <c r="J650" s="10" t="str">
        <f>IF('Transform Data'!D650="Cash","Cash",IF(COUNTIF('Transform Data'!$D:$D,'Transform Data'!D650)&gt;1,"Repeat","Single"))</f>
        <v>Repeat</v>
      </c>
      <c r="K650" s="10" t="str">
        <f t="shared" si="10"/>
        <v>TRANS-0649</v>
      </c>
    </row>
    <row r="651" spans="1:11" x14ac:dyDescent="0.35">
      <c r="A651" s="5">
        <v>45442</v>
      </c>
      <c r="B651" s="3">
        <v>0.63628472222222221</v>
      </c>
      <c r="C651" t="s">
        <v>8</v>
      </c>
      <c r="D651" t="s">
        <v>297</v>
      </c>
      <c r="E651" s="4">
        <v>23.02</v>
      </c>
      <c r="F651" t="s">
        <v>5</v>
      </c>
      <c r="G651" s="10" t="str">
        <f>TEXT(Transform_Data[[#This Row],[Date]],"mmm yyyy")</f>
        <v>May 2024</v>
      </c>
      <c r="H651" s="10">
        <f>HOUR(Transform_Data[[#This Row],[Time]])</f>
        <v>15</v>
      </c>
      <c r="I651" s="10" t="str">
        <f>IF(COUNTIF('Transform Data'!$D:$D,'Transform Data'!D651)&gt;1,"Repeat","Single")</f>
        <v>Single</v>
      </c>
      <c r="J651" s="10" t="str">
        <f>IF('Transform Data'!D651="Cash","Cash",IF(COUNTIF('Transform Data'!$D:$D,'Transform Data'!D651)&gt;1,"Repeat","Single"))</f>
        <v>Single</v>
      </c>
      <c r="K651" s="10" t="str">
        <f t="shared" si="10"/>
        <v>TRANS-0650</v>
      </c>
    </row>
    <row r="652" spans="1:11" x14ac:dyDescent="0.35">
      <c r="A652" s="5">
        <v>45442</v>
      </c>
      <c r="B652" s="3">
        <v>0.63724537037037032</v>
      </c>
      <c r="C652" t="s">
        <v>8</v>
      </c>
      <c r="D652" t="s">
        <v>43</v>
      </c>
      <c r="E652" s="4">
        <v>23.02</v>
      </c>
      <c r="F652" t="s">
        <v>5</v>
      </c>
      <c r="G652" s="10" t="str">
        <f>TEXT(Transform_Data[[#This Row],[Date]],"mmm yyyy")</f>
        <v>May 2024</v>
      </c>
      <c r="H652" s="10">
        <f>HOUR(Transform_Data[[#This Row],[Time]])</f>
        <v>15</v>
      </c>
      <c r="I652" s="10" t="str">
        <f>IF(COUNTIF('Transform Data'!$D:$D,'Transform Data'!D652)&gt;1,"Repeat","Single")</f>
        <v>Repeat</v>
      </c>
      <c r="J652" s="10" t="str">
        <f>IF('Transform Data'!D652="Cash","Cash",IF(COUNTIF('Transform Data'!$D:$D,'Transform Data'!D652)&gt;1,"Repeat","Single"))</f>
        <v>Repeat</v>
      </c>
      <c r="K652" s="10" t="str">
        <f t="shared" si="10"/>
        <v>TRANS-0651</v>
      </c>
    </row>
    <row r="653" spans="1:11" x14ac:dyDescent="0.35">
      <c r="A653" s="5">
        <v>45442</v>
      </c>
      <c r="B653" s="3">
        <v>0.82859953703703704</v>
      </c>
      <c r="C653" t="s">
        <v>8</v>
      </c>
      <c r="D653" t="s">
        <v>260</v>
      </c>
      <c r="E653" s="4">
        <v>37.72</v>
      </c>
      <c r="F653" t="s">
        <v>24</v>
      </c>
      <c r="G653" s="10" t="str">
        <f>TEXT(Transform_Data[[#This Row],[Date]],"mmm yyyy")</f>
        <v>May 2024</v>
      </c>
      <c r="H653" s="10">
        <f>HOUR(Transform_Data[[#This Row],[Time]])</f>
        <v>19</v>
      </c>
      <c r="I653" s="10" t="str">
        <f>IF(COUNTIF('Transform Data'!$D:$D,'Transform Data'!D653)&gt;1,"Repeat","Single")</f>
        <v>Repeat</v>
      </c>
      <c r="J653" s="10" t="str">
        <f>IF('Transform Data'!D653="Cash","Cash",IF(COUNTIF('Transform Data'!$D:$D,'Transform Data'!D653)&gt;1,"Repeat","Single"))</f>
        <v>Repeat</v>
      </c>
      <c r="K653" s="10" t="str">
        <f t="shared" si="10"/>
        <v>TRANS-0652</v>
      </c>
    </row>
    <row r="654" spans="1:11" x14ac:dyDescent="0.35">
      <c r="A654" s="5">
        <v>45442</v>
      </c>
      <c r="B654" s="3">
        <v>0.85491898148148149</v>
      </c>
      <c r="C654" t="s">
        <v>8</v>
      </c>
      <c r="D654" t="s">
        <v>298</v>
      </c>
      <c r="E654" s="4">
        <v>37.72</v>
      </c>
      <c r="F654" t="s">
        <v>32</v>
      </c>
      <c r="G654" s="10" t="str">
        <f>TEXT(Transform_Data[[#This Row],[Date]],"mmm yyyy")</f>
        <v>May 2024</v>
      </c>
      <c r="H654" s="10">
        <f>HOUR(Transform_Data[[#This Row],[Time]])</f>
        <v>20</v>
      </c>
      <c r="I654" s="10" t="str">
        <f>IF(COUNTIF('Transform Data'!$D:$D,'Transform Data'!D654)&gt;1,"Repeat","Single")</f>
        <v>Single</v>
      </c>
      <c r="J654" s="10" t="str">
        <f>IF('Transform Data'!D654="Cash","Cash",IF(COUNTIF('Transform Data'!$D:$D,'Transform Data'!D654)&gt;1,"Repeat","Single"))</f>
        <v>Single</v>
      </c>
      <c r="K654" s="10" t="str">
        <f t="shared" si="10"/>
        <v>TRANS-0653</v>
      </c>
    </row>
    <row r="655" spans="1:11" x14ac:dyDescent="0.35">
      <c r="A655" s="5">
        <v>45442</v>
      </c>
      <c r="B655" s="3">
        <v>0.86542824074074076</v>
      </c>
      <c r="C655" t="s">
        <v>8</v>
      </c>
      <c r="D655" t="s">
        <v>25</v>
      </c>
      <c r="E655" s="4">
        <v>37.72</v>
      </c>
      <c r="F655" t="s">
        <v>15</v>
      </c>
      <c r="G655" s="10" t="str">
        <f>TEXT(Transform_Data[[#This Row],[Date]],"mmm yyyy")</f>
        <v>May 2024</v>
      </c>
      <c r="H655" s="10">
        <f>HOUR(Transform_Data[[#This Row],[Time]])</f>
        <v>20</v>
      </c>
      <c r="I655" s="10" t="str">
        <f>IF(COUNTIF('Transform Data'!$D:$D,'Transform Data'!D655)&gt;1,"Repeat","Single")</f>
        <v>Repeat</v>
      </c>
      <c r="J655" s="10" t="str">
        <f>IF('Transform Data'!D655="Cash","Cash",IF(COUNTIF('Transform Data'!$D:$D,'Transform Data'!D655)&gt;1,"Repeat","Single"))</f>
        <v>Repeat</v>
      </c>
      <c r="K655" s="10" t="str">
        <f t="shared" si="10"/>
        <v>TRANS-0654</v>
      </c>
    </row>
    <row r="656" spans="1:11" x14ac:dyDescent="0.35">
      <c r="A656" s="5">
        <v>45442</v>
      </c>
      <c r="B656" s="3">
        <v>0.86621527777777774</v>
      </c>
      <c r="C656" t="s">
        <v>8</v>
      </c>
      <c r="D656" t="s">
        <v>25</v>
      </c>
      <c r="E656" s="4">
        <v>32.82</v>
      </c>
      <c r="F656" t="s">
        <v>36</v>
      </c>
      <c r="G656" s="10" t="str">
        <f>TEXT(Transform_Data[[#This Row],[Date]],"mmm yyyy")</f>
        <v>May 2024</v>
      </c>
      <c r="H656" s="10">
        <f>HOUR(Transform_Data[[#This Row],[Time]])</f>
        <v>20</v>
      </c>
      <c r="I656" s="10" t="str">
        <f>IF(COUNTIF('Transform Data'!$D:$D,'Transform Data'!D656)&gt;1,"Repeat","Single")</f>
        <v>Repeat</v>
      </c>
      <c r="J656" s="10" t="str">
        <f>IF('Transform Data'!D656="Cash","Cash",IF(COUNTIF('Transform Data'!$D:$D,'Transform Data'!D656)&gt;1,"Repeat","Single"))</f>
        <v>Repeat</v>
      </c>
      <c r="K656" s="10" t="str">
        <f t="shared" si="10"/>
        <v>TRANS-0655</v>
      </c>
    </row>
    <row r="657" spans="1:11" x14ac:dyDescent="0.35">
      <c r="A657" s="5">
        <v>45443</v>
      </c>
      <c r="B657" s="3">
        <v>0.32913194444444444</v>
      </c>
      <c r="C657" t="s">
        <v>8</v>
      </c>
      <c r="D657" t="s">
        <v>299</v>
      </c>
      <c r="E657" s="4">
        <v>32.82</v>
      </c>
      <c r="F657" t="s">
        <v>36</v>
      </c>
      <c r="G657" s="10" t="str">
        <f>TEXT(Transform_Data[[#This Row],[Date]],"mmm yyyy")</f>
        <v>May 2024</v>
      </c>
      <c r="H657" s="10">
        <f>HOUR(Transform_Data[[#This Row],[Time]])</f>
        <v>7</v>
      </c>
      <c r="I657" s="10" t="str">
        <f>IF(COUNTIF('Transform Data'!$D:$D,'Transform Data'!D657)&gt;1,"Repeat","Single")</f>
        <v>Single</v>
      </c>
      <c r="J657" s="10" t="str">
        <f>IF('Transform Data'!D657="Cash","Cash",IF(COUNTIF('Transform Data'!$D:$D,'Transform Data'!D657)&gt;1,"Repeat","Single"))</f>
        <v>Single</v>
      </c>
      <c r="K657" s="10" t="str">
        <f t="shared" si="10"/>
        <v>TRANS-0656</v>
      </c>
    </row>
    <row r="658" spans="1:11" x14ac:dyDescent="0.35">
      <c r="A658" s="5">
        <v>45443</v>
      </c>
      <c r="B658" s="3">
        <v>0.38966435185185183</v>
      </c>
      <c r="C658" t="s">
        <v>8</v>
      </c>
      <c r="D658" t="s">
        <v>300</v>
      </c>
      <c r="E658" s="4">
        <v>37.72</v>
      </c>
      <c r="F658" t="s">
        <v>32</v>
      </c>
      <c r="G658" s="10" t="str">
        <f>TEXT(Transform_Data[[#This Row],[Date]],"mmm yyyy")</f>
        <v>May 2024</v>
      </c>
      <c r="H658" s="10">
        <f>HOUR(Transform_Data[[#This Row],[Time]])</f>
        <v>9</v>
      </c>
      <c r="I658" s="10" t="str">
        <f>IF(COUNTIF('Transform Data'!$D:$D,'Transform Data'!D658)&gt;1,"Repeat","Single")</f>
        <v>Single</v>
      </c>
      <c r="J658" s="10" t="str">
        <f>IF('Transform Data'!D658="Cash","Cash",IF(COUNTIF('Transform Data'!$D:$D,'Transform Data'!D658)&gt;1,"Repeat","Single"))</f>
        <v>Single</v>
      </c>
      <c r="K658" s="10" t="str">
        <f t="shared" si="10"/>
        <v>TRANS-0657</v>
      </c>
    </row>
    <row r="659" spans="1:11" x14ac:dyDescent="0.35">
      <c r="A659" s="5">
        <v>45443</v>
      </c>
      <c r="B659" s="3">
        <v>0.39164351851851853</v>
      </c>
      <c r="C659" t="s">
        <v>13</v>
      </c>
      <c r="D659" t="s">
        <v>37</v>
      </c>
      <c r="E659" s="4">
        <v>39</v>
      </c>
      <c r="F659" t="s">
        <v>32</v>
      </c>
      <c r="G659" s="10" t="str">
        <f>TEXT(Transform_Data[[#This Row],[Date]],"mmm yyyy")</f>
        <v>May 2024</v>
      </c>
      <c r="H659" s="10">
        <f>HOUR(Transform_Data[[#This Row],[Time]])</f>
        <v>9</v>
      </c>
      <c r="I659" s="10" t="str">
        <f>IF(COUNTIF('Transform Data'!$D:$D,'Transform Data'!D659)&gt;1,"Repeat","Single")</f>
        <v>Repeat</v>
      </c>
      <c r="J659" s="10" t="str">
        <f>IF('Transform Data'!D659="Cash","Cash",IF(COUNTIF('Transform Data'!$D:$D,'Transform Data'!D659)&gt;1,"Repeat","Single"))</f>
        <v>Repeat</v>
      </c>
      <c r="K659" s="10" t="str">
        <f t="shared" si="10"/>
        <v>TRANS-0658</v>
      </c>
    </row>
    <row r="660" spans="1:11" x14ac:dyDescent="0.35">
      <c r="A660" s="5">
        <v>45443</v>
      </c>
      <c r="B660" s="3">
        <v>0.44313657407407409</v>
      </c>
      <c r="C660" t="s">
        <v>8</v>
      </c>
      <c r="D660" t="s">
        <v>301</v>
      </c>
      <c r="E660" s="4">
        <v>37.72</v>
      </c>
      <c r="F660" t="s">
        <v>15</v>
      </c>
      <c r="G660" s="10" t="str">
        <f>TEXT(Transform_Data[[#This Row],[Date]],"mmm yyyy")</f>
        <v>May 2024</v>
      </c>
      <c r="H660" s="10">
        <f>HOUR(Transform_Data[[#This Row],[Time]])</f>
        <v>10</v>
      </c>
      <c r="I660" s="10" t="str">
        <f>IF(COUNTIF('Transform Data'!$D:$D,'Transform Data'!D660)&gt;1,"Repeat","Single")</f>
        <v>Single</v>
      </c>
      <c r="J660" s="10" t="str">
        <f>IF('Transform Data'!D660="Cash","Cash",IF(COUNTIF('Transform Data'!$D:$D,'Transform Data'!D660)&gt;1,"Repeat","Single"))</f>
        <v>Single</v>
      </c>
      <c r="K660" s="10" t="str">
        <f t="shared" si="10"/>
        <v>TRANS-0659</v>
      </c>
    </row>
    <row r="661" spans="1:11" x14ac:dyDescent="0.35">
      <c r="A661" s="5">
        <v>45443</v>
      </c>
      <c r="B661" s="3">
        <v>0.44381944444444443</v>
      </c>
      <c r="C661" t="s">
        <v>8</v>
      </c>
      <c r="D661" t="s">
        <v>302</v>
      </c>
      <c r="E661" s="4">
        <v>37.72</v>
      </c>
      <c r="F661" t="s">
        <v>10</v>
      </c>
      <c r="G661" s="10" t="str">
        <f>TEXT(Transform_Data[[#This Row],[Date]],"mmm yyyy")</f>
        <v>May 2024</v>
      </c>
      <c r="H661" s="10">
        <f>HOUR(Transform_Data[[#This Row],[Time]])</f>
        <v>10</v>
      </c>
      <c r="I661" s="10" t="str">
        <f>IF(COUNTIF('Transform Data'!$D:$D,'Transform Data'!D661)&gt;1,"Repeat","Single")</f>
        <v>Single</v>
      </c>
      <c r="J661" s="10" t="str">
        <f>IF('Transform Data'!D661="Cash","Cash",IF(COUNTIF('Transform Data'!$D:$D,'Transform Data'!D661)&gt;1,"Repeat","Single"))</f>
        <v>Single</v>
      </c>
      <c r="K661" s="10" t="str">
        <f t="shared" si="10"/>
        <v>TRANS-0660</v>
      </c>
    </row>
    <row r="662" spans="1:11" x14ac:dyDescent="0.35">
      <c r="A662" s="5">
        <v>45443</v>
      </c>
      <c r="B662" s="3">
        <v>0.61819444444444449</v>
      </c>
      <c r="C662" t="s">
        <v>8</v>
      </c>
      <c r="D662" t="s">
        <v>303</v>
      </c>
      <c r="E662" s="4">
        <v>32.82</v>
      </c>
      <c r="F662" t="s">
        <v>36</v>
      </c>
      <c r="G662" s="10" t="str">
        <f>TEXT(Transform_Data[[#This Row],[Date]],"mmm yyyy")</f>
        <v>May 2024</v>
      </c>
      <c r="H662" s="10">
        <f>HOUR(Transform_Data[[#This Row],[Time]])</f>
        <v>14</v>
      </c>
      <c r="I662" s="10" t="str">
        <f>IF(COUNTIF('Transform Data'!$D:$D,'Transform Data'!D662)&gt;1,"Repeat","Single")</f>
        <v>Single</v>
      </c>
      <c r="J662" s="10" t="str">
        <f>IF('Transform Data'!D662="Cash","Cash",IF(COUNTIF('Transform Data'!$D:$D,'Transform Data'!D662)&gt;1,"Repeat","Single"))</f>
        <v>Single</v>
      </c>
      <c r="K662" s="10" t="str">
        <f t="shared" si="10"/>
        <v>TRANS-0661</v>
      </c>
    </row>
    <row r="663" spans="1:11" x14ac:dyDescent="0.35">
      <c r="A663" s="5">
        <v>45443</v>
      </c>
      <c r="B663" s="3">
        <v>0.76648148148148143</v>
      </c>
      <c r="C663" t="s">
        <v>8</v>
      </c>
      <c r="D663" t="s">
        <v>304</v>
      </c>
      <c r="E663" s="4">
        <v>37.72</v>
      </c>
      <c r="F663" t="s">
        <v>32</v>
      </c>
      <c r="G663" s="10" t="str">
        <f>TEXT(Transform_Data[[#This Row],[Date]],"mmm yyyy")</f>
        <v>May 2024</v>
      </c>
      <c r="H663" s="10">
        <f>HOUR(Transform_Data[[#This Row],[Time]])</f>
        <v>18</v>
      </c>
      <c r="I663" s="10" t="str">
        <f>IF(COUNTIF('Transform Data'!$D:$D,'Transform Data'!D663)&gt;1,"Repeat","Single")</f>
        <v>Repeat</v>
      </c>
      <c r="J663" s="10" t="str">
        <f>IF('Transform Data'!D663="Cash","Cash",IF(COUNTIF('Transform Data'!$D:$D,'Transform Data'!D663)&gt;1,"Repeat","Single"))</f>
        <v>Repeat</v>
      </c>
      <c r="K663" s="10" t="str">
        <f t="shared" si="10"/>
        <v>TRANS-0662</v>
      </c>
    </row>
    <row r="664" spans="1:11" x14ac:dyDescent="0.35">
      <c r="A664" s="5">
        <v>45443</v>
      </c>
      <c r="B664" s="3">
        <v>0.76739583333333339</v>
      </c>
      <c r="C664" t="s">
        <v>8</v>
      </c>
      <c r="D664" t="s">
        <v>304</v>
      </c>
      <c r="E664" s="4">
        <v>37.72</v>
      </c>
      <c r="F664" t="s">
        <v>32</v>
      </c>
      <c r="G664" s="10" t="str">
        <f>TEXT(Transform_Data[[#This Row],[Date]],"mmm yyyy")</f>
        <v>May 2024</v>
      </c>
      <c r="H664" s="10">
        <f>HOUR(Transform_Data[[#This Row],[Time]])</f>
        <v>18</v>
      </c>
      <c r="I664" s="10" t="str">
        <f>IF(COUNTIF('Transform Data'!$D:$D,'Transform Data'!D664)&gt;1,"Repeat","Single")</f>
        <v>Repeat</v>
      </c>
      <c r="J664" s="10" t="str">
        <f>IF('Transform Data'!D664="Cash","Cash",IF(COUNTIF('Transform Data'!$D:$D,'Transform Data'!D664)&gt;1,"Repeat","Single"))</f>
        <v>Repeat</v>
      </c>
      <c r="K664" s="10" t="str">
        <f t="shared" si="10"/>
        <v>TRANS-0663</v>
      </c>
    </row>
    <row r="665" spans="1:11" x14ac:dyDescent="0.35">
      <c r="A665" s="5">
        <v>45443</v>
      </c>
      <c r="B665" s="3">
        <v>0.83795138888888887</v>
      </c>
      <c r="C665" t="s">
        <v>8</v>
      </c>
      <c r="D665" t="s">
        <v>234</v>
      </c>
      <c r="E665" s="4">
        <v>37.72</v>
      </c>
      <c r="F665" t="s">
        <v>24</v>
      </c>
      <c r="G665" s="10" t="str">
        <f>TEXT(Transform_Data[[#This Row],[Date]],"mmm yyyy")</f>
        <v>May 2024</v>
      </c>
      <c r="H665" s="10">
        <f>HOUR(Transform_Data[[#This Row],[Time]])</f>
        <v>20</v>
      </c>
      <c r="I665" s="10" t="str">
        <f>IF(COUNTIF('Transform Data'!$D:$D,'Transform Data'!D665)&gt;1,"Repeat","Single")</f>
        <v>Repeat</v>
      </c>
      <c r="J665" s="10" t="str">
        <f>IF('Transform Data'!D665="Cash","Cash",IF(COUNTIF('Transform Data'!$D:$D,'Transform Data'!D665)&gt;1,"Repeat","Single"))</f>
        <v>Repeat</v>
      </c>
      <c r="K665" s="10" t="str">
        <f t="shared" si="10"/>
        <v>TRANS-0664</v>
      </c>
    </row>
    <row r="666" spans="1:11" x14ac:dyDescent="0.35">
      <c r="A666" s="5">
        <v>45443</v>
      </c>
      <c r="B666" s="3">
        <v>0.85631944444444441</v>
      </c>
      <c r="C666" t="s">
        <v>8</v>
      </c>
      <c r="D666" t="s">
        <v>189</v>
      </c>
      <c r="E666" s="4">
        <v>32.82</v>
      </c>
      <c r="F666" t="s">
        <v>36</v>
      </c>
      <c r="G666" s="10" t="str">
        <f>TEXT(Transform_Data[[#This Row],[Date]],"mmm yyyy")</f>
        <v>May 2024</v>
      </c>
      <c r="H666" s="10">
        <f>HOUR(Transform_Data[[#This Row],[Time]])</f>
        <v>20</v>
      </c>
      <c r="I666" s="10" t="str">
        <f>IF(COUNTIF('Transform Data'!$D:$D,'Transform Data'!D666)&gt;1,"Repeat","Single")</f>
        <v>Repeat</v>
      </c>
      <c r="J666" s="10" t="str">
        <f>IF('Transform Data'!D666="Cash","Cash",IF(COUNTIF('Transform Data'!$D:$D,'Transform Data'!D666)&gt;1,"Repeat","Single"))</f>
        <v>Repeat</v>
      </c>
      <c r="K666" s="10" t="str">
        <f t="shared" si="10"/>
        <v>TRANS-0665</v>
      </c>
    </row>
    <row r="667" spans="1:11" x14ac:dyDescent="0.35">
      <c r="A667" s="5">
        <v>45443</v>
      </c>
      <c r="B667" s="3">
        <v>0.85731481481481486</v>
      </c>
      <c r="C667" t="s">
        <v>8</v>
      </c>
      <c r="D667" t="s">
        <v>189</v>
      </c>
      <c r="E667" s="4">
        <v>37.72</v>
      </c>
      <c r="F667" t="s">
        <v>32</v>
      </c>
      <c r="G667" s="10" t="str">
        <f>TEXT(Transform_Data[[#This Row],[Date]],"mmm yyyy")</f>
        <v>May 2024</v>
      </c>
      <c r="H667" s="10">
        <f>HOUR(Transform_Data[[#This Row],[Time]])</f>
        <v>20</v>
      </c>
      <c r="I667" s="10" t="str">
        <f>IF(COUNTIF('Transform Data'!$D:$D,'Transform Data'!D667)&gt;1,"Repeat","Single")</f>
        <v>Repeat</v>
      </c>
      <c r="J667" s="10" t="str">
        <f>IF('Transform Data'!D667="Cash","Cash",IF(COUNTIF('Transform Data'!$D:$D,'Transform Data'!D667)&gt;1,"Repeat","Single"))</f>
        <v>Repeat</v>
      </c>
      <c r="K667" s="10" t="str">
        <f t="shared" si="10"/>
        <v>TRANS-0666</v>
      </c>
    </row>
    <row r="668" spans="1:11" x14ac:dyDescent="0.35">
      <c r="A668" s="5">
        <v>45443</v>
      </c>
      <c r="B668" s="3">
        <v>0.92068287037037033</v>
      </c>
      <c r="C668" t="s">
        <v>8</v>
      </c>
      <c r="D668" t="s">
        <v>260</v>
      </c>
      <c r="E668" s="4">
        <v>37.72</v>
      </c>
      <c r="F668" t="s">
        <v>24</v>
      </c>
      <c r="G668" s="10" t="str">
        <f>TEXT(Transform_Data[[#This Row],[Date]],"mmm yyyy")</f>
        <v>May 2024</v>
      </c>
      <c r="H668" s="10">
        <f>HOUR(Transform_Data[[#This Row],[Time]])</f>
        <v>22</v>
      </c>
      <c r="I668" s="10" t="str">
        <f>IF(COUNTIF('Transform Data'!$D:$D,'Transform Data'!D668)&gt;1,"Repeat","Single")</f>
        <v>Repeat</v>
      </c>
      <c r="J668" s="10" t="str">
        <f>IF('Transform Data'!D668="Cash","Cash",IF(COUNTIF('Transform Data'!$D:$D,'Transform Data'!D668)&gt;1,"Repeat","Single"))</f>
        <v>Repeat</v>
      </c>
      <c r="K668" s="10" t="str">
        <f t="shared" si="10"/>
        <v>TRANS-0667</v>
      </c>
    </row>
    <row r="669" spans="1:11" x14ac:dyDescent="0.35">
      <c r="A669" s="5">
        <v>45443</v>
      </c>
      <c r="B669" s="3">
        <v>0.92143518518518519</v>
      </c>
      <c r="C669" t="s">
        <v>8</v>
      </c>
      <c r="D669" t="s">
        <v>260</v>
      </c>
      <c r="E669" s="4">
        <v>32.82</v>
      </c>
      <c r="F669" t="s">
        <v>36</v>
      </c>
      <c r="G669" s="10" t="str">
        <f>TEXT(Transform_Data[[#This Row],[Date]],"mmm yyyy")</f>
        <v>May 2024</v>
      </c>
      <c r="H669" s="10">
        <f>HOUR(Transform_Data[[#This Row],[Time]])</f>
        <v>22</v>
      </c>
      <c r="I669" s="10" t="str">
        <f>IF(COUNTIF('Transform Data'!$D:$D,'Transform Data'!D669)&gt;1,"Repeat","Single")</f>
        <v>Repeat</v>
      </c>
      <c r="J669" s="10" t="str">
        <f>IF('Transform Data'!D669="Cash","Cash",IF(COUNTIF('Transform Data'!$D:$D,'Transform Data'!D669)&gt;1,"Repeat","Single"))</f>
        <v>Repeat</v>
      </c>
      <c r="K669" s="10" t="str">
        <f t="shared" si="10"/>
        <v>TRANS-0668</v>
      </c>
    </row>
    <row r="670" spans="1:11" x14ac:dyDescent="0.35">
      <c r="A670" s="5">
        <v>45443</v>
      </c>
      <c r="B670" s="3">
        <v>0.92216435185185186</v>
      </c>
      <c r="C670" t="s">
        <v>8</v>
      </c>
      <c r="D670" t="s">
        <v>260</v>
      </c>
      <c r="E670" s="4">
        <v>27.92</v>
      </c>
      <c r="F670" t="s">
        <v>20</v>
      </c>
      <c r="G670" s="10" t="str">
        <f>TEXT(Transform_Data[[#This Row],[Date]],"mmm yyyy")</f>
        <v>May 2024</v>
      </c>
      <c r="H670" s="10">
        <f>HOUR(Transform_Data[[#This Row],[Time]])</f>
        <v>22</v>
      </c>
      <c r="I670" s="10" t="str">
        <f>IF(COUNTIF('Transform Data'!$D:$D,'Transform Data'!D670)&gt;1,"Repeat","Single")</f>
        <v>Repeat</v>
      </c>
      <c r="J670" s="10" t="str">
        <f>IF('Transform Data'!D670="Cash","Cash",IF(COUNTIF('Transform Data'!$D:$D,'Transform Data'!D670)&gt;1,"Repeat","Single"))</f>
        <v>Repeat</v>
      </c>
      <c r="K670" s="10" t="str">
        <f t="shared" si="10"/>
        <v>TRANS-0669</v>
      </c>
    </row>
    <row r="671" spans="1:11" x14ac:dyDescent="0.35">
      <c r="A671" s="5">
        <v>45444</v>
      </c>
      <c r="B671" s="3">
        <v>0.3520949074074074</v>
      </c>
      <c r="C671" t="s">
        <v>8</v>
      </c>
      <c r="D671" t="s">
        <v>40</v>
      </c>
      <c r="E671" s="4">
        <v>27.92</v>
      </c>
      <c r="F671" t="s">
        <v>20</v>
      </c>
      <c r="G671" s="10" t="str">
        <f>TEXT(Transform_Data[[#This Row],[Date]],"mmm yyyy")</f>
        <v>Jun 2024</v>
      </c>
      <c r="H671" s="10">
        <f>HOUR(Transform_Data[[#This Row],[Time]])</f>
        <v>8</v>
      </c>
      <c r="I671" s="10" t="str">
        <f>IF(COUNTIF('Transform Data'!$D:$D,'Transform Data'!D671)&gt;1,"Repeat","Single")</f>
        <v>Repeat</v>
      </c>
      <c r="J671" s="10" t="str">
        <f>IF('Transform Data'!D671="Cash","Cash",IF(COUNTIF('Transform Data'!$D:$D,'Transform Data'!D671)&gt;1,"Repeat","Single"))</f>
        <v>Repeat</v>
      </c>
      <c r="K671" s="10" t="str">
        <f t="shared" si="10"/>
        <v>TRANS-0670</v>
      </c>
    </row>
    <row r="672" spans="1:11" x14ac:dyDescent="0.35">
      <c r="A672" s="5">
        <v>45444</v>
      </c>
      <c r="B672" s="3">
        <v>0.40861111111111109</v>
      </c>
      <c r="C672" t="s">
        <v>8</v>
      </c>
      <c r="D672" t="s">
        <v>286</v>
      </c>
      <c r="E672" s="4">
        <v>37.72</v>
      </c>
      <c r="F672" t="s">
        <v>32</v>
      </c>
      <c r="G672" s="10" t="str">
        <f>TEXT(Transform_Data[[#This Row],[Date]],"mmm yyyy")</f>
        <v>Jun 2024</v>
      </c>
      <c r="H672" s="10">
        <f>HOUR(Transform_Data[[#This Row],[Time]])</f>
        <v>9</v>
      </c>
      <c r="I672" s="10" t="str">
        <f>IF(COUNTIF('Transform Data'!$D:$D,'Transform Data'!D672)&gt;1,"Repeat","Single")</f>
        <v>Repeat</v>
      </c>
      <c r="J672" s="10" t="str">
        <f>IF('Transform Data'!D672="Cash","Cash",IF(COUNTIF('Transform Data'!$D:$D,'Transform Data'!D672)&gt;1,"Repeat","Single"))</f>
        <v>Repeat</v>
      </c>
      <c r="K672" s="10" t="str">
        <f t="shared" si="10"/>
        <v>TRANS-0671</v>
      </c>
    </row>
    <row r="673" spans="1:11" x14ac:dyDescent="0.35">
      <c r="A673" s="5">
        <v>45444</v>
      </c>
      <c r="B673" s="3">
        <v>0.4848263888888889</v>
      </c>
      <c r="C673" t="s">
        <v>8</v>
      </c>
      <c r="D673" t="s">
        <v>304</v>
      </c>
      <c r="E673" s="4">
        <v>37.72</v>
      </c>
      <c r="F673" t="s">
        <v>32</v>
      </c>
      <c r="G673" s="10" t="str">
        <f>TEXT(Transform_Data[[#This Row],[Date]],"mmm yyyy")</f>
        <v>Jun 2024</v>
      </c>
      <c r="H673" s="10">
        <f>HOUR(Transform_Data[[#This Row],[Time]])</f>
        <v>11</v>
      </c>
      <c r="I673" s="10" t="str">
        <f>IF(COUNTIF('Transform Data'!$D:$D,'Transform Data'!D673)&gt;1,"Repeat","Single")</f>
        <v>Repeat</v>
      </c>
      <c r="J673" s="10" t="str">
        <f>IF('Transform Data'!D673="Cash","Cash",IF(COUNTIF('Transform Data'!$D:$D,'Transform Data'!D673)&gt;1,"Repeat","Single"))</f>
        <v>Repeat</v>
      </c>
      <c r="K673" s="10" t="str">
        <f t="shared" si="10"/>
        <v>TRANS-0672</v>
      </c>
    </row>
    <row r="674" spans="1:11" x14ac:dyDescent="0.35">
      <c r="A674" s="5">
        <v>45444</v>
      </c>
      <c r="B674" s="3">
        <v>0.60339120370370369</v>
      </c>
      <c r="C674" t="s">
        <v>8</v>
      </c>
      <c r="D674" t="s">
        <v>11</v>
      </c>
      <c r="E674" s="4">
        <v>32.82</v>
      </c>
      <c r="F674" t="s">
        <v>36</v>
      </c>
      <c r="G674" s="10" t="str">
        <f>TEXT(Transform_Data[[#This Row],[Date]],"mmm yyyy")</f>
        <v>Jun 2024</v>
      </c>
      <c r="H674" s="10">
        <f>HOUR(Transform_Data[[#This Row],[Time]])</f>
        <v>14</v>
      </c>
      <c r="I674" s="10" t="str">
        <f>IF(COUNTIF('Transform Data'!$D:$D,'Transform Data'!D674)&gt;1,"Repeat","Single")</f>
        <v>Repeat</v>
      </c>
      <c r="J674" s="10" t="str">
        <f>IF('Transform Data'!D674="Cash","Cash",IF(COUNTIF('Transform Data'!$D:$D,'Transform Data'!D674)&gt;1,"Repeat","Single"))</f>
        <v>Repeat</v>
      </c>
      <c r="K674" s="10" t="str">
        <f t="shared" si="10"/>
        <v>TRANS-0673</v>
      </c>
    </row>
    <row r="675" spans="1:11" x14ac:dyDescent="0.35">
      <c r="A675" s="5">
        <v>45444</v>
      </c>
      <c r="B675" s="3">
        <v>0.76402777777777775</v>
      </c>
      <c r="C675" t="s">
        <v>8</v>
      </c>
      <c r="D675" t="s">
        <v>305</v>
      </c>
      <c r="E675" s="4">
        <v>32.82</v>
      </c>
      <c r="F675" t="s">
        <v>36</v>
      </c>
      <c r="G675" s="10" t="str">
        <f>TEXT(Transform_Data[[#This Row],[Date]],"mmm yyyy")</f>
        <v>Jun 2024</v>
      </c>
      <c r="H675" s="10">
        <f>HOUR(Transform_Data[[#This Row],[Time]])</f>
        <v>18</v>
      </c>
      <c r="I675" s="10" t="str">
        <f>IF(COUNTIF('Transform Data'!$D:$D,'Transform Data'!D675)&gt;1,"Repeat","Single")</f>
        <v>Repeat</v>
      </c>
      <c r="J675" s="10" t="str">
        <f>IF('Transform Data'!D675="Cash","Cash",IF(COUNTIF('Transform Data'!$D:$D,'Transform Data'!D675)&gt;1,"Repeat","Single"))</f>
        <v>Repeat</v>
      </c>
      <c r="K675" s="10" t="str">
        <f t="shared" si="10"/>
        <v>TRANS-0674</v>
      </c>
    </row>
    <row r="676" spans="1:11" x14ac:dyDescent="0.35">
      <c r="A676" s="5">
        <v>45444</v>
      </c>
      <c r="B676" s="3">
        <v>0.76475694444444442</v>
      </c>
      <c r="C676" t="s">
        <v>8</v>
      </c>
      <c r="D676" t="s">
        <v>305</v>
      </c>
      <c r="E676" s="4">
        <v>32.82</v>
      </c>
      <c r="F676" t="s">
        <v>36</v>
      </c>
      <c r="G676" s="10" t="str">
        <f>TEXT(Transform_Data[[#This Row],[Date]],"mmm yyyy")</f>
        <v>Jun 2024</v>
      </c>
      <c r="H676" s="10">
        <f>HOUR(Transform_Data[[#This Row],[Time]])</f>
        <v>18</v>
      </c>
      <c r="I676" s="10" t="str">
        <f>IF(COUNTIF('Transform Data'!$D:$D,'Transform Data'!D676)&gt;1,"Repeat","Single")</f>
        <v>Repeat</v>
      </c>
      <c r="J676" s="10" t="str">
        <f>IF('Transform Data'!D676="Cash","Cash",IF(COUNTIF('Transform Data'!$D:$D,'Transform Data'!D676)&gt;1,"Repeat","Single"))</f>
        <v>Repeat</v>
      </c>
      <c r="K676" s="10" t="str">
        <f t="shared" si="10"/>
        <v>TRANS-0675</v>
      </c>
    </row>
    <row r="677" spans="1:11" x14ac:dyDescent="0.35">
      <c r="A677" s="5">
        <v>45444</v>
      </c>
      <c r="B677" s="3">
        <v>0.8681712962962963</v>
      </c>
      <c r="C677" t="s">
        <v>8</v>
      </c>
      <c r="D677" t="s">
        <v>208</v>
      </c>
      <c r="E677" s="4">
        <v>37.72</v>
      </c>
      <c r="F677" t="s">
        <v>24</v>
      </c>
      <c r="G677" s="10" t="str">
        <f>TEXT(Transform_Data[[#This Row],[Date]],"mmm yyyy")</f>
        <v>Jun 2024</v>
      </c>
      <c r="H677" s="10">
        <f>HOUR(Transform_Data[[#This Row],[Time]])</f>
        <v>20</v>
      </c>
      <c r="I677" s="10" t="str">
        <f>IF(COUNTIF('Transform Data'!$D:$D,'Transform Data'!D677)&gt;1,"Repeat","Single")</f>
        <v>Repeat</v>
      </c>
      <c r="J677" s="10" t="str">
        <f>IF('Transform Data'!D677="Cash","Cash",IF(COUNTIF('Transform Data'!$D:$D,'Transform Data'!D677)&gt;1,"Repeat","Single"))</f>
        <v>Repeat</v>
      </c>
      <c r="K677" s="10" t="str">
        <f t="shared" si="10"/>
        <v>TRANS-0676</v>
      </c>
    </row>
    <row r="678" spans="1:11" x14ac:dyDescent="0.35">
      <c r="A678" s="5">
        <v>45444</v>
      </c>
      <c r="B678" s="3">
        <v>0.86890046296296297</v>
      </c>
      <c r="C678" t="s">
        <v>8</v>
      </c>
      <c r="D678" t="s">
        <v>208</v>
      </c>
      <c r="E678" s="4">
        <v>37.72</v>
      </c>
      <c r="F678" t="s">
        <v>24</v>
      </c>
      <c r="G678" s="10" t="str">
        <f>TEXT(Transform_Data[[#This Row],[Date]],"mmm yyyy")</f>
        <v>Jun 2024</v>
      </c>
      <c r="H678" s="10">
        <f>HOUR(Transform_Data[[#This Row],[Time]])</f>
        <v>20</v>
      </c>
      <c r="I678" s="10" t="str">
        <f>IF(COUNTIF('Transform Data'!$D:$D,'Transform Data'!D678)&gt;1,"Repeat","Single")</f>
        <v>Repeat</v>
      </c>
      <c r="J678" s="10" t="str">
        <f>IF('Transform Data'!D678="Cash","Cash",IF(COUNTIF('Transform Data'!$D:$D,'Transform Data'!D678)&gt;1,"Repeat","Single"))</f>
        <v>Repeat</v>
      </c>
      <c r="K678" s="10" t="str">
        <f t="shared" si="10"/>
        <v>TRANS-0677</v>
      </c>
    </row>
    <row r="679" spans="1:11" x14ac:dyDescent="0.35">
      <c r="A679" s="5">
        <v>45444</v>
      </c>
      <c r="B679" s="3">
        <v>0.87151620370370375</v>
      </c>
      <c r="C679" t="s">
        <v>13</v>
      </c>
      <c r="D679" t="s">
        <v>37</v>
      </c>
      <c r="E679" s="4">
        <v>39</v>
      </c>
      <c r="F679" t="s">
        <v>10</v>
      </c>
      <c r="G679" s="10" t="str">
        <f>TEXT(Transform_Data[[#This Row],[Date]],"mmm yyyy")</f>
        <v>Jun 2024</v>
      </c>
      <c r="H679" s="10">
        <f>HOUR(Transform_Data[[#This Row],[Time]])</f>
        <v>20</v>
      </c>
      <c r="I679" s="10" t="str">
        <f>IF(COUNTIF('Transform Data'!$D:$D,'Transform Data'!D679)&gt;1,"Repeat","Single")</f>
        <v>Repeat</v>
      </c>
      <c r="J679" s="10" t="str">
        <f>IF('Transform Data'!D679="Cash","Cash",IF(COUNTIF('Transform Data'!$D:$D,'Transform Data'!D679)&gt;1,"Repeat","Single"))</f>
        <v>Repeat</v>
      </c>
      <c r="K679" s="10" t="str">
        <f t="shared" si="10"/>
        <v>TRANS-0678</v>
      </c>
    </row>
    <row r="680" spans="1:11" x14ac:dyDescent="0.35">
      <c r="A680" s="5">
        <v>45444</v>
      </c>
      <c r="B680" s="3">
        <v>0.87440972222222224</v>
      </c>
      <c r="C680" t="s">
        <v>8</v>
      </c>
      <c r="D680" t="s">
        <v>306</v>
      </c>
      <c r="E680" s="4">
        <v>37.72</v>
      </c>
      <c r="F680" t="s">
        <v>10</v>
      </c>
      <c r="G680" s="10" t="str">
        <f>TEXT(Transform_Data[[#This Row],[Date]],"mmm yyyy")</f>
        <v>Jun 2024</v>
      </c>
      <c r="H680" s="10">
        <f>HOUR(Transform_Data[[#This Row],[Time]])</f>
        <v>20</v>
      </c>
      <c r="I680" s="10" t="str">
        <f>IF(COUNTIF('Transform Data'!$D:$D,'Transform Data'!D680)&gt;1,"Repeat","Single")</f>
        <v>Single</v>
      </c>
      <c r="J680" s="10" t="str">
        <f>IF('Transform Data'!D680="Cash","Cash",IF(COUNTIF('Transform Data'!$D:$D,'Transform Data'!D680)&gt;1,"Repeat","Single"))</f>
        <v>Single</v>
      </c>
      <c r="K680" s="10" t="str">
        <f t="shared" si="10"/>
        <v>TRANS-0679</v>
      </c>
    </row>
    <row r="681" spans="1:11" x14ac:dyDescent="0.35">
      <c r="A681" s="5">
        <v>45444</v>
      </c>
      <c r="B681" s="3">
        <v>0.91046296296296292</v>
      </c>
      <c r="C681" t="s">
        <v>8</v>
      </c>
      <c r="D681" t="s">
        <v>25</v>
      </c>
      <c r="E681" s="4">
        <v>32.82</v>
      </c>
      <c r="F681" t="s">
        <v>36</v>
      </c>
      <c r="G681" s="10" t="str">
        <f>TEXT(Transform_Data[[#This Row],[Date]],"mmm yyyy")</f>
        <v>Jun 2024</v>
      </c>
      <c r="H681" s="10">
        <f>HOUR(Transform_Data[[#This Row],[Time]])</f>
        <v>21</v>
      </c>
      <c r="I681" s="10" t="str">
        <f>IF(COUNTIF('Transform Data'!$D:$D,'Transform Data'!D681)&gt;1,"Repeat","Single")</f>
        <v>Repeat</v>
      </c>
      <c r="J681" s="10" t="str">
        <f>IF('Transform Data'!D681="Cash","Cash",IF(COUNTIF('Transform Data'!$D:$D,'Transform Data'!D681)&gt;1,"Repeat","Single"))</f>
        <v>Repeat</v>
      </c>
      <c r="K681" s="10" t="str">
        <f t="shared" si="10"/>
        <v>TRANS-0680</v>
      </c>
    </row>
    <row r="682" spans="1:11" x14ac:dyDescent="0.35">
      <c r="A682" s="5">
        <v>45445</v>
      </c>
      <c r="B682" s="3">
        <v>0.83570601851851856</v>
      </c>
      <c r="C682" t="s">
        <v>8</v>
      </c>
      <c r="D682" t="s">
        <v>25</v>
      </c>
      <c r="E682" s="4">
        <v>37.72</v>
      </c>
      <c r="F682" t="s">
        <v>32</v>
      </c>
      <c r="G682" s="10" t="str">
        <f>TEXT(Transform_Data[[#This Row],[Date]],"mmm yyyy")</f>
        <v>Jun 2024</v>
      </c>
      <c r="H682" s="10">
        <f>HOUR(Transform_Data[[#This Row],[Time]])</f>
        <v>20</v>
      </c>
      <c r="I682" s="10" t="str">
        <f>IF(COUNTIF('Transform Data'!$D:$D,'Transform Data'!D682)&gt;1,"Repeat","Single")</f>
        <v>Repeat</v>
      </c>
      <c r="J682" s="10" t="str">
        <f>IF('Transform Data'!D682="Cash","Cash",IF(COUNTIF('Transform Data'!$D:$D,'Transform Data'!D682)&gt;1,"Repeat","Single"))</f>
        <v>Repeat</v>
      </c>
      <c r="K682" s="10" t="str">
        <f t="shared" si="10"/>
        <v>TRANS-0681</v>
      </c>
    </row>
    <row r="683" spans="1:11" x14ac:dyDescent="0.35">
      <c r="A683" s="5">
        <v>45445</v>
      </c>
      <c r="B683" s="3">
        <v>0.85002314814814817</v>
      </c>
      <c r="C683" t="s">
        <v>8</v>
      </c>
      <c r="D683" t="s">
        <v>16</v>
      </c>
      <c r="E683" s="4">
        <v>32.82</v>
      </c>
      <c r="F683" t="s">
        <v>36</v>
      </c>
      <c r="G683" s="10" t="str">
        <f>TEXT(Transform_Data[[#This Row],[Date]],"mmm yyyy")</f>
        <v>Jun 2024</v>
      </c>
      <c r="H683" s="10">
        <f>HOUR(Transform_Data[[#This Row],[Time]])</f>
        <v>20</v>
      </c>
      <c r="I683" s="10" t="str">
        <f>IF(COUNTIF('Transform Data'!$D:$D,'Transform Data'!D683)&gt;1,"Repeat","Single")</f>
        <v>Repeat</v>
      </c>
      <c r="J683" s="10" t="str">
        <f>IF('Transform Data'!D683="Cash","Cash",IF(COUNTIF('Transform Data'!$D:$D,'Transform Data'!D683)&gt;1,"Repeat","Single"))</f>
        <v>Repeat</v>
      </c>
      <c r="K683" s="10" t="str">
        <f t="shared" si="10"/>
        <v>TRANS-0682</v>
      </c>
    </row>
    <row r="684" spans="1:11" x14ac:dyDescent="0.35">
      <c r="A684" s="5">
        <v>45445</v>
      </c>
      <c r="B684" s="3">
        <v>0.85077546296296291</v>
      </c>
      <c r="C684" t="s">
        <v>8</v>
      </c>
      <c r="D684" t="s">
        <v>16</v>
      </c>
      <c r="E684" s="4">
        <v>37.72</v>
      </c>
      <c r="F684" t="s">
        <v>24</v>
      </c>
      <c r="G684" s="10" t="str">
        <f>TEXT(Transform_Data[[#This Row],[Date]],"mmm yyyy")</f>
        <v>Jun 2024</v>
      </c>
      <c r="H684" s="10">
        <f>HOUR(Transform_Data[[#This Row],[Time]])</f>
        <v>20</v>
      </c>
      <c r="I684" s="10" t="str">
        <f>IF(COUNTIF('Transform Data'!$D:$D,'Transform Data'!D684)&gt;1,"Repeat","Single")</f>
        <v>Repeat</v>
      </c>
      <c r="J684" s="10" t="str">
        <f>IF('Transform Data'!D684="Cash","Cash",IF(COUNTIF('Transform Data'!$D:$D,'Transform Data'!D684)&gt;1,"Repeat","Single"))</f>
        <v>Repeat</v>
      </c>
      <c r="K684" s="10" t="str">
        <f t="shared" si="10"/>
        <v>TRANS-0683</v>
      </c>
    </row>
    <row r="685" spans="1:11" x14ac:dyDescent="0.35">
      <c r="A685" s="5">
        <v>45445</v>
      </c>
      <c r="B685" s="3">
        <v>0.88009259259259254</v>
      </c>
      <c r="C685" t="s">
        <v>8</v>
      </c>
      <c r="D685" t="s">
        <v>11</v>
      </c>
      <c r="E685" s="4">
        <v>32.82</v>
      </c>
      <c r="F685" t="s">
        <v>36</v>
      </c>
      <c r="G685" s="10" t="str">
        <f>TEXT(Transform_Data[[#This Row],[Date]],"mmm yyyy")</f>
        <v>Jun 2024</v>
      </c>
      <c r="H685" s="10">
        <f>HOUR(Transform_Data[[#This Row],[Time]])</f>
        <v>21</v>
      </c>
      <c r="I685" s="10" t="str">
        <f>IF(COUNTIF('Transform Data'!$D:$D,'Transform Data'!D685)&gt;1,"Repeat","Single")</f>
        <v>Repeat</v>
      </c>
      <c r="J685" s="10" t="str">
        <f>IF('Transform Data'!D685="Cash","Cash",IF(COUNTIF('Transform Data'!$D:$D,'Transform Data'!D685)&gt;1,"Repeat","Single"))</f>
        <v>Repeat</v>
      </c>
      <c r="K685" s="10" t="str">
        <f t="shared" si="10"/>
        <v>TRANS-0684</v>
      </c>
    </row>
    <row r="686" spans="1:11" x14ac:dyDescent="0.35">
      <c r="A686" s="5">
        <v>45445</v>
      </c>
      <c r="B686" s="3">
        <v>0.89597222222222217</v>
      </c>
      <c r="C686" t="s">
        <v>8</v>
      </c>
      <c r="D686" t="s">
        <v>307</v>
      </c>
      <c r="E686" s="4">
        <v>37.72</v>
      </c>
      <c r="F686" t="s">
        <v>32</v>
      </c>
      <c r="G686" s="10" t="str">
        <f>TEXT(Transform_Data[[#This Row],[Date]],"mmm yyyy")</f>
        <v>Jun 2024</v>
      </c>
      <c r="H686" s="10">
        <f>HOUR(Transform_Data[[#This Row],[Time]])</f>
        <v>21</v>
      </c>
      <c r="I686" s="10" t="str">
        <f>IF(COUNTIF('Transform Data'!$D:$D,'Transform Data'!D686)&gt;1,"Repeat","Single")</f>
        <v>Single</v>
      </c>
      <c r="J686" s="10" t="str">
        <f>IF('Transform Data'!D686="Cash","Cash",IF(COUNTIF('Transform Data'!$D:$D,'Transform Data'!D686)&gt;1,"Repeat","Single"))</f>
        <v>Single</v>
      </c>
      <c r="K686" s="10" t="str">
        <f t="shared" si="10"/>
        <v>TRANS-0685</v>
      </c>
    </row>
    <row r="687" spans="1:11" x14ac:dyDescent="0.35">
      <c r="A687" s="5">
        <v>45445</v>
      </c>
      <c r="B687" s="3">
        <v>0.94664351851851847</v>
      </c>
      <c r="C687" t="s">
        <v>13</v>
      </c>
      <c r="D687" t="s">
        <v>37</v>
      </c>
      <c r="E687" s="4">
        <v>34</v>
      </c>
      <c r="F687" t="s">
        <v>36</v>
      </c>
      <c r="G687" s="10" t="str">
        <f>TEXT(Transform_Data[[#This Row],[Date]],"mmm yyyy")</f>
        <v>Jun 2024</v>
      </c>
      <c r="H687" s="10">
        <f>HOUR(Transform_Data[[#This Row],[Time]])</f>
        <v>22</v>
      </c>
      <c r="I687" s="10" t="str">
        <f>IF(COUNTIF('Transform Data'!$D:$D,'Transform Data'!D687)&gt;1,"Repeat","Single")</f>
        <v>Repeat</v>
      </c>
      <c r="J687" s="10" t="str">
        <f>IF('Transform Data'!D687="Cash","Cash",IF(COUNTIF('Transform Data'!$D:$D,'Transform Data'!D687)&gt;1,"Repeat","Single"))</f>
        <v>Repeat</v>
      </c>
      <c r="K687" s="10" t="str">
        <f t="shared" si="10"/>
        <v>TRANS-0686</v>
      </c>
    </row>
    <row r="688" spans="1:11" x14ac:dyDescent="0.35">
      <c r="A688" s="5">
        <v>45446</v>
      </c>
      <c r="B688" s="3">
        <v>0.42504629629629631</v>
      </c>
      <c r="C688" t="s">
        <v>8</v>
      </c>
      <c r="D688" t="s">
        <v>60</v>
      </c>
      <c r="E688" s="4">
        <v>37.72</v>
      </c>
      <c r="F688" t="s">
        <v>32</v>
      </c>
      <c r="G688" s="10" t="str">
        <f>TEXT(Transform_Data[[#This Row],[Date]],"mmm yyyy")</f>
        <v>Jun 2024</v>
      </c>
      <c r="H688" s="10">
        <f>HOUR(Transform_Data[[#This Row],[Time]])</f>
        <v>10</v>
      </c>
      <c r="I688" s="10" t="str">
        <f>IF(COUNTIF('Transform Data'!$D:$D,'Transform Data'!D688)&gt;1,"Repeat","Single")</f>
        <v>Repeat</v>
      </c>
      <c r="J688" s="10" t="str">
        <f>IF('Transform Data'!D688="Cash","Cash",IF(COUNTIF('Transform Data'!$D:$D,'Transform Data'!D688)&gt;1,"Repeat","Single"))</f>
        <v>Repeat</v>
      </c>
      <c r="K688" s="10" t="str">
        <f t="shared" si="10"/>
        <v>TRANS-0687</v>
      </c>
    </row>
    <row r="689" spans="1:11" x14ac:dyDescent="0.35">
      <c r="A689" s="5">
        <v>45446</v>
      </c>
      <c r="B689" s="3">
        <v>0.4359837962962963</v>
      </c>
      <c r="C689" t="s">
        <v>8</v>
      </c>
      <c r="D689" t="s">
        <v>245</v>
      </c>
      <c r="E689" s="4">
        <v>37.72</v>
      </c>
      <c r="F689" t="s">
        <v>32</v>
      </c>
      <c r="G689" s="10" t="str">
        <f>TEXT(Transform_Data[[#This Row],[Date]],"mmm yyyy")</f>
        <v>Jun 2024</v>
      </c>
      <c r="H689" s="10">
        <f>HOUR(Transform_Data[[#This Row],[Time]])</f>
        <v>10</v>
      </c>
      <c r="I689" s="10" t="str">
        <f>IF(COUNTIF('Transform Data'!$D:$D,'Transform Data'!D689)&gt;1,"Repeat","Single")</f>
        <v>Repeat</v>
      </c>
      <c r="J689" s="10" t="str">
        <f>IF('Transform Data'!D689="Cash","Cash",IF(COUNTIF('Transform Data'!$D:$D,'Transform Data'!D689)&gt;1,"Repeat","Single"))</f>
        <v>Repeat</v>
      </c>
      <c r="K689" s="10" t="str">
        <f t="shared" si="10"/>
        <v>TRANS-0688</v>
      </c>
    </row>
    <row r="690" spans="1:11" x14ac:dyDescent="0.35">
      <c r="A690" s="5">
        <v>45446</v>
      </c>
      <c r="B690" s="3">
        <v>0.60534722222222226</v>
      </c>
      <c r="C690" t="s">
        <v>8</v>
      </c>
      <c r="D690" t="s">
        <v>82</v>
      </c>
      <c r="E690" s="4">
        <v>37.72</v>
      </c>
      <c r="F690" t="s">
        <v>24</v>
      </c>
      <c r="G690" s="10" t="str">
        <f>TEXT(Transform_Data[[#This Row],[Date]],"mmm yyyy")</f>
        <v>Jun 2024</v>
      </c>
      <c r="H690" s="10">
        <f>HOUR(Transform_Data[[#This Row],[Time]])</f>
        <v>14</v>
      </c>
      <c r="I690" s="10" t="str">
        <f>IF(COUNTIF('Transform Data'!$D:$D,'Transform Data'!D690)&gt;1,"Repeat","Single")</f>
        <v>Repeat</v>
      </c>
      <c r="J690" s="10" t="str">
        <f>IF('Transform Data'!D690="Cash","Cash",IF(COUNTIF('Transform Data'!$D:$D,'Transform Data'!D690)&gt;1,"Repeat","Single"))</f>
        <v>Repeat</v>
      </c>
      <c r="K690" s="10" t="str">
        <f t="shared" si="10"/>
        <v>TRANS-0689</v>
      </c>
    </row>
    <row r="691" spans="1:11" x14ac:dyDescent="0.35">
      <c r="A691" s="5">
        <v>45446</v>
      </c>
      <c r="B691" s="3">
        <v>0.60624999999999996</v>
      </c>
      <c r="C691" t="s">
        <v>8</v>
      </c>
      <c r="D691" t="s">
        <v>81</v>
      </c>
      <c r="E691" s="4">
        <v>32.82</v>
      </c>
      <c r="F691" t="s">
        <v>36</v>
      </c>
      <c r="G691" s="10" t="str">
        <f>TEXT(Transform_Data[[#This Row],[Date]],"mmm yyyy")</f>
        <v>Jun 2024</v>
      </c>
      <c r="H691" s="10">
        <f>HOUR(Transform_Data[[#This Row],[Time]])</f>
        <v>14</v>
      </c>
      <c r="I691" s="10" t="str">
        <f>IF(COUNTIF('Transform Data'!$D:$D,'Transform Data'!D691)&gt;1,"Repeat","Single")</f>
        <v>Repeat</v>
      </c>
      <c r="J691" s="10" t="str">
        <f>IF('Transform Data'!D691="Cash","Cash",IF(COUNTIF('Transform Data'!$D:$D,'Transform Data'!D691)&gt;1,"Repeat","Single"))</f>
        <v>Repeat</v>
      </c>
      <c r="K691" s="10" t="str">
        <f t="shared" si="10"/>
        <v>TRANS-0690</v>
      </c>
    </row>
    <row r="692" spans="1:11" x14ac:dyDescent="0.35">
      <c r="A692" s="5">
        <v>45446</v>
      </c>
      <c r="B692" s="3">
        <v>0.60701388888888885</v>
      </c>
      <c r="C692" t="s">
        <v>8</v>
      </c>
      <c r="D692" t="s">
        <v>25</v>
      </c>
      <c r="E692" s="4">
        <v>37.72</v>
      </c>
      <c r="F692" t="s">
        <v>32</v>
      </c>
      <c r="G692" s="10" t="str">
        <f>TEXT(Transform_Data[[#This Row],[Date]],"mmm yyyy")</f>
        <v>Jun 2024</v>
      </c>
      <c r="H692" s="10">
        <f>HOUR(Transform_Data[[#This Row],[Time]])</f>
        <v>14</v>
      </c>
      <c r="I692" s="10" t="str">
        <f>IF(COUNTIF('Transform Data'!$D:$D,'Transform Data'!D692)&gt;1,"Repeat","Single")</f>
        <v>Repeat</v>
      </c>
      <c r="J692" s="10" t="str">
        <f>IF('Transform Data'!D692="Cash","Cash",IF(COUNTIF('Transform Data'!$D:$D,'Transform Data'!D692)&gt;1,"Repeat","Single"))</f>
        <v>Repeat</v>
      </c>
      <c r="K692" s="10" t="str">
        <f t="shared" si="10"/>
        <v>TRANS-0691</v>
      </c>
    </row>
    <row r="693" spans="1:11" x14ac:dyDescent="0.35">
      <c r="A693" s="5">
        <v>45446</v>
      </c>
      <c r="B693" s="3">
        <v>0.90475694444444443</v>
      </c>
      <c r="C693" t="s">
        <v>13</v>
      </c>
      <c r="D693" t="s">
        <v>37</v>
      </c>
      <c r="E693" s="4">
        <v>34</v>
      </c>
      <c r="F693" t="s">
        <v>36</v>
      </c>
      <c r="G693" s="10" t="str">
        <f>TEXT(Transform_Data[[#This Row],[Date]],"mmm yyyy")</f>
        <v>Jun 2024</v>
      </c>
      <c r="H693" s="10">
        <f>HOUR(Transform_Data[[#This Row],[Time]])</f>
        <v>21</v>
      </c>
      <c r="I693" s="10" t="str">
        <f>IF(COUNTIF('Transform Data'!$D:$D,'Transform Data'!D693)&gt;1,"Repeat","Single")</f>
        <v>Repeat</v>
      </c>
      <c r="J693" s="10" t="str">
        <f>IF('Transform Data'!D693="Cash","Cash",IF(COUNTIF('Transform Data'!$D:$D,'Transform Data'!D693)&gt;1,"Repeat","Single"))</f>
        <v>Repeat</v>
      </c>
      <c r="K693" s="10" t="str">
        <f t="shared" si="10"/>
        <v>TRANS-0692</v>
      </c>
    </row>
    <row r="694" spans="1:11" x14ac:dyDescent="0.35">
      <c r="A694" s="5">
        <v>45446</v>
      </c>
      <c r="B694" s="3">
        <v>0.90528935185185189</v>
      </c>
      <c r="C694" t="s">
        <v>13</v>
      </c>
      <c r="D694" t="s">
        <v>37</v>
      </c>
      <c r="E694" s="4">
        <v>34</v>
      </c>
      <c r="F694" t="s">
        <v>36</v>
      </c>
      <c r="G694" s="10" t="str">
        <f>TEXT(Transform_Data[[#This Row],[Date]],"mmm yyyy")</f>
        <v>Jun 2024</v>
      </c>
      <c r="H694" s="10">
        <f>HOUR(Transform_Data[[#This Row],[Time]])</f>
        <v>21</v>
      </c>
      <c r="I694" s="10" t="str">
        <f>IF(COUNTIF('Transform Data'!$D:$D,'Transform Data'!D694)&gt;1,"Repeat","Single")</f>
        <v>Repeat</v>
      </c>
      <c r="J694" s="10" t="str">
        <f>IF('Transform Data'!D694="Cash","Cash",IF(COUNTIF('Transform Data'!$D:$D,'Transform Data'!D694)&gt;1,"Repeat","Single"))</f>
        <v>Repeat</v>
      </c>
      <c r="K694" s="10" t="str">
        <f t="shared" si="10"/>
        <v>TRANS-0693</v>
      </c>
    </row>
    <row r="695" spans="1:11" x14ac:dyDescent="0.35">
      <c r="A695" s="5">
        <v>45447</v>
      </c>
      <c r="B695" s="3">
        <v>0.39145833333333335</v>
      </c>
      <c r="C695" t="s">
        <v>8</v>
      </c>
      <c r="D695" t="s">
        <v>40</v>
      </c>
      <c r="E695" s="4">
        <v>27.92</v>
      </c>
      <c r="F695" t="s">
        <v>20</v>
      </c>
      <c r="G695" s="10" t="str">
        <f>TEXT(Transform_Data[[#This Row],[Date]],"mmm yyyy")</f>
        <v>Jun 2024</v>
      </c>
      <c r="H695" s="10">
        <f>HOUR(Transform_Data[[#This Row],[Time]])</f>
        <v>9</v>
      </c>
      <c r="I695" s="10" t="str">
        <f>IF(COUNTIF('Transform Data'!$D:$D,'Transform Data'!D695)&gt;1,"Repeat","Single")</f>
        <v>Repeat</v>
      </c>
      <c r="J695" s="10" t="str">
        <f>IF('Transform Data'!D695="Cash","Cash",IF(COUNTIF('Transform Data'!$D:$D,'Transform Data'!D695)&gt;1,"Repeat","Single"))</f>
        <v>Repeat</v>
      </c>
      <c r="K695" s="10" t="str">
        <f t="shared" si="10"/>
        <v>TRANS-0694</v>
      </c>
    </row>
    <row r="696" spans="1:11" x14ac:dyDescent="0.35">
      <c r="A696" s="5">
        <v>45447</v>
      </c>
      <c r="B696" s="3">
        <v>0.43556712962962962</v>
      </c>
      <c r="C696" t="s">
        <v>8</v>
      </c>
      <c r="D696" t="s">
        <v>11</v>
      </c>
      <c r="E696" s="4">
        <v>32.82</v>
      </c>
      <c r="F696" t="s">
        <v>36</v>
      </c>
      <c r="G696" s="10" t="str">
        <f>TEXT(Transform_Data[[#This Row],[Date]],"mmm yyyy")</f>
        <v>Jun 2024</v>
      </c>
      <c r="H696" s="10">
        <f>HOUR(Transform_Data[[#This Row],[Time]])</f>
        <v>10</v>
      </c>
      <c r="I696" s="10" t="str">
        <f>IF(COUNTIF('Transform Data'!$D:$D,'Transform Data'!D696)&gt;1,"Repeat","Single")</f>
        <v>Repeat</v>
      </c>
      <c r="J696" s="10" t="str">
        <f>IF('Transform Data'!D696="Cash","Cash",IF(COUNTIF('Transform Data'!$D:$D,'Transform Data'!D696)&gt;1,"Repeat","Single"))</f>
        <v>Repeat</v>
      </c>
      <c r="K696" s="10" t="str">
        <f t="shared" si="10"/>
        <v>TRANS-0695</v>
      </c>
    </row>
    <row r="697" spans="1:11" x14ac:dyDescent="0.35">
      <c r="A697" s="5">
        <v>45447</v>
      </c>
      <c r="B697" s="3">
        <v>0.50150462962962961</v>
      </c>
      <c r="C697" t="s">
        <v>8</v>
      </c>
      <c r="D697" t="s">
        <v>308</v>
      </c>
      <c r="E697" s="4">
        <v>37.72</v>
      </c>
      <c r="F697" t="s">
        <v>32</v>
      </c>
      <c r="G697" s="10" t="str">
        <f>TEXT(Transform_Data[[#This Row],[Date]],"mmm yyyy")</f>
        <v>Jun 2024</v>
      </c>
      <c r="H697" s="10">
        <f>HOUR(Transform_Data[[#This Row],[Time]])</f>
        <v>12</v>
      </c>
      <c r="I697" s="10" t="str">
        <f>IF(COUNTIF('Transform Data'!$D:$D,'Transform Data'!D697)&gt;1,"Repeat","Single")</f>
        <v>Repeat</v>
      </c>
      <c r="J697" s="10" t="str">
        <f>IF('Transform Data'!D697="Cash","Cash",IF(COUNTIF('Transform Data'!$D:$D,'Transform Data'!D697)&gt;1,"Repeat","Single"))</f>
        <v>Repeat</v>
      </c>
      <c r="K697" s="10" t="str">
        <f t="shared" si="10"/>
        <v>TRANS-0696</v>
      </c>
    </row>
    <row r="698" spans="1:11" x14ac:dyDescent="0.35">
      <c r="A698" s="5">
        <v>45447</v>
      </c>
      <c r="B698" s="3">
        <v>0.50380787037037034</v>
      </c>
      <c r="C698" t="s">
        <v>8</v>
      </c>
      <c r="D698" t="s">
        <v>308</v>
      </c>
      <c r="E698" s="4">
        <v>37.72</v>
      </c>
      <c r="F698" t="s">
        <v>15</v>
      </c>
      <c r="G698" s="10" t="str">
        <f>TEXT(Transform_Data[[#This Row],[Date]],"mmm yyyy")</f>
        <v>Jun 2024</v>
      </c>
      <c r="H698" s="10">
        <f>HOUR(Transform_Data[[#This Row],[Time]])</f>
        <v>12</v>
      </c>
      <c r="I698" s="10" t="str">
        <f>IF(COUNTIF('Transform Data'!$D:$D,'Transform Data'!D698)&gt;1,"Repeat","Single")</f>
        <v>Repeat</v>
      </c>
      <c r="J698" s="10" t="str">
        <f>IF('Transform Data'!D698="Cash","Cash",IF(COUNTIF('Transform Data'!$D:$D,'Transform Data'!D698)&gt;1,"Repeat","Single"))</f>
        <v>Repeat</v>
      </c>
      <c r="K698" s="10" t="str">
        <f t="shared" si="10"/>
        <v>TRANS-0697</v>
      </c>
    </row>
    <row r="699" spans="1:11" x14ac:dyDescent="0.35">
      <c r="A699" s="5">
        <v>45447</v>
      </c>
      <c r="B699" s="3">
        <v>0.64620370370370372</v>
      </c>
      <c r="C699" t="s">
        <v>8</v>
      </c>
      <c r="D699" t="s">
        <v>309</v>
      </c>
      <c r="E699" s="4">
        <v>37.72</v>
      </c>
      <c r="F699" t="s">
        <v>32</v>
      </c>
      <c r="G699" s="10" t="str">
        <f>TEXT(Transform_Data[[#This Row],[Date]],"mmm yyyy")</f>
        <v>Jun 2024</v>
      </c>
      <c r="H699" s="10">
        <f>HOUR(Transform_Data[[#This Row],[Time]])</f>
        <v>15</v>
      </c>
      <c r="I699" s="10" t="str">
        <f>IF(COUNTIF('Transform Data'!$D:$D,'Transform Data'!D699)&gt;1,"Repeat","Single")</f>
        <v>Repeat</v>
      </c>
      <c r="J699" s="10" t="str">
        <f>IF('Transform Data'!D699="Cash","Cash",IF(COUNTIF('Transform Data'!$D:$D,'Transform Data'!D699)&gt;1,"Repeat","Single"))</f>
        <v>Repeat</v>
      </c>
      <c r="K699" s="10" t="str">
        <f t="shared" si="10"/>
        <v>TRANS-0698</v>
      </c>
    </row>
    <row r="700" spans="1:11" x14ac:dyDescent="0.35">
      <c r="A700" s="5">
        <v>45447</v>
      </c>
      <c r="B700" s="3">
        <v>0.74069444444444443</v>
      </c>
      <c r="C700" t="s">
        <v>8</v>
      </c>
      <c r="D700" t="s">
        <v>246</v>
      </c>
      <c r="E700" s="4">
        <v>27.92</v>
      </c>
      <c r="F700" t="s">
        <v>20</v>
      </c>
      <c r="G700" s="10" t="str">
        <f>TEXT(Transform_Data[[#This Row],[Date]],"mmm yyyy")</f>
        <v>Jun 2024</v>
      </c>
      <c r="H700" s="10">
        <f>HOUR(Transform_Data[[#This Row],[Time]])</f>
        <v>17</v>
      </c>
      <c r="I700" s="10" t="str">
        <f>IF(COUNTIF('Transform Data'!$D:$D,'Transform Data'!D700)&gt;1,"Repeat","Single")</f>
        <v>Repeat</v>
      </c>
      <c r="J700" s="10" t="str">
        <f>IF('Transform Data'!D700="Cash","Cash",IF(COUNTIF('Transform Data'!$D:$D,'Transform Data'!D700)&gt;1,"Repeat","Single"))</f>
        <v>Repeat</v>
      </c>
      <c r="K700" s="10" t="str">
        <f t="shared" si="10"/>
        <v>TRANS-0699</v>
      </c>
    </row>
    <row r="701" spans="1:11" x14ac:dyDescent="0.35">
      <c r="A701" s="5">
        <v>45447</v>
      </c>
      <c r="B701" s="3">
        <v>0.74129629629629634</v>
      </c>
      <c r="C701" t="s">
        <v>8</v>
      </c>
      <c r="D701" t="s">
        <v>246</v>
      </c>
      <c r="E701" s="4">
        <v>37.72</v>
      </c>
      <c r="F701" t="s">
        <v>24</v>
      </c>
      <c r="G701" s="10" t="str">
        <f>TEXT(Transform_Data[[#This Row],[Date]],"mmm yyyy")</f>
        <v>Jun 2024</v>
      </c>
      <c r="H701" s="10">
        <f>HOUR(Transform_Data[[#This Row],[Time]])</f>
        <v>17</v>
      </c>
      <c r="I701" s="10" t="str">
        <f>IF(COUNTIF('Transform Data'!$D:$D,'Transform Data'!D701)&gt;1,"Repeat","Single")</f>
        <v>Repeat</v>
      </c>
      <c r="J701" s="10" t="str">
        <f>IF('Transform Data'!D701="Cash","Cash",IF(COUNTIF('Transform Data'!$D:$D,'Transform Data'!D701)&gt;1,"Repeat","Single"))</f>
        <v>Repeat</v>
      </c>
      <c r="K701" s="10" t="str">
        <f t="shared" si="10"/>
        <v>TRANS-0700</v>
      </c>
    </row>
    <row r="702" spans="1:11" x14ac:dyDescent="0.35">
      <c r="A702" s="5">
        <v>45447</v>
      </c>
      <c r="B702" s="3">
        <v>0.84237268518518515</v>
      </c>
      <c r="C702" t="s">
        <v>8</v>
      </c>
      <c r="D702" t="s">
        <v>310</v>
      </c>
      <c r="E702" s="4">
        <v>37.72</v>
      </c>
      <c r="F702" t="s">
        <v>15</v>
      </c>
      <c r="G702" s="10" t="str">
        <f>TEXT(Transform_Data[[#This Row],[Date]],"mmm yyyy")</f>
        <v>Jun 2024</v>
      </c>
      <c r="H702" s="10">
        <f>HOUR(Transform_Data[[#This Row],[Time]])</f>
        <v>20</v>
      </c>
      <c r="I702" s="10" t="str">
        <f>IF(COUNTIF('Transform Data'!$D:$D,'Transform Data'!D702)&gt;1,"Repeat","Single")</f>
        <v>Repeat</v>
      </c>
      <c r="J702" s="10" t="str">
        <f>IF('Transform Data'!D702="Cash","Cash",IF(COUNTIF('Transform Data'!$D:$D,'Transform Data'!D702)&gt;1,"Repeat","Single"))</f>
        <v>Repeat</v>
      </c>
      <c r="K702" s="10" t="str">
        <f t="shared" si="10"/>
        <v>TRANS-0701</v>
      </c>
    </row>
    <row r="703" spans="1:11" x14ac:dyDescent="0.35">
      <c r="A703" s="5">
        <v>45447</v>
      </c>
      <c r="B703" s="3">
        <v>0.86843749999999997</v>
      </c>
      <c r="C703" t="s">
        <v>8</v>
      </c>
      <c r="D703" t="s">
        <v>311</v>
      </c>
      <c r="E703" s="4">
        <v>37.72</v>
      </c>
      <c r="F703" t="s">
        <v>24</v>
      </c>
      <c r="G703" s="10" t="str">
        <f>TEXT(Transform_Data[[#This Row],[Date]],"mmm yyyy")</f>
        <v>Jun 2024</v>
      </c>
      <c r="H703" s="10">
        <f>HOUR(Transform_Data[[#This Row],[Time]])</f>
        <v>20</v>
      </c>
      <c r="I703" s="10" t="str">
        <f>IF(COUNTIF('Transform Data'!$D:$D,'Transform Data'!D703)&gt;1,"Repeat","Single")</f>
        <v>Repeat</v>
      </c>
      <c r="J703" s="10" t="str">
        <f>IF('Transform Data'!D703="Cash","Cash",IF(COUNTIF('Transform Data'!$D:$D,'Transform Data'!D703)&gt;1,"Repeat","Single"))</f>
        <v>Repeat</v>
      </c>
      <c r="K703" s="10" t="str">
        <f t="shared" si="10"/>
        <v>TRANS-0702</v>
      </c>
    </row>
    <row r="704" spans="1:11" x14ac:dyDescent="0.35">
      <c r="A704" s="5">
        <v>45447</v>
      </c>
      <c r="B704" s="3">
        <v>0.89719907407407407</v>
      </c>
      <c r="C704" t="s">
        <v>8</v>
      </c>
      <c r="D704" t="s">
        <v>312</v>
      </c>
      <c r="E704" s="4">
        <v>27.92</v>
      </c>
      <c r="F704" t="s">
        <v>20</v>
      </c>
      <c r="G704" s="10" t="str">
        <f>TEXT(Transform_Data[[#This Row],[Date]],"mmm yyyy")</f>
        <v>Jun 2024</v>
      </c>
      <c r="H704" s="10">
        <f>HOUR(Transform_Data[[#This Row],[Time]])</f>
        <v>21</v>
      </c>
      <c r="I704" s="10" t="str">
        <f>IF(COUNTIF('Transform Data'!$D:$D,'Transform Data'!D704)&gt;1,"Repeat","Single")</f>
        <v>Repeat</v>
      </c>
      <c r="J704" s="10" t="str">
        <f>IF('Transform Data'!D704="Cash","Cash",IF(COUNTIF('Transform Data'!$D:$D,'Transform Data'!D704)&gt;1,"Repeat","Single"))</f>
        <v>Repeat</v>
      </c>
      <c r="K704" s="10" t="str">
        <f t="shared" si="10"/>
        <v>TRANS-0703</v>
      </c>
    </row>
    <row r="705" spans="1:11" x14ac:dyDescent="0.35">
      <c r="A705" s="5">
        <v>45447</v>
      </c>
      <c r="B705" s="3">
        <v>0.89793981481481477</v>
      </c>
      <c r="C705" t="s">
        <v>8</v>
      </c>
      <c r="D705" t="s">
        <v>313</v>
      </c>
      <c r="E705" s="4">
        <v>32.82</v>
      </c>
      <c r="F705" t="s">
        <v>36</v>
      </c>
      <c r="G705" s="10" t="str">
        <f>TEXT(Transform_Data[[#This Row],[Date]],"mmm yyyy")</f>
        <v>Jun 2024</v>
      </c>
      <c r="H705" s="10">
        <f>HOUR(Transform_Data[[#This Row],[Time]])</f>
        <v>21</v>
      </c>
      <c r="I705" s="10" t="str">
        <f>IF(COUNTIF('Transform Data'!$D:$D,'Transform Data'!D705)&gt;1,"Repeat","Single")</f>
        <v>Single</v>
      </c>
      <c r="J705" s="10" t="str">
        <f>IF('Transform Data'!D705="Cash","Cash",IF(COUNTIF('Transform Data'!$D:$D,'Transform Data'!D705)&gt;1,"Repeat","Single"))</f>
        <v>Single</v>
      </c>
      <c r="K705" s="10" t="str">
        <f t="shared" si="10"/>
        <v>TRANS-0704</v>
      </c>
    </row>
    <row r="706" spans="1:11" x14ac:dyDescent="0.35">
      <c r="A706" s="5">
        <v>45447</v>
      </c>
      <c r="B706" s="3">
        <v>0.89924768518518516</v>
      </c>
      <c r="C706" t="s">
        <v>8</v>
      </c>
      <c r="D706" t="s">
        <v>314</v>
      </c>
      <c r="E706" s="4">
        <v>32.82</v>
      </c>
      <c r="F706" t="s">
        <v>36</v>
      </c>
      <c r="G706" s="10" t="str">
        <f>TEXT(Transform_Data[[#This Row],[Date]],"mmm yyyy")</f>
        <v>Jun 2024</v>
      </c>
      <c r="H706" s="10">
        <f>HOUR(Transform_Data[[#This Row],[Time]])</f>
        <v>21</v>
      </c>
      <c r="I706" s="10" t="str">
        <f>IF(COUNTIF('Transform Data'!$D:$D,'Transform Data'!D706)&gt;1,"Repeat","Single")</f>
        <v>Repeat</v>
      </c>
      <c r="J706" s="10" t="str">
        <f>IF('Transform Data'!D706="Cash","Cash",IF(COUNTIF('Transform Data'!$D:$D,'Transform Data'!D706)&gt;1,"Repeat","Single"))</f>
        <v>Repeat</v>
      </c>
      <c r="K706" s="10" t="str">
        <f t="shared" ref="K706:K769" si="11">"TRANS-"&amp;TEXT(ROW(A705),"0000")</f>
        <v>TRANS-0705</v>
      </c>
    </row>
    <row r="707" spans="1:11" x14ac:dyDescent="0.35">
      <c r="A707" s="5">
        <v>45447</v>
      </c>
      <c r="B707" s="3">
        <v>0.90006944444444448</v>
      </c>
      <c r="C707" t="s">
        <v>8</v>
      </c>
      <c r="D707" t="s">
        <v>314</v>
      </c>
      <c r="E707" s="4">
        <v>32.82</v>
      </c>
      <c r="F707" t="s">
        <v>36</v>
      </c>
      <c r="G707" s="10" t="str">
        <f>TEXT(Transform_Data[[#This Row],[Date]],"mmm yyyy")</f>
        <v>Jun 2024</v>
      </c>
      <c r="H707" s="10">
        <f>HOUR(Transform_Data[[#This Row],[Time]])</f>
        <v>21</v>
      </c>
      <c r="I707" s="10" t="str">
        <f>IF(COUNTIF('Transform Data'!$D:$D,'Transform Data'!D707)&gt;1,"Repeat","Single")</f>
        <v>Repeat</v>
      </c>
      <c r="J707" s="10" t="str">
        <f>IF('Transform Data'!D707="Cash","Cash",IF(COUNTIF('Transform Data'!$D:$D,'Transform Data'!D707)&gt;1,"Repeat","Single"))</f>
        <v>Repeat</v>
      </c>
      <c r="K707" s="10" t="str">
        <f t="shared" si="11"/>
        <v>TRANS-0706</v>
      </c>
    </row>
    <row r="708" spans="1:11" x14ac:dyDescent="0.35">
      <c r="A708" s="5">
        <v>45447</v>
      </c>
      <c r="B708" s="3">
        <v>0.9008680555555556</v>
      </c>
      <c r="C708" t="s">
        <v>8</v>
      </c>
      <c r="D708" t="s">
        <v>314</v>
      </c>
      <c r="E708" s="4">
        <v>32.82</v>
      </c>
      <c r="F708" t="s">
        <v>36</v>
      </c>
      <c r="G708" s="10" t="str">
        <f>TEXT(Transform_Data[[#This Row],[Date]],"mmm yyyy")</f>
        <v>Jun 2024</v>
      </c>
      <c r="H708" s="10">
        <f>HOUR(Transform_Data[[#This Row],[Time]])</f>
        <v>21</v>
      </c>
      <c r="I708" s="10" t="str">
        <f>IF(COUNTIF('Transform Data'!$D:$D,'Transform Data'!D708)&gt;1,"Repeat","Single")</f>
        <v>Repeat</v>
      </c>
      <c r="J708" s="10" t="str">
        <f>IF('Transform Data'!D708="Cash","Cash",IF(COUNTIF('Transform Data'!$D:$D,'Transform Data'!D708)&gt;1,"Repeat","Single"))</f>
        <v>Repeat</v>
      </c>
      <c r="K708" s="10" t="str">
        <f t="shared" si="11"/>
        <v>TRANS-0707</v>
      </c>
    </row>
    <row r="709" spans="1:11" x14ac:dyDescent="0.35">
      <c r="A709" s="5">
        <v>45448</v>
      </c>
      <c r="B709" s="3">
        <v>0.34847222222222224</v>
      </c>
      <c r="C709" t="s">
        <v>8</v>
      </c>
      <c r="D709" t="s">
        <v>315</v>
      </c>
      <c r="E709" s="4">
        <v>37.72</v>
      </c>
      <c r="F709" t="s">
        <v>24</v>
      </c>
      <c r="G709" s="10" t="str">
        <f>TEXT(Transform_Data[[#This Row],[Date]],"mmm yyyy")</f>
        <v>Jun 2024</v>
      </c>
      <c r="H709" s="10">
        <f>HOUR(Transform_Data[[#This Row],[Time]])</f>
        <v>8</v>
      </c>
      <c r="I709" s="10" t="str">
        <f>IF(COUNTIF('Transform Data'!$D:$D,'Transform Data'!D709)&gt;1,"Repeat","Single")</f>
        <v>Repeat</v>
      </c>
      <c r="J709" s="10" t="str">
        <f>IF('Transform Data'!D709="Cash","Cash",IF(COUNTIF('Transform Data'!$D:$D,'Transform Data'!D709)&gt;1,"Repeat","Single"))</f>
        <v>Repeat</v>
      </c>
      <c r="K709" s="10" t="str">
        <f t="shared" si="11"/>
        <v>TRANS-0708</v>
      </c>
    </row>
    <row r="710" spans="1:11" x14ac:dyDescent="0.35">
      <c r="A710" s="5">
        <v>45448</v>
      </c>
      <c r="B710" s="3">
        <v>0.34937499999999999</v>
      </c>
      <c r="C710" t="s">
        <v>8</v>
      </c>
      <c r="D710" t="s">
        <v>315</v>
      </c>
      <c r="E710" s="4">
        <v>37.72</v>
      </c>
      <c r="F710" t="s">
        <v>24</v>
      </c>
      <c r="G710" s="10" t="str">
        <f>TEXT(Transform_Data[[#This Row],[Date]],"mmm yyyy")</f>
        <v>Jun 2024</v>
      </c>
      <c r="H710" s="10">
        <f>HOUR(Transform_Data[[#This Row],[Time]])</f>
        <v>8</v>
      </c>
      <c r="I710" s="10" t="str">
        <f>IF(COUNTIF('Transform Data'!$D:$D,'Transform Data'!D710)&gt;1,"Repeat","Single")</f>
        <v>Repeat</v>
      </c>
      <c r="J710" s="10" t="str">
        <f>IF('Transform Data'!D710="Cash","Cash",IF(COUNTIF('Transform Data'!$D:$D,'Transform Data'!D710)&gt;1,"Repeat","Single"))</f>
        <v>Repeat</v>
      </c>
      <c r="K710" s="10" t="str">
        <f t="shared" si="11"/>
        <v>TRANS-0709</v>
      </c>
    </row>
    <row r="711" spans="1:11" x14ac:dyDescent="0.35">
      <c r="A711" s="5">
        <v>45448</v>
      </c>
      <c r="B711" s="3">
        <v>0.39077546296296295</v>
      </c>
      <c r="C711" t="s">
        <v>8</v>
      </c>
      <c r="D711" t="s">
        <v>316</v>
      </c>
      <c r="E711" s="4">
        <v>27.92</v>
      </c>
      <c r="F711" t="s">
        <v>28</v>
      </c>
      <c r="G711" s="10" t="str">
        <f>TEXT(Transform_Data[[#This Row],[Date]],"mmm yyyy")</f>
        <v>Jun 2024</v>
      </c>
      <c r="H711" s="10">
        <f>HOUR(Transform_Data[[#This Row],[Time]])</f>
        <v>9</v>
      </c>
      <c r="I711" s="10" t="str">
        <f>IF(COUNTIF('Transform Data'!$D:$D,'Transform Data'!D711)&gt;1,"Repeat","Single")</f>
        <v>Single</v>
      </c>
      <c r="J711" s="10" t="str">
        <f>IF('Transform Data'!D711="Cash","Cash",IF(COUNTIF('Transform Data'!$D:$D,'Transform Data'!D711)&gt;1,"Repeat","Single"))</f>
        <v>Single</v>
      </c>
      <c r="K711" s="10" t="str">
        <f t="shared" si="11"/>
        <v>TRANS-0710</v>
      </c>
    </row>
    <row r="712" spans="1:11" x14ac:dyDescent="0.35">
      <c r="A712" s="5">
        <v>45448</v>
      </c>
      <c r="B712" s="3">
        <v>0.43668981481481484</v>
      </c>
      <c r="C712" t="s">
        <v>8</v>
      </c>
      <c r="D712" t="s">
        <v>60</v>
      </c>
      <c r="E712" s="4">
        <v>37.72</v>
      </c>
      <c r="F712" t="s">
        <v>32</v>
      </c>
      <c r="G712" s="10" t="str">
        <f>TEXT(Transform_Data[[#This Row],[Date]],"mmm yyyy")</f>
        <v>Jun 2024</v>
      </c>
      <c r="H712" s="10">
        <f>HOUR(Transform_Data[[#This Row],[Time]])</f>
        <v>10</v>
      </c>
      <c r="I712" s="10" t="str">
        <f>IF(COUNTIF('Transform Data'!$D:$D,'Transform Data'!D712)&gt;1,"Repeat","Single")</f>
        <v>Repeat</v>
      </c>
      <c r="J712" s="10" t="str">
        <f>IF('Transform Data'!D712="Cash","Cash",IF(COUNTIF('Transform Data'!$D:$D,'Transform Data'!D712)&gt;1,"Repeat","Single"))</f>
        <v>Repeat</v>
      </c>
      <c r="K712" s="10" t="str">
        <f t="shared" si="11"/>
        <v>TRANS-0711</v>
      </c>
    </row>
    <row r="713" spans="1:11" x14ac:dyDescent="0.35">
      <c r="A713" s="5">
        <v>45448</v>
      </c>
      <c r="B713" s="3">
        <v>0.44505787037037037</v>
      </c>
      <c r="C713" t="s">
        <v>8</v>
      </c>
      <c r="D713" t="s">
        <v>11</v>
      </c>
      <c r="E713" s="4">
        <v>32.82</v>
      </c>
      <c r="F713" t="s">
        <v>36</v>
      </c>
      <c r="G713" s="10" t="str">
        <f>TEXT(Transform_Data[[#This Row],[Date]],"mmm yyyy")</f>
        <v>Jun 2024</v>
      </c>
      <c r="H713" s="10">
        <f>HOUR(Transform_Data[[#This Row],[Time]])</f>
        <v>10</v>
      </c>
      <c r="I713" s="10" t="str">
        <f>IF(COUNTIF('Transform Data'!$D:$D,'Transform Data'!D713)&gt;1,"Repeat","Single")</f>
        <v>Repeat</v>
      </c>
      <c r="J713" s="10" t="str">
        <f>IF('Transform Data'!D713="Cash","Cash",IF(COUNTIF('Transform Data'!$D:$D,'Transform Data'!D713)&gt;1,"Repeat","Single"))</f>
        <v>Repeat</v>
      </c>
      <c r="K713" s="10" t="str">
        <f t="shared" si="11"/>
        <v>TRANS-0712</v>
      </c>
    </row>
    <row r="714" spans="1:11" x14ac:dyDescent="0.35">
      <c r="A714" s="5">
        <v>45448</v>
      </c>
      <c r="B714" s="3">
        <v>0.82218749999999996</v>
      </c>
      <c r="C714" t="s">
        <v>8</v>
      </c>
      <c r="D714" t="s">
        <v>317</v>
      </c>
      <c r="E714" s="4">
        <v>32.82</v>
      </c>
      <c r="F714" t="s">
        <v>36</v>
      </c>
      <c r="G714" s="10" t="str">
        <f>TEXT(Transform_Data[[#This Row],[Date]],"mmm yyyy")</f>
        <v>Jun 2024</v>
      </c>
      <c r="H714" s="10">
        <f>HOUR(Transform_Data[[#This Row],[Time]])</f>
        <v>19</v>
      </c>
      <c r="I714" s="10" t="str">
        <f>IF(COUNTIF('Transform Data'!$D:$D,'Transform Data'!D714)&gt;1,"Repeat","Single")</f>
        <v>Single</v>
      </c>
      <c r="J714" s="10" t="str">
        <f>IF('Transform Data'!D714="Cash","Cash",IF(COUNTIF('Transform Data'!$D:$D,'Transform Data'!D714)&gt;1,"Repeat","Single"))</f>
        <v>Single</v>
      </c>
      <c r="K714" s="10" t="str">
        <f t="shared" si="11"/>
        <v>TRANS-0713</v>
      </c>
    </row>
    <row r="715" spans="1:11" x14ac:dyDescent="0.35">
      <c r="A715" s="5">
        <v>45448</v>
      </c>
      <c r="B715" s="3">
        <v>0.83325231481481477</v>
      </c>
      <c r="C715" t="s">
        <v>8</v>
      </c>
      <c r="D715" t="s">
        <v>318</v>
      </c>
      <c r="E715" s="4">
        <v>37.72</v>
      </c>
      <c r="F715" t="s">
        <v>32</v>
      </c>
      <c r="G715" s="10" t="str">
        <f>TEXT(Transform_Data[[#This Row],[Date]],"mmm yyyy")</f>
        <v>Jun 2024</v>
      </c>
      <c r="H715" s="10">
        <f>HOUR(Transform_Data[[#This Row],[Time]])</f>
        <v>19</v>
      </c>
      <c r="I715" s="10" t="str">
        <f>IF(COUNTIF('Transform Data'!$D:$D,'Transform Data'!D715)&gt;1,"Repeat","Single")</f>
        <v>Single</v>
      </c>
      <c r="J715" s="10" t="str">
        <f>IF('Transform Data'!D715="Cash","Cash",IF(COUNTIF('Transform Data'!$D:$D,'Transform Data'!D715)&gt;1,"Repeat","Single"))</f>
        <v>Single</v>
      </c>
      <c r="K715" s="10" t="str">
        <f t="shared" si="11"/>
        <v>TRANS-0714</v>
      </c>
    </row>
    <row r="716" spans="1:11" x14ac:dyDescent="0.35">
      <c r="A716" s="5">
        <v>45448</v>
      </c>
      <c r="B716" s="3">
        <v>0.84082175925925928</v>
      </c>
      <c r="C716" t="s">
        <v>8</v>
      </c>
      <c r="D716" t="s">
        <v>274</v>
      </c>
      <c r="E716" s="4">
        <v>37.72</v>
      </c>
      <c r="F716" t="s">
        <v>10</v>
      </c>
      <c r="G716" s="10" t="str">
        <f>TEXT(Transform_Data[[#This Row],[Date]],"mmm yyyy")</f>
        <v>Jun 2024</v>
      </c>
      <c r="H716" s="10">
        <f>HOUR(Transform_Data[[#This Row],[Time]])</f>
        <v>20</v>
      </c>
      <c r="I716" s="10" t="str">
        <f>IF(COUNTIF('Transform Data'!$D:$D,'Transform Data'!D716)&gt;1,"Repeat","Single")</f>
        <v>Repeat</v>
      </c>
      <c r="J716" s="10" t="str">
        <f>IF('Transform Data'!D716="Cash","Cash",IF(COUNTIF('Transform Data'!$D:$D,'Transform Data'!D716)&gt;1,"Repeat","Single"))</f>
        <v>Repeat</v>
      </c>
      <c r="K716" s="10" t="str">
        <f t="shared" si="11"/>
        <v>TRANS-0715</v>
      </c>
    </row>
    <row r="717" spans="1:11" x14ac:dyDescent="0.35">
      <c r="A717" s="5">
        <v>45448</v>
      </c>
      <c r="B717" s="3">
        <v>0.84167824074074071</v>
      </c>
      <c r="C717" t="s">
        <v>8</v>
      </c>
      <c r="D717" t="s">
        <v>274</v>
      </c>
      <c r="E717" s="4">
        <v>27.92</v>
      </c>
      <c r="F717" t="s">
        <v>20</v>
      </c>
      <c r="G717" s="10" t="str">
        <f>TEXT(Transform_Data[[#This Row],[Date]],"mmm yyyy")</f>
        <v>Jun 2024</v>
      </c>
      <c r="H717" s="10">
        <f>HOUR(Transform_Data[[#This Row],[Time]])</f>
        <v>20</v>
      </c>
      <c r="I717" s="10" t="str">
        <f>IF(COUNTIF('Transform Data'!$D:$D,'Transform Data'!D717)&gt;1,"Repeat","Single")</f>
        <v>Repeat</v>
      </c>
      <c r="J717" s="10" t="str">
        <f>IF('Transform Data'!D717="Cash","Cash",IF(COUNTIF('Transform Data'!$D:$D,'Transform Data'!D717)&gt;1,"Repeat","Single"))</f>
        <v>Repeat</v>
      </c>
      <c r="K717" s="10" t="str">
        <f t="shared" si="11"/>
        <v>TRANS-0716</v>
      </c>
    </row>
    <row r="718" spans="1:11" x14ac:dyDescent="0.35">
      <c r="A718" s="5">
        <v>45449</v>
      </c>
      <c r="B718" s="3">
        <v>0.37009259259259258</v>
      </c>
      <c r="C718" t="s">
        <v>8</v>
      </c>
      <c r="D718" t="s">
        <v>11</v>
      </c>
      <c r="E718" s="4">
        <v>32.82</v>
      </c>
      <c r="F718" t="s">
        <v>36</v>
      </c>
      <c r="G718" s="10" t="str">
        <f>TEXT(Transform_Data[[#This Row],[Date]],"mmm yyyy")</f>
        <v>Jun 2024</v>
      </c>
      <c r="H718" s="10">
        <f>HOUR(Transform_Data[[#This Row],[Time]])</f>
        <v>8</v>
      </c>
      <c r="I718" s="10" t="str">
        <f>IF(COUNTIF('Transform Data'!$D:$D,'Transform Data'!D718)&gt;1,"Repeat","Single")</f>
        <v>Repeat</v>
      </c>
      <c r="J718" s="10" t="str">
        <f>IF('Transform Data'!D718="Cash","Cash",IF(COUNTIF('Transform Data'!$D:$D,'Transform Data'!D718)&gt;1,"Repeat","Single"))</f>
        <v>Repeat</v>
      </c>
      <c r="K718" s="10" t="str">
        <f t="shared" si="11"/>
        <v>TRANS-0717</v>
      </c>
    </row>
    <row r="719" spans="1:11" x14ac:dyDescent="0.35">
      <c r="A719" s="5">
        <v>45449</v>
      </c>
      <c r="B719" s="3">
        <v>0.37092592592592594</v>
      </c>
      <c r="C719" t="s">
        <v>8</v>
      </c>
      <c r="D719" t="s">
        <v>11</v>
      </c>
      <c r="E719" s="4">
        <v>32.82</v>
      </c>
      <c r="F719" t="s">
        <v>36</v>
      </c>
      <c r="G719" s="10" t="str">
        <f>TEXT(Transform_Data[[#This Row],[Date]],"mmm yyyy")</f>
        <v>Jun 2024</v>
      </c>
      <c r="H719" s="10">
        <f>HOUR(Transform_Data[[#This Row],[Time]])</f>
        <v>8</v>
      </c>
      <c r="I719" s="10" t="str">
        <f>IF(COUNTIF('Transform Data'!$D:$D,'Transform Data'!D719)&gt;1,"Repeat","Single")</f>
        <v>Repeat</v>
      </c>
      <c r="J719" s="10" t="str">
        <f>IF('Transform Data'!D719="Cash","Cash",IF(COUNTIF('Transform Data'!$D:$D,'Transform Data'!D719)&gt;1,"Repeat","Single"))</f>
        <v>Repeat</v>
      </c>
      <c r="K719" s="10" t="str">
        <f t="shared" si="11"/>
        <v>TRANS-0718</v>
      </c>
    </row>
    <row r="720" spans="1:11" x14ac:dyDescent="0.35">
      <c r="A720" s="5">
        <v>45449</v>
      </c>
      <c r="B720" s="3">
        <v>0.44177083333333333</v>
      </c>
      <c r="C720" t="s">
        <v>8</v>
      </c>
      <c r="D720" t="s">
        <v>60</v>
      </c>
      <c r="E720" s="4">
        <v>37.72</v>
      </c>
      <c r="F720" t="s">
        <v>32</v>
      </c>
      <c r="G720" s="10" t="str">
        <f>TEXT(Transform_Data[[#This Row],[Date]],"mmm yyyy")</f>
        <v>Jun 2024</v>
      </c>
      <c r="H720" s="10">
        <f>HOUR(Transform_Data[[#This Row],[Time]])</f>
        <v>10</v>
      </c>
      <c r="I720" s="10" t="str">
        <f>IF(COUNTIF('Transform Data'!$D:$D,'Transform Data'!D720)&gt;1,"Repeat","Single")</f>
        <v>Repeat</v>
      </c>
      <c r="J720" s="10" t="str">
        <f>IF('Transform Data'!D720="Cash","Cash",IF(COUNTIF('Transform Data'!$D:$D,'Transform Data'!D720)&gt;1,"Repeat","Single"))</f>
        <v>Repeat</v>
      </c>
      <c r="K720" s="10" t="str">
        <f t="shared" si="11"/>
        <v>TRANS-0719</v>
      </c>
    </row>
    <row r="721" spans="1:11" x14ac:dyDescent="0.35">
      <c r="A721" s="5">
        <v>45449</v>
      </c>
      <c r="B721" s="3">
        <v>0.51228009259259255</v>
      </c>
      <c r="C721" t="s">
        <v>8</v>
      </c>
      <c r="D721" t="s">
        <v>319</v>
      </c>
      <c r="E721" s="4">
        <v>27.92</v>
      </c>
      <c r="F721" t="s">
        <v>28</v>
      </c>
      <c r="G721" s="10" t="str">
        <f>TEXT(Transform_Data[[#This Row],[Date]],"mmm yyyy")</f>
        <v>Jun 2024</v>
      </c>
      <c r="H721" s="10">
        <f>HOUR(Transform_Data[[#This Row],[Time]])</f>
        <v>12</v>
      </c>
      <c r="I721" s="10" t="str">
        <f>IF(COUNTIF('Transform Data'!$D:$D,'Transform Data'!D721)&gt;1,"Repeat","Single")</f>
        <v>Repeat</v>
      </c>
      <c r="J721" s="10" t="str">
        <f>IF('Transform Data'!D721="Cash","Cash",IF(COUNTIF('Transform Data'!$D:$D,'Transform Data'!D721)&gt;1,"Repeat","Single"))</f>
        <v>Repeat</v>
      </c>
      <c r="K721" s="10" t="str">
        <f t="shared" si="11"/>
        <v>TRANS-0720</v>
      </c>
    </row>
    <row r="722" spans="1:11" x14ac:dyDescent="0.35">
      <c r="A722" s="5">
        <v>45449</v>
      </c>
      <c r="B722" s="3">
        <v>0.63280092592592596</v>
      </c>
      <c r="C722" t="s">
        <v>8</v>
      </c>
      <c r="D722" t="s">
        <v>278</v>
      </c>
      <c r="E722" s="4">
        <v>32.82</v>
      </c>
      <c r="F722" t="s">
        <v>36</v>
      </c>
      <c r="G722" s="10" t="str">
        <f>TEXT(Transform_Data[[#This Row],[Date]],"mmm yyyy")</f>
        <v>Jun 2024</v>
      </c>
      <c r="H722" s="10">
        <f>HOUR(Transform_Data[[#This Row],[Time]])</f>
        <v>15</v>
      </c>
      <c r="I722" s="10" t="str">
        <f>IF(COUNTIF('Transform Data'!$D:$D,'Transform Data'!D722)&gt;1,"Repeat","Single")</f>
        <v>Repeat</v>
      </c>
      <c r="J722" s="10" t="str">
        <f>IF('Transform Data'!D722="Cash","Cash",IF(COUNTIF('Transform Data'!$D:$D,'Transform Data'!D722)&gt;1,"Repeat","Single"))</f>
        <v>Repeat</v>
      </c>
      <c r="K722" s="10" t="str">
        <f t="shared" si="11"/>
        <v>TRANS-0721</v>
      </c>
    </row>
    <row r="723" spans="1:11" x14ac:dyDescent="0.35">
      <c r="A723" s="5">
        <v>45449</v>
      </c>
      <c r="B723" s="3">
        <v>0.64173611111111106</v>
      </c>
      <c r="C723" t="s">
        <v>8</v>
      </c>
      <c r="D723" t="s">
        <v>320</v>
      </c>
      <c r="E723" s="4">
        <v>37.72</v>
      </c>
      <c r="F723" t="s">
        <v>24</v>
      </c>
      <c r="G723" s="10" t="str">
        <f>TEXT(Transform_Data[[#This Row],[Date]],"mmm yyyy")</f>
        <v>Jun 2024</v>
      </c>
      <c r="H723" s="10">
        <f>HOUR(Transform_Data[[#This Row],[Time]])</f>
        <v>15</v>
      </c>
      <c r="I723" s="10" t="str">
        <f>IF(COUNTIF('Transform Data'!$D:$D,'Transform Data'!D723)&gt;1,"Repeat","Single")</f>
        <v>Single</v>
      </c>
      <c r="J723" s="10" t="str">
        <f>IF('Transform Data'!D723="Cash","Cash",IF(COUNTIF('Transform Data'!$D:$D,'Transform Data'!D723)&gt;1,"Repeat","Single"))</f>
        <v>Single</v>
      </c>
      <c r="K723" s="10" t="str">
        <f t="shared" si="11"/>
        <v>TRANS-0722</v>
      </c>
    </row>
    <row r="724" spans="1:11" x14ac:dyDescent="0.35">
      <c r="A724" s="5">
        <v>45449</v>
      </c>
      <c r="B724" s="3">
        <v>0.8847800925925926</v>
      </c>
      <c r="C724" t="s">
        <v>8</v>
      </c>
      <c r="D724" t="s">
        <v>321</v>
      </c>
      <c r="E724" s="4">
        <v>37.72</v>
      </c>
      <c r="F724" t="s">
        <v>32</v>
      </c>
      <c r="G724" s="10" t="str">
        <f>TEXT(Transform_Data[[#This Row],[Date]],"mmm yyyy")</f>
        <v>Jun 2024</v>
      </c>
      <c r="H724" s="10">
        <f>HOUR(Transform_Data[[#This Row],[Time]])</f>
        <v>21</v>
      </c>
      <c r="I724" s="10" t="str">
        <f>IF(COUNTIF('Transform Data'!$D:$D,'Transform Data'!D724)&gt;1,"Repeat","Single")</f>
        <v>Repeat</v>
      </c>
      <c r="J724" s="10" t="str">
        <f>IF('Transform Data'!D724="Cash","Cash",IF(COUNTIF('Transform Data'!$D:$D,'Transform Data'!D724)&gt;1,"Repeat","Single"))</f>
        <v>Repeat</v>
      </c>
      <c r="K724" s="10" t="str">
        <f t="shared" si="11"/>
        <v>TRANS-0723</v>
      </c>
    </row>
    <row r="725" spans="1:11" x14ac:dyDescent="0.35">
      <c r="A725" s="5">
        <v>45449</v>
      </c>
      <c r="B725" s="3">
        <v>0.88590277777777782</v>
      </c>
      <c r="C725" t="s">
        <v>8</v>
      </c>
      <c r="D725" t="s">
        <v>321</v>
      </c>
      <c r="E725" s="4">
        <v>37.72</v>
      </c>
      <c r="F725" t="s">
        <v>32</v>
      </c>
      <c r="G725" s="10" t="str">
        <f>TEXT(Transform_Data[[#This Row],[Date]],"mmm yyyy")</f>
        <v>Jun 2024</v>
      </c>
      <c r="H725" s="10">
        <f>HOUR(Transform_Data[[#This Row],[Time]])</f>
        <v>21</v>
      </c>
      <c r="I725" s="10" t="str">
        <f>IF(COUNTIF('Transform Data'!$D:$D,'Transform Data'!D725)&gt;1,"Repeat","Single")</f>
        <v>Repeat</v>
      </c>
      <c r="J725" s="10" t="str">
        <f>IF('Transform Data'!D725="Cash","Cash",IF(COUNTIF('Transform Data'!$D:$D,'Transform Data'!D725)&gt;1,"Repeat","Single"))</f>
        <v>Repeat</v>
      </c>
      <c r="K725" s="10" t="str">
        <f t="shared" si="11"/>
        <v>TRANS-0724</v>
      </c>
    </row>
    <row r="726" spans="1:11" x14ac:dyDescent="0.35">
      <c r="A726" s="5">
        <v>45449</v>
      </c>
      <c r="B726" s="3">
        <v>0.88780092592592597</v>
      </c>
      <c r="C726" t="s">
        <v>8</v>
      </c>
      <c r="D726" t="s">
        <v>260</v>
      </c>
      <c r="E726" s="4">
        <v>37.72</v>
      </c>
      <c r="F726" t="s">
        <v>24</v>
      </c>
      <c r="G726" s="10" t="str">
        <f>TEXT(Transform_Data[[#This Row],[Date]],"mmm yyyy")</f>
        <v>Jun 2024</v>
      </c>
      <c r="H726" s="10">
        <f>HOUR(Transform_Data[[#This Row],[Time]])</f>
        <v>21</v>
      </c>
      <c r="I726" s="10" t="str">
        <f>IF(COUNTIF('Transform Data'!$D:$D,'Transform Data'!D726)&gt;1,"Repeat","Single")</f>
        <v>Repeat</v>
      </c>
      <c r="J726" s="10" t="str">
        <f>IF('Transform Data'!D726="Cash","Cash",IF(COUNTIF('Transform Data'!$D:$D,'Transform Data'!D726)&gt;1,"Repeat","Single"))</f>
        <v>Repeat</v>
      </c>
      <c r="K726" s="10" t="str">
        <f t="shared" si="11"/>
        <v>TRANS-0725</v>
      </c>
    </row>
    <row r="727" spans="1:11" x14ac:dyDescent="0.35">
      <c r="A727" s="5">
        <v>45449</v>
      </c>
      <c r="B727" s="3">
        <v>0.88854166666666667</v>
      </c>
      <c r="C727" t="s">
        <v>8</v>
      </c>
      <c r="D727" t="s">
        <v>260</v>
      </c>
      <c r="E727" s="4">
        <v>32.82</v>
      </c>
      <c r="F727" t="s">
        <v>36</v>
      </c>
      <c r="G727" s="10" t="str">
        <f>TEXT(Transform_Data[[#This Row],[Date]],"mmm yyyy")</f>
        <v>Jun 2024</v>
      </c>
      <c r="H727" s="10">
        <f>HOUR(Transform_Data[[#This Row],[Time]])</f>
        <v>21</v>
      </c>
      <c r="I727" s="10" t="str">
        <f>IF(COUNTIF('Transform Data'!$D:$D,'Transform Data'!D727)&gt;1,"Repeat","Single")</f>
        <v>Repeat</v>
      </c>
      <c r="J727" s="10" t="str">
        <f>IF('Transform Data'!D727="Cash","Cash",IF(COUNTIF('Transform Data'!$D:$D,'Transform Data'!D727)&gt;1,"Repeat","Single"))</f>
        <v>Repeat</v>
      </c>
      <c r="K727" s="10" t="str">
        <f t="shared" si="11"/>
        <v>TRANS-0726</v>
      </c>
    </row>
    <row r="728" spans="1:11" x14ac:dyDescent="0.35">
      <c r="A728" s="5">
        <v>45449</v>
      </c>
      <c r="B728" s="3">
        <v>0.88962962962962966</v>
      </c>
      <c r="C728" t="s">
        <v>8</v>
      </c>
      <c r="D728" t="s">
        <v>321</v>
      </c>
      <c r="E728" s="4">
        <v>37.72</v>
      </c>
      <c r="F728" t="s">
        <v>32</v>
      </c>
      <c r="G728" s="10" t="str">
        <f>TEXT(Transform_Data[[#This Row],[Date]],"mmm yyyy")</f>
        <v>Jun 2024</v>
      </c>
      <c r="H728" s="10">
        <f>HOUR(Transform_Data[[#This Row],[Time]])</f>
        <v>21</v>
      </c>
      <c r="I728" s="10" t="str">
        <f>IF(COUNTIF('Transform Data'!$D:$D,'Transform Data'!D728)&gt;1,"Repeat","Single")</f>
        <v>Repeat</v>
      </c>
      <c r="J728" s="10" t="str">
        <f>IF('Transform Data'!D728="Cash","Cash",IF(COUNTIF('Transform Data'!$D:$D,'Transform Data'!D728)&gt;1,"Repeat","Single"))</f>
        <v>Repeat</v>
      </c>
      <c r="K728" s="10" t="str">
        <f t="shared" si="11"/>
        <v>TRANS-0727</v>
      </c>
    </row>
    <row r="729" spans="1:11" x14ac:dyDescent="0.35">
      <c r="A729" s="5">
        <v>45450</v>
      </c>
      <c r="B729" s="3">
        <v>0.34587962962962965</v>
      </c>
      <c r="C729" t="s">
        <v>8</v>
      </c>
      <c r="D729" t="s">
        <v>322</v>
      </c>
      <c r="E729" s="4">
        <v>37.72</v>
      </c>
      <c r="F729" t="s">
        <v>24</v>
      </c>
      <c r="G729" s="10" t="str">
        <f>TEXT(Transform_Data[[#This Row],[Date]],"mmm yyyy")</f>
        <v>Jun 2024</v>
      </c>
      <c r="H729" s="10">
        <f>HOUR(Transform_Data[[#This Row],[Time]])</f>
        <v>8</v>
      </c>
      <c r="I729" s="10" t="str">
        <f>IF(COUNTIF('Transform Data'!$D:$D,'Transform Data'!D729)&gt;1,"Repeat","Single")</f>
        <v>Repeat</v>
      </c>
      <c r="J729" s="10" t="str">
        <f>IF('Transform Data'!D729="Cash","Cash",IF(COUNTIF('Transform Data'!$D:$D,'Transform Data'!D729)&gt;1,"Repeat","Single"))</f>
        <v>Repeat</v>
      </c>
      <c r="K729" s="10" t="str">
        <f t="shared" si="11"/>
        <v>TRANS-0728</v>
      </c>
    </row>
    <row r="730" spans="1:11" x14ac:dyDescent="0.35">
      <c r="A730" s="5">
        <v>45450</v>
      </c>
      <c r="B730" s="3">
        <v>0.4412962962962963</v>
      </c>
      <c r="C730" t="s">
        <v>8</v>
      </c>
      <c r="D730" t="s">
        <v>323</v>
      </c>
      <c r="E730" s="4">
        <v>23.02</v>
      </c>
      <c r="F730" t="s">
        <v>5</v>
      </c>
      <c r="G730" s="10" t="str">
        <f>TEXT(Transform_Data[[#This Row],[Date]],"mmm yyyy")</f>
        <v>Jun 2024</v>
      </c>
      <c r="H730" s="10">
        <f>HOUR(Transform_Data[[#This Row],[Time]])</f>
        <v>10</v>
      </c>
      <c r="I730" s="10" t="str">
        <f>IF(COUNTIF('Transform Data'!$D:$D,'Transform Data'!D730)&gt;1,"Repeat","Single")</f>
        <v>Single</v>
      </c>
      <c r="J730" s="10" t="str">
        <f>IF('Transform Data'!D730="Cash","Cash",IF(COUNTIF('Transform Data'!$D:$D,'Transform Data'!D730)&gt;1,"Repeat","Single"))</f>
        <v>Single</v>
      </c>
      <c r="K730" s="10" t="str">
        <f t="shared" si="11"/>
        <v>TRANS-0729</v>
      </c>
    </row>
    <row r="731" spans="1:11" x14ac:dyDescent="0.35">
      <c r="A731" s="5">
        <v>45450</v>
      </c>
      <c r="B731" s="3">
        <v>0.56548611111111113</v>
      </c>
      <c r="C731" t="s">
        <v>8</v>
      </c>
      <c r="D731" t="s">
        <v>218</v>
      </c>
      <c r="E731" s="4">
        <v>32.82</v>
      </c>
      <c r="F731" t="s">
        <v>36</v>
      </c>
      <c r="G731" s="10" t="str">
        <f>TEXT(Transform_Data[[#This Row],[Date]],"mmm yyyy")</f>
        <v>Jun 2024</v>
      </c>
      <c r="H731" s="10">
        <f>HOUR(Transform_Data[[#This Row],[Time]])</f>
        <v>13</v>
      </c>
      <c r="I731" s="10" t="str">
        <f>IF(COUNTIF('Transform Data'!$D:$D,'Transform Data'!D731)&gt;1,"Repeat","Single")</f>
        <v>Repeat</v>
      </c>
      <c r="J731" s="10" t="str">
        <f>IF('Transform Data'!D731="Cash","Cash",IF(COUNTIF('Transform Data'!$D:$D,'Transform Data'!D731)&gt;1,"Repeat","Single"))</f>
        <v>Repeat</v>
      </c>
      <c r="K731" s="10" t="str">
        <f t="shared" si="11"/>
        <v>TRANS-0730</v>
      </c>
    </row>
    <row r="732" spans="1:11" x14ac:dyDescent="0.35">
      <c r="A732" s="5">
        <v>45450</v>
      </c>
      <c r="B732" s="3">
        <v>0.69840277777777782</v>
      </c>
      <c r="C732" t="s">
        <v>8</v>
      </c>
      <c r="D732" t="s">
        <v>324</v>
      </c>
      <c r="E732" s="4">
        <v>27.92</v>
      </c>
      <c r="F732" t="s">
        <v>20</v>
      </c>
      <c r="G732" s="10" t="str">
        <f>TEXT(Transform_Data[[#This Row],[Date]],"mmm yyyy")</f>
        <v>Jun 2024</v>
      </c>
      <c r="H732" s="10">
        <f>HOUR(Transform_Data[[#This Row],[Time]])</f>
        <v>16</v>
      </c>
      <c r="I732" s="10" t="str">
        <f>IF(COUNTIF('Transform Data'!$D:$D,'Transform Data'!D732)&gt;1,"Repeat","Single")</f>
        <v>Repeat</v>
      </c>
      <c r="J732" s="10" t="str">
        <f>IF('Transform Data'!D732="Cash","Cash",IF(COUNTIF('Transform Data'!$D:$D,'Transform Data'!D732)&gt;1,"Repeat","Single"))</f>
        <v>Repeat</v>
      </c>
      <c r="K732" s="10" t="str">
        <f t="shared" si="11"/>
        <v>TRANS-0731</v>
      </c>
    </row>
    <row r="733" spans="1:11" x14ac:dyDescent="0.35">
      <c r="A733" s="5">
        <v>45450</v>
      </c>
      <c r="B733" s="3">
        <v>0.69947916666666665</v>
      </c>
      <c r="C733" t="s">
        <v>8</v>
      </c>
      <c r="D733" t="s">
        <v>324</v>
      </c>
      <c r="E733" s="4">
        <v>27.92</v>
      </c>
      <c r="F733" t="s">
        <v>20</v>
      </c>
      <c r="G733" s="10" t="str">
        <f>TEXT(Transform_Data[[#This Row],[Date]],"mmm yyyy")</f>
        <v>Jun 2024</v>
      </c>
      <c r="H733" s="10">
        <f>HOUR(Transform_Data[[#This Row],[Time]])</f>
        <v>16</v>
      </c>
      <c r="I733" s="10" t="str">
        <f>IF(COUNTIF('Transform Data'!$D:$D,'Transform Data'!D733)&gt;1,"Repeat","Single")</f>
        <v>Repeat</v>
      </c>
      <c r="J733" s="10" t="str">
        <f>IF('Transform Data'!D733="Cash","Cash",IF(COUNTIF('Transform Data'!$D:$D,'Transform Data'!D733)&gt;1,"Repeat","Single"))</f>
        <v>Repeat</v>
      </c>
      <c r="K733" s="10" t="str">
        <f t="shared" si="11"/>
        <v>TRANS-0732</v>
      </c>
    </row>
    <row r="734" spans="1:11" x14ac:dyDescent="0.35">
      <c r="A734" s="5">
        <v>45451</v>
      </c>
      <c r="B734" s="3">
        <v>0.37800925925925927</v>
      </c>
      <c r="C734" t="s">
        <v>8</v>
      </c>
      <c r="D734" t="s">
        <v>325</v>
      </c>
      <c r="E734" s="4">
        <v>27.92</v>
      </c>
      <c r="F734" t="s">
        <v>20</v>
      </c>
      <c r="G734" s="10" t="str">
        <f>TEXT(Transform_Data[[#This Row],[Date]],"mmm yyyy")</f>
        <v>Jun 2024</v>
      </c>
      <c r="H734" s="10">
        <f>HOUR(Transform_Data[[#This Row],[Time]])</f>
        <v>9</v>
      </c>
      <c r="I734" s="10" t="str">
        <f>IF(COUNTIF('Transform Data'!$D:$D,'Transform Data'!D734)&gt;1,"Repeat","Single")</f>
        <v>Single</v>
      </c>
      <c r="J734" s="10" t="str">
        <f>IF('Transform Data'!D734="Cash","Cash",IF(COUNTIF('Transform Data'!$D:$D,'Transform Data'!D734)&gt;1,"Repeat","Single"))</f>
        <v>Single</v>
      </c>
      <c r="K734" s="10" t="str">
        <f t="shared" si="11"/>
        <v>TRANS-0733</v>
      </c>
    </row>
    <row r="735" spans="1:11" x14ac:dyDescent="0.35">
      <c r="A735" s="5">
        <v>45451</v>
      </c>
      <c r="B735" s="3">
        <v>0.39318287037037036</v>
      </c>
      <c r="C735" t="s">
        <v>8</v>
      </c>
      <c r="D735" t="s">
        <v>11</v>
      </c>
      <c r="E735" s="4">
        <v>32.82</v>
      </c>
      <c r="F735" t="s">
        <v>36</v>
      </c>
      <c r="G735" s="10" t="str">
        <f>TEXT(Transform_Data[[#This Row],[Date]],"mmm yyyy")</f>
        <v>Jun 2024</v>
      </c>
      <c r="H735" s="10">
        <f>HOUR(Transform_Data[[#This Row],[Time]])</f>
        <v>9</v>
      </c>
      <c r="I735" s="10" t="str">
        <f>IF(COUNTIF('Transform Data'!$D:$D,'Transform Data'!D735)&gt;1,"Repeat","Single")</f>
        <v>Repeat</v>
      </c>
      <c r="J735" s="10" t="str">
        <f>IF('Transform Data'!D735="Cash","Cash",IF(COUNTIF('Transform Data'!$D:$D,'Transform Data'!D735)&gt;1,"Repeat","Single"))</f>
        <v>Repeat</v>
      </c>
      <c r="K735" s="10" t="str">
        <f t="shared" si="11"/>
        <v>TRANS-0734</v>
      </c>
    </row>
    <row r="736" spans="1:11" x14ac:dyDescent="0.35">
      <c r="A736" s="5">
        <v>45451</v>
      </c>
      <c r="B736" s="3">
        <v>0.85062499999999996</v>
      </c>
      <c r="C736" t="s">
        <v>8</v>
      </c>
      <c r="D736" t="s">
        <v>189</v>
      </c>
      <c r="E736" s="4">
        <v>37.72</v>
      </c>
      <c r="F736" t="s">
        <v>24</v>
      </c>
      <c r="G736" s="10" t="str">
        <f>TEXT(Transform_Data[[#This Row],[Date]],"mmm yyyy")</f>
        <v>Jun 2024</v>
      </c>
      <c r="H736" s="10">
        <f>HOUR(Transform_Data[[#This Row],[Time]])</f>
        <v>20</v>
      </c>
      <c r="I736" s="10" t="str">
        <f>IF(COUNTIF('Transform Data'!$D:$D,'Transform Data'!D736)&gt;1,"Repeat","Single")</f>
        <v>Repeat</v>
      </c>
      <c r="J736" s="10" t="str">
        <f>IF('Transform Data'!D736="Cash","Cash",IF(COUNTIF('Transform Data'!$D:$D,'Transform Data'!D736)&gt;1,"Repeat","Single"))</f>
        <v>Repeat</v>
      </c>
      <c r="K736" s="10" t="str">
        <f t="shared" si="11"/>
        <v>TRANS-0735</v>
      </c>
    </row>
    <row r="737" spans="1:11" x14ac:dyDescent="0.35">
      <c r="A737" s="5">
        <v>45451</v>
      </c>
      <c r="B737" s="3">
        <v>0.8513425925925926</v>
      </c>
      <c r="C737" t="s">
        <v>8</v>
      </c>
      <c r="D737" t="s">
        <v>189</v>
      </c>
      <c r="E737" s="4">
        <v>37.72</v>
      </c>
      <c r="F737" t="s">
        <v>24</v>
      </c>
      <c r="G737" s="10" t="str">
        <f>TEXT(Transform_Data[[#This Row],[Date]],"mmm yyyy")</f>
        <v>Jun 2024</v>
      </c>
      <c r="H737" s="10">
        <f>HOUR(Transform_Data[[#This Row],[Time]])</f>
        <v>20</v>
      </c>
      <c r="I737" s="10" t="str">
        <f>IF(COUNTIF('Transform Data'!$D:$D,'Transform Data'!D737)&gt;1,"Repeat","Single")</f>
        <v>Repeat</v>
      </c>
      <c r="J737" s="10" t="str">
        <f>IF('Transform Data'!D737="Cash","Cash",IF(COUNTIF('Transform Data'!$D:$D,'Transform Data'!D737)&gt;1,"Repeat","Single"))</f>
        <v>Repeat</v>
      </c>
      <c r="K737" s="10" t="str">
        <f t="shared" si="11"/>
        <v>TRANS-0736</v>
      </c>
    </row>
    <row r="738" spans="1:11" x14ac:dyDescent="0.35">
      <c r="A738" s="5">
        <v>45452</v>
      </c>
      <c r="B738" s="3">
        <v>0.34435185185185185</v>
      </c>
      <c r="C738" t="s">
        <v>8</v>
      </c>
      <c r="D738" t="s">
        <v>11</v>
      </c>
      <c r="E738" s="4">
        <v>37.72</v>
      </c>
      <c r="F738" t="s">
        <v>32</v>
      </c>
      <c r="G738" s="10" t="str">
        <f>TEXT(Transform_Data[[#This Row],[Date]],"mmm yyyy")</f>
        <v>Jun 2024</v>
      </c>
      <c r="H738" s="10">
        <f>HOUR(Transform_Data[[#This Row],[Time]])</f>
        <v>8</v>
      </c>
      <c r="I738" s="10" t="str">
        <f>IF(COUNTIF('Transform Data'!$D:$D,'Transform Data'!D738)&gt;1,"Repeat","Single")</f>
        <v>Repeat</v>
      </c>
      <c r="J738" s="10" t="str">
        <f>IF('Transform Data'!D738="Cash","Cash",IF(COUNTIF('Transform Data'!$D:$D,'Transform Data'!D738)&gt;1,"Repeat","Single"))</f>
        <v>Repeat</v>
      </c>
      <c r="K738" s="10" t="str">
        <f t="shared" si="11"/>
        <v>TRANS-0737</v>
      </c>
    </row>
    <row r="739" spans="1:11" x14ac:dyDescent="0.35">
      <c r="A739" s="5">
        <v>45452</v>
      </c>
      <c r="B739" s="3">
        <v>0.43754629629629632</v>
      </c>
      <c r="C739" t="s">
        <v>8</v>
      </c>
      <c r="D739" t="s">
        <v>326</v>
      </c>
      <c r="E739" s="4">
        <v>37.72</v>
      </c>
      <c r="F739" t="s">
        <v>32</v>
      </c>
      <c r="G739" s="10" t="str">
        <f>TEXT(Transform_Data[[#This Row],[Date]],"mmm yyyy")</f>
        <v>Jun 2024</v>
      </c>
      <c r="H739" s="10">
        <f>HOUR(Transform_Data[[#This Row],[Time]])</f>
        <v>10</v>
      </c>
      <c r="I739" s="10" t="str">
        <f>IF(COUNTIF('Transform Data'!$D:$D,'Transform Data'!D739)&gt;1,"Repeat","Single")</f>
        <v>Single</v>
      </c>
      <c r="J739" s="10" t="str">
        <f>IF('Transform Data'!D739="Cash","Cash",IF(COUNTIF('Transform Data'!$D:$D,'Transform Data'!D739)&gt;1,"Repeat","Single"))</f>
        <v>Single</v>
      </c>
      <c r="K739" s="10" t="str">
        <f t="shared" si="11"/>
        <v>TRANS-0738</v>
      </c>
    </row>
    <row r="740" spans="1:11" x14ac:dyDescent="0.35">
      <c r="A740" s="5">
        <v>45452</v>
      </c>
      <c r="B740" s="3">
        <v>0.45283564814814814</v>
      </c>
      <c r="C740" t="s">
        <v>8</v>
      </c>
      <c r="D740" t="s">
        <v>327</v>
      </c>
      <c r="E740" s="4">
        <v>37.72</v>
      </c>
      <c r="F740" t="s">
        <v>24</v>
      </c>
      <c r="G740" s="10" t="str">
        <f>TEXT(Transform_Data[[#This Row],[Date]],"mmm yyyy")</f>
        <v>Jun 2024</v>
      </c>
      <c r="H740" s="10">
        <f>HOUR(Transform_Data[[#This Row],[Time]])</f>
        <v>10</v>
      </c>
      <c r="I740" s="10" t="str">
        <f>IF(COUNTIF('Transform Data'!$D:$D,'Transform Data'!D740)&gt;1,"Repeat","Single")</f>
        <v>Single</v>
      </c>
      <c r="J740" s="10" t="str">
        <f>IF('Transform Data'!D740="Cash","Cash",IF(COUNTIF('Transform Data'!$D:$D,'Transform Data'!D740)&gt;1,"Repeat","Single"))</f>
        <v>Single</v>
      </c>
      <c r="K740" s="10" t="str">
        <f t="shared" si="11"/>
        <v>TRANS-0739</v>
      </c>
    </row>
    <row r="741" spans="1:11" x14ac:dyDescent="0.35">
      <c r="A741" s="5">
        <v>45452</v>
      </c>
      <c r="B741" s="3">
        <v>0.46158564814814818</v>
      </c>
      <c r="C741" t="s">
        <v>8</v>
      </c>
      <c r="D741" t="s">
        <v>40</v>
      </c>
      <c r="E741" s="4">
        <v>27.92</v>
      </c>
      <c r="F741" t="s">
        <v>20</v>
      </c>
      <c r="G741" s="10" t="str">
        <f>TEXT(Transform_Data[[#This Row],[Date]],"mmm yyyy")</f>
        <v>Jun 2024</v>
      </c>
      <c r="H741" s="10">
        <f>HOUR(Transform_Data[[#This Row],[Time]])</f>
        <v>11</v>
      </c>
      <c r="I741" s="10" t="str">
        <f>IF(COUNTIF('Transform Data'!$D:$D,'Transform Data'!D741)&gt;1,"Repeat","Single")</f>
        <v>Repeat</v>
      </c>
      <c r="J741" s="10" t="str">
        <f>IF('Transform Data'!D741="Cash","Cash",IF(COUNTIF('Transform Data'!$D:$D,'Transform Data'!D741)&gt;1,"Repeat","Single"))</f>
        <v>Repeat</v>
      </c>
      <c r="K741" s="10" t="str">
        <f t="shared" si="11"/>
        <v>TRANS-0740</v>
      </c>
    </row>
    <row r="742" spans="1:11" x14ac:dyDescent="0.35">
      <c r="A742" s="5">
        <v>45452</v>
      </c>
      <c r="B742" s="3">
        <v>0.46328703703703705</v>
      </c>
      <c r="C742" t="s">
        <v>8</v>
      </c>
      <c r="D742" t="s">
        <v>328</v>
      </c>
      <c r="E742" s="4">
        <v>23.02</v>
      </c>
      <c r="F742" t="s">
        <v>5</v>
      </c>
      <c r="G742" s="10" t="str">
        <f>TEXT(Transform_Data[[#This Row],[Date]],"mmm yyyy")</f>
        <v>Jun 2024</v>
      </c>
      <c r="H742" s="10">
        <f>HOUR(Transform_Data[[#This Row],[Time]])</f>
        <v>11</v>
      </c>
      <c r="I742" s="10" t="str">
        <f>IF(COUNTIF('Transform Data'!$D:$D,'Transform Data'!D742)&gt;1,"Repeat","Single")</f>
        <v>Repeat</v>
      </c>
      <c r="J742" s="10" t="str">
        <f>IF('Transform Data'!D742="Cash","Cash",IF(COUNTIF('Transform Data'!$D:$D,'Transform Data'!D742)&gt;1,"Repeat","Single"))</f>
        <v>Repeat</v>
      </c>
      <c r="K742" s="10" t="str">
        <f t="shared" si="11"/>
        <v>TRANS-0741</v>
      </c>
    </row>
    <row r="743" spans="1:11" x14ac:dyDescent="0.35">
      <c r="A743" s="5">
        <v>45452</v>
      </c>
      <c r="B743" s="3">
        <v>0.49501157407407409</v>
      </c>
      <c r="C743" t="s">
        <v>8</v>
      </c>
      <c r="D743" t="s">
        <v>329</v>
      </c>
      <c r="E743" s="4">
        <v>37.72</v>
      </c>
      <c r="F743" t="s">
        <v>24</v>
      </c>
      <c r="G743" s="10" t="str">
        <f>TEXT(Transform_Data[[#This Row],[Date]],"mmm yyyy")</f>
        <v>Jun 2024</v>
      </c>
      <c r="H743" s="10">
        <f>HOUR(Transform_Data[[#This Row],[Time]])</f>
        <v>11</v>
      </c>
      <c r="I743" s="10" t="str">
        <f>IF(COUNTIF('Transform Data'!$D:$D,'Transform Data'!D743)&gt;1,"Repeat","Single")</f>
        <v>Single</v>
      </c>
      <c r="J743" s="10" t="str">
        <f>IF('Transform Data'!D743="Cash","Cash",IF(COUNTIF('Transform Data'!$D:$D,'Transform Data'!D743)&gt;1,"Repeat","Single"))</f>
        <v>Single</v>
      </c>
      <c r="K743" s="10" t="str">
        <f t="shared" si="11"/>
        <v>TRANS-0742</v>
      </c>
    </row>
    <row r="744" spans="1:11" x14ac:dyDescent="0.35">
      <c r="A744" s="5">
        <v>45452</v>
      </c>
      <c r="B744" s="3">
        <v>0.50790509259259264</v>
      </c>
      <c r="C744" t="s">
        <v>8</v>
      </c>
      <c r="D744" t="s">
        <v>29</v>
      </c>
      <c r="E744" s="4">
        <v>32.82</v>
      </c>
      <c r="F744" t="s">
        <v>36</v>
      </c>
      <c r="G744" s="10" t="str">
        <f>TEXT(Transform_Data[[#This Row],[Date]],"mmm yyyy")</f>
        <v>Jun 2024</v>
      </c>
      <c r="H744" s="10">
        <f>HOUR(Transform_Data[[#This Row],[Time]])</f>
        <v>12</v>
      </c>
      <c r="I744" s="10" t="str">
        <f>IF(COUNTIF('Transform Data'!$D:$D,'Transform Data'!D744)&gt;1,"Repeat","Single")</f>
        <v>Repeat</v>
      </c>
      <c r="J744" s="10" t="str">
        <f>IF('Transform Data'!D744="Cash","Cash",IF(COUNTIF('Transform Data'!$D:$D,'Transform Data'!D744)&gt;1,"Repeat","Single"))</f>
        <v>Repeat</v>
      </c>
      <c r="K744" s="10" t="str">
        <f t="shared" si="11"/>
        <v>TRANS-0743</v>
      </c>
    </row>
    <row r="745" spans="1:11" x14ac:dyDescent="0.35">
      <c r="A745" s="5">
        <v>45452</v>
      </c>
      <c r="B745" s="3">
        <v>0.50912037037037039</v>
      </c>
      <c r="C745" t="s">
        <v>8</v>
      </c>
      <c r="D745" t="s">
        <v>29</v>
      </c>
      <c r="E745" s="4">
        <v>37.72</v>
      </c>
      <c r="F745" t="s">
        <v>32</v>
      </c>
      <c r="G745" s="10" t="str">
        <f>TEXT(Transform_Data[[#This Row],[Date]],"mmm yyyy")</f>
        <v>Jun 2024</v>
      </c>
      <c r="H745" s="10">
        <f>HOUR(Transform_Data[[#This Row],[Time]])</f>
        <v>12</v>
      </c>
      <c r="I745" s="10" t="str">
        <f>IF(COUNTIF('Transform Data'!$D:$D,'Transform Data'!D745)&gt;1,"Repeat","Single")</f>
        <v>Repeat</v>
      </c>
      <c r="J745" s="10" t="str">
        <f>IF('Transform Data'!D745="Cash","Cash",IF(COUNTIF('Transform Data'!$D:$D,'Transform Data'!D745)&gt;1,"Repeat","Single"))</f>
        <v>Repeat</v>
      </c>
      <c r="K745" s="10" t="str">
        <f t="shared" si="11"/>
        <v>TRANS-0744</v>
      </c>
    </row>
    <row r="746" spans="1:11" x14ac:dyDescent="0.35">
      <c r="A746" s="5">
        <v>45452</v>
      </c>
      <c r="B746" s="3">
        <v>0.50983796296296291</v>
      </c>
      <c r="C746" t="s">
        <v>8</v>
      </c>
      <c r="D746" t="s">
        <v>29</v>
      </c>
      <c r="E746" s="4">
        <v>37.72</v>
      </c>
      <c r="F746" t="s">
        <v>32</v>
      </c>
      <c r="G746" s="10" t="str">
        <f>TEXT(Transform_Data[[#This Row],[Date]],"mmm yyyy")</f>
        <v>Jun 2024</v>
      </c>
      <c r="H746" s="10">
        <f>HOUR(Transform_Data[[#This Row],[Time]])</f>
        <v>12</v>
      </c>
      <c r="I746" s="10" t="str">
        <f>IF(COUNTIF('Transform Data'!$D:$D,'Transform Data'!D746)&gt;1,"Repeat","Single")</f>
        <v>Repeat</v>
      </c>
      <c r="J746" s="10" t="str">
        <f>IF('Transform Data'!D746="Cash","Cash",IF(COUNTIF('Transform Data'!$D:$D,'Transform Data'!D746)&gt;1,"Repeat","Single"))</f>
        <v>Repeat</v>
      </c>
      <c r="K746" s="10" t="str">
        <f t="shared" si="11"/>
        <v>TRANS-0745</v>
      </c>
    </row>
    <row r="747" spans="1:11" x14ac:dyDescent="0.35">
      <c r="A747" s="5">
        <v>45452</v>
      </c>
      <c r="B747" s="3">
        <v>0.6322916666666667</v>
      </c>
      <c r="C747" t="s">
        <v>8</v>
      </c>
      <c r="D747" t="s">
        <v>330</v>
      </c>
      <c r="E747" s="4">
        <v>27.92</v>
      </c>
      <c r="F747" t="s">
        <v>20</v>
      </c>
      <c r="G747" s="10" t="str">
        <f>TEXT(Transform_Data[[#This Row],[Date]],"mmm yyyy")</f>
        <v>Jun 2024</v>
      </c>
      <c r="H747" s="10">
        <f>HOUR(Transform_Data[[#This Row],[Time]])</f>
        <v>15</v>
      </c>
      <c r="I747" s="10" t="str">
        <f>IF(COUNTIF('Transform Data'!$D:$D,'Transform Data'!D747)&gt;1,"Repeat","Single")</f>
        <v>Repeat</v>
      </c>
      <c r="J747" s="10" t="str">
        <f>IF('Transform Data'!D747="Cash","Cash",IF(COUNTIF('Transform Data'!$D:$D,'Transform Data'!D747)&gt;1,"Repeat","Single"))</f>
        <v>Repeat</v>
      </c>
      <c r="K747" s="10" t="str">
        <f t="shared" si="11"/>
        <v>TRANS-0746</v>
      </c>
    </row>
    <row r="748" spans="1:11" x14ac:dyDescent="0.35">
      <c r="A748" s="5">
        <v>45452</v>
      </c>
      <c r="B748" s="3">
        <v>0.67879629629629634</v>
      </c>
      <c r="C748" t="s">
        <v>8</v>
      </c>
      <c r="D748" t="s">
        <v>331</v>
      </c>
      <c r="E748" s="4">
        <v>37.72</v>
      </c>
      <c r="F748" t="s">
        <v>24</v>
      </c>
      <c r="G748" s="10" t="str">
        <f>TEXT(Transform_Data[[#This Row],[Date]],"mmm yyyy")</f>
        <v>Jun 2024</v>
      </c>
      <c r="H748" s="10">
        <f>HOUR(Transform_Data[[#This Row],[Time]])</f>
        <v>16</v>
      </c>
      <c r="I748" s="10" t="str">
        <f>IF(COUNTIF('Transform Data'!$D:$D,'Transform Data'!D748)&gt;1,"Repeat","Single")</f>
        <v>Single</v>
      </c>
      <c r="J748" s="10" t="str">
        <f>IF('Transform Data'!D748="Cash","Cash",IF(COUNTIF('Transform Data'!$D:$D,'Transform Data'!D748)&gt;1,"Repeat","Single"))</f>
        <v>Single</v>
      </c>
      <c r="K748" s="10" t="str">
        <f t="shared" si="11"/>
        <v>TRANS-0747</v>
      </c>
    </row>
    <row r="749" spans="1:11" x14ac:dyDescent="0.35">
      <c r="A749" s="5">
        <v>45452</v>
      </c>
      <c r="B749" s="3">
        <v>0.80646990740740743</v>
      </c>
      <c r="C749" t="s">
        <v>8</v>
      </c>
      <c r="D749" t="s">
        <v>332</v>
      </c>
      <c r="E749" s="4">
        <v>32.82</v>
      </c>
      <c r="F749" t="s">
        <v>36</v>
      </c>
      <c r="G749" s="10" t="str">
        <f>TEXT(Transform_Data[[#This Row],[Date]],"mmm yyyy")</f>
        <v>Jun 2024</v>
      </c>
      <c r="H749" s="10">
        <f>HOUR(Transform_Data[[#This Row],[Time]])</f>
        <v>19</v>
      </c>
      <c r="I749" s="10" t="str">
        <f>IF(COUNTIF('Transform Data'!$D:$D,'Transform Data'!D749)&gt;1,"Repeat","Single")</f>
        <v>Single</v>
      </c>
      <c r="J749" s="10" t="str">
        <f>IF('Transform Data'!D749="Cash","Cash",IF(COUNTIF('Transform Data'!$D:$D,'Transform Data'!D749)&gt;1,"Repeat","Single"))</f>
        <v>Single</v>
      </c>
      <c r="K749" s="10" t="str">
        <f t="shared" si="11"/>
        <v>TRANS-0748</v>
      </c>
    </row>
    <row r="750" spans="1:11" x14ac:dyDescent="0.35">
      <c r="A750" s="5">
        <v>45452</v>
      </c>
      <c r="B750" s="3">
        <v>0.87856481481481485</v>
      </c>
      <c r="C750" t="s">
        <v>8</v>
      </c>
      <c r="D750" t="s">
        <v>333</v>
      </c>
      <c r="E750" s="4">
        <v>27.92</v>
      </c>
      <c r="F750" t="s">
        <v>28</v>
      </c>
      <c r="G750" s="10" t="str">
        <f>TEXT(Transform_Data[[#This Row],[Date]],"mmm yyyy")</f>
        <v>Jun 2024</v>
      </c>
      <c r="H750" s="10">
        <f>HOUR(Transform_Data[[#This Row],[Time]])</f>
        <v>21</v>
      </c>
      <c r="I750" s="10" t="str">
        <f>IF(COUNTIF('Transform Data'!$D:$D,'Transform Data'!D750)&gt;1,"Repeat","Single")</f>
        <v>Single</v>
      </c>
      <c r="J750" s="10" t="str">
        <f>IF('Transform Data'!D750="Cash","Cash",IF(COUNTIF('Transform Data'!$D:$D,'Transform Data'!D750)&gt;1,"Repeat","Single"))</f>
        <v>Single</v>
      </c>
      <c r="K750" s="10" t="str">
        <f t="shared" si="11"/>
        <v>TRANS-0749</v>
      </c>
    </row>
    <row r="751" spans="1:11" x14ac:dyDescent="0.35">
      <c r="A751" s="5">
        <v>45453</v>
      </c>
      <c r="B751" s="3">
        <v>0.53320601851851857</v>
      </c>
      <c r="C751" t="s">
        <v>8</v>
      </c>
      <c r="D751" t="s">
        <v>334</v>
      </c>
      <c r="E751" s="4">
        <v>37.72</v>
      </c>
      <c r="F751" t="s">
        <v>24</v>
      </c>
      <c r="G751" s="10" t="str">
        <f>TEXT(Transform_Data[[#This Row],[Date]],"mmm yyyy")</f>
        <v>Jun 2024</v>
      </c>
      <c r="H751" s="10">
        <f>HOUR(Transform_Data[[#This Row],[Time]])</f>
        <v>12</v>
      </c>
      <c r="I751" s="10" t="str">
        <f>IF(COUNTIF('Transform Data'!$D:$D,'Transform Data'!D751)&gt;1,"Repeat","Single")</f>
        <v>Single</v>
      </c>
      <c r="J751" s="10" t="str">
        <f>IF('Transform Data'!D751="Cash","Cash",IF(COUNTIF('Transform Data'!$D:$D,'Transform Data'!D751)&gt;1,"Repeat","Single"))</f>
        <v>Single</v>
      </c>
      <c r="K751" s="10" t="str">
        <f t="shared" si="11"/>
        <v>TRANS-0750</v>
      </c>
    </row>
    <row r="752" spans="1:11" x14ac:dyDescent="0.35">
      <c r="A752" s="5">
        <v>45453</v>
      </c>
      <c r="B752" s="3">
        <v>0.53944444444444439</v>
      </c>
      <c r="C752" t="s">
        <v>8</v>
      </c>
      <c r="D752" t="s">
        <v>11</v>
      </c>
      <c r="E752" s="4">
        <v>37.72</v>
      </c>
      <c r="F752" t="s">
        <v>32</v>
      </c>
      <c r="G752" s="10" t="str">
        <f>TEXT(Transform_Data[[#This Row],[Date]],"mmm yyyy")</f>
        <v>Jun 2024</v>
      </c>
      <c r="H752" s="10">
        <f>HOUR(Transform_Data[[#This Row],[Time]])</f>
        <v>12</v>
      </c>
      <c r="I752" s="10" t="str">
        <f>IF(COUNTIF('Transform Data'!$D:$D,'Transform Data'!D752)&gt;1,"Repeat","Single")</f>
        <v>Repeat</v>
      </c>
      <c r="J752" s="10" t="str">
        <f>IF('Transform Data'!D752="Cash","Cash",IF(COUNTIF('Transform Data'!$D:$D,'Transform Data'!D752)&gt;1,"Repeat","Single"))</f>
        <v>Repeat</v>
      </c>
      <c r="K752" s="10" t="str">
        <f t="shared" si="11"/>
        <v>TRANS-0751</v>
      </c>
    </row>
    <row r="753" spans="1:11" x14ac:dyDescent="0.35">
      <c r="A753" s="5">
        <v>45453</v>
      </c>
      <c r="B753" s="3">
        <v>0.79476851851851849</v>
      </c>
      <c r="C753" t="s">
        <v>8</v>
      </c>
      <c r="D753" t="s">
        <v>335</v>
      </c>
      <c r="E753" s="4">
        <v>37.72</v>
      </c>
      <c r="F753" t="s">
        <v>15</v>
      </c>
      <c r="G753" s="10" t="str">
        <f>TEXT(Transform_Data[[#This Row],[Date]],"mmm yyyy")</f>
        <v>Jun 2024</v>
      </c>
      <c r="H753" s="10">
        <f>HOUR(Transform_Data[[#This Row],[Time]])</f>
        <v>19</v>
      </c>
      <c r="I753" s="10" t="str">
        <f>IF(COUNTIF('Transform Data'!$D:$D,'Transform Data'!D753)&gt;1,"Repeat","Single")</f>
        <v>Repeat</v>
      </c>
      <c r="J753" s="10" t="str">
        <f>IF('Transform Data'!D753="Cash","Cash",IF(COUNTIF('Transform Data'!$D:$D,'Transform Data'!D753)&gt;1,"Repeat","Single"))</f>
        <v>Repeat</v>
      </c>
      <c r="K753" s="10" t="str">
        <f t="shared" si="11"/>
        <v>TRANS-0752</v>
      </c>
    </row>
    <row r="754" spans="1:11" x14ac:dyDescent="0.35">
      <c r="A754" s="5">
        <v>45453</v>
      </c>
      <c r="B754" s="3">
        <v>0.79539351851851847</v>
      </c>
      <c r="C754" t="s">
        <v>8</v>
      </c>
      <c r="D754" t="s">
        <v>335</v>
      </c>
      <c r="E754" s="4">
        <v>37.72</v>
      </c>
      <c r="F754" t="s">
        <v>15</v>
      </c>
      <c r="G754" s="10" t="str">
        <f>TEXT(Transform_Data[[#This Row],[Date]],"mmm yyyy")</f>
        <v>Jun 2024</v>
      </c>
      <c r="H754" s="10">
        <f>HOUR(Transform_Data[[#This Row],[Time]])</f>
        <v>19</v>
      </c>
      <c r="I754" s="10" t="str">
        <f>IF(COUNTIF('Transform Data'!$D:$D,'Transform Data'!D754)&gt;1,"Repeat","Single")</f>
        <v>Repeat</v>
      </c>
      <c r="J754" s="10" t="str">
        <f>IF('Transform Data'!D754="Cash","Cash",IF(COUNTIF('Transform Data'!$D:$D,'Transform Data'!D754)&gt;1,"Repeat","Single"))</f>
        <v>Repeat</v>
      </c>
      <c r="K754" s="10" t="str">
        <f t="shared" si="11"/>
        <v>TRANS-0753</v>
      </c>
    </row>
    <row r="755" spans="1:11" x14ac:dyDescent="0.35">
      <c r="A755" s="5">
        <v>45453</v>
      </c>
      <c r="B755" s="3">
        <v>0.81762731481481477</v>
      </c>
      <c r="C755" t="s">
        <v>8</v>
      </c>
      <c r="D755" t="s">
        <v>336</v>
      </c>
      <c r="E755" s="4">
        <v>37.72</v>
      </c>
      <c r="F755" t="s">
        <v>32</v>
      </c>
      <c r="G755" s="10" t="str">
        <f>TEXT(Transform_Data[[#This Row],[Date]],"mmm yyyy")</f>
        <v>Jun 2024</v>
      </c>
      <c r="H755" s="10">
        <f>HOUR(Transform_Data[[#This Row],[Time]])</f>
        <v>19</v>
      </c>
      <c r="I755" s="10" t="str">
        <f>IF(COUNTIF('Transform Data'!$D:$D,'Transform Data'!D755)&gt;1,"Repeat","Single")</f>
        <v>Repeat</v>
      </c>
      <c r="J755" s="10" t="str">
        <f>IF('Transform Data'!D755="Cash","Cash",IF(COUNTIF('Transform Data'!$D:$D,'Transform Data'!D755)&gt;1,"Repeat","Single"))</f>
        <v>Repeat</v>
      </c>
      <c r="K755" s="10" t="str">
        <f t="shared" si="11"/>
        <v>TRANS-0754</v>
      </c>
    </row>
    <row r="756" spans="1:11" x14ac:dyDescent="0.35">
      <c r="A756" s="5">
        <v>45453</v>
      </c>
      <c r="B756" s="3">
        <v>0.81827546296296294</v>
      </c>
      <c r="C756" t="s">
        <v>8</v>
      </c>
      <c r="D756" t="s">
        <v>336</v>
      </c>
      <c r="E756" s="4">
        <v>37.72</v>
      </c>
      <c r="F756" t="s">
        <v>32</v>
      </c>
      <c r="G756" s="10" t="str">
        <f>TEXT(Transform_Data[[#This Row],[Date]],"mmm yyyy")</f>
        <v>Jun 2024</v>
      </c>
      <c r="H756" s="10">
        <f>HOUR(Transform_Data[[#This Row],[Time]])</f>
        <v>19</v>
      </c>
      <c r="I756" s="10" t="str">
        <f>IF(COUNTIF('Transform Data'!$D:$D,'Transform Data'!D756)&gt;1,"Repeat","Single")</f>
        <v>Repeat</v>
      </c>
      <c r="J756" s="10" t="str">
        <f>IF('Transform Data'!D756="Cash","Cash",IF(COUNTIF('Transform Data'!$D:$D,'Transform Data'!D756)&gt;1,"Repeat","Single"))</f>
        <v>Repeat</v>
      </c>
      <c r="K756" s="10" t="str">
        <f t="shared" si="11"/>
        <v>TRANS-0755</v>
      </c>
    </row>
    <row r="757" spans="1:11" x14ac:dyDescent="0.35">
      <c r="A757" s="5">
        <v>45454</v>
      </c>
      <c r="B757" s="3">
        <v>0.44309027777777776</v>
      </c>
      <c r="C757" t="s">
        <v>8</v>
      </c>
      <c r="D757" t="s">
        <v>337</v>
      </c>
      <c r="E757" s="4">
        <v>32.82</v>
      </c>
      <c r="F757" t="s">
        <v>36</v>
      </c>
      <c r="G757" s="10" t="str">
        <f>TEXT(Transform_Data[[#This Row],[Date]],"mmm yyyy")</f>
        <v>Jun 2024</v>
      </c>
      <c r="H757" s="10">
        <f>HOUR(Transform_Data[[#This Row],[Time]])</f>
        <v>10</v>
      </c>
      <c r="I757" s="10" t="str">
        <f>IF(COUNTIF('Transform Data'!$D:$D,'Transform Data'!D757)&gt;1,"Repeat","Single")</f>
        <v>Single</v>
      </c>
      <c r="J757" s="10" t="str">
        <f>IF('Transform Data'!D757="Cash","Cash",IF(COUNTIF('Transform Data'!$D:$D,'Transform Data'!D757)&gt;1,"Repeat","Single"))</f>
        <v>Single</v>
      </c>
      <c r="K757" s="10" t="str">
        <f t="shared" si="11"/>
        <v>TRANS-0756</v>
      </c>
    </row>
    <row r="758" spans="1:11" x14ac:dyDescent="0.35">
      <c r="A758" s="5">
        <v>45454</v>
      </c>
      <c r="B758" s="3">
        <v>0.78362268518518519</v>
      </c>
      <c r="C758" t="s">
        <v>8</v>
      </c>
      <c r="D758" t="s">
        <v>338</v>
      </c>
      <c r="E758" s="4">
        <v>37.72</v>
      </c>
      <c r="F758" t="s">
        <v>32</v>
      </c>
      <c r="G758" s="10" t="str">
        <f>TEXT(Transform_Data[[#This Row],[Date]],"mmm yyyy")</f>
        <v>Jun 2024</v>
      </c>
      <c r="H758" s="10">
        <f>HOUR(Transform_Data[[#This Row],[Time]])</f>
        <v>18</v>
      </c>
      <c r="I758" s="10" t="str">
        <f>IF(COUNTIF('Transform Data'!$D:$D,'Transform Data'!D758)&gt;1,"Repeat","Single")</f>
        <v>Repeat</v>
      </c>
      <c r="J758" s="10" t="str">
        <f>IF('Transform Data'!D758="Cash","Cash",IF(COUNTIF('Transform Data'!$D:$D,'Transform Data'!D758)&gt;1,"Repeat","Single"))</f>
        <v>Repeat</v>
      </c>
      <c r="K758" s="10" t="str">
        <f t="shared" si="11"/>
        <v>TRANS-0757</v>
      </c>
    </row>
    <row r="759" spans="1:11" x14ac:dyDescent="0.35">
      <c r="A759" s="5">
        <v>45454</v>
      </c>
      <c r="B759" s="3">
        <v>0.7844444444444445</v>
      </c>
      <c r="C759" t="s">
        <v>8</v>
      </c>
      <c r="D759" t="s">
        <v>338</v>
      </c>
      <c r="E759" s="4">
        <v>37.72</v>
      </c>
      <c r="F759" t="s">
        <v>32</v>
      </c>
      <c r="G759" s="10" t="str">
        <f>TEXT(Transform_Data[[#This Row],[Date]],"mmm yyyy")</f>
        <v>Jun 2024</v>
      </c>
      <c r="H759" s="10">
        <f>HOUR(Transform_Data[[#This Row],[Time]])</f>
        <v>18</v>
      </c>
      <c r="I759" s="10" t="str">
        <f>IF(COUNTIF('Transform Data'!$D:$D,'Transform Data'!D759)&gt;1,"Repeat","Single")</f>
        <v>Repeat</v>
      </c>
      <c r="J759" s="10" t="str">
        <f>IF('Transform Data'!D759="Cash","Cash",IF(COUNTIF('Transform Data'!$D:$D,'Transform Data'!D759)&gt;1,"Repeat","Single"))</f>
        <v>Repeat</v>
      </c>
      <c r="K759" s="10" t="str">
        <f t="shared" si="11"/>
        <v>TRANS-0758</v>
      </c>
    </row>
    <row r="760" spans="1:11" x14ac:dyDescent="0.35">
      <c r="A760" s="5">
        <v>45454</v>
      </c>
      <c r="B760" s="3">
        <v>0.88684027777777774</v>
      </c>
      <c r="C760" t="s">
        <v>8</v>
      </c>
      <c r="D760" t="s">
        <v>339</v>
      </c>
      <c r="E760" s="4">
        <v>37.72</v>
      </c>
      <c r="F760" t="s">
        <v>15</v>
      </c>
      <c r="G760" s="10" t="str">
        <f>TEXT(Transform_Data[[#This Row],[Date]],"mmm yyyy")</f>
        <v>Jun 2024</v>
      </c>
      <c r="H760" s="10">
        <f>HOUR(Transform_Data[[#This Row],[Time]])</f>
        <v>21</v>
      </c>
      <c r="I760" s="10" t="str">
        <f>IF(COUNTIF('Transform Data'!$D:$D,'Transform Data'!D760)&gt;1,"Repeat","Single")</f>
        <v>Single</v>
      </c>
      <c r="J760" s="10" t="str">
        <f>IF('Transform Data'!D760="Cash","Cash",IF(COUNTIF('Transform Data'!$D:$D,'Transform Data'!D760)&gt;1,"Repeat","Single"))</f>
        <v>Single</v>
      </c>
      <c r="K760" s="10" t="str">
        <f t="shared" si="11"/>
        <v>TRANS-0759</v>
      </c>
    </row>
    <row r="761" spans="1:11" x14ac:dyDescent="0.35">
      <c r="A761" s="5">
        <v>45454</v>
      </c>
      <c r="B761" s="3">
        <v>0.89422453703703708</v>
      </c>
      <c r="C761" t="s">
        <v>8</v>
      </c>
      <c r="D761" t="s">
        <v>340</v>
      </c>
      <c r="E761" s="4">
        <v>32.82</v>
      </c>
      <c r="F761" t="s">
        <v>36</v>
      </c>
      <c r="G761" s="10" t="str">
        <f>TEXT(Transform_Data[[#This Row],[Date]],"mmm yyyy")</f>
        <v>Jun 2024</v>
      </c>
      <c r="H761" s="10">
        <f>HOUR(Transform_Data[[#This Row],[Time]])</f>
        <v>21</v>
      </c>
      <c r="I761" s="10" t="str">
        <f>IF(COUNTIF('Transform Data'!$D:$D,'Transform Data'!D761)&gt;1,"Repeat","Single")</f>
        <v>Repeat</v>
      </c>
      <c r="J761" s="10" t="str">
        <f>IF('Transform Data'!D761="Cash","Cash",IF(COUNTIF('Transform Data'!$D:$D,'Transform Data'!D761)&gt;1,"Repeat","Single"))</f>
        <v>Repeat</v>
      </c>
      <c r="K761" s="10" t="str">
        <f t="shared" si="11"/>
        <v>TRANS-0760</v>
      </c>
    </row>
    <row r="762" spans="1:11" x14ac:dyDescent="0.35">
      <c r="A762" s="5">
        <v>45454</v>
      </c>
      <c r="B762" s="3">
        <v>0.8950231481481481</v>
      </c>
      <c r="C762" t="s">
        <v>8</v>
      </c>
      <c r="D762" t="s">
        <v>340</v>
      </c>
      <c r="E762" s="4">
        <v>32.82</v>
      </c>
      <c r="F762" t="s">
        <v>36</v>
      </c>
      <c r="G762" s="10" t="str">
        <f>TEXT(Transform_Data[[#This Row],[Date]],"mmm yyyy")</f>
        <v>Jun 2024</v>
      </c>
      <c r="H762" s="10">
        <f>HOUR(Transform_Data[[#This Row],[Time]])</f>
        <v>21</v>
      </c>
      <c r="I762" s="10" t="str">
        <f>IF(COUNTIF('Transform Data'!$D:$D,'Transform Data'!D762)&gt;1,"Repeat","Single")</f>
        <v>Repeat</v>
      </c>
      <c r="J762" s="10" t="str">
        <f>IF('Transform Data'!D762="Cash","Cash",IF(COUNTIF('Transform Data'!$D:$D,'Transform Data'!D762)&gt;1,"Repeat","Single"))</f>
        <v>Repeat</v>
      </c>
      <c r="K762" s="10" t="str">
        <f t="shared" si="11"/>
        <v>TRANS-0761</v>
      </c>
    </row>
    <row r="763" spans="1:11" x14ac:dyDescent="0.35">
      <c r="A763" s="5">
        <v>45455</v>
      </c>
      <c r="B763" s="3">
        <v>0.42937500000000001</v>
      </c>
      <c r="C763" t="s">
        <v>8</v>
      </c>
      <c r="D763" t="s">
        <v>341</v>
      </c>
      <c r="E763" s="4">
        <v>37.72</v>
      </c>
      <c r="F763" t="s">
        <v>15</v>
      </c>
      <c r="G763" s="10" t="str">
        <f>TEXT(Transform_Data[[#This Row],[Date]],"mmm yyyy")</f>
        <v>Jun 2024</v>
      </c>
      <c r="H763" s="10">
        <f>HOUR(Transform_Data[[#This Row],[Time]])</f>
        <v>10</v>
      </c>
      <c r="I763" s="10" t="str">
        <f>IF(COUNTIF('Transform Data'!$D:$D,'Transform Data'!D763)&gt;1,"Repeat","Single")</f>
        <v>Single</v>
      </c>
      <c r="J763" s="10" t="str">
        <f>IF('Transform Data'!D763="Cash","Cash",IF(COUNTIF('Transform Data'!$D:$D,'Transform Data'!D763)&gt;1,"Repeat","Single"))</f>
        <v>Single</v>
      </c>
      <c r="K763" s="10" t="str">
        <f t="shared" si="11"/>
        <v>TRANS-0762</v>
      </c>
    </row>
    <row r="764" spans="1:11" x14ac:dyDescent="0.35">
      <c r="A764" s="5">
        <v>45455</v>
      </c>
      <c r="B764" s="3">
        <v>0.49424768518518519</v>
      </c>
      <c r="C764" t="s">
        <v>8</v>
      </c>
      <c r="D764" t="s">
        <v>342</v>
      </c>
      <c r="E764" s="4">
        <v>37.72</v>
      </c>
      <c r="F764" t="s">
        <v>24</v>
      </c>
      <c r="G764" s="10" t="str">
        <f>TEXT(Transform_Data[[#This Row],[Date]],"mmm yyyy")</f>
        <v>Jun 2024</v>
      </c>
      <c r="H764" s="10">
        <f>HOUR(Transform_Data[[#This Row],[Time]])</f>
        <v>11</v>
      </c>
      <c r="I764" s="10" t="str">
        <f>IF(COUNTIF('Transform Data'!$D:$D,'Transform Data'!D764)&gt;1,"Repeat","Single")</f>
        <v>Single</v>
      </c>
      <c r="J764" s="10" t="str">
        <f>IF('Transform Data'!D764="Cash","Cash",IF(COUNTIF('Transform Data'!$D:$D,'Transform Data'!D764)&gt;1,"Repeat","Single"))</f>
        <v>Single</v>
      </c>
      <c r="K764" s="10" t="str">
        <f t="shared" si="11"/>
        <v>TRANS-0763</v>
      </c>
    </row>
    <row r="765" spans="1:11" x14ac:dyDescent="0.35">
      <c r="A765" s="5">
        <v>45455</v>
      </c>
      <c r="B765" s="3">
        <v>0.73700231481481482</v>
      </c>
      <c r="C765" t="s">
        <v>8</v>
      </c>
      <c r="D765" t="s">
        <v>336</v>
      </c>
      <c r="E765" s="4">
        <v>37.72</v>
      </c>
      <c r="F765" t="s">
        <v>32</v>
      </c>
      <c r="G765" s="10" t="str">
        <f>TEXT(Transform_Data[[#This Row],[Date]],"mmm yyyy")</f>
        <v>Jun 2024</v>
      </c>
      <c r="H765" s="10">
        <f>HOUR(Transform_Data[[#This Row],[Time]])</f>
        <v>17</v>
      </c>
      <c r="I765" s="10" t="str">
        <f>IF(COUNTIF('Transform Data'!$D:$D,'Transform Data'!D765)&gt;1,"Repeat","Single")</f>
        <v>Repeat</v>
      </c>
      <c r="J765" s="10" t="str">
        <f>IF('Transform Data'!D765="Cash","Cash",IF(COUNTIF('Transform Data'!$D:$D,'Transform Data'!D765)&gt;1,"Repeat","Single"))</f>
        <v>Repeat</v>
      </c>
      <c r="K765" s="10" t="str">
        <f t="shared" si="11"/>
        <v>TRANS-0764</v>
      </c>
    </row>
    <row r="766" spans="1:11" x14ac:dyDescent="0.35">
      <c r="A766" s="5">
        <v>45455</v>
      </c>
      <c r="B766" s="3">
        <v>0.74128472222222219</v>
      </c>
      <c r="C766" t="s">
        <v>8</v>
      </c>
      <c r="D766" t="s">
        <v>343</v>
      </c>
      <c r="E766" s="4">
        <v>37.72</v>
      </c>
      <c r="F766" t="s">
        <v>32</v>
      </c>
      <c r="G766" s="10" t="str">
        <f>TEXT(Transform_Data[[#This Row],[Date]],"mmm yyyy")</f>
        <v>Jun 2024</v>
      </c>
      <c r="H766" s="10">
        <f>HOUR(Transform_Data[[#This Row],[Time]])</f>
        <v>17</v>
      </c>
      <c r="I766" s="10" t="str">
        <f>IF(COUNTIF('Transform Data'!$D:$D,'Transform Data'!D766)&gt;1,"Repeat","Single")</f>
        <v>Single</v>
      </c>
      <c r="J766" s="10" t="str">
        <f>IF('Transform Data'!D766="Cash","Cash",IF(COUNTIF('Transform Data'!$D:$D,'Transform Data'!D766)&gt;1,"Repeat","Single"))</f>
        <v>Single</v>
      </c>
      <c r="K766" s="10" t="str">
        <f t="shared" si="11"/>
        <v>TRANS-0765</v>
      </c>
    </row>
    <row r="767" spans="1:11" x14ac:dyDescent="0.35">
      <c r="A767" s="5">
        <v>45455</v>
      </c>
      <c r="B767" s="3">
        <v>0.84482638888888884</v>
      </c>
      <c r="C767" t="s">
        <v>8</v>
      </c>
      <c r="D767" t="s">
        <v>310</v>
      </c>
      <c r="E767" s="4">
        <v>37.72</v>
      </c>
      <c r="F767" t="s">
        <v>15</v>
      </c>
      <c r="G767" s="10" t="str">
        <f>TEXT(Transform_Data[[#This Row],[Date]],"mmm yyyy")</f>
        <v>Jun 2024</v>
      </c>
      <c r="H767" s="10">
        <f>HOUR(Transform_Data[[#This Row],[Time]])</f>
        <v>20</v>
      </c>
      <c r="I767" s="10" t="str">
        <f>IF(COUNTIF('Transform Data'!$D:$D,'Transform Data'!D767)&gt;1,"Repeat","Single")</f>
        <v>Repeat</v>
      </c>
      <c r="J767" s="10" t="str">
        <f>IF('Transform Data'!D767="Cash","Cash",IF(COUNTIF('Transform Data'!$D:$D,'Transform Data'!D767)&gt;1,"Repeat","Single"))</f>
        <v>Repeat</v>
      </c>
      <c r="K767" s="10" t="str">
        <f t="shared" si="11"/>
        <v>TRANS-0766</v>
      </c>
    </row>
    <row r="768" spans="1:11" x14ac:dyDescent="0.35">
      <c r="A768" s="5">
        <v>45455</v>
      </c>
      <c r="B768" s="3">
        <v>0.85108796296296296</v>
      </c>
      <c r="C768" t="s">
        <v>8</v>
      </c>
      <c r="D768" t="s">
        <v>344</v>
      </c>
      <c r="E768" s="4">
        <v>32.82</v>
      </c>
      <c r="F768" t="s">
        <v>36</v>
      </c>
      <c r="G768" s="10" t="str">
        <f>TEXT(Transform_Data[[#This Row],[Date]],"mmm yyyy")</f>
        <v>Jun 2024</v>
      </c>
      <c r="H768" s="10">
        <f>HOUR(Transform_Data[[#This Row],[Time]])</f>
        <v>20</v>
      </c>
      <c r="I768" s="10" t="str">
        <f>IF(COUNTIF('Transform Data'!$D:$D,'Transform Data'!D768)&gt;1,"Repeat","Single")</f>
        <v>Single</v>
      </c>
      <c r="J768" s="10" t="str">
        <f>IF('Transform Data'!D768="Cash","Cash",IF(COUNTIF('Transform Data'!$D:$D,'Transform Data'!D768)&gt;1,"Repeat","Single"))</f>
        <v>Single</v>
      </c>
      <c r="K768" s="10" t="str">
        <f t="shared" si="11"/>
        <v>TRANS-0767</v>
      </c>
    </row>
    <row r="769" spans="1:11" x14ac:dyDescent="0.35">
      <c r="A769" s="5">
        <v>45456</v>
      </c>
      <c r="B769" s="3">
        <v>0.37111111111111111</v>
      </c>
      <c r="C769" t="s">
        <v>8</v>
      </c>
      <c r="D769" t="s">
        <v>345</v>
      </c>
      <c r="E769" s="4">
        <v>27.92</v>
      </c>
      <c r="F769" t="s">
        <v>28</v>
      </c>
      <c r="G769" s="10" t="str">
        <f>TEXT(Transform_Data[[#This Row],[Date]],"mmm yyyy")</f>
        <v>Jun 2024</v>
      </c>
      <c r="H769" s="10">
        <f>HOUR(Transform_Data[[#This Row],[Time]])</f>
        <v>8</v>
      </c>
      <c r="I769" s="10" t="str">
        <f>IF(COUNTIF('Transform Data'!$D:$D,'Transform Data'!D769)&gt;1,"Repeat","Single")</f>
        <v>Single</v>
      </c>
      <c r="J769" s="10" t="str">
        <f>IF('Transform Data'!D769="Cash","Cash",IF(COUNTIF('Transform Data'!$D:$D,'Transform Data'!D769)&gt;1,"Repeat","Single"))</f>
        <v>Single</v>
      </c>
      <c r="K769" s="10" t="str">
        <f t="shared" si="11"/>
        <v>TRANS-0768</v>
      </c>
    </row>
    <row r="770" spans="1:11" x14ac:dyDescent="0.35">
      <c r="A770" s="5">
        <v>45456</v>
      </c>
      <c r="B770" s="3">
        <v>0.37320601851851853</v>
      </c>
      <c r="C770" t="s">
        <v>8</v>
      </c>
      <c r="D770" t="s">
        <v>11</v>
      </c>
      <c r="E770" s="4">
        <v>37.72</v>
      </c>
      <c r="F770" t="s">
        <v>32</v>
      </c>
      <c r="G770" s="10" t="str">
        <f>TEXT(Transform_Data[[#This Row],[Date]],"mmm yyyy")</f>
        <v>Jun 2024</v>
      </c>
      <c r="H770" s="10">
        <f>HOUR(Transform_Data[[#This Row],[Time]])</f>
        <v>8</v>
      </c>
      <c r="I770" s="10" t="str">
        <f>IF(COUNTIF('Transform Data'!$D:$D,'Transform Data'!D770)&gt;1,"Repeat","Single")</f>
        <v>Repeat</v>
      </c>
      <c r="J770" s="10" t="str">
        <f>IF('Transform Data'!D770="Cash","Cash",IF(COUNTIF('Transform Data'!$D:$D,'Transform Data'!D770)&gt;1,"Repeat","Single"))</f>
        <v>Repeat</v>
      </c>
      <c r="K770" s="10" t="str">
        <f t="shared" ref="K770:K833" si="12">"TRANS-"&amp;TEXT(ROW(A769),"0000")</f>
        <v>TRANS-0769</v>
      </c>
    </row>
    <row r="771" spans="1:11" x14ac:dyDescent="0.35">
      <c r="A771" s="5">
        <v>45456</v>
      </c>
      <c r="B771" s="3">
        <v>0.41001157407407407</v>
      </c>
      <c r="C771" t="s">
        <v>8</v>
      </c>
      <c r="D771" t="s">
        <v>346</v>
      </c>
      <c r="E771" s="4">
        <v>32.82</v>
      </c>
      <c r="F771" t="s">
        <v>36</v>
      </c>
      <c r="G771" s="10" t="str">
        <f>TEXT(Transform_Data[[#This Row],[Date]],"mmm yyyy")</f>
        <v>Jun 2024</v>
      </c>
      <c r="H771" s="10">
        <f>HOUR(Transform_Data[[#This Row],[Time]])</f>
        <v>9</v>
      </c>
      <c r="I771" s="10" t="str">
        <f>IF(COUNTIF('Transform Data'!$D:$D,'Transform Data'!D771)&gt;1,"Repeat","Single")</f>
        <v>Single</v>
      </c>
      <c r="J771" s="10" t="str">
        <f>IF('Transform Data'!D771="Cash","Cash",IF(COUNTIF('Transform Data'!$D:$D,'Transform Data'!D771)&gt;1,"Repeat","Single"))</f>
        <v>Single</v>
      </c>
      <c r="K771" s="10" t="str">
        <f t="shared" si="12"/>
        <v>TRANS-0770</v>
      </c>
    </row>
    <row r="772" spans="1:11" x14ac:dyDescent="0.35">
      <c r="A772" s="5">
        <v>45456</v>
      </c>
      <c r="B772" s="3">
        <v>0.41471064814814818</v>
      </c>
      <c r="C772" t="s">
        <v>8</v>
      </c>
      <c r="D772" t="s">
        <v>40</v>
      </c>
      <c r="E772" s="4">
        <v>27.92</v>
      </c>
      <c r="F772" t="s">
        <v>20</v>
      </c>
      <c r="G772" s="10" t="str">
        <f>TEXT(Transform_Data[[#This Row],[Date]],"mmm yyyy")</f>
        <v>Jun 2024</v>
      </c>
      <c r="H772" s="10">
        <f>HOUR(Transform_Data[[#This Row],[Time]])</f>
        <v>9</v>
      </c>
      <c r="I772" s="10" t="str">
        <f>IF(COUNTIF('Transform Data'!$D:$D,'Transform Data'!D772)&gt;1,"Repeat","Single")</f>
        <v>Repeat</v>
      </c>
      <c r="J772" s="10" t="str">
        <f>IF('Transform Data'!D772="Cash","Cash",IF(COUNTIF('Transform Data'!$D:$D,'Transform Data'!D772)&gt;1,"Repeat","Single"))</f>
        <v>Repeat</v>
      </c>
      <c r="K772" s="10" t="str">
        <f t="shared" si="12"/>
        <v>TRANS-0771</v>
      </c>
    </row>
    <row r="773" spans="1:11" x14ac:dyDescent="0.35">
      <c r="A773" s="5">
        <v>45456</v>
      </c>
      <c r="B773" s="3">
        <v>0.71178240740740739</v>
      </c>
      <c r="C773" t="s">
        <v>8</v>
      </c>
      <c r="D773" t="s">
        <v>347</v>
      </c>
      <c r="E773" s="4">
        <v>32.82</v>
      </c>
      <c r="F773" t="s">
        <v>36</v>
      </c>
      <c r="G773" s="10" t="str">
        <f>TEXT(Transform_Data[[#This Row],[Date]],"mmm yyyy")</f>
        <v>Jun 2024</v>
      </c>
      <c r="H773" s="10">
        <f>HOUR(Transform_Data[[#This Row],[Time]])</f>
        <v>17</v>
      </c>
      <c r="I773" s="10" t="str">
        <f>IF(COUNTIF('Transform Data'!$D:$D,'Transform Data'!D773)&gt;1,"Repeat","Single")</f>
        <v>Single</v>
      </c>
      <c r="J773" s="10" t="str">
        <f>IF('Transform Data'!D773="Cash","Cash",IF(COUNTIF('Transform Data'!$D:$D,'Transform Data'!D773)&gt;1,"Repeat","Single"))</f>
        <v>Single</v>
      </c>
      <c r="K773" s="10" t="str">
        <f t="shared" si="12"/>
        <v>TRANS-0772</v>
      </c>
    </row>
    <row r="774" spans="1:11" x14ac:dyDescent="0.35">
      <c r="A774" s="5">
        <v>45456</v>
      </c>
      <c r="B774" s="3">
        <v>0.72761574074074076</v>
      </c>
      <c r="C774" t="s">
        <v>8</v>
      </c>
      <c r="D774" t="s">
        <v>348</v>
      </c>
      <c r="E774" s="4">
        <v>37.72</v>
      </c>
      <c r="F774" t="s">
        <v>15</v>
      </c>
      <c r="G774" s="10" t="str">
        <f>TEXT(Transform_Data[[#This Row],[Date]],"mmm yyyy")</f>
        <v>Jun 2024</v>
      </c>
      <c r="H774" s="10">
        <f>HOUR(Transform_Data[[#This Row],[Time]])</f>
        <v>17</v>
      </c>
      <c r="I774" s="10" t="str">
        <f>IF(COUNTIF('Transform Data'!$D:$D,'Transform Data'!D774)&gt;1,"Repeat","Single")</f>
        <v>Repeat</v>
      </c>
      <c r="J774" s="10" t="str">
        <f>IF('Transform Data'!D774="Cash","Cash",IF(COUNTIF('Transform Data'!$D:$D,'Transform Data'!D774)&gt;1,"Repeat","Single"))</f>
        <v>Repeat</v>
      </c>
      <c r="K774" s="10" t="str">
        <f t="shared" si="12"/>
        <v>TRANS-0773</v>
      </c>
    </row>
    <row r="775" spans="1:11" x14ac:dyDescent="0.35">
      <c r="A775" s="5">
        <v>45456</v>
      </c>
      <c r="B775" s="3">
        <v>0.80716435185185187</v>
      </c>
      <c r="C775" t="s">
        <v>8</v>
      </c>
      <c r="D775" t="s">
        <v>349</v>
      </c>
      <c r="E775" s="4">
        <v>37.72</v>
      </c>
      <c r="F775" t="s">
        <v>32</v>
      </c>
      <c r="G775" s="10" t="str">
        <f>TEXT(Transform_Data[[#This Row],[Date]],"mmm yyyy")</f>
        <v>Jun 2024</v>
      </c>
      <c r="H775" s="10">
        <f>HOUR(Transform_Data[[#This Row],[Time]])</f>
        <v>19</v>
      </c>
      <c r="I775" s="10" t="str">
        <f>IF(COUNTIF('Transform Data'!$D:$D,'Transform Data'!D775)&gt;1,"Repeat","Single")</f>
        <v>Single</v>
      </c>
      <c r="J775" s="10" t="str">
        <f>IF('Transform Data'!D775="Cash","Cash",IF(COUNTIF('Transform Data'!$D:$D,'Transform Data'!D775)&gt;1,"Repeat","Single"))</f>
        <v>Single</v>
      </c>
      <c r="K775" s="10" t="str">
        <f t="shared" si="12"/>
        <v>TRANS-0774</v>
      </c>
    </row>
    <row r="776" spans="1:11" x14ac:dyDescent="0.35">
      <c r="A776" s="5">
        <v>45456</v>
      </c>
      <c r="B776" s="3">
        <v>0.84781249999999997</v>
      </c>
      <c r="C776" t="s">
        <v>8</v>
      </c>
      <c r="D776" t="s">
        <v>43</v>
      </c>
      <c r="E776" s="4">
        <v>32.82</v>
      </c>
      <c r="F776" t="s">
        <v>36</v>
      </c>
      <c r="G776" s="10" t="str">
        <f>TEXT(Transform_Data[[#This Row],[Date]],"mmm yyyy")</f>
        <v>Jun 2024</v>
      </c>
      <c r="H776" s="10">
        <f>HOUR(Transform_Data[[#This Row],[Time]])</f>
        <v>20</v>
      </c>
      <c r="I776" s="10" t="str">
        <f>IF(COUNTIF('Transform Data'!$D:$D,'Transform Data'!D776)&gt;1,"Repeat","Single")</f>
        <v>Repeat</v>
      </c>
      <c r="J776" s="10" t="str">
        <f>IF('Transform Data'!D776="Cash","Cash",IF(COUNTIF('Transform Data'!$D:$D,'Transform Data'!D776)&gt;1,"Repeat","Single"))</f>
        <v>Repeat</v>
      </c>
      <c r="K776" s="10" t="str">
        <f t="shared" si="12"/>
        <v>TRANS-0775</v>
      </c>
    </row>
    <row r="777" spans="1:11" x14ac:dyDescent="0.35">
      <c r="A777" s="5">
        <v>45456</v>
      </c>
      <c r="B777" s="3">
        <v>0.86371527777777779</v>
      </c>
      <c r="C777" t="s">
        <v>8</v>
      </c>
      <c r="D777" t="s">
        <v>43</v>
      </c>
      <c r="E777" s="4">
        <v>23.02</v>
      </c>
      <c r="F777" t="s">
        <v>5</v>
      </c>
      <c r="G777" s="10" t="str">
        <f>TEXT(Transform_Data[[#This Row],[Date]],"mmm yyyy")</f>
        <v>Jun 2024</v>
      </c>
      <c r="H777" s="10">
        <f>HOUR(Transform_Data[[#This Row],[Time]])</f>
        <v>20</v>
      </c>
      <c r="I777" s="10" t="str">
        <f>IF(COUNTIF('Transform Data'!$D:$D,'Transform Data'!D777)&gt;1,"Repeat","Single")</f>
        <v>Repeat</v>
      </c>
      <c r="J777" s="10" t="str">
        <f>IF('Transform Data'!D777="Cash","Cash",IF(COUNTIF('Transform Data'!$D:$D,'Transform Data'!D777)&gt;1,"Repeat","Single"))</f>
        <v>Repeat</v>
      </c>
      <c r="K777" s="10" t="str">
        <f t="shared" si="12"/>
        <v>TRANS-0776</v>
      </c>
    </row>
    <row r="778" spans="1:11" x14ac:dyDescent="0.35">
      <c r="A778" s="5">
        <v>45456</v>
      </c>
      <c r="B778" s="3">
        <v>0.86458333333333337</v>
      </c>
      <c r="C778" t="s">
        <v>8</v>
      </c>
      <c r="D778" t="s">
        <v>348</v>
      </c>
      <c r="E778" s="4">
        <v>23.02</v>
      </c>
      <c r="F778" t="s">
        <v>5</v>
      </c>
      <c r="G778" s="10" t="str">
        <f>TEXT(Transform_Data[[#This Row],[Date]],"mmm yyyy")</f>
        <v>Jun 2024</v>
      </c>
      <c r="H778" s="10">
        <f>HOUR(Transform_Data[[#This Row],[Time]])</f>
        <v>20</v>
      </c>
      <c r="I778" s="10" t="str">
        <f>IF(COUNTIF('Transform Data'!$D:$D,'Transform Data'!D778)&gt;1,"Repeat","Single")</f>
        <v>Repeat</v>
      </c>
      <c r="J778" s="10" t="str">
        <f>IF('Transform Data'!D778="Cash","Cash",IF(COUNTIF('Transform Data'!$D:$D,'Transform Data'!D778)&gt;1,"Repeat","Single"))</f>
        <v>Repeat</v>
      </c>
      <c r="K778" s="10" t="str">
        <f t="shared" si="12"/>
        <v>TRANS-0777</v>
      </c>
    </row>
    <row r="779" spans="1:11" x14ac:dyDescent="0.35">
      <c r="A779" s="5">
        <v>45456</v>
      </c>
      <c r="B779" s="3">
        <v>0.86686342592592591</v>
      </c>
      <c r="C779" t="s">
        <v>8</v>
      </c>
      <c r="D779" t="s">
        <v>25</v>
      </c>
      <c r="E779" s="4">
        <v>32.82</v>
      </c>
      <c r="F779" t="s">
        <v>36</v>
      </c>
      <c r="G779" s="10" t="str">
        <f>TEXT(Transform_Data[[#This Row],[Date]],"mmm yyyy")</f>
        <v>Jun 2024</v>
      </c>
      <c r="H779" s="10">
        <f>HOUR(Transform_Data[[#This Row],[Time]])</f>
        <v>20</v>
      </c>
      <c r="I779" s="10" t="str">
        <f>IF(COUNTIF('Transform Data'!$D:$D,'Transform Data'!D779)&gt;1,"Repeat","Single")</f>
        <v>Repeat</v>
      </c>
      <c r="J779" s="10" t="str">
        <f>IF('Transform Data'!D779="Cash","Cash",IF(COUNTIF('Transform Data'!$D:$D,'Transform Data'!D779)&gt;1,"Repeat","Single"))</f>
        <v>Repeat</v>
      </c>
      <c r="K779" s="10" t="str">
        <f t="shared" si="12"/>
        <v>TRANS-0778</v>
      </c>
    </row>
    <row r="780" spans="1:11" x14ac:dyDescent="0.35">
      <c r="A780" s="5">
        <v>45456</v>
      </c>
      <c r="B780" s="3">
        <v>0.87671296296296297</v>
      </c>
      <c r="C780" t="s">
        <v>8</v>
      </c>
      <c r="D780" t="s">
        <v>25</v>
      </c>
      <c r="E780" s="4">
        <v>32.82</v>
      </c>
      <c r="F780" t="s">
        <v>36</v>
      </c>
      <c r="G780" s="10" t="str">
        <f>TEXT(Transform_Data[[#This Row],[Date]],"mmm yyyy")</f>
        <v>Jun 2024</v>
      </c>
      <c r="H780" s="10">
        <f>HOUR(Transform_Data[[#This Row],[Time]])</f>
        <v>21</v>
      </c>
      <c r="I780" s="10" t="str">
        <f>IF(COUNTIF('Transform Data'!$D:$D,'Transform Data'!D780)&gt;1,"Repeat","Single")</f>
        <v>Repeat</v>
      </c>
      <c r="J780" s="10" t="str">
        <f>IF('Transform Data'!D780="Cash","Cash",IF(COUNTIF('Transform Data'!$D:$D,'Transform Data'!D780)&gt;1,"Repeat","Single"))</f>
        <v>Repeat</v>
      </c>
      <c r="K780" s="10" t="str">
        <f t="shared" si="12"/>
        <v>TRANS-0779</v>
      </c>
    </row>
    <row r="781" spans="1:11" x14ac:dyDescent="0.35">
      <c r="A781" s="5">
        <v>45457</v>
      </c>
      <c r="B781" s="3">
        <v>0.32376157407407408</v>
      </c>
      <c r="C781" t="s">
        <v>8</v>
      </c>
      <c r="D781" t="s">
        <v>40</v>
      </c>
      <c r="E781" s="4">
        <v>27.92</v>
      </c>
      <c r="F781" t="s">
        <v>20</v>
      </c>
      <c r="G781" s="10" t="str">
        <f>TEXT(Transform_Data[[#This Row],[Date]],"mmm yyyy")</f>
        <v>Jun 2024</v>
      </c>
      <c r="H781" s="10">
        <f>HOUR(Transform_Data[[#This Row],[Time]])</f>
        <v>7</v>
      </c>
      <c r="I781" s="10" t="str">
        <f>IF(COUNTIF('Transform Data'!$D:$D,'Transform Data'!D781)&gt;1,"Repeat","Single")</f>
        <v>Repeat</v>
      </c>
      <c r="J781" s="10" t="str">
        <f>IF('Transform Data'!D781="Cash","Cash",IF(COUNTIF('Transform Data'!$D:$D,'Transform Data'!D781)&gt;1,"Repeat","Single"))</f>
        <v>Repeat</v>
      </c>
      <c r="K781" s="10" t="str">
        <f t="shared" si="12"/>
        <v>TRANS-0780</v>
      </c>
    </row>
    <row r="782" spans="1:11" x14ac:dyDescent="0.35">
      <c r="A782" s="5">
        <v>45457</v>
      </c>
      <c r="B782" s="3">
        <v>0.43785879629629632</v>
      </c>
      <c r="C782" t="s">
        <v>8</v>
      </c>
      <c r="D782" t="s">
        <v>350</v>
      </c>
      <c r="E782" s="4">
        <v>27.92</v>
      </c>
      <c r="F782" t="s">
        <v>28</v>
      </c>
      <c r="G782" s="10" t="str">
        <f>TEXT(Transform_Data[[#This Row],[Date]],"mmm yyyy")</f>
        <v>Jun 2024</v>
      </c>
      <c r="H782" s="10">
        <f>HOUR(Transform_Data[[#This Row],[Time]])</f>
        <v>10</v>
      </c>
      <c r="I782" s="10" t="str">
        <f>IF(COUNTIF('Transform Data'!$D:$D,'Transform Data'!D782)&gt;1,"Repeat","Single")</f>
        <v>Single</v>
      </c>
      <c r="J782" s="10" t="str">
        <f>IF('Transform Data'!D782="Cash","Cash",IF(COUNTIF('Transform Data'!$D:$D,'Transform Data'!D782)&gt;1,"Repeat","Single"))</f>
        <v>Single</v>
      </c>
      <c r="K782" s="10" t="str">
        <f t="shared" si="12"/>
        <v>TRANS-0781</v>
      </c>
    </row>
    <row r="783" spans="1:11" x14ac:dyDescent="0.35">
      <c r="A783" s="5">
        <v>45457</v>
      </c>
      <c r="B783" s="3">
        <v>0.51019675925925922</v>
      </c>
      <c r="C783" t="s">
        <v>8</v>
      </c>
      <c r="D783" t="s">
        <v>11</v>
      </c>
      <c r="E783" s="4">
        <v>37.72</v>
      </c>
      <c r="F783" t="s">
        <v>32</v>
      </c>
      <c r="G783" s="10" t="str">
        <f>TEXT(Transform_Data[[#This Row],[Date]],"mmm yyyy")</f>
        <v>Jun 2024</v>
      </c>
      <c r="H783" s="10">
        <f>HOUR(Transform_Data[[#This Row],[Time]])</f>
        <v>12</v>
      </c>
      <c r="I783" s="10" t="str">
        <f>IF(COUNTIF('Transform Data'!$D:$D,'Transform Data'!D783)&gt;1,"Repeat","Single")</f>
        <v>Repeat</v>
      </c>
      <c r="J783" s="10" t="str">
        <f>IF('Transform Data'!D783="Cash","Cash",IF(COUNTIF('Transform Data'!$D:$D,'Transform Data'!D783)&gt;1,"Repeat","Single"))</f>
        <v>Repeat</v>
      </c>
      <c r="K783" s="10" t="str">
        <f t="shared" si="12"/>
        <v>TRANS-0782</v>
      </c>
    </row>
    <row r="784" spans="1:11" x14ac:dyDescent="0.35">
      <c r="A784" s="5">
        <v>45457</v>
      </c>
      <c r="B784" s="3">
        <v>0.77075231481481477</v>
      </c>
      <c r="C784" t="s">
        <v>8</v>
      </c>
      <c r="D784" t="s">
        <v>351</v>
      </c>
      <c r="E784" s="4">
        <v>32.82</v>
      </c>
      <c r="F784" t="s">
        <v>36</v>
      </c>
      <c r="G784" s="10" t="str">
        <f>TEXT(Transform_Data[[#This Row],[Date]],"mmm yyyy")</f>
        <v>Jun 2024</v>
      </c>
      <c r="H784" s="10">
        <f>HOUR(Transform_Data[[#This Row],[Time]])</f>
        <v>18</v>
      </c>
      <c r="I784" s="10" t="str">
        <f>IF(COUNTIF('Transform Data'!$D:$D,'Transform Data'!D784)&gt;1,"Repeat","Single")</f>
        <v>Single</v>
      </c>
      <c r="J784" s="10" t="str">
        <f>IF('Transform Data'!D784="Cash","Cash",IF(COUNTIF('Transform Data'!$D:$D,'Transform Data'!D784)&gt;1,"Repeat","Single"))</f>
        <v>Single</v>
      </c>
      <c r="K784" s="10" t="str">
        <f t="shared" si="12"/>
        <v>TRANS-0783</v>
      </c>
    </row>
    <row r="785" spans="1:11" x14ac:dyDescent="0.35">
      <c r="A785" s="5">
        <v>45458</v>
      </c>
      <c r="B785" s="3">
        <v>0.47640046296296296</v>
      </c>
      <c r="C785" t="s">
        <v>8</v>
      </c>
      <c r="D785" t="s">
        <v>352</v>
      </c>
      <c r="E785" s="4">
        <v>37.72</v>
      </c>
      <c r="F785" t="s">
        <v>24</v>
      </c>
      <c r="G785" s="10" t="str">
        <f>TEXT(Transform_Data[[#This Row],[Date]],"mmm yyyy")</f>
        <v>Jun 2024</v>
      </c>
      <c r="H785" s="10">
        <f>HOUR(Transform_Data[[#This Row],[Time]])</f>
        <v>11</v>
      </c>
      <c r="I785" s="10" t="str">
        <f>IF(COUNTIF('Transform Data'!$D:$D,'Transform Data'!D785)&gt;1,"Repeat","Single")</f>
        <v>Repeat</v>
      </c>
      <c r="J785" s="10" t="str">
        <f>IF('Transform Data'!D785="Cash","Cash",IF(COUNTIF('Transform Data'!$D:$D,'Transform Data'!D785)&gt;1,"Repeat","Single"))</f>
        <v>Repeat</v>
      </c>
      <c r="K785" s="10" t="str">
        <f t="shared" si="12"/>
        <v>TRANS-0784</v>
      </c>
    </row>
    <row r="786" spans="1:11" x14ac:dyDescent="0.35">
      <c r="A786" s="5">
        <v>45458</v>
      </c>
      <c r="B786" s="3">
        <v>0.51490740740740737</v>
      </c>
      <c r="C786" t="s">
        <v>8</v>
      </c>
      <c r="D786" t="s">
        <v>353</v>
      </c>
      <c r="E786" s="4">
        <v>37.72</v>
      </c>
      <c r="F786" t="s">
        <v>32</v>
      </c>
      <c r="G786" s="10" t="str">
        <f>TEXT(Transform_Data[[#This Row],[Date]],"mmm yyyy")</f>
        <v>Jun 2024</v>
      </c>
      <c r="H786" s="10">
        <f>HOUR(Transform_Data[[#This Row],[Time]])</f>
        <v>12</v>
      </c>
      <c r="I786" s="10" t="str">
        <f>IF(COUNTIF('Transform Data'!$D:$D,'Transform Data'!D786)&gt;1,"Repeat","Single")</f>
        <v>Repeat</v>
      </c>
      <c r="J786" s="10" t="str">
        <f>IF('Transform Data'!D786="Cash","Cash",IF(COUNTIF('Transform Data'!$D:$D,'Transform Data'!D786)&gt;1,"Repeat","Single"))</f>
        <v>Repeat</v>
      </c>
      <c r="K786" s="10" t="str">
        <f t="shared" si="12"/>
        <v>TRANS-0785</v>
      </c>
    </row>
    <row r="787" spans="1:11" x14ac:dyDescent="0.35">
      <c r="A787" s="5">
        <v>45458</v>
      </c>
      <c r="B787" s="3">
        <v>0.51581018518518518</v>
      </c>
      <c r="C787" t="s">
        <v>8</v>
      </c>
      <c r="D787" t="s">
        <v>353</v>
      </c>
      <c r="E787" s="4">
        <v>32.82</v>
      </c>
      <c r="F787" t="s">
        <v>36</v>
      </c>
      <c r="G787" s="10" t="str">
        <f>TEXT(Transform_Data[[#This Row],[Date]],"mmm yyyy")</f>
        <v>Jun 2024</v>
      </c>
      <c r="H787" s="10">
        <f>HOUR(Transform_Data[[#This Row],[Time]])</f>
        <v>12</v>
      </c>
      <c r="I787" s="10" t="str">
        <f>IF(COUNTIF('Transform Data'!$D:$D,'Transform Data'!D787)&gt;1,"Repeat","Single")</f>
        <v>Repeat</v>
      </c>
      <c r="J787" s="10" t="str">
        <f>IF('Transform Data'!D787="Cash","Cash",IF(COUNTIF('Transform Data'!$D:$D,'Transform Data'!D787)&gt;1,"Repeat","Single"))</f>
        <v>Repeat</v>
      </c>
      <c r="K787" s="10" t="str">
        <f t="shared" si="12"/>
        <v>TRANS-0786</v>
      </c>
    </row>
    <row r="788" spans="1:11" x14ac:dyDescent="0.35">
      <c r="A788" s="5">
        <v>45458</v>
      </c>
      <c r="B788" s="3">
        <v>0.51657407407407407</v>
      </c>
      <c r="C788" t="s">
        <v>8</v>
      </c>
      <c r="D788" t="s">
        <v>353</v>
      </c>
      <c r="E788" s="4">
        <v>23.02</v>
      </c>
      <c r="F788" t="s">
        <v>5</v>
      </c>
      <c r="G788" s="10" t="str">
        <f>TEXT(Transform_Data[[#This Row],[Date]],"mmm yyyy")</f>
        <v>Jun 2024</v>
      </c>
      <c r="H788" s="10">
        <f>HOUR(Transform_Data[[#This Row],[Time]])</f>
        <v>12</v>
      </c>
      <c r="I788" s="10" t="str">
        <f>IF(COUNTIF('Transform Data'!$D:$D,'Transform Data'!D788)&gt;1,"Repeat","Single")</f>
        <v>Repeat</v>
      </c>
      <c r="J788" s="10" t="str">
        <f>IF('Transform Data'!D788="Cash","Cash",IF(COUNTIF('Transform Data'!$D:$D,'Transform Data'!D788)&gt;1,"Repeat","Single"))</f>
        <v>Repeat</v>
      </c>
      <c r="K788" s="10" t="str">
        <f t="shared" si="12"/>
        <v>TRANS-0787</v>
      </c>
    </row>
    <row r="789" spans="1:11" x14ac:dyDescent="0.35">
      <c r="A789" s="5">
        <v>45458</v>
      </c>
      <c r="B789" s="3">
        <v>0.5170717592592593</v>
      </c>
      <c r="C789" t="s">
        <v>8</v>
      </c>
      <c r="D789" t="s">
        <v>353</v>
      </c>
      <c r="E789" s="4">
        <v>37.72</v>
      </c>
      <c r="F789" t="s">
        <v>10</v>
      </c>
      <c r="G789" s="10" t="str">
        <f>TEXT(Transform_Data[[#This Row],[Date]],"mmm yyyy")</f>
        <v>Jun 2024</v>
      </c>
      <c r="H789" s="10">
        <f>HOUR(Transform_Data[[#This Row],[Time]])</f>
        <v>12</v>
      </c>
      <c r="I789" s="10" t="str">
        <f>IF(COUNTIF('Transform Data'!$D:$D,'Transform Data'!D789)&gt;1,"Repeat","Single")</f>
        <v>Repeat</v>
      </c>
      <c r="J789" s="10" t="str">
        <f>IF('Transform Data'!D789="Cash","Cash",IF(COUNTIF('Transform Data'!$D:$D,'Transform Data'!D789)&gt;1,"Repeat","Single"))</f>
        <v>Repeat</v>
      </c>
      <c r="K789" s="10" t="str">
        <f t="shared" si="12"/>
        <v>TRANS-0788</v>
      </c>
    </row>
    <row r="790" spans="1:11" x14ac:dyDescent="0.35">
      <c r="A790" s="5">
        <v>45458</v>
      </c>
      <c r="B790" s="3">
        <v>0.51762731481481483</v>
      </c>
      <c r="C790" t="s">
        <v>8</v>
      </c>
      <c r="D790" t="s">
        <v>353</v>
      </c>
      <c r="E790" s="4">
        <v>32.82</v>
      </c>
      <c r="F790" t="s">
        <v>36</v>
      </c>
      <c r="G790" s="10" t="str">
        <f>TEXT(Transform_Data[[#This Row],[Date]],"mmm yyyy")</f>
        <v>Jun 2024</v>
      </c>
      <c r="H790" s="10">
        <f>HOUR(Transform_Data[[#This Row],[Time]])</f>
        <v>12</v>
      </c>
      <c r="I790" s="10" t="str">
        <f>IF(COUNTIF('Transform Data'!$D:$D,'Transform Data'!D790)&gt;1,"Repeat","Single")</f>
        <v>Repeat</v>
      </c>
      <c r="J790" s="10" t="str">
        <f>IF('Transform Data'!D790="Cash","Cash",IF(COUNTIF('Transform Data'!$D:$D,'Transform Data'!D790)&gt;1,"Repeat","Single"))</f>
        <v>Repeat</v>
      </c>
      <c r="K790" s="10" t="str">
        <f t="shared" si="12"/>
        <v>TRANS-0789</v>
      </c>
    </row>
    <row r="791" spans="1:11" x14ac:dyDescent="0.35">
      <c r="A791" s="5">
        <v>45458</v>
      </c>
      <c r="B791" s="3">
        <v>0.66908564814814819</v>
      </c>
      <c r="C791" t="s">
        <v>8</v>
      </c>
      <c r="D791" t="s">
        <v>354</v>
      </c>
      <c r="E791" s="4">
        <v>32.82</v>
      </c>
      <c r="F791" t="s">
        <v>36</v>
      </c>
      <c r="G791" s="10" t="str">
        <f>TEXT(Transform_Data[[#This Row],[Date]],"mmm yyyy")</f>
        <v>Jun 2024</v>
      </c>
      <c r="H791" s="10">
        <f>HOUR(Transform_Data[[#This Row],[Time]])</f>
        <v>16</v>
      </c>
      <c r="I791" s="10" t="str">
        <f>IF(COUNTIF('Transform Data'!$D:$D,'Transform Data'!D791)&gt;1,"Repeat","Single")</f>
        <v>Single</v>
      </c>
      <c r="J791" s="10" t="str">
        <f>IF('Transform Data'!D791="Cash","Cash",IF(COUNTIF('Transform Data'!$D:$D,'Transform Data'!D791)&gt;1,"Repeat","Single"))</f>
        <v>Single</v>
      </c>
      <c r="K791" s="10" t="str">
        <f t="shared" si="12"/>
        <v>TRANS-0790</v>
      </c>
    </row>
    <row r="792" spans="1:11" x14ac:dyDescent="0.35">
      <c r="A792" s="5">
        <v>45458</v>
      </c>
      <c r="B792" s="3">
        <v>0.75976851851851857</v>
      </c>
      <c r="C792" t="s">
        <v>8</v>
      </c>
      <c r="D792" t="s">
        <v>355</v>
      </c>
      <c r="E792" s="4">
        <v>27.92</v>
      </c>
      <c r="F792" t="s">
        <v>28</v>
      </c>
      <c r="G792" s="10" t="str">
        <f>TEXT(Transform_Data[[#This Row],[Date]],"mmm yyyy")</f>
        <v>Jun 2024</v>
      </c>
      <c r="H792" s="10">
        <f>HOUR(Transform_Data[[#This Row],[Time]])</f>
        <v>18</v>
      </c>
      <c r="I792" s="10" t="str">
        <f>IF(COUNTIF('Transform Data'!$D:$D,'Transform Data'!D792)&gt;1,"Repeat","Single")</f>
        <v>Repeat</v>
      </c>
      <c r="J792" s="10" t="str">
        <f>IF('Transform Data'!D792="Cash","Cash",IF(COUNTIF('Transform Data'!$D:$D,'Transform Data'!D792)&gt;1,"Repeat","Single"))</f>
        <v>Repeat</v>
      </c>
      <c r="K792" s="10" t="str">
        <f t="shared" si="12"/>
        <v>TRANS-0791</v>
      </c>
    </row>
    <row r="793" spans="1:11" x14ac:dyDescent="0.35">
      <c r="A793" s="5">
        <v>45459</v>
      </c>
      <c r="B793" s="3">
        <v>0.44711805555555556</v>
      </c>
      <c r="C793" t="s">
        <v>8</v>
      </c>
      <c r="D793" t="s">
        <v>115</v>
      </c>
      <c r="E793" s="4">
        <v>32.82</v>
      </c>
      <c r="F793" t="s">
        <v>36</v>
      </c>
      <c r="G793" s="10" t="str">
        <f>TEXT(Transform_Data[[#This Row],[Date]],"mmm yyyy")</f>
        <v>Jun 2024</v>
      </c>
      <c r="H793" s="10">
        <f>HOUR(Transform_Data[[#This Row],[Time]])</f>
        <v>10</v>
      </c>
      <c r="I793" s="10" t="str">
        <f>IF(COUNTIF('Transform Data'!$D:$D,'Transform Data'!D793)&gt;1,"Repeat","Single")</f>
        <v>Repeat</v>
      </c>
      <c r="J793" s="10" t="str">
        <f>IF('Transform Data'!D793="Cash","Cash",IF(COUNTIF('Transform Data'!$D:$D,'Transform Data'!D793)&gt;1,"Repeat","Single"))</f>
        <v>Repeat</v>
      </c>
      <c r="K793" s="10" t="str">
        <f t="shared" si="12"/>
        <v>TRANS-0792</v>
      </c>
    </row>
    <row r="794" spans="1:11" x14ac:dyDescent="0.35">
      <c r="A794" s="5">
        <v>45459</v>
      </c>
      <c r="B794" s="3">
        <v>0.45741898148148147</v>
      </c>
      <c r="C794" t="s">
        <v>8</v>
      </c>
      <c r="D794" t="s">
        <v>356</v>
      </c>
      <c r="E794" s="4">
        <v>37.72</v>
      </c>
      <c r="F794" t="s">
        <v>32</v>
      </c>
      <c r="G794" s="10" t="str">
        <f>TEXT(Transform_Data[[#This Row],[Date]],"mmm yyyy")</f>
        <v>Jun 2024</v>
      </c>
      <c r="H794" s="10">
        <f>HOUR(Transform_Data[[#This Row],[Time]])</f>
        <v>10</v>
      </c>
      <c r="I794" s="10" t="str">
        <f>IF(COUNTIF('Transform Data'!$D:$D,'Transform Data'!D794)&gt;1,"Repeat","Single")</f>
        <v>Repeat</v>
      </c>
      <c r="J794" s="10" t="str">
        <f>IF('Transform Data'!D794="Cash","Cash",IF(COUNTIF('Transform Data'!$D:$D,'Transform Data'!D794)&gt;1,"Repeat","Single"))</f>
        <v>Repeat</v>
      </c>
      <c r="K794" s="10" t="str">
        <f t="shared" si="12"/>
        <v>TRANS-0793</v>
      </c>
    </row>
    <row r="795" spans="1:11" x14ac:dyDescent="0.35">
      <c r="A795" s="5">
        <v>45459</v>
      </c>
      <c r="B795" s="3">
        <v>0.45877314814814812</v>
      </c>
      <c r="C795" t="s">
        <v>8</v>
      </c>
      <c r="D795" t="s">
        <v>356</v>
      </c>
      <c r="E795" s="4">
        <v>37.72</v>
      </c>
      <c r="F795" t="s">
        <v>15</v>
      </c>
      <c r="G795" s="10" t="str">
        <f>TEXT(Transform_Data[[#This Row],[Date]],"mmm yyyy")</f>
        <v>Jun 2024</v>
      </c>
      <c r="H795" s="10">
        <f>HOUR(Transform_Data[[#This Row],[Time]])</f>
        <v>11</v>
      </c>
      <c r="I795" s="10" t="str">
        <f>IF(COUNTIF('Transform Data'!$D:$D,'Transform Data'!D795)&gt;1,"Repeat","Single")</f>
        <v>Repeat</v>
      </c>
      <c r="J795" s="10" t="str">
        <f>IF('Transform Data'!D795="Cash","Cash",IF(COUNTIF('Transform Data'!$D:$D,'Transform Data'!D795)&gt;1,"Repeat","Single"))</f>
        <v>Repeat</v>
      </c>
      <c r="K795" s="10" t="str">
        <f t="shared" si="12"/>
        <v>TRANS-0794</v>
      </c>
    </row>
    <row r="796" spans="1:11" x14ac:dyDescent="0.35">
      <c r="A796" s="5">
        <v>45459</v>
      </c>
      <c r="B796" s="3">
        <v>0.45950231481481479</v>
      </c>
      <c r="C796" t="s">
        <v>8</v>
      </c>
      <c r="D796" t="s">
        <v>356</v>
      </c>
      <c r="E796" s="4">
        <v>37.72</v>
      </c>
      <c r="F796" t="s">
        <v>15</v>
      </c>
      <c r="G796" s="10" t="str">
        <f>TEXT(Transform_Data[[#This Row],[Date]],"mmm yyyy")</f>
        <v>Jun 2024</v>
      </c>
      <c r="H796" s="10">
        <f>HOUR(Transform_Data[[#This Row],[Time]])</f>
        <v>11</v>
      </c>
      <c r="I796" s="10" t="str">
        <f>IF(COUNTIF('Transform Data'!$D:$D,'Transform Data'!D796)&gt;1,"Repeat","Single")</f>
        <v>Repeat</v>
      </c>
      <c r="J796" s="10" t="str">
        <f>IF('Transform Data'!D796="Cash","Cash",IF(COUNTIF('Transform Data'!$D:$D,'Transform Data'!D796)&gt;1,"Repeat","Single"))</f>
        <v>Repeat</v>
      </c>
      <c r="K796" s="10" t="str">
        <f t="shared" si="12"/>
        <v>TRANS-0795</v>
      </c>
    </row>
    <row r="797" spans="1:11" x14ac:dyDescent="0.35">
      <c r="A797" s="5">
        <v>45459</v>
      </c>
      <c r="B797" s="3">
        <v>0.53434027777777782</v>
      </c>
      <c r="C797" t="s">
        <v>8</v>
      </c>
      <c r="D797" t="s">
        <v>29</v>
      </c>
      <c r="E797" s="4">
        <v>32.82</v>
      </c>
      <c r="F797" t="s">
        <v>36</v>
      </c>
      <c r="G797" s="10" t="str">
        <f>TEXT(Transform_Data[[#This Row],[Date]],"mmm yyyy")</f>
        <v>Jun 2024</v>
      </c>
      <c r="H797" s="10">
        <f>HOUR(Transform_Data[[#This Row],[Time]])</f>
        <v>12</v>
      </c>
      <c r="I797" s="10" t="str">
        <f>IF(COUNTIF('Transform Data'!$D:$D,'Transform Data'!D797)&gt;1,"Repeat","Single")</f>
        <v>Repeat</v>
      </c>
      <c r="J797" s="10" t="str">
        <f>IF('Transform Data'!D797="Cash","Cash",IF(COUNTIF('Transform Data'!$D:$D,'Transform Data'!D797)&gt;1,"Repeat","Single"))</f>
        <v>Repeat</v>
      </c>
      <c r="K797" s="10" t="str">
        <f t="shared" si="12"/>
        <v>TRANS-0796</v>
      </c>
    </row>
    <row r="798" spans="1:11" x14ac:dyDescent="0.35">
      <c r="A798" s="5">
        <v>45459</v>
      </c>
      <c r="B798" s="3">
        <v>0.58377314814814818</v>
      </c>
      <c r="C798" t="s">
        <v>8</v>
      </c>
      <c r="D798" t="s">
        <v>328</v>
      </c>
      <c r="E798" s="4">
        <v>23.02</v>
      </c>
      <c r="F798" t="s">
        <v>5</v>
      </c>
      <c r="G798" s="10" t="str">
        <f>TEXT(Transform_Data[[#This Row],[Date]],"mmm yyyy")</f>
        <v>Jun 2024</v>
      </c>
      <c r="H798" s="10">
        <f>HOUR(Transform_Data[[#This Row],[Time]])</f>
        <v>14</v>
      </c>
      <c r="I798" s="10" t="str">
        <f>IF(COUNTIF('Transform Data'!$D:$D,'Transform Data'!D798)&gt;1,"Repeat","Single")</f>
        <v>Repeat</v>
      </c>
      <c r="J798" s="10" t="str">
        <f>IF('Transform Data'!D798="Cash","Cash",IF(COUNTIF('Transform Data'!$D:$D,'Transform Data'!D798)&gt;1,"Repeat","Single"))</f>
        <v>Repeat</v>
      </c>
      <c r="K798" s="10" t="str">
        <f t="shared" si="12"/>
        <v>TRANS-0797</v>
      </c>
    </row>
    <row r="799" spans="1:11" x14ac:dyDescent="0.35">
      <c r="A799" s="5">
        <v>45459</v>
      </c>
      <c r="B799" s="3">
        <v>0.6268055555555555</v>
      </c>
      <c r="C799" t="s">
        <v>8</v>
      </c>
      <c r="D799" t="s">
        <v>357</v>
      </c>
      <c r="E799" s="4">
        <v>32.82</v>
      </c>
      <c r="F799" t="s">
        <v>36</v>
      </c>
      <c r="G799" s="10" t="str">
        <f>TEXT(Transform_Data[[#This Row],[Date]],"mmm yyyy")</f>
        <v>Jun 2024</v>
      </c>
      <c r="H799" s="10">
        <f>HOUR(Transform_Data[[#This Row],[Time]])</f>
        <v>15</v>
      </c>
      <c r="I799" s="10" t="str">
        <f>IF(COUNTIF('Transform Data'!$D:$D,'Transform Data'!D799)&gt;1,"Repeat","Single")</f>
        <v>Repeat</v>
      </c>
      <c r="J799" s="10" t="str">
        <f>IF('Transform Data'!D799="Cash","Cash",IF(COUNTIF('Transform Data'!$D:$D,'Transform Data'!D799)&gt;1,"Repeat","Single"))</f>
        <v>Repeat</v>
      </c>
      <c r="K799" s="10" t="str">
        <f t="shared" si="12"/>
        <v>TRANS-0798</v>
      </c>
    </row>
    <row r="800" spans="1:11" x14ac:dyDescent="0.35">
      <c r="A800" s="5">
        <v>45459</v>
      </c>
      <c r="B800" s="3">
        <v>0.62858796296296293</v>
      </c>
      <c r="C800" t="s">
        <v>8</v>
      </c>
      <c r="D800" t="s">
        <v>357</v>
      </c>
      <c r="E800" s="4">
        <v>32.82</v>
      </c>
      <c r="F800" t="s">
        <v>36</v>
      </c>
      <c r="G800" s="10" t="str">
        <f>TEXT(Transform_Data[[#This Row],[Date]],"mmm yyyy")</f>
        <v>Jun 2024</v>
      </c>
      <c r="H800" s="10">
        <f>HOUR(Transform_Data[[#This Row],[Time]])</f>
        <v>15</v>
      </c>
      <c r="I800" s="10" t="str">
        <f>IF(COUNTIF('Transform Data'!$D:$D,'Transform Data'!D800)&gt;1,"Repeat","Single")</f>
        <v>Repeat</v>
      </c>
      <c r="J800" s="10" t="str">
        <f>IF('Transform Data'!D800="Cash","Cash",IF(COUNTIF('Transform Data'!$D:$D,'Transform Data'!D800)&gt;1,"Repeat","Single"))</f>
        <v>Repeat</v>
      </c>
      <c r="K800" s="10" t="str">
        <f t="shared" si="12"/>
        <v>TRANS-0799</v>
      </c>
    </row>
    <row r="801" spans="1:11" x14ac:dyDescent="0.35">
      <c r="A801" s="5">
        <v>45459</v>
      </c>
      <c r="B801" s="3">
        <v>0.65554398148148152</v>
      </c>
      <c r="C801" t="s">
        <v>8</v>
      </c>
      <c r="D801" t="s">
        <v>358</v>
      </c>
      <c r="E801" s="4">
        <v>37.72</v>
      </c>
      <c r="F801" t="s">
        <v>15</v>
      </c>
      <c r="G801" s="10" t="str">
        <f>TEXT(Transform_Data[[#This Row],[Date]],"mmm yyyy")</f>
        <v>Jun 2024</v>
      </c>
      <c r="H801" s="10">
        <f>HOUR(Transform_Data[[#This Row],[Time]])</f>
        <v>15</v>
      </c>
      <c r="I801" s="10" t="str">
        <f>IF(COUNTIF('Transform Data'!$D:$D,'Transform Data'!D801)&gt;1,"Repeat","Single")</f>
        <v>Single</v>
      </c>
      <c r="J801" s="10" t="str">
        <f>IF('Transform Data'!D801="Cash","Cash",IF(COUNTIF('Transform Data'!$D:$D,'Transform Data'!D801)&gt;1,"Repeat","Single"))</f>
        <v>Single</v>
      </c>
      <c r="K801" s="10" t="str">
        <f t="shared" si="12"/>
        <v>TRANS-0800</v>
      </c>
    </row>
    <row r="802" spans="1:11" x14ac:dyDescent="0.35">
      <c r="A802" s="5">
        <v>45459</v>
      </c>
      <c r="B802" s="3">
        <v>0.69972222222222225</v>
      </c>
      <c r="C802" t="s">
        <v>8</v>
      </c>
      <c r="D802" t="s">
        <v>359</v>
      </c>
      <c r="E802" s="4">
        <v>37.72</v>
      </c>
      <c r="F802" t="s">
        <v>15</v>
      </c>
      <c r="G802" s="10" t="str">
        <f>TEXT(Transform_Data[[#This Row],[Date]],"mmm yyyy")</f>
        <v>Jun 2024</v>
      </c>
      <c r="H802" s="10">
        <f>HOUR(Transform_Data[[#This Row],[Time]])</f>
        <v>16</v>
      </c>
      <c r="I802" s="10" t="str">
        <f>IF(COUNTIF('Transform Data'!$D:$D,'Transform Data'!D802)&gt;1,"Repeat","Single")</f>
        <v>Single</v>
      </c>
      <c r="J802" s="10" t="str">
        <f>IF('Transform Data'!D802="Cash","Cash",IF(COUNTIF('Transform Data'!$D:$D,'Transform Data'!D802)&gt;1,"Repeat","Single"))</f>
        <v>Single</v>
      </c>
      <c r="K802" s="10" t="str">
        <f t="shared" si="12"/>
        <v>TRANS-0801</v>
      </c>
    </row>
    <row r="803" spans="1:11" x14ac:dyDescent="0.35">
      <c r="A803" s="5">
        <v>45459</v>
      </c>
      <c r="B803" s="3">
        <v>0.73978009259259259</v>
      </c>
      <c r="C803" t="s">
        <v>8</v>
      </c>
      <c r="D803" t="s">
        <v>115</v>
      </c>
      <c r="E803" s="4">
        <v>32.82</v>
      </c>
      <c r="F803" t="s">
        <v>36</v>
      </c>
      <c r="G803" s="10" t="str">
        <f>TEXT(Transform_Data[[#This Row],[Date]],"mmm yyyy")</f>
        <v>Jun 2024</v>
      </c>
      <c r="H803" s="10">
        <f>HOUR(Transform_Data[[#This Row],[Time]])</f>
        <v>17</v>
      </c>
      <c r="I803" s="10" t="str">
        <f>IF(COUNTIF('Transform Data'!$D:$D,'Transform Data'!D803)&gt;1,"Repeat","Single")</f>
        <v>Repeat</v>
      </c>
      <c r="J803" s="10" t="str">
        <f>IF('Transform Data'!D803="Cash","Cash",IF(COUNTIF('Transform Data'!$D:$D,'Transform Data'!D803)&gt;1,"Repeat","Single"))</f>
        <v>Repeat</v>
      </c>
      <c r="K803" s="10" t="str">
        <f t="shared" si="12"/>
        <v>TRANS-0802</v>
      </c>
    </row>
    <row r="804" spans="1:11" x14ac:dyDescent="0.35">
      <c r="A804" s="5">
        <v>45459</v>
      </c>
      <c r="B804" s="3">
        <v>0.74046296296296299</v>
      </c>
      <c r="C804" t="s">
        <v>8</v>
      </c>
      <c r="D804" t="s">
        <v>115</v>
      </c>
      <c r="E804" s="4">
        <v>32.82</v>
      </c>
      <c r="F804" t="s">
        <v>36</v>
      </c>
      <c r="G804" s="10" t="str">
        <f>TEXT(Transform_Data[[#This Row],[Date]],"mmm yyyy")</f>
        <v>Jun 2024</v>
      </c>
      <c r="H804" s="10">
        <f>HOUR(Transform_Data[[#This Row],[Time]])</f>
        <v>17</v>
      </c>
      <c r="I804" s="10" t="str">
        <f>IF(COUNTIF('Transform Data'!$D:$D,'Transform Data'!D804)&gt;1,"Repeat","Single")</f>
        <v>Repeat</v>
      </c>
      <c r="J804" s="10" t="str">
        <f>IF('Transform Data'!D804="Cash","Cash",IF(COUNTIF('Transform Data'!$D:$D,'Transform Data'!D804)&gt;1,"Repeat","Single"))</f>
        <v>Repeat</v>
      </c>
      <c r="K804" s="10" t="str">
        <f t="shared" si="12"/>
        <v>TRANS-0803</v>
      </c>
    </row>
    <row r="805" spans="1:11" x14ac:dyDescent="0.35">
      <c r="A805" s="5">
        <v>45460</v>
      </c>
      <c r="B805" s="3">
        <v>0.37319444444444444</v>
      </c>
      <c r="C805" t="s">
        <v>8</v>
      </c>
      <c r="D805" t="s">
        <v>360</v>
      </c>
      <c r="E805" s="4">
        <v>27.92</v>
      </c>
      <c r="F805" t="s">
        <v>28</v>
      </c>
      <c r="G805" s="10" t="str">
        <f>TEXT(Transform_Data[[#This Row],[Date]],"mmm yyyy")</f>
        <v>Jun 2024</v>
      </c>
      <c r="H805" s="10">
        <f>HOUR(Transform_Data[[#This Row],[Time]])</f>
        <v>8</v>
      </c>
      <c r="I805" s="10" t="str">
        <f>IF(COUNTIF('Transform Data'!$D:$D,'Transform Data'!D805)&gt;1,"Repeat","Single")</f>
        <v>Single</v>
      </c>
      <c r="J805" s="10" t="str">
        <f>IF('Transform Data'!D805="Cash","Cash",IF(COUNTIF('Transform Data'!$D:$D,'Transform Data'!D805)&gt;1,"Repeat","Single"))</f>
        <v>Single</v>
      </c>
      <c r="K805" s="10" t="str">
        <f t="shared" si="12"/>
        <v>TRANS-0804</v>
      </c>
    </row>
    <row r="806" spans="1:11" x14ac:dyDescent="0.35">
      <c r="A806" s="5">
        <v>45460</v>
      </c>
      <c r="B806" s="3">
        <v>0.42505787037037035</v>
      </c>
      <c r="C806" t="s">
        <v>8</v>
      </c>
      <c r="D806" t="s">
        <v>361</v>
      </c>
      <c r="E806" s="4">
        <v>27.92</v>
      </c>
      <c r="F806" t="s">
        <v>20</v>
      </c>
      <c r="G806" s="10" t="str">
        <f>TEXT(Transform_Data[[#This Row],[Date]],"mmm yyyy")</f>
        <v>Jun 2024</v>
      </c>
      <c r="H806" s="10">
        <f>HOUR(Transform_Data[[#This Row],[Time]])</f>
        <v>10</v>
      </c>
      <c r="I806" s="10" t="str">
        <f>IF(COUNTIF('Transform Data'!$D:$D,'Transform Data'!D806)&gt;1,"Repeat","Single")</f>
        <v>Repeat</v>
      </c>
      <c r="J806" s="10" t="str">
        <f>IF('Transform Data'!D806="Cash","Cash",IF(COUNTIF('Transform Data'!$D:$D,'Transform Data'!D806)&gt;1,"Repeat","Single"))</f>
        <v>Repeat</v>
      </c>
      <c r="K806" s="10" t="str">
        <f t="shared" si="12"/>
        <v>TRANS-0805</v>
      </c>
    </row>
    <row r="807" spans="1:11" x14ac:dyDescent="0.35">
      <c r="A807" s="5">
        <v>45460</v>
      </c>
      <c r="B807" s="3">
        <v>0.4261226851851852</v>
      </c>
      <c r="C807" t="s">
        <v>8</v>
      </c>
      <c r="D807" t="s">
        <v>361</v>
      </c>
      <c r="E807" s="4">
        <v>27.92</v>
      </c>
      <c r="F807" t="s">
        <v>20</v>
      </c>
      <c r="G807" s="10" t="str">
        <f>TEXT(Transform_Data[[#This Row],[Date]],"mmm yyyy")</f>
        <v>Jun 2024</v>
      </c>
      <c r="H807" s="10">
        <f>HOUR(Transform_Data[[#This Row],[Time]])</f>
        <v>10</v>
      </c>
      <c r="I807" s="10" t="str">
        <f>IF(COUNTIF('Transform Data'!$D:$D,'Transform Data'!D807)&gt;1,"Repeat","Single")</f>
        <v>Repeat</v>
      </c>
      <c r="J807" s="10" t="str">
        <f>IF('Transform Data'!D807="Cash","Cash",IF(COUNTIF('Transform Data'!$D:$D,'Transform Data'!D807)&gt;1,"Repeat","Single"))</f>
        <v>Repeat</v>
      </c>
      <c r="K807" s="10" t="str">
        <f t="shared" si="12"/>
        <v>TRANS-0806</v>
      </c>
    </row>
    <row r="808" spans="1:11" x14ac:dyDescent="0.35">
      <c r="A808" s="5">
        <v>45460</v>
      </c>
      <c r="B808" s="3">
        <v>0.45545138888888886</v>
      </c>
      <c r="C808" t="s">
        <v>8</v>
      </c>
      <c r="D808" t="s">
        <v>98</v>
      </c>
      <c r="E808" s="4">
        <v>37.72</v>
      </c>
      <c r="F808" t="s">
        <v>24</v>
      </c>
      <c r="G808" s="10" t="str">
        <f>TEXT(Transform_Data[[#This Row],[Date]],"mmm yyyy")</f>
        <v>Jun 2024</v>
      </c>
      <c r="H808" s="10">
        <f>HOUR(Transform_Data[[#This Row],[Time]])</f>
        <v>10</v>
      </c>
      <c r="I808" s="10" t="str">
        <f>IF(COUNTIF('Transform Data'!$D:$D,'Transform Data'!D808)&gt;1,"Repeat","Single")</f>
        <v>Repeat</v>
      </c>
      <c r="J808" s="10" t="str">
        <f>IF('Transform Data'!D808="Cash","Cash",IF(COUNTIF('Transform Data'!$D:$D,'Transform Data'!D808)&gt;1,"Repeat","Single"))</f>
        <v>Repeat</v>
      </c>
      <c r="K808" s="10" t="str">
        <f t="shared" si="12"/>
        <v>TRANS-0807</v>
      </c>
    </row>
    <row r="809" spans="1:11" x14ac:dyDescent="0.35">
      <c r="A809" s="5">
        <v>45460</v>
      </c>
      <c r="B809" s="3">
        <v>0.6191550925925926</v>
      </c>
      <c r="C809" t="s">
        <v>8</v>
      </c>
      <c r="D809" t="s">
        <v>218</v>
      </c>
      <c r="E809" s="4">
        <v>37.72</v>
      </c>
      <c r="F809" t="s">
        <v>24</v>
      </c>
      <c r="G809" s="10" t="str">
        <f>TEXT(Transform_Data[[#This Row],[Date]],"mmm yyyy")</f>
        <v>Jun 2024</v>
      </c>
      <c r="H809" s="10">
        <f>HOUR(Transform_Data[[#This Row],[Time]])</f>
        <v>14</v>
      </c>
      <c r="I809" s="10" t="str">
        <f>IF(COUNTIF('Transform Data'!$D:$D,'Transform Data'!D809)&gt;1,"Repeat","Single")</f>
        <v>Repeat</v>
      </c>
      <c r="J809" s="10" t="str">
        <f>IF('Transform Data'!D809="Cash","Cash",IF(COUNTIF('Transform Data'!$D:$D,'Transform Data'!D809)&gt;1,"Repeat","Single"))</f>
        <v>Repeat</v>
      </c>
      <c r="K809" s="10" t="str">
        <f t="shared" si="12"/>
        <v>TRANS-0808</v>
      </c>
    </row>
    <row r="810" spans="1:11" x14ac:dyDescent="0.35">
      <c r="A810" s="5">
        <v>45460</v>
      </c>
      <c r="B810" s="3">
        <v>0.7015393518518519</v>
      </c>
      <c r="C810" t="s">
        <v>8</v>
      </c>
      <c r="D810" t="s">
        <v>43</v>
      </c>
      <c r="E810" s="4">
        <v>37.72</v>
      </c>
      <c r="F810" t="s">
        <v>24</v>
      </c>
      <c r="G810" s="10" t="str">
        <f>TEXT(Transform_Data[[#This Row],[Date]],"mmm yyyy")</f>
        <v>Jun 2024</v>
      </c>
      <c r="H810" s="10">
        <f>HOUR(Transform_Data[[#This Row],[Time]])</f>
        <v>16</v>
      </c>
      <c r="I810" s="10" t="str">
        <f>IF(COUNTIF('Transform Data'!$D:$D,'Transform Data'!D810)&gt;1,"Repeat","Single")</f>
        <v>Repeat</v>
      </c>
      <c r="J810" s="10" t="str">
        <f>IF('Transform Data'!D810="Cash","Cash",IF(COUNTIF('Transform Data'!$D:$D,'Transform Data'!D810)&gt;1,"Repeat","Single"))</f>
        <v>Repeat</v>
      </c>
      <c r="K810" s="10" t="str">
        <f t="shared" si="12"/>
        <v>TRANS-0809</v>
      </c>
    </row>
    <row r="811" spans="1:11" x14ac:dyDescent="0.35">
      <c r="A811" s="5">
        <v>45460</v>
      </c>
      <c r="B811" s="3">
        <v>0.70221064814814815</v>
      </c>
      <c r="C811" t="s">
        <v>8</v>
      </c>
      <c r="D811" t="s">
        <v>43</v>
      </c>
      <c r="E811" s="4">
        <v>37.72</v>
      </c>
      <c r="F811" t="s">
        <v>24</v>
      </c>
      <c r="G811" s="10" t="str">
        <f>TEXT(Transform_Data[[#This Row],[Date]],"mmm yyyy")</f>
        <v>Jun 2024</v>
      </c>
      <c r="H811" s="10">
        <f>HOUR(Transform_Data[[#This Row],[Time]])</f>
        <v>16</v>
      </c>
      <c r="I811" s="10" t="str">
        <f>IF(COUNTIF('Transform Data'!$D:$D,'Transform Data'!D811)&gt;1,"Repeat","Single")</f>
        <v>Repeat</v>
      </c>
      <c r="J811" s="10" t="str">
        <f>IF('Transform Data'!D811="Cash","Cash",IF(COUNTIF('Transform Data'!$D:$D,'Transform Data'!D811)&gt;1,"Repeat","Single"))</f>
        <v>Repeat</v>
      </c>
      <c r="K811" s="10" t="str">
        <f t="shared" si="12"/>
        <v>TRANS-0810</v>
      </c>
    </row>
    <row r="812" spans="1:11" x14ac:dyDescent="0.35">
      <c r="A812" s="5">
        <v>45460</v>
      </c>
      <c r="B812" s="3">
        <v>0.70319444444444446</v>
      </c>
      <c r="C812" t="s">
        <v>8</v>
      </c>
      <c r="D812" t="s">
        <v>43</v>
      </c>
      <c r="E812" s="4">
        <v>27.92</v>
      </c>
      <c r="F812" t="s">
        <v>28</v>
      </c>
      <c r="G812" s="10" t="str">
        <f>TEXT(Transform_Data[[#This Row],[Date]],"mmm yyyy")</f>
        <v>Jun 2024</v>
      </c>
      <c r="H812" s="10">
        <f>HOUR(Transform_Data[[#This Row],[Time]])</f>
        <v>16</v>
      </c>
      <c r="I812" s="10" t="str">
        <f>IF(COUNTIF('Transform Data'!$D:$D,'Transform Data'!D812)&gt;1,"Repeat","Single")</f>
        <v>Repeat</v>
      </c>
      <c r="J812" s="10" t="str">
        <f>IF('Transform Data'!D812="Cash","Cash",IF(COUNTIF('Transform Data'!$D:$D,'Transform Data'!D812)&gt;1,"Repeat","Single"))</f>
        <v>Repeat</v>
      </c>
      <c r="K812" s="10" t="str">
        <f t="shared" si="12"/>
        <v>TRANS-0811</v>
      </c>
    </row>
    <row r="813" spans="1:11" x14ac:dyDescent="0.35">
      <c r="A813" s="5">
        <v>45460</v>
      </c>
      <c r="B813" s="3">
        <v>0.78563657407407406</v>
      </c>
      <c r="C813" t="s">
        <v>8</v>
      </c>
      <c r="D813" t="s">
        <v>362</v>
      </c>
      <c r="E813" s="4">
        <v>27.92</v>
      </c>
      <c r="F813" t="s">
        <v>28</v>
      </c>
      <c r="G813" s="10" t="str">
        <f>TEXT(Transform_Data[[#This Row],[Date]],"mmm yyyy")</f>
        <v>Jun 2024</v>
      </c>
      <c r="H813" s="10">
        <f>HOUR(Transform_Data[[#This Row],[Time]])</f>
        <v>18</v>
      </c>
      <c r="I813" s="10" t="str">
        <f>IF(COUNTIF('Transform Data'!$D:$D,'Transform Data'!D813)&gt;1,"Repeat","Single")</f>
        <v>Single</v>
      </c>
      <c r="J813" s="10" t="str">
        <f>IF('Transform Data'!D813="Cash","Cash",IF(COUNTIF('Transform Data'!$D:$D,'Transform Data'!D813)&gt;1,"Repeat","Single"))</f>
        <v>Single</v>
      </c>
      <c r="K813" s="10" t="str">
        <f t="shared" si="12"/>
        <v>TRANS-0812</v>
      </c>
    </row>
    <row r="814" spans="1:11" x14ac:dyDescent="0.35">
      <c r="A814" s="5">
        <v>45460</v>
      </c>
      <c r="B814" s="3">
        <v>0.88623842592592594</v>
      </c>
      <c r="C814" t="s">
        <v>8</v>
      </c>
      <c r="D814" t="s">
        <v>25</v>
      </c>
      <c r="E814" s="4">
        <v>32.82</v>
      </c>
      <c r="F814" t="s">
        <v>36</v>
      </c>
      <c r="G814" s="10" t="str">
        <f>TEXT(Transform_Data[[#This Row],[Date]],"mmm yyyy")</f>
        <v>Jun 2024</v>
      </c>
      <c r="H814" s="10">
        <f>HOUR(Transform_Data[[#This Row],[Time]])</f>
        <v>21</v>
      </c>
      <c r="I814" s="10" t="str">
        <f>IF(COUNTIF('Transform Data'!$D:$D,'Transform Data'!D814)&gt;1,"Repeat","Single")</f>
        <v>Repeat</v>
      </c>
      <c r="J814" s="10" t="str">
        <f>IF('Transform Data'!D814="Cash","Cash",IF(COUNTIF('Transform Data'!$D:$D,'Transform Data'!D814)&gt;1,"Repeat","Single"))</f>
        <v>Repeat</v>
      </c>
      <c r="K814" s="10" t="str">
        <f t="shared" si="12"/>
        <v>TRANS-0813</v>
      </c>
    </row>
    <row r="815" spans="1:11" x14ac:dyDescent="0.35">
      <c r="A815" s="5">
        <v>45461</v>
      </c>
      <c r="B815" s="3">
        <v>0.58618055555555559</v>
      </c>
      <c r="C815" t="s">
        <v>8</v>
      </c>
      <c r="D815" t="s">
        <v>352</v>
      </c>
      <c r="E815" s="4">
        <v>27.92</v>
      </c>
      <c r="F815" t="s">
        <v>28</v>
      </c>
      <c r="G815" s="10" t="str">
        <f>TEXT(Transform_Data[[#This Row],[Date]],"mmm yyyy")</f>
        <v>Jun 2024</v>
      </c>
      <c r="H815" s="10">
        <f>HOUR(Transform_Data[[#This Row],[Time]])</f>
        <v>14</v>
      </c>
      <c r="I815" s="10" t="str">
        <f>IF(COUNTIF('Transform Data'!$D:$D,'Transform Data'!D815)&gt;1,"Repeat","Single")</f>
        <v>Repeat</v>
      </c>
      <c r="J815" s="10" t="str">
        <f>IF('Transform Data'!D815="Cash","Cash",IF(COUNTIF('Transform Data'!$D:$D,'Transform Data'!D815)&gt;1,"Repeat","Single"))</f>
        <v>Repeat</v>
      </c>
      <c r="K815" s="10" t="str">
        <f t="shared" si="12"/>
        <v>TRANS-0814</v>
      </c>
    </row>
    <row r="816" spans="1:11" x14ac:dyDescent="0.35">
      <c r="A816" s="5">
        <v>45461</v>
      </c>
      <c r="B816" s="3">
        <v>0.58694444444444449</v>
      </c>
      <c r="C816" t="s">
        <v>8</v>
      </c>
      <c r="D816" t="s">
        <v>352</v>
      </c>
      <c r="E816" s="4">
        <v>37.72</v>
      </c>
      <c r="F816" t="s">
        <v>24</v>
      </c>
      <c r="G816" s="10" t="str">
        <f>TEXT(Transform_Data[[#This Row],[Date]],"mmm yyyy")</f>
        <v>Jun 2024</v>
      </c>
      <c r="H816" s="10">
        <f>HOUR(Transform_Data[[#This Row],[Time]])</f>
        <v>14</v>
      </c>
      <c r="I816" s="10" t="str">
        <f>IF(COUNTIF('Transform Data'!$D:$D,'Transform Data'!D816)&gt;1,"Repeat","Single")</f>
        <v>Repeat</v>
      </c>
      <c r="J816" s="10" t="str">
        <f>IF('Transform Data'!D816="Cash","Cash",IF(COUNTIF('Transform Data'!$D:$D,'Transform Data'!D816)&gt;1,"Repeat","Single"))</f>
        <v>Repeat</v>
      </c>
      <c r="K816" s="10" t="str">
        <f t="shared" si="12"/>
        <v>TRANS-0815</v>
      </c>
    </row>
    <row r="817" spans="1:11" x14ac:dyDescent="0.35">
      <c r="A817" s="5">
        <v>45461</v>
      </c>
      <c r="B817" s="3">
        <v>0.80601851851851847</v>
      </c>
      <c r="C817" t="s">
        <v>8</v>
      </c>
      <c r="D817" t="s">
        <v>208</v>
      </c>
      <c r="E817" s="4">
        <v>37.72</v>
      </c>
      <c r="F817" t="s">
        <v>24</v>
      </c>
      <c r="G817" s="10" t="str">
        <f>TEXT(Transform_Data[[#This Row],[Date]],"mmm yyyy")</f>
        <v>Jun 2024</v>
      </c>
      <c r="H817" s="10">
        <f>HOUR(Transform_Data[[#This Row],[Time]])</f>
        <v>19</v>
      </c>
      <c r="I817" s="10" t="str">
        <f>IF(COUNTIF('Transform Data'!$D:$D,'Transform Data'!D817)&gt;1,"Repeat","Single")</f>
        <v>Repeat</v>
      </c>
      <c r="J817" s="10" t="str">
        <f>IF('Transform Data'!D817="Cash","Cash",IF(COUNTIF('Transform Data'!$D:$D,'Transform Data'!D817)&gt;1,"Repeat","Single"))</f>
        <v>Repeat</v>
      </c>
      <c r="K817" s="10" t="str">
        <f t="shared" si="12"/>
        <v>TRANS-0816</v>
      </c>
    </row>
    <row r="818" spans="1:11" x14ac:dyDescent="0.35">
      <c r="A818" s="5">
        <v>45461</v>
      </c>
      <c r="B818" s="3">
        <v>0.80668981481481483</v>
      </c>
      <c r="C818" t="s">
        <v>8</v>
      </c>
      <c r="D818" t="s">
        <v>208</v>
      </c>
      <c r="E818" s="4">
        <v>37.72</v>
      </c>
      <c r="F818" t="s">
        <v>24</v>
      </c>
      <c r="G818" s="10" t="str">
        <f>TEXT(Transform_Data[[#This Row],[Date]],"mmm yyyy")</f>
        <v>Jun 2024</v>
      </c>
      <c r="H818" s="10">
        <f>HOUR(Transform_Data[[#This Row],[Time]])</f>
        <v>19</v>
      </c>
      <c r="I818" s="10" t="str">
        <f>IF(COUNTIF('Transform Data'!$D:$D,'Transform Data'!D818)&gt;1,"Repeat","Single")</f>
        <v>Repeat</v>
      </c>
      <c r="J818" s="10" t="str">
        <f>IF('Transform Data'!D818="Cash","Cash",IF(COUNTIF('Transform Data'!$D:$D,'Transform Data'!D818)&gt;1,"Repeat","Single"))</f>
        <v>Repeat</v>
      </c>
      <c r="K818" s="10" t="str">
        <f t="shared" si="12"/>
        <v>TRANS-0817</v>
      </c>
    </row>
    <row r="819" spans="1:11" x14ac:dyDescent="0.35">
      <c r="A819" s="5">
        <v>45461</v>
      </c>
      <c r="B819" s="3">
        <v>0.85820601851851852</v>
      </c>
      <c r="C819" t="s">
        <v>8</v>
      </c>
      <c r="D819" t="s">
        <v>363</v>
      </c>
      <c r="E819" s="4">
        <v>27.92</v>
      </c>
      <c r="F819" t="s">
        <v>20</v>
      </c>
      <c r="G819" s="10" t="str">
        <f>TEXT(Transform_Data[[#This Row],[Date]],"mmm yyyy")</f>
        <v>Jun 2024</v>
      </c>
      <c r="H819" s="10">
        <f>HOUR(Transform_Data[[#This Row],[Time]])</f>
        <v>20</v>
      </c>
      <c r="I819" s="10" t="str">
        <f>IF(COUNTIF('Transform Data'!$D:$D,'Transform Data'!D819)&gt;1,"Repeat","Single")</f>
        <v>Single</v>
      </c>
      <c r="J819" s="10" t="str">
        <f>IF('Transform Data'!D819="Cash","Cash",IF(COUNTIF('Transform Data'!$D:$D,'Transform Data'!D819)&gt;1,"Repeat","Single"))</f>
        <v>Single</v>
      </c>
      <c r="K819" s="10" t="str">
        <f t="shared" si="12"/>
        <v>TRANS-0818</v>
      </c>
    </row>
    <row r="820" spans="1:11" x14ac:dyDescent="0.35">
      <c r="A820" s="5">
        <v>45461</v>
      </c>
      <c r="B820" s="3">
        <v>0.88945601851851852</v>
      </c>
      <c r="C820" t="s">
        <v>8</v>
      </c>
      <c r="D820" t="s">
        <v>43</v>
      </c>
      <c r="E820" s="4">
        <v>32.82</v>
      </c>
      <c r="F820" t="s">
        <v>36</v>
      </c>
      <c r="G820" s="10" t="str">
        <f>TEXT(Transform_Data[[#This Row],[Date]],"mmm yyyy")</f>
        <v>Jun 2024</v>
      </c>
      <c r="H820" s="10">
        <f>HOUR(Transform_Data[[#This Row],[Time]])</f>
        <v>21</v>
      </c>
      <c r="I820" s="10" t="str">
        <f>IF(COUNTIF('Transform Data'!$D:$D,'Transform Data'!D820)&gt;1,"Repeat","Single")</f>
        <v>Repeat</v>
      </c>
      <c r="J820" s="10" t="str">
        <f>IF('Transform Data'!D820="Cash","Cash",IF(COUNTIF('Transform Data'!$D:$D,'Transform Data'!D820)&gt;1,"Repeat","Single"))</f>
        <v>Repeat</v>
      </c>
      <c r="K820" s="10" t="str">
        <f t="shared" si="12"/>
        <v>TRANS-0819</v>
      </c>
    </row>
    <row r="821" spans="1:11" x14ac:dyDescent="0.35">
      <c r="A821" s="5">
        <v>45461</v>
      </c>
      <c r="B821" s="3">
        <v>0.89048611111111109</v>
      </c>
      <c r="C821" t="s">
        <v>8</v>
      </c>
      <c r="D821" t="s">
        <v>43</v>
      </c>
      <c r="E821" s="4">
        <v>32.82</v>
      </c>
      <c r="F821" t="s">
        <v>36</v>
      </c>
      <c r="G821" s="10" t="str">
        <f>TEXT(Transform_Data[[#This Row],[Date]],"mmm yyyy")</f>
        <v>Jun 2024</v>
      </c>
      <c r="H821" s="10">
        <f>HOUR(Transform_Data[[#This Row],[Time]])</f>
        <v>21</v>
      </c>
      <c r="I821" s="10" t="str">
        <f>IF(COUNTIF('Transform Data'!$D:$D,'Transform Data'!D821)&gt;1,"Repeat","Single")</f>
        <v>Repeat</v>
      </c>
      <c r="J821" s="10" t="str">
        <f>IF('Transform Data'!D821="Cash","Cash",IF(COUNTIF('Transform Data'!$D:$D,'Transform Data'!D821)&gt;1,"Repeat","Single"))</f>
        <v>Repeat</v>
      </c>
      <c r="K821" s="10" t="str">
        <f t="shared" si="12"/>
        <v>TRANS-0820</v>
      </c>
    </row>
    <row r="822" spans="1:11" x14ac:dyDescent="0.35">
      <c r="A822" s="5">
        <v>45462</v>
      </c>
      <c r="B822" s="3">
        <v>0.32452546296296297</v>
      </c>
      <c r="C822" t="s">
        <v>8</v>
      </c>
      <c r="D822" t="s">
        <v>364</v>
      </c>
      <c r="E822" s="4">
        <v>37.72</v>
      </c>
      <c r="F822" t="s">
        <v>32</v>
      </c>
      <c r="G822" s="10" t="str">
        <f>TEXT(Transform_Data[[#This Row],[Date]],"mmm yyyy")</f>
        <v>Jun 2024</v>
      </c>
      <c r="H822" s="10">
        <f>HOUR(Transform_Data[[#This Row],[Time]])</f>
        <v>7</v>
      </c>
      <c r="I822" s="10" t="str">
        <f>IF(COUNTIF('Transform Data'!$D:$D,'Transform Data'!D822)&gt;1,"Repeat","Single")</f>
        <v>Repeat</v>
      </c>
      <c r="J822" s="10" t="str">
        <f>IF('Transform Data'!D822="Cash","Cash",IF(COUNTIF('Transform Data'!$D:$D,'Transform Data'!D822)&gt;1,"Repeat","Single"))</f>
        <v>Repeat</v>
      </c>
      <c r="K822" s="10" t="str">
        <f t="shared" si="12"/>
        <v>TRANS-0821</v>
      </c>
    </row>
    <row r="823" spans="1:11" x14ac:dyDescent="0.35">
      <c r="A823" s="5">
        <v>45462</v>
      </c>
      <c r="B823" s="3">
        <v>0.34576388888888887</v>
      </c>
      <c r="C823" t="s">
        <v>8</v>
      </c>
      <c r="D823" t="s">
        <v>40</v>
      </c>
      <c r="E823" s="4">
        <v>27.92</v>
      </c>
      <c r="F823" t="s">
        <v>20</v>
      </c>
      <c r="G823" s="10" t="str">
        <f>TEXT(Transform_Data[[#This Row],[Date]],"mmm yyyy")</f>
        <v>Jun 2024</v>
      </c>
      <c r="H823" s="10">
        <f>HOUR(Transform_Data[[#This Row],[Time]])</f>
        <v>8</v>
      </c>
      <c r="I823" s="10" t="str">
        <f>IF(COUNTIF('Transform Data'!$D:$D,'Transform Data'!D823)&gt;1,"Repeat","Single")</f>
        <v>Repeat</v>
      </c>
      <c r="J823" s="10" t="str">
        <f>IF('Transform Data'!D823="Cash","Cash",IF(COUNTIF('Transform Data'!$D:$D,'Transform Data'!D823)&gt;1,"Repeat","Single"))</f>
        <v>Repeat</v>
      </c>
      <c r="K823" s="10" t="str">
        <f t="shared" si="12"/>
        <v>TRANS-0822</v>
      </c>
    </row>
    <row r="824" spans="1:11" x14ac:dyDescent="0.35">
      <c r="A824" s="5">
        <v>45462</v>
      </c>
      <c r="B824" s="3">
        <v>0.45416666666666666</v>
      </c>
      <c r="C824" t="s">
        <v>8</v>
      </c>
      <c r="D824" t="s">
        <v>365</v>
      </c>
      <c r="E824" s="4">
        <v>27.92</v>
      </c>
      <c r="F824" t="s">
        <v>28</v>
      </c>
      <c r="G824" s="10" t="str">
        <f>TEXT(Transform_Data[[#This Row],[Date]],"mmm yyyy")</f>
        <v>Jun 2024</v>
      </c>
      <c r="H824" s="10">
        <f>HOUR(Transform_Data[[#This Row],[Time]])</f>
        <v>10</v>
      </c>
      <c r="I824" s="10" t="str">
        <f>IF(COUNTIF('Transform Data'!$D:$D,'Transform Data'!D824)&gt;1,"Repeat","Single")</f>
        <v>Single</v>
      </c>
      <c r="J824" s="10" t="str">
        <f>IF('Transform Data'!D824="Cash","Cash",IF(COUNTIF('Transform Data'!$D:$D,'Transform Data'!D824)&gt;1,"Repeat","Single"))</f>
        <v>Single</v>
      </c>
      <c r="K824" s="10" t="str">
        <f t="shared" si="12"/>
        <v>TRANS-0823</v>
      </c>
    </row>
    <row r="825" spans="1:11" x14ac:dyDescent="0.35">
      <c r="A825" s="5">
        <v>45462</v>
      </c>
      <c r="B825" s="3">
        <v>0.46628472222222223</v>
      </c>
      <c r="C825" t="s">
        <v>8</v>
      </c>
      <c r="D825" t="s">
        <v>366</v>
      </c>
      <c r="E825" s="4">
        <v>37.72</v>
      </c>
      <c r="F825" t="s">
        <v>32</v>
      </c>
      <c r="G825" s="10" t="str">
        <f>TEXT(Transform_Data[[#This Row],[Date]],"mmm yyyy")</f>
        <v>Jun 2024</v>
      </c>
      <c r="H825" s="10">
        <f>HOUR(Transform_Data[[#This Row],[Time]])</f>
        <v>11</v>
      </c>
      <c r="I825" s="10" t="str">
        <f>IF(COUNTIF('Transform Data'!$D:$D,'Transform Data'!D825)&gt;1,"Repeat","Single")</f>
        <v>Repeat</v>
      </c>
      <c r="J825" s="10" t="str">
        <f>IF('Transform Data'!D825="Cash","Cash",IF(COUNTIF('Transform Data'!$D:$D,'Transform Data'!D825)&gt;1,"Repeat","Single"))</f>
        <v>Repeat</v>
      </c>
      <c r="K825" s="10" t="str">
        <f t="shared" si="12"/>
        <v>TRANS-0824</v>
      </c>
    </row>
    <row r="826" spans="1:11" x14ac:dyDescent="0.35">
      <c r="A826" s="5">
        <v>45462</v>
      </c>
      <c r="B826" s="3">
        <v>0.46702546296296299</v>
      </c>
      <c r="C826" t="s">
        <v>8</v>
      </c>
      <c r="D826" t="s">
        <v>366</v>
      </c>
      <c r="E826" s="4">
        <v>37.72</v>
      </c>
      <c r="F826" t="s">
        <v>10</v>
      </c>
      <c r="G826" s="10" t="str">
        <f>TEXT(Transform_Data[[#This Row],[Date]],"mmm yyyy")</f>
        <v>Jun 2024</v>
      </c>
      <c r="H826" s="10">
        <f>HOUR(Transform_Data[[#This Row],[Time]])</f>
        <v>11</v>
      </c>
      <c r="I826" s="10" t="str">
        <f>IF(COUNTIF('Transform Data'!$D:$D,'Transform Data'!D826)&gt;1,"Repeat","Single")</f>
        <v>Repeat</v>
      </c>
      <c r="J826" s="10" t="str">
        <f>IF('Transform Data'!D826="Cash","Cash",IF(COUNTIF('Transform Data'!$D:$D,'Transform Data'!D826)&gt;1,"Repeat","Single"))</f>
        <v>Repeat</v>
      </c>
      <c r="K826" s="10" t="str">
        <f t="shared" si="12"/>
        <v>TRANS-0825</v>
      </c>
    </row>
    <row r="827" spans="1:11" x14ac:dyDescent="0.35">
      <c r="A827" s="5">
        <v>45462</v>
      </c>
      <c r="B827" s="3">
        <v>0.59833333333333338</v>
      </c>
      <c r="C827" t="s">
        <v>8</v>
      </c>
      <c r="D827" t="s">
        <v>218</v>
      </c>
      <c r="E827" s="4">
        <v>32.82</v>
      </c>
      <c r="F827" t="s">
        <v>36</v>
      </c>
      <c r="G827" s="10" t="str">
        <f>TEXT(Transform_Data[[#This Row],[Date]],"mmm yyyy")</f>
        <v>Jun 2024</v>
      </c>
      <c r="H827" s="10">
        <f>HOUR(Transform_Data[[#This Row],[Time]])</f>
        <v>14</v>
      </c>
      <c r="I827" s="10" t="str">
        <f>IF(COUNTIF('Transform Data'!$D:$D,'Transform Data'!D827)&gt;1,"Repeat","Single")</f>
        <v>Repeat</v>
      </c>
      <c r="J827" s="10" t="str">
        <f>IF('Transform Data'!D827="Cash","Cash",IF(COUNTIF('Transform Data'!$D:$D,'Transform Data'!D827)&gt;1,"Repeat","Single"))</f>
        <v>Repeat</v>
      </c>
      <c r="K827" s="10" t="str">
        <f t="shared" si="12"/>
        <v>TRANS-0826</v>
      </c>
    </row>
    <row r="828" spans="1:11" x14ac:dyDescent="0.35">
      <c r="A828" s="5">
        <v>45462</v>
      </c>
      <c r="B828" s="3">
        <v>0.7699421296296296</v>
      </c>
      <c r="C828" t="s">
        <v>8</v>
      </c>
      <c r="D828" t="s">
        <v>207</v>
      </c>
      <c r="E828" s="4">
        <v>37.72</v>
      </c>
      <c r="F828" t="s">
        <v>24</v>
      </c>
      <c r="G828" s="10" t="str">
        <f>TEXT(Transform_Data[[#This Row],[Date]],"mmm yyyy")</f>
        <v>Jun 2024</v>
      </c>
      <c r="H828" s="10">
        <f>HOUR(Transform_Data[[#This Row],[Time]])</f>
        <v>18</v>
      </c>
      <c r="I828" s="10" t="str">
        <f>IF(COUNTIF('Transform Data'!$D:$D,'Transform Data'!D828)&gt;1,"Repeat","Single")</f>
        <v>Repeat</v>
      </c>
      <c r="J828" s="10" t="str">
        <f>IF('Transform Data'!D828="Cash","Cash",IF(COUNTIF('Transform Data'!$D:$D,'Transform Data'!D828)&gt;1,"Repeat","Single"))</f>
        <v>Repeat</v>
      </c>
      <c r="K828" s="10" t="str">
        <f t="shared" si="12"/>
        <v>TRANS-0827</v>
      </c>
    </row>
    <row r="829" spans="1:11" x14ac:dyDescent="0.35">
      <c r="A829" s="5">
        <v>45462</v>
      </c>
      <c r="B829" s="3">
        <v>0.77081018518518518</v>
      </c>
      <c r="C829" t="s">
        <v>8</v>
      </c>
      <c r="D829" t="s">
        <v>207</v>
      </c>
      <c r="E829" s="4">
        <v>37.72</v>
      </c>
      <c r="F829" t="s">
        <v>32</v>
      </c>
      <c r="G829" s="10" t="str">
        <f>TEXT(Transform_Data[[#This Row],[Date]],"mmm yyyy")</f>
        <v>Jun 2024</v>
      </c>
      <c r="H829" s="10">
        <f>HOUR(Transform_Data[[#This Row],[Time]])</f>
        <v>18</v>
      </c>
      <c r="I829" s="10" t="str">
        <f>IF(COUNTIF('Transform Data'!$D:$D,'Transform Data'!D829)&gt;1,"Repeat","Single")</f>
        <v>Repeat</v>
      </c>
      <c r="J829" s="10" t="str">
        <f>IF('Transform Data'!D829="Cash","Cash",IF(COUNTIF('Transform Data'!$D:$D,'Transform Data'!D829)&gt;1,"Repeat","Single"))</f>
        <v>Repeat</v>
      </c>
      <c r="K829" s="10" t="str">
        <f t="shared" si="12"/>
        <v>TRANS-0828</v>
      </c>
    </row>
    <row r="830" spans="1:11" x14ac:dyDescent="0.35">
      <c r="A830" s="5">
        <v>45462</v>
      </c>
      <c r="B830" s="3">
        <v>0.81355324074074076</v>
      </c>
      <c r="C830" t="s">
        <v>8</v>
      </c>
      <c r="D830" t="s">
        <v>25</v>
      </c>
      <c r="E830" s="4">
        <v>32.82</v>
      </c>
      <c r="F830" t="s">
        <v>36</v>
      </c>
      <c r="G830" s="10" t="str">
        <f>TEXT(Transform_Data[[#This Row],[Date]],"mmm yyyy")</f>
        <v>Jun 2024</v>
      </c>
      <c r="H830" s="10">
        <f>HOUR(Transform_Data[[#This Row],[Time]])</f>
        <v>19</v>
      </c>
      <c r="I830" s="10" t="str">
        <f>IF(COUNTIF('Transform Data'!$D:$D,'Transform Data'!D830)&gt;1,"Repeat","Single")</f>
        <v>Repeat</v>
      </c>
      <c r="J830" s="10" t="str">
        <f>IF('Transform Data'!D830="Cash","Cash",IF(COUNTIF('Transform Data'!$D:$D,'Transform Data'!D830)&gt;1,"Repeat","Single"))</f>
        <v>Repeat</v>
      </c>
      <c r="K830" s="10" t="str">
        <f t="shared" si="12"/>
        <v>TRANS-0829</v>
      </c>
    </row>
    <row r="831" spans="1:11" x14ac:dyDescent="0.35">
      <c r="A831" s="5">
        <v>45462</v>
      </c>
      <c r="B831" s="3">
        <v>0.89512731481481478</v>
      </c>
      <c r="C831" t="s">
        <v>8</v>
      </c>
      <c r="D831" t="s">
        <v>246</v>
      </c>
      <c r="E831" s="4">
        <v>37.72</v>
      </c>
      <c r="F831" t="s">
        <v>24</v>
      </c>
      <c r="G831" s="10" t="str">
        <f>TEXT(Transform_Data[[#This Row],[Date]],"mmm yyyy")</f>
        <v>Jun 2024</v>
      </c>
      <c r="H831" s="10">
        <f>HOUR(Transform_Data[[#This Row],[Time]])</f>
        <v>21</v>
      </c>
      <c r="I831" s="10" t="str">
        <f>IF(COUNTIF('Transform Data'!$D:$D,'Transform Data'!D831)&gt;1,"Repeat","Single")</f>
        <v>Repeat</v>
      </c>
      <c r="J831" s="10" t="str">
        <f>IF('Transform Data'!D831="Cash","Cash",IF(COUNTIF('Transform Data'!$D:$D,'Transform Data'!D831)&gt;1,"Repeat","Single"))</f>
        <v>Repeat</v>
      </c>
      <c r="K831" s="10" t="str">
        <f t="shared" si="12"/>
        <v>TRANS-0830</v>
      </c>
    </row>
    <row r="832" spans="1:11" x14ac:dyDescent="0.35">
      <c r="A832" s="5">
        <v>45462</v>
      </c>
      <c r="B832" s="3">
        <v>0.8958680555555556</v>
      </c>
      <c r="C832" t="s">
        <v>8</v>
      </c>
      <c r="D832" t="s">
        <v>246</v>
      </c>
      <c r="E832" s="4">
        <v>32.82</v>
      </c>
      <c r="F832" t="s">
        <v>36</v>
      </c>
      <c r="G832" s="10" t="str">
        <f>TEXT(Transform_Data[[#This Row],[Date]],"mmm yyyy")</f>
        <v>Jun 2024</v>
      </c>
      <c r="H832" s="10">
        <f>HOUR(Transform_Data[[#This Row],[Time]])</f>
        <v>21</v>
      </c>
      <c r="I832" s="10" t="str">
        <f>IF(COUNTIF('Transform Data'!$D:$D,'Transform Data'!D832)&gt;1,"Repeat","Single")</f>
        <v>Repeat</v>
      </c>
      <c r="J832" s="10" t="str">
        <f>IF('Transform Data'!D832="Cash","Cash",IF(COUNTIF('Transform Data'!$D:$D,'Transform Data'!D832)&gt;1,"Repeat","Single"))</f>
        <v>Repeat</v>
      </c>
      <c r="K832" s="10" t="str">
        <f t="shared" si="12"/>
        <v>TRANS-0831</v>
      </c>
    </row>
    <row r="833" spans="1:11" x14ac:dyDescent="0.35">
      <c r="A833" s="5">
        <v>45463</v>
      </c>
      <c r="B833" s="3">
        <v>0.45145833333333335</v>
      </c>
      <c r="C833" t="s">
        <v>8</v>
      </c>
      <c r="D833" t="s">
        <v>11</v>
      </c>
      <c r="E833" s="4">
        <v>37.72</v>
      </c>
      <c r="F833" t="s">
        <v>32</v>
      </c>
      <c r="G833" s="10" t="str">
        <f>TEXT(Transform_Data[[#This Row],[Date]],"mmm yyyy")</f>
        <v>Jun 2024</v>
      </c>
      <c r="H833" s="10">
        <f>HOUR(Transform_Data[[#This Row],[Time]])</f>
        <v>10</v>
      </c>
      <c r="I833" s="10" t="str">
        <f>IF(COUNTIF('Transform Data'!$D:$D,'Transform Data'!D833)&gt;1,"Repeat","Single")</f>
        <v>Repeat</v>
      </c>
      <c r="J833" s="10" t="str">
        <f>IF('Transform Data'!D833="Cash","Cash",IF(COUNTIF('Transform Data'!$D:$D,'Transform Data'!D833)&gt;1,"Repeat","Single"))</f>
        <v>Repeat</v>
      </c>
      <c r="K833" s="10" t="str">
        <f t="shared" si="12"/>
        <v>TRANS-0832</v>
      </c>
    </row>
    <row r="834" spans="1:11" x14ac:dyDescent="0.35">
      <c r="A834" s="5">
        <v>45463</v>
      </c>
      <c r="B834" s="3">
        <v>0.79099537037037038</v>
      </c>
      <c r="C834" t="s">
        <v>8</v>
      </c>
      <c r="D834" t="s">
        <v>367</v>
      </c>
      <c r="E834" s="4">
        <v>37.72</v>
      </c>
      <c r="F834" t="s">
        <v>32</v>
      </c>
      <c r="G834" s="10" t="str">
        <f>TEXT(Transform_Data[[#This Row],[Date]],"mmm yyyy")</f>
        <v>Jun 2024</v>
      </c>
      <c r="H834" s="10">
        <f>HOUR(Transform_Data[[#This Row],[Time]])</f>
        <v>18</v>
      </c>
      <c r="I834" s="10" t="str">
        <f>IF(COUNTIF('Transform Data'!$D:$D,'Transform Data'!D834)&gt;1,"Repeat","Single")</f>
        <v>Repeat</v>
      </c>
      <c r="J834" s="10" t="str">
        <f>IF('Transform Data'!D834="Cash","Cash",IF(COUNTIF('Transform Data'!$D:$D,'Transform Data'!D834)&gt;1,"Repeat","Single"))</f>
        <v>Repeat</v>
      </c>
      <c r="K834" s="10" t="str">
        <f t="shared" ref="K834:K897" si="13">"TRANS-"&amp;TEXT(ROW(A833),"0000")</f>
        <v>TRANS-0833</v>
      </c>
    </row>
    <row r="835" spans="1:11" x14ac:dyDescent="0.35">
      <c r="A835" s="5">
        <v>45463</v>
      </c>
      <c r="B835" s="3">
        <v>0.79166666666666663</v>
      </c>
      <c r="C835" t="s">
        <v>8</v>
      </c>
      <c r="D835" t="s">
        <v>367</v>
      </c>
      <c r="E835" s="4">
        <v>37.72</v>
      </c>
      <c r="F835" t="s">
        <v>32</v>
      </c>
      <c r="G835" s="10" t="str">
        <f>TEXT(Transform_Data[[#This Row],[Date]],"mmm yyyy")</f>
        <v>Jun 2024</v>
      </c>
      <c r="H835" s="10">
        <f>HOUR(Transform_Data[[#This Row],[Time]])</f>
        <v>19</v>
      </c>
      <c r="I835" s="10" t="str">
        <f>IF(COUNTIF('Transform Data'!$D:$D,'Transform Data'!D835)&gt;1,"Repeat","Single")</f>
        <v>Repeat</v>
      </c>
      <c r="J835" s="10" t="str">
        <f>IF('Transform Data'!D835="Cash","Cash",IF(COUNTIF('Transform Data'!$D:$D,'Transform Data'!D835)&gt;1,"Repeat","Single"))</f>
        <v>Repeat</v>
      </c>
      <c r="K835" s="10" t="str">
        <f t="shared" si="13"/>
        <v>TRANS-0834</v>
      </c>
    </row>
    <row r="836" spans="1:11" x14ac:dyDescent="0.35">
      <c r="A836" s="5">
        <v>45463</v>
      </c>
      <c r="B836" s="3">
        <v>0.90219907407407407</v>
      </c>
      <c r="C836" t="s">
        <v>8</v>
      </c>
      <c r="D836" t="s">
        <v>311</v>
      </c>
      <c r="E836" s="4">
        <v>37.72</v>
      </c>
      <c r="F836" t="s">
        <v>32</v>
      </c>
      <c r="G836" s="10" t="str">
        <f>TEXT(Transform_Data[[#This Row],[Date]],"mmm yyyy")</f>
        <v>Jun 2024</v>
      </c>
      <c r="H836" s="10">
        <f>HOUR(Transform_Data[[#This Row],[Time]])</f>
        <v>21</v>
      </c>
      <c r="I836" s="10" t="str">
        <f>IF(COUNTIF('Transform Data'!$D:$D,'Transform Data'!D836)&gt;1,"Repeat","Single")</f>
        <v>Repeat</v>
      </c>
      <c r="J836" s="10" t="str">
        <f>IF('Transform Data'!D836="Cash","Cash",IF(COUNTIF('Transform Data'!$D:$D,'Transform Data'!D836)&gt;1,"Repeat","Single"))</f>
        <v>Repeat</v>
      </c>
      <c r="K836" s="10" t="str">
        <f t="shared" si="13"/>
        <v>TRANS-0835</v>
      </c>
    </row>
    <row r="837" spans="1:11" x14ac:dyDescent="0.35">
      <c r="A837" s="5">
        <v>45463</v>
      </c>
      <c r="B837" s="3">
        <v>0.9150462962962963</v>
      </c>
      <c r="C837" t="s">
        <v>8</v>
      </c>
      <c r="D837" t="s">
        <v>25</v>
      </c>
      <c r="E837" s="4">
        <v>37.72</v>
      </c>
      <c r="F837" t="s">
        <v>32</v>
      </c>
      <c r="G837" s="10" t="str">
        <f>TEXT(Transform_Data[[#This Row],[Date]],"mmm yyyy")</f>
        <v>Jun 2024</v>
      </c>
      <c r="H837" s="10">
        <f>HOUR(Transform_Data[[#This Row],[Time]])</f>
        <v>21</v>
      </c>
      <c r="I837" s="10" t="str">
        <f>IF(COUNTIF('Transform Data'!$D:$D,'Transform Data'!D837)&gt;1,"Repeat","Single")</f>
        <v>Repeat</v>
      </c>
      <c r="J837" s="10" t="str">
        <f>IF('Transform Data'!D837="Cash","Cash",IF(COUNTIF('Transform Data'!$D:$D,'Transform Data'!D837)&gt;1,"Repeat","Single"))</f>
        <v>Repeat</v>
      </c>
      <c r="K837" s="10" t="str">
        <f t="shared" si="13"/>
        <v>TRANS-0836</v>
      </c>
    </row>
    <row r="838" spans="1:11" x14ac:dyDescent="0.35">
      <c r="A838" s="5">
        <v>45463</v>
      </c>
      <c r="B838" s="3">
        <v>0.91616898148148151</v>
      </c>
      <c r="C838" t="s">
        <v>8</v>
      </c>
      <c r="D838" t="s">
        <v>25</v>
      </c>
      <c r="E838" s="4">
        <v>32.82</v>
      </c>
      <c r="F838" t="s">
        <v>36</v>
      </c>
      <c r="G838" s="10" t="str">
        <f>TEXT(Transform_Data[[#This Row],[Date]],"mmm yyyy")</f>
        <v>Jun 2024</v>
      </c>
      <c r="H838" s="10">
        <f>HOUR(Transform_Data[[#This Row],[Time]])</f>
        <v>21</v>
      </c>
      <c r="I838" s="10" t="str">
        <f>IF(COUNTIF('Transform Data'!$D:$D,'Transform Data'!D838)&gt;1,"Repeat","Single")</f>
        <v>Repeat</v>
      </c>
      <c r="J838" s="10" t="str">
        <f>IF('Transform Data'!D838="Cash","Cash",IF(COUNTIF('Transform Data'!$D:$D,'Transform Data'!D838)&gt;1,"Repeat","Single"))</f>
        <v>Repeat</v>
      </c>
      <c r="K838" s="10" t="str">
        <f t="shared" si="13"/>
        <v>TRANS-0837</v>
      </c>
    </row>
    <row r="839" spans="1:11" x14ac:dyDescent="0.35">
      <c r="A839" s="5">
        <v>45464</v>
      </c>
      <c r="B839" s="3">
        <v>0.41660879629629627</v>
      </c>
      <c r="C839" t="s">
        <v>8</v>
      </c>
      <c r="D839" t="s">
        <v>364</v>
      </c>
      <c r="E839" s="4">
        <v>37.72</v>
      </c>
      <c r="F839" t="s">
        <v>32</v>
      </c>
      <c r="G839" s="10" t="str">
        <f>TEXT(Transform_Data[[#This Row],[Date]],"mmm yyyy")</f>
        <v>Jun 2024</v>
      </c>
      <c r="H839" s="10">
        <f>HOUR(Transform_Data[[#This Row],[Time]])</f>
        <v>9</v>
      </c>
      <c r="I839" s="10" t="str">
        <f>IF(COUNTIF('Transform Data'!$D:$D,'Transform Data'!D839)&gt;1,"Repeat","Single")</f>
        <v>Repeat</v>
      </c>
      <c r="J839" s="10" t="str">
        <f>IF('Transform Data'!D839="Cash","Cash",IF(COUNTIF('Transform Data'!$D:$D,'Transform Data'!D839)&gt;1,"Repeat","Single"))</f>
        <v>Repeat</v>
      </c>
      <c r="K839" s="10" t="str">
        <f t="shared" si="13"/>
        <v>TRANS-0838</v>
      </c>
    </row>
    <row r="840" spans="1:11" x14ac:dyDescent="0.35">
      <c r="A840" s="5">
        <v>45464</v>
      </c>
      <c r="B840" s="3">
        <v>0.41782407407407407</v>
      </c>
      <c r="C840" t="s">
        <v>8</v>
      </c>
      <c r="D840" t="s">
        <v>368</v>
      </c>
      <c r="E840" s="4">
        <v>27.92</v>
      </c>
      <c r="F840" t="s">
        <v>28</v>
      </c>
      <c r="G840" s="10" t="str">
        <f>TEXT(Transform_Data[[#This Row],[Date]],"mmm yyyy")</f>
        <v>Jun 2024</v>
      </c>
      <c r="H840" s="10">
        <f>HOUR(Transform_Data[[#This Row],[Time]])</f>
        <v>10</v>
      </c>
      <c r="I840" s="10" t="str">
        <f>IF(COUNTIF('Transform Data'!$D:$D,'Transform Data'!D840)&gt;1,"Repeat","Single")</f>
        <v>Single</v>
      </c>
      <c r="J840" s="10" t="str">
        <f>IF('Transform Data'!D840="Cash","Cash",IF(COUNTIF('Transform Data'!$D:$D,'Transform Data'!D840)&gt;1,"Repeat","Single"))</f>
        <v>Single</v>
      </c>
      <c r="K840" s="10" t="str">
        <f t="shared" si="13"/>
        <v>TRANS-0839</v>
      </c>
    </row>
    <row r="841" spans="1:11" x14ac:dyDescent="0.35">
      <c r="A841" s="5">
        <v>45464</v>
      </c>
      <c r="B841" s="3">
        <v>0.55508101851851854</v>
      </c>
      <c r="C841" t="s">
        <v>8</v>
      </c>
      <c r="D841" t="s">
        <v>43</v>
      </c>
      <c r="E841" s="4">
        <v>32.82</v>
      </c>
      <c r="F841" t="s">
        <v>36</v>
      </c>
      <c r="G841" s="10" t="str">
        <f>TEXT(Transform_Data[[#This Row],[Date]],"mmm yyyy")</f>
        <v>Jun 2024</v>
      </c>
      <c r="H841" s="10">
        <f>HOUR(Transform_Data[[#This Row],[Time]])</f>
        <v>13</v>
      </c>
      <c r="I841" s="10" t="str">
        <f>IF(COUNTIF('Transform Data'!$D:$D,'Transform Data'!D841)&gt;1,"Repeat","Single")</f>
        <v>Repeat</v>
      </c>
      <c r="J841" s="10" t="str">
        <f>IF('Transform Data'!D841="Cash","Cash",IF(COUNTIF('Transform Data'!$D:$D,'Transform Data'!D841)&gt;1,"Repeat","Single"))</f>
        <v>Repeat</v>
      </c>
      <c r="K841" s="10" t="str">
        <f t="shared" si="13"/>
        <v>TRANS-0840</v>
      </c>
    </row>
    <row r="842" spans="1:11" x14ac:dyDescent="0.35">
      <c r="A842" s="5">
        <v>45464</v>
      </c>
      <c r="B842" s="3">
        <v>0.5559143518518519</v>
      </c>
      <c r="C842" t="s">
        <v>8</v>
      </c>
      <c r="D842" t="s">
        <v>43</v>
      </c>
      <c r="E842" s="4">
        <v>32.82</v>
      </c>
      <c r="F842" t="s">
        <v>36</v>
      </c>
      <c r="G842" s="10" t="str">
        <f>TEXT(Transform_Data[[#This Row],[Date]],"mmm yyyy")</f>
        <v>Jun 2024</v>
      </c>
      <c r="H842" s="10">
        <f>HOUR(Transform_Data[[#This Row],[Time]])</f>
        <v>13</v>
      </c>
      <c r="I842" s="10" t="str">
        <f>IF(COUNTIF('Transform Data'!$D:$D,'Transform Data'!D842)&gt;1,"Repeat","Single")</f>
        <v>Repeat</v>
      </c>
      <c r="J842" s="10" t="str">
        <f>IF('Transform Data'!D842="Cash","Cash",IF(COUNTIF('Transform Data'!$D:$D,'Transform Data'!D842)&gt;1,"Repeat","Single"))</f>
        <v>Repeat</v>
      </c>
      <c r="K842" s="10" t="str">
        <f t="shared" si="13"/>
        <v>TRANS-0841</v>
      </c>
    </row>
    <row r="843" spans="1:11" x14ac:dyDescent="0.35">
      <c r="A843" s="5">
        <v>45464</v>
      </c>
      <c r="B843" s="3">
        <v>0.75851851851851848</v>
      </c>
      <c r="C843" t="s">
        <v>8</v>
      </c>
      <c r="D843" t="s">
        <v>369</v>
      </c>
      <c r="E843" s="4">
        <v>23.02</v>
      </c>
      <c r="F843" t="s">
        <v>5</v>
      </c>
      <c r="G843" s="10" t="str">
        <f>TEXT(Transform_Data[[#This Row],[Date]],"mmm yyyy")</f>
        <v>Jun 2024</v>
      </c>
      <c r="H843" s="10">
        <f>HOUR(Transform_Data[[#This Row],[Time]])</f>
        <v>18</v>
      </c>
      <c r="I843" s="10" t="str">
        <f>IF(COUNTIF('Transform Data'!$D:$D,'Transform Data'!D843)&gt;1,"Repeat","Single")</f>
        <v>Single</v>
      </c>
      <c r="J843" s="10" t="str">
        <f>IF('Transform Data'!D843="Cash","Cash",IF(COUNTIF('Transform Data'!$D:$D,'Transform Data'!D843)&gt;1,"Repeat","Single"))</f>
        <v>Single</v>
      </c>
      <c r="K843" s="10" t="str">
        <f t="shared" si="13"/>
        <v>TRANS-0842</v>
      </c>
    </row>
    <row r="844" spans="1:11" x14ac:dyDescent="0.35">
      <c r="A844" s="5">
        <v>45464</v>
      </c>
      <c r="B844" s="3">
        <v>0.8128009259259259</v>
      </c>
      <c r="C844" t="s">
        <v>8</v>
      </c>
      <c r="D844" t="s">
        <v>25</v>
      </c>
      <c r="E844" s="4">
        <v>37.72</v>
      </c>
      <c r="F844" t="s">
        <v>32</v>
      </c>
      <c r="G844" s="10" t="str">
        <f>TEXT(Transform_Data[[#This Row],[Date]],"mmm yyyy")</f>
        <v>Jun 2024</v>
      </c>
      <c r="H844" s="10">
        <f>HOUR(Transform_Data[[#This Row],[Time]])</f>
        <v>19</v>
      </c>
      <c r="I844" s="10" t="str">
        <f>IF(COUNTIF('Transform Data'!$D:$D,'Transform Data'!D844)&gt;1,"Repeat","Single")</f>
        <v>Repeat</v>
      </c>
      <c r="J844" s="10" t="str">
        <f>IF('Transform Data'!D844="Cash","Cash",IF(COUNTIF('Transform Data'!$D:$D,'Transform Data'!D844)&gt;1,"Repeat","Single"))</f>
        <v>Repeat</v>
      </c>
      <c r="K844" s="10" t="str">
        <f t="shared" si="13"/>
        <v>TRANS-0843</v>
      </c>
    </row>
    <row r="845" spans="1:11" x14ac:dyDescent="0.35">
      <c r="A845" s="5">
        <v>45464</v>
      </c>
      <c r="B845" s="3">
        <v>0.82437499999999997</v>
      </c>
      <c r="C845" t="s">
        <v>8</v>
      </c>
      <c r="D845" t="s">
        <v>208</v>
      </c>
      <c r="E845" s="4">
        <v>37.72</v>
      </c>
      <c r="F845" t="s">
        <v>24</v>
      </c>
      <c r="G845" s="10" t="str">
        <f>TEXT(Transform_Data[[#This Row],[Date]],"mmm yyyy")</f>
        <v>Jun 2024</v>
      </c>
      <c r="H845" s="10">
        <f>HOUR(Transform_Data[[#This Row],[Time]])</f>
        <v>19</v>
      </c>
      <c r="I845" s="10" t="str">
        <f>IF(COUNTIF('Transform Data'!$D:$D,'Transform Data'!D845)&gt;1,"Repeat","Single")</f>
        <v>Repeat</v>
      </c>
      <c r="J845" s="10" t="str">
        <f>IF('Transform Data'!D845="Cash","Cash",IF(COUNTIF('Transform Data'!$D:$D,'Transform Data'!D845)&gt;1,"Repeat","Single"))</f>
        <v>Repeat</v>
      </c>
      <c r="K845" s="10" t="str">
        <f t="shared" si="13"/>
        <v>TRANS-0844</v>
      </c>
    </row>
    <row r="846" spans="1:11" x14ac:dyDescent="0.35">
      <c r="A846" s="5">
        <v>45464</v>
      </c>
      <c r="B846" s="3">
        <v>0.82506944444444441</v>
      </c>
      <c r="C846" t="s">
        <v>8</v>
      </c>
      <c r="D846" t="s">
        <v>208</v>
      </c>
      <c r="E846" s="4">
        <v>37.72</v>
      </c>
      <c r="F846" t="s">
        <v>24</v>
      </c>
      <c r="G846" s="10" t="str">
        <f>TEXT(Transform_Data[[#This Row],[Date]],"mmm yyyy")</f>
        <v>Jun 2024</v>
      </c>
      <c r="H846" s="10">
        <f>HOUR(Transform_Data[[#This Row],[Time]])</f>
        <v>19</v>
      </c>
      <c r="I846" s="10" t="str">
        <f>IF(COUNTIF('Transform Data'!$D:$D,'Transform Data'!D846)&gt;1,"Repeat","Single")</f>
        <v>Repeat</v>
      </c>
      <c r="J846" s="10" t="str">
        <f>IF('Transform Data'!D846="Cash","Cash",IF(COUNTIF('Transform Data'!$D:$D,'Transform Data'!D846)&gt;1,"Repeat","Single"))</f>
        <v>Repeat</v>
      </c>
      <c r="K846" s="10" t="str">
        <f t="shared" si="13"/>
        <v>TRANS-0845</v>
      </c>
    </row>
    <row r="847" spans="1:11" x14ac:dyDescent="0.35">
      <c r="A847" s="5">
        <v>45464</v>
      </c>
      <c r="B847" s="3">
        <v>0.8263194444444445</v>
      </c>
      <c r="C847" t="s">
        <v>8</v>
      </c>
      <c r="D847" t="s">
        <v>234</v>
      </c>
      <c r="E847" s="4">
        <v>37.72</v>
      </c>
      <c r="F847" t="s">
        <v>24</v>
      </c>
      <c r="G847" s="10" t="str">
        <f>TEXT(Transform_Data[[#This Row],[Date]],"mmm yyyy")</f>
        <v>Jun 2024</v>
      </c>
      <c r="H847" s="10">
        <f>HOUR(Transform_Data[[#This Row],[Time]])</f>
        <v>19</v>
      </c>
      <c r="I847" s="10" t="str">
        <f>IF(COUNTIF('Transform Data'!$D:$D,'Transform Data'!D847)&gt;1,"Repeat","Single")</f>
        <v>Repeat</v>
      </c>
      <c r="J847" s="10" t="str">
        <f>IF('Transform Data'!D847="Cash","Cash",IF(COUNTIF('Transform Data'!$D:$D,'Transform Data'!D847)&gt;1,"Repeat","Single"))</f>
        <v>Repeat</v>
      </c>
      <c r="K847" s="10" t="str">
        <f t="shared" si="13"/>
        <v>TRANS-0846</v>
      </c>
    </row>
    <row r="848" spans="1:11" x14ac:dyDescent="0.35">
      <c r="A848" s="5">
        <v>45464</v>
      </c>
      <c r="B848" s="3">
        <v>0.82708333333333328</v>
      </c>
      <c r="C848" t="s">
        <v>8</v>
      </c>
      <c r="D848" t="s">
        <v>234</v>
      </c>
      <c r="E848" s="4">
        <v>37.72</v>
      </c>
      <c r="F848" t="s">
        <v>24</v>
      </c>
      <c r="G848" s="10" t="str">
        <f>TEXT(Transform_Data[[#This Row],[Date]],"mmm yyyy")</f>
        <v>Jun 2024</v>
      </c>
      <c r="H848" s="10">
        <f>HOUR(Transform_Data[[#This Row],[Time]])</f>
        <v>19</v>
      </c>
      <c r="I848" s="10" t="str">
        <f>IF(COUNTIF('Transform Data'!$D:$D,'Transform Data'!D848)&gt;1,"Repeat","Single")</f>
        <v>Repeat</v>
      </c>
      <c r="J848" s="10" t="str">
        <f>IF('Transform Data'!D848="Cash","Cash",IF(COUNTIF('Transform Data'!$D:$D,'Transform Data'!D848)&gt;1,"Repeat","Single"))</f>
        <v>Repeat</v>
      </c>
      <c r="K848" s="10" t="str">
        <f t="shared" si="13"/>
        <v>TRANS-0847</v>
      </c>
    </row>
    <row r="849" spans="1:11" x14ac:dyDescent="0.35">
      <c r="A849" s="5">
        <v>45464</v>
      </c>
      <c r="B849" s="3">
        <v>0.82798611111111109</v>
      </c>
      <c r="C849" t="s">
        <v>8</v>
      </c>
      <c r="D849" t="s">
        <v>234</v>
      </c>
      <c r="E849" s="4">
        <v>27.92</v>
      </c>
      <c r="F849" t="s">
        <v>28</v>
      </c>
      <c r="G849" s="10" t="str">
        <f>TEXT(Transform_Data[[#This Row],[Date]],"mmm yyyy")</f>
        <v>Jun 2024</v>
      </c>
      <c r="H849" s="10">
        <f>HOUR(Transform_Data[[#This Row],[Time]])</f>
        <v>19</v>
      </c>
      <c r="I849" s="10" t="str">
        <f>IF(COUNTIF('Transform Data'!$D:$D,'Transform Data'!D849)&gt;1,"Repeat","Single")</f>
        <v>Repeat</v>
      </c>
      <c r="J849" s="10" t="str">
        <f>IF('Transform Data'!D849="Cash","Cash",IF(COUNTIF('Transform Data'!$D:$D,'Transform Data'!D849)&gt;1,"Repeat","Single"))</f>
        <v>Repeat</v>
      </c>
      <c r="K849" s="10" t="str">
        <f t="shared" si="13"/>
        <v>TRANS-0848</v>
      </c>
    </row>
    <row r="850" spans="1:11" x14ac:dyDescent="0.35">
      <c r="A850" s="5">
        <v>45464</v>
      </c>
      <c r="B850" s="3">
        <v>0.83028935185185182</v>
      </c>
      <c r="C850" t="s">
        <v>8</v>
      </c>
      <c r="D850" t="s">
        <v>364</v>
      </c>
      <c r="E850" s="4">
        <v>32.82</v>
      </c>
      <c r="F850" t="s">
        <v>36</v>
      </c>
      <c r="G850" s="10" t="str">
        <f>TEXT(Transform_Data[[#This Row],[Date]],"mmm yyyy")</f>
        <v>Jun 2024</v>
      </c>
      <c r="H850" s="10">
        <f>HOUR(Transform_Data[[#This Row],[Time]])</f>
        <v>19</v>
      </c>
      <c r="I850" s="10" t="str">
        <f>IF(COUNTIF('Transform Data'!$D:$D,'Transform Data'!D850)&gt;1,"Repeat","Single")</f>
        <v>Repeat</v>
      </c>
      <c r="J850" s="10" t="str">
        <f>IF('Transform Data'!D850="Cash","Cash",IF(COUNTIF('Transform Data'!$D:$D,'Transform Data'!D850)&gt;1,"Repeat","Single"))</f>
        <v>Repeat</v>
      </c>
      <c r="K850" s="10" t="str">
        <f t="shared" si="13"/>
        <v>TRANS-0849</v>
      </c>
    </row>
    <row r="851" spans="1:11" x14ac:dyDescent="0.35">
      <c r="A851" s="5">
        <v>45465</v>
      </c>
      <c r="B851" s="3">
        <v>0.36099537037037038</v>
      </c>
      <c r="C851" t="s">
        <v>8</v>
      </c>
      <c r="D851" t="s">
        <v>40</v>
      </c>
      <c r="E851" s="4">
        <v>27.92</v>
      </c>
      <c r="F851" t="s">
        <v>20</v>
      </c>
      <c r="G851" s="10" t="str">
        <f>TEXT(Transform_Data[[#This Row],[Date]],"mmm yyyy")</f>
        <v>Jun 2024</v>
      </c>
      <c r="H851" s="10">
        <f>HOUR(Transform_Data[[#This Row],[Time]])</f>
        <v>8</v>
      </c>
      <c r="I851" s="10" t="str">
        <f>IF(COUNTIF('Transform Data'!$D:$D,'Transform Data'!D851)&gt;1,"Repeat","Single")</f>
        <v>Repeat</v>
      </c>
      <c r="J851" s="10" t="str">
        <f>IF('Transform Data'!D851="Cash","Cash",IF(COUNTIF('Transform Data'!$D:$D,'Transform Data'!D851)&gt;1,"Repeat","Single"))</f>
        <v>Repeat</v>
      </c>
      <c r="K851" s="10" t="str">
        <f t="shared" si="13"/>
        <v>TRANS-0850</v>
      </c>
    </row>
    <row r="852" spans="1:11" x14ac:dyDescent="0.35">
      <c r="A852" s="5">
        <v>45465</v>
      </c>
      <c r="B852" s="3">
        <v>0.40125</v>
      </c>
      <c r="C852" t="s">
        <v>8</v>
      </c>
      <c r="D852" t="s">
        <v>364</v>
      </c>
      <c r="E852" s="4">
        <v>32.82</v>
      </c>
      <c r="F852" t="s">
        <v>36</v>
      </c>
      <c r="G852" s="10" t="str">
        <f>TEXT(Transform_Data[[#This Row],[Date]],"mmm yyyy")</f>
        <v>Jun 2024</v>
      </c>
      <c r="H852" s="10">
        <f>HOUR(Transform_Data[[#This Row],[Time]])</f>
        <v>9</v>
      </c>
      <c r="I852" s="10" t="str">
        <f>IF(COUNTIF('Transform Data'!$D:$D,'Transform Data'!D852)&gt;1,"Repeat","Single")</f>
        <v>Repeat</v>
      </c>
      <c r="J852" s="10" t="str">
        <f>IF('Transform Data'!D852="Cash","Cash",IF(COUNTIF('Transform Data'!$D:$D,'Transform Data'!D852)&gt;1,"Repeat","Single"))</f>
        <v>Repeat</v>
      </c>
      <c r="K852" s="10" t="str">
        <f t="shared" si="13"/>
        <v>TRANS-0851</v>
      </c>
    </row>
    <row r="853" spans="1:11" x14ac:dyDescent="0.35">
      <c r="A853" s="5">
        <v>45465</v>
      </c>
      <c r="B853" s="3">
        <v>0.53697916666666667</v>
      </c>
      <c r="C853" t="s">
        <v>8</v>
      </c>
      <c r="D853" t="s">
        <v>370</v>
      </c>
      <c r="E853" s="4">
        <v>32.82</v>
      </c>
      <c r="F853" t="s">
        <v>36</v>
      </c>
      <c r="G853" s="10" t="str">
        <f>TEXT(Transform_Data[[#This Row],[Date]],"mmm yyyy")</f>
        <v>Jun 2024</v>
      </c>
      <c r="H853" s="10">
        <f>HOUR(Transform_Data[[#This Row],[Time]])</f>
        <v>12</v>
      </c>
      <c r="I853" s="10" t="str">
        <f>IF(COUNTIF('Transform Data'!$D:$D,'Transform Data'!D853)&gt;1,"Repeat","Single")</f>
        <v>Single</v>
      </c>
      <c r="J853" s="10" t="str">
        <f>IF('Transform Data'!D853="Cash","Cash",IF(COUNTIF('Transform Data'!$D:$D,'Transform Data'!D853)&gt;1,"Repeat","Single"))</f>
        <v>Single</v>
      </c>
      <c r="K853" s="10" t="str">
        <f t="shared" si="13"/>
        <v>TRANS-0852</v>
      </c>
    </row>
    <row r="854" spans="1:11" x14ac:dyDescent="0.35">
      <c r="A854" s="5">
        <v>45465</v>
      </c>
      <c r="B854" s="3">
        <v>0.65092592592592591</v>
      </c>
      <c r="C854" t="s">
        <v>8</v>
      </c>
      <c r="D854" t="s">
        <v>25</v>
      </c>
      <c r="E854" s="4">
        <v>37.72</v>
      </c>
      <c r="F854" t="s">
        <v>32</v>
      </c>
      <c r="G854" s="10" t="str">
        <f>TEXT(Transform_Data[[#This Row],[Date]],"mmm yyyy")</f>
        <v>Jun 2024</v>
      </c>
      <c r="H854" s="10">
        <f>HOUR(Transform_Data[[#This Row],[Time]])</f>
        <v>15</v>
      </c>
      <c r="I854" s="10" t="str">
        <f>IF(COUNTIF('Transform Data'!$D:$D,'Transform Data'!D854)&gt;1,"Repeat","Single")</f>
        <v>Repeat</v>
      </c>
      <c r="J854" s="10" t="str">
        <f>IF('Transform Data'!D854="Cash","Cash",IF(COUNTIF('Transform Data'!$D:$D,'Transform Data'!D854)&gt;1,"Repeat","Single"))</f>
        <v>Repeat</v>
      </c>
      <c r="K854" s="10" t="str">
        <f t="shared" si="13"/>
        <v>TRANS-0853</v>
      </c>
    </row>
    <row r="855" spans="1:11" x14ac:dyDescent="0.35">
      <c r="A855" s="5">
        <v>45465</v>
      </c>
      <c r="B855" s="3">
        <v>0.92386574074074079</v>
      </c>
      <c r="C855" t="s">
        <v>8</v>
      </c>
      <c r="D855" t="s">
        <v>371</v>
      </c>
      <c r="E855" s="4">
        <v>37.72</v>
      </c>
      <c r="F855" t="s">
        <v>24</v>
      </c>
      <c r="G855" s="10" t="str">
        <f>TEXT(Transform_Data[[#This Row],[Date]],"mmm yyyy")</f>
        <v>Jun 2024</v>
      </c>
      <c r="H855" s="10">
        <f>HOUR(Transform_Data[[#This Row],[Time]])</f>
        <v>22</v>
      </c>
      <c r="I855" s="10" t="str">
        <f>IF(COUNTIF('Transform Data'!$D:$D,'Transform Data'!D855)&gt;1,"Repeat","Single")</f>
        <v>Single</v>
      </c>
      <c r="J855" s="10" t="str">
        <f>IF('Transform Data'!D855="Cash","Cash",IF(COUNTIF('Transform Data'!$D:$D,'Transform Data'!D855)&gt;1,"Repeat","Single"))</f>
        <v>Single</v>
      </c>
      <c r="K855" s="10" t="str">
        <f t="shared" si="13"/>
        <v>TRANS-0854</v>
      </c>
    </row>
    <row r="856" spans="1:11" x14ac:dyDescent="0.35">
      <c r="A856" s="5">
        <v>45466</v>
      </c>
      <c r="B856" s="3">
        <v>0.75834490740740745</v>
      </c>
      <c r="C856" t="s">
        <v>8</v>
      </c>
      <c r="D856" t="s">
        <v>43</v>
      </c>
      <c r="E856" s="4">
        <v>32.82</v>
      </c>
      <c r="F856" t="s">
        <v>36</v>
      </c>
      <c r="G856" s="10" t="str">
        <f>TEXT(Transform_Data[[#This Row],[Date]],"mmm yyyy")</f>
        <v>Jun 2024</v>
      </c>
      <c r="H856" s="10">
        <f>HOUR(Transform_Data[[#This Row],[Time]])</f>
        <v>18</v>
      </c>
      <c r="I856" s="10" t="str">
        <f>IF(COUNTIF('Transform Data'!$D:$D,'Transform Data'!D856)&gt;1,"Repeat","Single")</f>
        <v>Repeat</v>
      </c>
      <c r="J856" s="10" t="str">
        <f>IF('Transform Data'!D856="Cash","Cash",IF(COUNTIF('Transform Data'!$D:$D,'Transform Data'!D856)&gt;1,"Repeat","Single"))</f>
        <v>Repeat</v>
      </c>
      <c r="K856" s="10" t="str">
        <f t="shared" si="13"/>
        <v>TRANS-0855</v>
      </c>
    </row>
    <row r="857" spans="1:11" x14ac:dyDescent="0.35">
      <c r="A857" s="5">
        <v>45466</v>
      </c>
      <c r="B857" s="3">
        <v>0.75960648148148147</v>
      </c>
      <c r="C857" t="s">
        <v>8</v>
      </c>
      <c r="D857" t="s">
        <v>43</v>
      </c>
      <c r="E857" s="4">
        <v>32.82</v>
      </c>
      <c r="F857" t="s">
        <v>36</v>
      </c>
      <c r="G857" s="10" t="str">
        <f>TEXT(Transform_Data[[#This Row],[Date]],"mmm yyyy")</f>
        <v>Jun 2024</v>
      </c>
      <c r="H857" s="10">
        <f>HOUR(Transform_Data[[#This Row],[Time]])</f>
        <v>18</v>
      </c>
      <c r="I857" s="10" t="str">
        <f>IF(COUNTIF('Transform Data'!$D:$D,'Transform Data'!D857)&gt;1,"Repeat","Single")</f>
        <v>Repeat</v>
      </c>
      <c r="J857" s="10" t="str">
        <f>IF('Transform Data'!D857="Cash","Cash",IF(COUNTIF('Transform Data'!$D:$D,'Transform Data'!D857)&gt;1,"Repeat","Single"))</f>
        <v>Repeat</v>
      </c>
      <c r="K857" s="10" t="str">
        <f t="shared" si="13"/>
        <v>TRANS-0856</v>
      </c>
    </row>
    <row r="858" spans="1:11" x14ac:dyDescent="0.35">
      <c r="A858" s="5">
        <v>45466</v>
      </c>
      <c r="B858" s="3">
        <v>0.87969907407407411</v>
      </c>
      <c r="C858" t="s">
        <v>8</v>
      </c>
      <c r="D858" t="s">
        <v>372</v>
      </c>
      <c r="E858" s="4">
        <v>37.72</v>
      </c>
      <c r="F858" t="s">
        <v>24</v>
      </c>
      <c r="G858" s="10" t="str">
        <f>TEXT(Transform_Data[[#This Row],[Date]],"mmm yyyy")</f>
        <v>Jun 2024</v>
      </c>
      <c r="H858" s="10">
        <f>HOUR(Transform_Data[[#This Row],[Time]])</f>
        <v>21</v>
      </c>
      <c r="I858" s="10" t="str">
        <f>IF(COUNTIF('Transform Data'!$D:$D,'Transform Data'!D858)&gt;1,"Repeat","Single")</f>
        <v>Repeat</v>
      </c>
      <c r="J858" s="10" t="str">
        <f>IF('Transform Data'!D858="Cash","Cash",IF(COUNTIF('Transform Data'!$D:$D,'Transform Data'!D858)&gt;1,"Repeat","Single"))</f>
        <v>Repeat</v>
      </c>
      <c r="K858" s="10" t="str">
        <f t="shared" si="13"/>
        <v>TRANS-0857</v>
      </c>
    </row>
    <row r="859" spans="1:11" x14ac:dyDescent="0.35">
      <c r="A859" s="5">
        <v>45466</v>
      </c>
      <c r="B859" s="3">
        <v>0.89521990740740742</v>
      </c>
      <c r="C859" t="s">
        <v>8</v>
      </c>
      <c r="D859" t="s">
        <v>373</v>
      </c>
      <c r="E859" s="4">
        <v>37.72</v>
      </c>
      <c r="F859" t="s">
        <v>32</v>
      </c>
      <c r="G859" s="10" t="str">
        <f>TEXT(Transform_Data[[#This Row],[Date]],"mmm yyyy")</f>
        <v>Jun 2024</v>
      </c>
      <c r="H859" s="10">
        <f>HOUR(Transform_Data[[#This Row],[Time]])</f>
        <v>21</v>
      </c>
      <c r="I859" s="10" t="str">
        <f>IF(COUNTIF('Transform Data'!$D:$D,'Transform Data'!D859)&gt;1,"Repeat","Single")</f>
        <v>Repeat</v>
      </c>
      <c r="J859" s="10" t="str">
        <f>IF('Transform Data'!D859="Cash","Cash",IF(COUNTIF('Transform Data'!$D:$D,'Transform Data'!D859)&gt;1,"Repeat","Single"))</f>
        <v>Repeat</v>
      </c>
      <c r="K859" s="10" t="str">
        <f t="shared" si="13"/>
        <v>TRANS-0858</v>
      </c>
    </row>
    <row r="860" spans="1:11" x14ac:dyDescent="0.35">
      <c r="A860" s="5">
        <v>45466</v>
      </c>
      <c r="B860" s="3">
        <v>0.89624999999999999</v>
      </c>
      <c r="C860" t="s">
        <v>8</v>
      </c>
      <c r="D860" t="s">
        <v>373</v>
      </c>
      <c r="E860" s="4">
        <v>37.72</v>
      </c>
      <c r="F860" t="s">
        <v>24</v>
      </c>
      <c r="G860" s="10" t="str">
        <f>TEXT(Transform_Data[[#This Row],[Date]],"mmm yyyy")</f>
        <v>Jun 2024</v>
      </c>
      <c r="H860" s="10">
        <f>HOUR(Transform_Data[[#This Row],[Time]])</f>
        <v>21</v>
      </c>
      <c r="I860" s="10" t="str">
        <f>IF(COUNTIF('Transform Data'!$D:$D,'Transform Data'!D860)&gt;1,"Repeat","Single")</f>
        <v>Repeat</v>
      </c>
      <c r="J860" s="10" t="str">
        <f>IF('Transform Data'!D860="Cash","Cash",IF(COUNTIF('Transform Data'!$D:$D,'Transform Data'!D860)&gt;1,"Repeat","Single"))</f>
        <v>Repeat</v>
      </c>
      <c r="K860" s="10" t="str">
        <f t="shared" si="13"/>
        <v>TRANS-0859</v>
      </c>
    </row>
    <row r="861" spans="1:11" x14ac:dyDescent="0.35">
      <c r="A861" s="5">
        <v>45467</v>
      </c>
      <c r="B861" s="3">
        <v>0.48934027777777778</v>
      </c>
      <c r="C861" t="s">
        <v>8</v>
      </c>
      <c r="D861" t="s">
        <v>218</v>
      </c>
      <c r="E861" s="4">
        <v>32.82</v>
      </c>
      <c r="F861" t="s">
        <v>36</v>
      </c>
      <c r="G861" s="10" t="str">
        <f>TEXT(Transform_Data[[#This Row],[Date]],"mmm yyyy")</f>
        <v>Jun 2024</v>
      </c>
      <c r="H861" s="10">
        <f>HOUR(Transform_Data[[#This Row],[Time]])</f>
        <v>11</v>
      </c>
      <c r="I861" s="10" t="str">
        <f>IF(COUNTIF('Transform Data'!$D:$D,'Transform Data'!D861)&gt;1,"Repeat","Single")</f>
        <v>Repeat</v>
      </c>
      <c r="J861" s="10" t="str">
        <f>IF('Transform Data'!D861="Cash","Cash",IF(COUNTIF('Transform Data'!$D:$D,'Transform Data'!D861)&gt;1,"Repeat","Single"))</f>
        <v>Repeat</v>
      </c>
      <c r="K861" s="10" t="str">
        <f t="shared" si="13"/>
        <v>TRANS-0860</v>
      </c>
    </row>
    <row r="862" spans="1:11" x14ac:dyDescent="0.35">
      <c r="A862" s="5">
        <v>45467</v>
      </c>
      <c r="B862" s="3">
        <v>0.49277777777777776</v>
      </c>
      <c r="C862" t="s">
        <v>8</v>
      </c>
      <c r="D862" t="s">
        <v>234</v>
      </c>
      <c r="E862" s="4">
        <v>37.72</v>
      </c>
      <c r="F862" t="s">
        <v>24</v>
      </c>
      <c r="G862" s="10" t="str">
        <f>TEXT(Transform_Data[[#This Row],[Date]],"mmm yyyy")</f>
        <v>Jun 2024</v>
      </c>
      <c r="H862" s="10">
        <f>HOUR(Transform_Data[[#This Row],[Time]])</f>
        <v>11</v>
      </c>
      <c r="I862" s="10" t="str">
        <f>IF(COUNTIF('Transform Data'!$D:$D,'Transform Data'!D862)&gt;1,"Repeat","Single")</f>
        <v>Repeat</v>
      </c>
      <c r="J862" s="10" t="str">
        <f>IF('Transform Data'!D862="Cash","Cash",IF(COUNTIF('Transform Data'!$D:$D,'Transform Data'!D862)&gt;1,"Repeat","Single"))</f>
        <v>Repeat</v>
      </c>
      <c r="K862" s="10" t="str">
        <f t="shared" si="13"/>
        <v>TRANS-0861</v>
      </c>
    </row>
    <row r="863" spans="1:11" x14ac:dyDescent="0.35">
      <c r="A863" s="5">
        <v>45467</v>
      </c>
      <c r="B863" s="3">
        <v>0.49356481481481479</v>
      </c>
      <c r="C863" t="s">
        <v>8</v>
      </c>
      <c r="D863" t="s">
        <v>234</v>
      </c>
      <c r="E863" s="4">
        <v>37.72</v>
      </c>
      <c r="F863" t="s">
        <v>24</v>
      </c>
      <c r="G863" s="10" t="str">
        <f>TEXT(Transform_Data[[#This Row],[Date]],"mmm yyyy")</f>
        <v>Jun 2024</v>
      </c>
      <c r="H863" s="10">
        <f>HOUR(Transform_Data[[#This Row],[Time]])</f>
        <v>11</v>
      </c>
      <c r="I863" s="10" t="str">
        <f>IF(COUNTIF('Transform Data'!$D:$D,'Transform Data'!D863)&gt;1,"Repeat","Single")</f>
        <v>Repeat</v>
      </c>
      <c r="J863" s="10" t="str">
        <f>IF('Transform Data'!D863="Cash","Cash",IF(COUNTIF('Transform Data'!$D:$D,'Transform Data'!D863)&gt;1,"Repeat","Single"))</f>
        <v>Repeat</v>
      </c>
      <c r="K863" s="10" t="str">
        <f t="shared" si="13"/>
        <v>TRANS-0862</v>
      </c>
    </row>
    <row r="864" spans="1:11" x14ac:dyDescent="0.35">
      <c r="A864" s="5">
        <v>45467</v>
      </c>
      <c r="B864" s="3">
        <v>0.62671296296296297</v>
      </c>
      <c r="C864" t="s">
        <v>8</v>
      </c>
      <c r="D864" t="s">
        <v>374</v>
      </c>
      <c r="E864" s="4">
        <v>37.72</v>
      </c>
      <c r="F864" t="s">
        <v>32</v>
      </c>
      <c r="G864" s="10" t="str">
        <f>TEXT(Transform_Data[[#This Row],[Date]],"mmm yyyy")</f>
        <v>Jun 2024</v>
      </c>
      <c r="H864" s="10">
        <f>HOUR(Transform_Data[[#This Row],[Time]])</f>
        <v>15</v>
      </c>
      <c r="I864" s="10" t="str">
        <f>IF(COUNTIF('Transform Data'!$D:$D,'Transform Data'!D864)&gt;1,"Repeat","Single")</f>
        <v>Single</v>
      </c>
      <c r="J864" s="10" t="str">
        <f>IF('Transform Data'!D864="Cash","Cash",IF(COUNTIF('Transform Data'!$D:$D,'Transform Data'!D864)&gt;1,"Repeat","Single"))</f>
        <v>Single</v>
      </c>
      <c r="K864" s="10" t="str">
        <f t="shared" si="13"/>
        <v>TRANS-0863</v>
      </c>
    </row>
    <row r="865" spans="1:11" x14ac:dyDescent="0.35">
      <c r="A865" s="5">
        <v>45467</v>
      </c>
      <c r="B865" s="3">
        <v>0.69861111111111107</v>
      </c>
      <c r="C865" t="s">
        <v>8</v>
      </c>
      <c r="D865" t="s">
        <v>257</v>
      </c>
      <c r="E865" s="4">
        <v>37.72</v>
      </c>
      <c r="F865" t="s">
        <v>24</v>
      </c>
      <c r="G865" s="10" t="str">
        <f>TEXT(Transform_Data[[#This Row],[Date]],"mmm yyyy")</f>
        <v>Jun 2024</v>
      </c>
      <c r="H865" s="10">
        <f>HOUR(Transform_Data[[#This Row],[Time]])</f>
        <v>16</v>
      </c>
      <c r="I865" s="10" t="str">
        <f>IF(COUNTIF('Transform Data'!$D:$D,'Transform Data'!D865)&gt;1,"Repeat","Single")</f>
        <v>Repeat</v>
      </c>
      <c r="J865" s="10" t="str">
        <f>IF('Transform Data'!D865="Cash","Cash",IF(COUNTIF('Transform Data'!$D:$D,'Transform Data'!D865)&gt;1,"Repeat","Single"))</f>
        <v>Repeat</v>
      </c>
      <c r="K865" s="10" t="str">
        <f t="shared" si="13"/>
        <v>TRANS-0864</v>
      </c>
    </row>
    <row r="866" spans="1:11" x14ac:dyDescent="0.35">
      <c r="A866" s="5">
        <v>45467</v>
      </c>
      <c r="B866" s="3">
        <v>0.69930555555555551</v>
      </c>
      <c r="C866" t="s">
        <v>8</v>
      </c>
      <c r="D866" t="s">
        <v>257</v>
      </c>
      <c r="E866" s="4">
        <v>37.72</v>
      </c>
      <c r="F866" t="s">
        <v>24</v>
      </c>
      <c r="G866" s="10" t="str">
        <f>TEXT(Transform_Data[[#This Row],[Date]],"mmm yyyy")</f>
        <v>Jun 2024</v>
      </c>
      <c r="H866" s="10">
        <f>HOUR(Transform_Data[[#This Row],[Time]])</f>
        <v>16</v>
      </c>
      <c r="I866" s="10" t="str">
        <f>IF(COUNTIF('Transform Data'!$D:$D,'Transform Data'!D866)&gt;1,"Repeat","Single")</f>
        <v>Repeat</v>
      </c>
      <c r="J866" s="10" t="str">
        <f>IF('Transform Data'!D866="Cash","Cash",IF(COUNTIF('Transform Data'!$D:$D,'Transform Data'!D866)&gt;1,"Repeat","Single"))</f>
        <v>Repeat</v>
      </c>
      <c r="K866" s="10" t="str">
        <f t="shared" si="13"/>
        <v>TRANS-0865</v>
      </c>
    </row>
    <row r="867" spans="1:11" x14ac:dyDescent="0.35">
      <c r="A867" s="5">
        <v>45468</v>
      </c>
      <c r="B867" s="3">
        <v>0.34680555555555553</v>
      </c>
      <c r="C867" t="s">
        <v>8</v>
      </c>
      <c r="D867" t="s">
        <v>375</v>
      </c>
      <c r="E867" s="4">
        <v>37.72</v>
      </c>
      <c r="F867" t="s">
        <v>32</v>
      </c>
      <c r="G867" s="10" t="str">
        <f>TEXT(Transform_Data[[#This Row],[Date]],"mmm yyyy")</f>
        <v>Jun 2024</v>
      </c>
      <c r="H867" s="10">
        <f>HOUR(Transform_Data[[#This Row],[Time]])</f>
        <v>8</v>
      </c>
      <c r="I867" s="10" t="str">
        <f>IF(COUNTIF('Transform Data'!$D:$D,'Transform Data'!D867)&gt;1,"Repeat","Single")</f>
        <v>Repeat</v>
      </c>
      <c r="J867" s="10" t="str">
        <f>IF('Transform Data'!D867="Cash","Cash",IF(COUNTIF('Transform Data'!$D:$D,'Transform Data'!D867)&gt;1,"Repeat","Single"))</f>
        <v>Repeat</v>
      </c>
      <c r="K867" s="10" t="str">
        <f t="shared" si="13"/>
        <v>TRANS-0866</v>
      </c>
    </row>
    <row r="868" spans="1:11" x14ac:dyDescent="0.35">
      <c r="A868" s="5">
        <v>45468</v>
      </c>
      <c r="B868" s="3">
        <v>0.43641203703703701</v>
      </c>
      <c r="C868" t="s">
        <v>8</v>
      </c>
      <c r="D868" t="s">
        <v>43</v>
      </c>
      <c r="E868" s="4">
        <v>32.82</v>
      </c>
      <c r="F868" t="s">
        <v>36</v>
      </c>
      <c r="G868" s="10" t="str">
        <f>TEXT(Transform_Data[[#This Row],[Date]],"mmm yyyy")</f>
        <v>Jun 2024</v>
      </c>
      <c r="H868" s="10">
        <f>HOUR(Transform_Data[[#This Row],[Time]])</f>
        <v>10</v>
      </c>
      <c r="I868" s="10" t="str">
        <f>IF(COUNTIF('Transform Data'!$D:$D,'Transform Data'!D868)&gt;1,"Repeat","Single")</f>
        <v>Repeat</v>
      </c>
      <c r="J868" s="10" t="str">
        <f>IF('Transform Data'!D868="Cash","Cash",IF(COUNTIF('Transform Data'!$D:$D,'Transform Data'!D868)&gt;1,"Repeat","Single"))</f>
        <v>Repeat</v>
      </c>
      <c r="K868" s="10" t="str">
        <f t="shared" si="13"/>
        <v>TRANS-0867</v>
      </c>
    </row>
    <row r="869" spans="1:11" x14ac:dyDescent="0.35">
      <c r="A869" s="5">
        <v>45468</v>
      </c>
      <c r="B869" s="3">
        <v>0.43729166666666669</v>
      </c>
      <c r="C869" t="s">
        <v>8</v>
      </c>
      <c r="D869" t="s">
        <v>16</v>
      </c>
      <c r="E869" s="4">
        <v>32.82</v>
      </c>
      <c r="F869" t="s">
        <v>36</v>
      </c>
      <c r="G869" s="10" t="str">
        <f>TEXT(Transform_Data[[#This Row],[Date]],"mmm yyyy")</f>
        <v>Jun 2024</v>
      </c>
      <c r="H869" s="10">
        <f>HOUR(Transform_Data[[#This Row],[Time]])</f>
        <v>10</v>
      </c>
      <c r="I869" s="10" t="str">
        <f>IF(COUNTIF('Transform Data'!$D:$D,'Transform Data'!D869)&gt;1,"Repeat","Single")</f>
        <v>Repeat</v>
      </c>
      <c r="J869" s="10" t="str">
        <f>IF('Transform Data'!D869="Cash","Cash",IF(COUNTIF('Transform Data'!$D:$D,'Transform Data'!D869)&gt;1,"Repeat","Single"))</f>
        <v>Repeat</v>
      </c>
      <c r="K869" s="10" t="str">
        <f t="shared" si="13"/>
        <v>TRANS-0868</v>
      </c>
    </row>
    <row r="870" spans="1:11" x14ac:dyDescent="0.35">
      <c r="A870" s="5">
        <v>45468</v>
      </c>
      <c r="B870" s="3">
        <v>0.48254629629629631</v>
      </c>
      <c r="C870" t="s">
        <v>8</v>
      </c>
      <c r="D870" t="s">
        <v>257</v>
      </c>
      <c r="E870" s="4">
        <v>37.72</v>
      </c>
      <c r="F870" t="s">
        <v>24</v>
      </c>
      <c r="G870" s="10" t="str">
        <f>TEXT(Transform_Data[[#This Row],[Date]],"mmm yyyy")</f>
        <v>Jun 2024</v>
      </c>
      <c r="H870" s="10">
        <f>HOUR(Transform_Data[[#This Row],[Time]])</f>
        <v>11</v>
      </c>
      <c r="I870" s="10" t="str">
        <f>IF(COUNTIF('Transform Data'!$D:$D,'Transform Data'!D870)&gt;1,"Repeat","Single")</f>
        <v>Repeat</v>
      </c>
      <c r="J870" s="10" t="str">
        <f>IF('Transform Data'!D870="Cash","Cash",IF(COUNTIF('Transform Data'!$D:$D,'Transform Data'!D870)&gt;1,"Repeat","Single"))</f>
        <v>Repeat</v>
      </c>
      <c r="K870" s="10" t="str">
        <f t="shared" si="13"/>
        <v>TRANS-0869</v>
      </c>
    </row>
    <row r="871" spans="1:11" x14ac:dyDescent="0.35">
      <c r="A871" s="5">
        <v>45469</v>
      </c>
      <c r="B871" s="3">
        <v>0.39792824074074074</v>
      </c>
      <c r="C871" t="s">
        <v>8</v>
      </c>
      <c r="D871" t="s">
        <v>376</v>
      </c>
      <c r="E871" s="4">
        <v>37.72</v>
      </c>
      <c r="F871" t="s">
        <v>32</v>
      </c>
      <c r="G871" s="10" t="str">
        <f>TEXT(Transform_Data[[#This Row],[Date]],"mmm yyyy")</f>
        <v>Jun 2024</v>
      </c>
      <c r="H871" s="10">
        <f>HOUR(Transform_Data[[#This Row],[Time]])</f>
        <v>9</v>
      </c>
      <c r="I871" s="10" t="str">
        <f>IF(COUNTIF('Transform Data'!$D:$D,'Transform Data'!D871)&gt;1,"Repeat","Single")</f>
        <v>Single</v>
      </c>
      <c r="J871" s="10" t="str">
        <f>IF('Transform Data'!D871="Cash","Cash",IF(COUNTIF('Transform Data'!$D:$D,'Transform Data'!D871)&gt;1,"Repeat","Single"))</f>
        <v>Single</v>
      </c>
      <c r="K871" s="10" t="str">
        <f t="shared" si="13"/>
        <v>TRANS-0870</v>
      </c>
    </row>
    <row r="872" spans="1:11" x14ac:dyDescent="0.35">
      <c r="A872" s="5">
        <v>45469</v>
      </c>
      <c r="B872" s="3">
        <v>0.68922453703703701</v>
      </c>
      <c r="C872" t="s">
        <v>8</v>
      </c>
      <c r="D872" t="s">
        <v>377</v>
      </c>
      <c r="E872" s="4">
        <v>23.02</v>
      </c>
      <c r="F872" t="s">
        <v>5</v>
      </c>
      <c r="G872" s="10" t="str">
        <f>TEXT(Transform_Data[[#This Row],[Date]],"mmm yyyy")</f>
        <v>Jun 2024</v>
      </c>
      <c r="H872" s="10">
        <f>HOUR(Transform_Data[[#This Row],[Time]])</f>
        <v>16</v>
      </c>
      <c r="I872" s="10" t="str">
        <f>IF(COUNTIF('Transform Data'!$D:$D,'Transform Data'!D872)&gt;1,"Repeat","Single")</f>
        <v>Single</v>
      </c>
      <c r="J872" s="10" t="str">
        <f>IF('Transform Data'!D872="Cash","Cash",IF(COUNTIF('Transform Data'!$D:$D,'Transform Data'!D872)&gt;1,"Repeat","Single"))</f>
        <v>Single</v>
      </c>
      <c r="K872" s="10" t="str">
        <f t="shared" si="13"/>
        <v>TRANS-0871</v>
      </c>
    </row>
    <row r="873" spans="1:11" x14ac:dyDescent="0.35">
      <c r="A873" s="5">
        <v>45469</v>
      </c>
      <c r="B873" s="3">
        <v>0.69028935185185181</v>
      </c>
      <c r="C873" t="s">
        <v>8</v>
      </c>
      <c r="D873" t="s">
        <v>378</v>
      </c>
      <c r="E873" s="4">
        <v>27.92</v>
      </c>
      <c r="F873" t="s">
        <v>28</v>
      </c>
      <c r="G873" s="10" t="str">
        <f>TEXT(Transform_Data[[#This Row],[Date]],"mmm yyyy")</f>
        <v>Jun 2024</v>
      </c>
      <c r="H873" s="10">
        <f>HOUR(Transform_Data[[#This Row],[Time]])</f>
        <v>16</v>
      </c>
      <c r="I873" s="10" t="str">
        <f>IF(COUNTIF('Transform Data'!$D:$D,'Transform Data'!D873)&gt;1,"Repeat","Single")</f>
        <v>Single</v>
      </c>
      <c r="J873" s="10" t="str">
        <f>IF('Transform Data'!D873="Cash","Cash",IF(COUNTIF('Transform Data'!$D:$D,'Transform Data'!D873)&gt;1,"Repeat","Single"))</f>
        <v>Single</v>
      </c>
      <c r="K873" s="10" t="str">
        <f t="shared" si="13"/>
        <v>TRANS-0872</v>
      </c>
    </row>
    <row r="874" spans="1:11" x14ac:dyDescent="0.35">
      <c r="A874" s="5">
        <v>45469</v>
      </c>
      <c r="B874" s="3">
        <v>0.89019675925925923</v>
      </c>
      <c r="C874" t="s">
        <v>8</v>
      </c>
      <c r="D874" t="s">
        <v>25</v>
      </c>
      <c r="E874" s="4">
        <v>37.72</v>
      </c>
      <c r="F874" t="s">
        <v>32</v>
      </c>
      <c r="G874" s="10" t="str">
        <f>TEXT(Transform_Data[[#This Row],[Date]],"mmm yyyy")</f>
        <v>Jun 2024</v>
      </c>
      <c r="H874" s="10">
        <f>HOUR(Transform_Data[[#This Row],[Time]])</f>
        <v>21</v>
      </c>
      <c r="I874" s="10" t="str">
        <f>IF(COUNTIF('Transform Data'!$D:$D,'Transform Data'!D874)&gt;1,"Repeat","Single")</f>
        <v>Repeat</v>
      </c>
      <c r="J874" s="10" t="str">
        <f>IF('Transform Data'!D874="Cash","Cash",IF(COUNTIF('Transform Data'!$D:$D,'Transform Data'!D874)&gt;1,"Repeat","Single"))</f>
        <v>Repeat</v>
      </c>
      <c r="K874" s="10" t="str">
        <f t="shared" si="13"/>
        <v>TRANS-0873</v>
      </c>
    </row>
    <row r="875" spans="1:11" x14ac:dyDescent="0.35">
      <c r="A875" s="5">
        <v>45469</v>
      </c>
      <c r="B875" s="3">
        <v>0.89375000000000004</v>
      </c>
      <c r="C875" t="s">
        <v>8</v>
      </c>
      <c r="D875" t="s">
        <v>25</v>
      </c>
      <c r="E875" s="4">
        <v>37.72</v>
      </c>
      <c r="F875" t="s">
        <v>24</v>
      </c>
      <c r="G875" s="10" t="str">
        <f>TEXT(Transform_Data[[#This Row],[Date]],"mmm yyyy")</f>
        <v>Jun 2024</v>
      </c>
      <c r="H875" s="10">
        <f>HOUR(Transform_Data[[#This Row],[Time]])</f>
        <v>21</v>
      </c>
      <c r="I875" s="10" t="str">
        <f>IF(COUNTIF('Transform Data'!$D:$D,'Transform Data'!D875)&gt;1,"Repeat","Single")</f>
        <v>Repeat</v>
      </c>
      <c r="J875" s="10" t="str">
        <f>IF('Transform Data'!D875="Cash","Cash",IF(COUNTIF('Transform Data'!$D:$D,'Transform Data'!D875)&gt;1,"Repeat","Single"))</f>
        <v>Repeat</v>
      </c>
      <c r="K875" s="10" t="str">
        <f t="shared" si="13"/>
        <v>TRANS-0874</v>
      </c>
    </row>
    <row r="876" spans="1:11" x14ac:dyDescent="0.35">
      <c r="A876" s="5">
        <v>45469</v>
      </c>
      <c r="B876" s="3">
        <v>0.89460648148148147</v>
      </c>
      <c r="C876" t="s">
        <v>8</v>
      </c>
      <c r="D876" t="s">
        <v>260</v>
      </c>
      <c r="E876" s="4">
        <v>32.82</v>
      </c>
      <c r="F876" t="s">
        <v>36</v>
      </c>
      <c r="G876" s="10" t="str">
        <f>TEXT(Transform_Data[[#This Row],[Date]],"mmm yyyy")</f>
        <v>Jun 2024</v>
      </c>
      <c r="H876" s="10">
        <f>HOUR(Transform_Data[[#This Row],[Time]])</f>
        <v>21</v>
      </c>
      <c r="I876" s="10" t="str">
        <f>IF(COUNTIF('Transform Data'!$D:$D,'Transform Data'!D876)&gt;1,"Repeat","Single")</f>
        <v>Repeat</v>
      </c>
      <c r="J876" s="10" t="str">
        <f>IF('Transform Data'!D876="Cash","Cash",IF(COUNTIF('Transform Data'!$D:$D,'Transform Data'!D876)&gt;1,"Repeat","Single"))</f>
        <v>Repeat</v>
      </c>
      <c r="K876" s="10" t="str">
        <f t="shared" si="13"/>
        <v>TRANS-0875</v>
      </c>
    </row>
    <row r="877" spans="1:11" x14ac:dyDescent="0.35">
      <c r="A877" s="5">
        <v>45470</v>
      </c>
      <c r="B877" s="3">
        <v>0.38591435185185186</v>
      </c>
      <c r="C877" t="s">
        <v>8</v>
      </c>
      <c r="D877" t="s">
        <v>379</v>
      </c>
      <c r="E877" s="4">
        <v>32.82</v>
      </c>
      <c r="F877" t="s">
        <v>36</v>
      </c>
      <c r="G877" s="10" t="str">
        <f>TEXT(Transform_Data[[#This Row],[Date]],"mmm yyyy")</f>
        <v>Jun 2024</v>
      </c>
      <c r="H877" s="10">
        <f>HOUR(Transform_Data[[#This Row],[Time]])</f>
        <v>9</v>
      </c>
      <c r="I877" s="10" t="str">
        <f>IF(COUNTIF('Transform Data'!$D:$D,'Transform Data'!D877)&gt;1,"Repeat","Single")</f>
        <v>Single</v>
      </c>
      <c r="J877" s="10" t="str">
        <f>IF('Transform Data'!D877="Cash","Cash",IF(COUNTIF('Transform Data'!$D:$D,'Transform Data'!D877)&gt;1,"Repeat","Single"))</f>
        <v>Single</v>
      </c>
      <c r="K877" s="10" t="str">
        <f t="shared" si="13"/>
        <v>TRANS-0876</v>
      </c>
    </row>
    <row r="878" spans="1:11" x14ac:dyDescent="0.35">
      <c r="A878" s="5">
        <v>45470</v>
      </c>
      <c r="B878" s="3">
        <v>0.67486111111111113</v>
      </c>
      <c r="C878" t="s">
        <v>8</v>
      </c>
      <c r="D878" t="s">
        <v>380</v>
      </c>
      <c r="E878" s="4">
        <v>27.92</v>
      </c>
      <c r="F878" t="s">
        <v>20</v>
      </c>
      <c r="G878" s="10" t="str">
        <f>TEXT(Transform_Data[[#This Row],[Date]],"mmm yyyy")</f>
        <v>Jun 2024</v>
      </c>
      <c r="H878" s="10">
        <f>HOUR(Transform_Data[[#This Row],[Time]])</f>
        <v>16</v>
      </c>
      <c r="I878" s="10" t="str">
        <f>IF(COUNTIF('Transform Data'!$D:$D,'Transform Data'!D878)&gt;1,"Repeat","Single")</f>
        <v>Single</v>
      </c>
      <c r="J878" s="10" t="str">
        <f>IF('Transform Data'!D878="Cash","Cash",IF(COUNTIF('Transform Data'!$D:$D,'Transform Data'!D878)&gt;1,"Repeat","Single"))</f>
        <v>Single</v>
      </c>
      <c r="K878" s="10" t="str">
        <f t="shared" si="13"/>
        <v>TRANS-0877</v>
      </c>
    </row>
    <row r="879" spans="1:11" x14ac:dyDescent="0.35">
      <c r="A879" s="5">
        <v>45470</v>
      </c>
      <c r="B879" s="3">
        <v>0.90559027777777779</v>
      </c>
      <c r="C879" t="s">
        <v>8</v>
      </c>
      <c r="D879" t="s">
        <v>381</v>
      </c>
      <c r="E879" s="4">
        <v>32.82</v>
      </c>
      <c r="F879" t="s">
        <v>36</v>
      </c>
      <c r="G879" s="10" t="str">
        <f>TEXT(Transform_Data[[#This Row],[Date]],"mmm yyyy")</f>
        <v>Jun 2024</v>
      </c>
      <c r="H879" s="10">
        <f>HOUR(Transform_Data[[#This Row],[Time]])</f>
        <v>21</v>
      </c>
      <c r="I879" s="10" t="str">
        <f>IF(COUNTIF('Transform Data'!$D:$D,'Transform Data'!D879)&gt;1,"Repeat","Single")</f>
        <v>Repeat</v>
      </c>
      <c r="J879" s="10" t="str">
        <f>IF('Transform Data'!D879="Cash","Cash",IF(COUNTIF('Transform Data'!$D:$D,'Transform Data'!D879)&gt;1,"Repeat","Single"))</f>
        <v>Repeat</v>
      </c>
      <c r="K879" s="10" t="str">
        <f t="shared" si="13"/>
        <v>TRANS-0878</v>
      </c>
    </row>
    <row r="880" spans="1:11" x14ac:dyDescent="0.35">
      <c r="A880" s="5">
        <v>45470</v>
      </c>
      <c r="B880" s="3">
        <v>0.91008101851851853</v>
      </c>
      <c r="C880" t="s">
        <v>8</v>
      </c>
      <c r="D880" t="s">
        <v>382</v>
      </c>
      <c r="E880" s="4">
        <v>37.72</v>
      </c>
      <c r="F880" t="s">
        <v>24</v>
      </c>
      <c r="G880" s="10" t="str">
        <f>TEXT(Transform_Data[[#This Row],[Date]],"mmm yyyy")</f>
        <v>Jun 2024</v>
      </c>
      <c r="H880" s="10">
        <f>HOUR(Transform_Data[[#This Row],[Time]])</f>
        <v>21</v>
      </c>
      <c r="I880" s="10" t="str">
        <f>IF(COUNTIF('Transform Data'!$D:$D,'Transform Data'!D880)&gt;1,"Repeat","Single")</f>
        <v>Repeat</v>
      </c>
      <c r="J880" s="10" t="str">
        <f>IF('Transform Data'!D880="Cash","Cash",IF(COUNTIF('Transform Data'!$D:$D,'Transform Data'!D880)&gt;1,"Repeat","Single"))</f>
        <v>Repeat</v>
      </c>
      <c r="K880" s="10" t="str">
        <f t="shared" si="13"/>
        <v>TRANS-0879</v>
      </c>
    </row>
    <row r="881" spans="1:11" x14ac:dyDescent="0.35">
      <c r="A881" s="5">
        <v>45471</v>
      </c>
      <c r="B881" s="3">
        <v>0.33929398148148149</v>
      </c>
      <c r="C881" t="s">
        <v>8</v>
      </c>
      <c r="D881" t="s">
        <v>40</v>
      </c>
      <c r="E881" s="4">
        <v>27.92</v>
      </c>
      <c r="F881" t="s">
        <v>20</v>
      </c>
      <c r="G881" s="10" t="str">
        <f>TEXT(Transform_Data[[#This Row],[Date]],"mmm yyyy")</f>
        <v>Jun 2024</v>
      </c>
      <c r="H881" s="10">
        <f>HOUR(Transform_Data[[#This Row],[Time]])</f>
        <v>8</v>
      </c>
      <c r="I881" s="10" t="str">
        <f>IF(COUNTIF('Transform Data'!$D:$D,'Transform Data'!D881)&gt;1,"Repeat","Single")</f>
        <v>Repeat</v>
      </c>
      <c r="J881" s="10" t="str">
        <f>IF('Transform Data'!D881="Cash","Cash",IF(COUNTIF('Transform Data'!$D:$D,'Transform Data'!D881)&gt;1,"Repeat","Single"))</f>
        <v>Repeat</v>
      </c>
      <c r="K881" s="10" t="str">
        <f t="shared" si="13"/>
        <v>TRANS-0880</v>
      </c>
    </row>
    <row r="882" spans="1:11" x14ac:dyDescent="0.35">
      <c r="A882" s="5">
        <v>45471</v>
      </c>
      <c r="B882" s="3">
        <v>0.74436342592592597</v>
      </c>
      <c r="C882" t="s">
        <v>8</v>
      </c>
      <c r="D882" t="s">
        <v>328</v>
      </c>
      <c r="E882" s="4">
        <v>23.02</v>
      </c>
      <c r="F882" t="s">
        <v>5</v>
      </c>
      <c r="G882" s="10" t="str">
        <f>TEXT(Transform_Data[[#This Row],[Date]],"mmm yyyy")</f>
        <v>Jun 2024</v>
      </c>
      <c r="H882" s="10">
        <f>HOUR(Transform_Data[[#This Row],[Time]])</f>
        <v>17</v>
      </c>
      <c r="I882" s="10" t="str">
        <f>IF(COUNTIF('Transform Data'!$D:$D,'Transform Data'!D882)&gt;1,"Repeat","Single")</f>
        <v>Repeat</v>
      </c>
      <c r="J882" s="10" t="str">
        <f>IF('Transform Data'!D882="Cash","Cash",IF(COUNTIF('Transform Data'!$D:$D,'Transform Data'!D882)&gt;1,"Repeat","Single"))</f>
        <v>Repeat</v>
      </c>
      <c r="K882" s="10" t="str">
        <f t="shared" si="13"/>
        <v>TRANS-0881</v>
      </c>
    </row>
    <row r="883" spans="1:11" x14ac:dyDescent="0.35">
      <c r="A883" s="5">
        <v>45471</v>
      </c>
      <c r="B883" s="3">
        <v>0.91035879629629635</v>
      </c>
      <c r="C883" t="s">
        <v>8</v>
      </c>
      <c r="D883" t="s">
        <v>383</v>
      </c>
      <c r="E883" s="4">
        <v>32.82</v>
      </c>
      <c r="F883" t="s">
        <v>36</v>
      </c>
      <c r="G883" s="10" t="str">
        <f>TEXT(Transform_Data[[#This Row],[Date]],"mmm yyyy")</f>
        <v>Jun 2024</v>
      </c>
      <c r="H883" s="10">
        <f>HOUR(Transform_Data[[#This Row],[Time]])</f>
        <v>21</v>
      </c>
      <c r="I883" s="10" t="str">
        <f>IF(COUNTIF('Transform Data'!$D:$D,'Transform Data'!D883)&gt;1,"Repeat","Single")</f>
        <v>Single</v>
      </c>
      <c r="J883" s="10" t="str">
        <f>IF('Transform Data'!D883="Cash","Cash",IF(COUNTIF('Transform Data'!$D:$D,'Transform Data'!D883)&gt;1,"Repeat","Single"))</f>
        <v>Single</v>
      </c>
      <c r="K883" s="10" t="str">
        <f t="shared" si="13"/>
        <v>TRANS-0882</v>
      </c>
    </row>
    <row r="884" spans="1:11" x14ac:dyDescent="0.35">
      <c r="A884" s="5">
        <v>45471</v>
      </c>
      <c r="B884" s="3">
        <v>0.91112268518518513</v>
      </c>
      <c r="C884" t="s">
        <v>8</v>
      </c>
      <c r="D884" t="s">
        <v>384</v>
      </c>
      <c r="E884" s="4">
        <v>37.72</v>
      </c>
      <c r="F884" t="s">
        <v>32</v>
      </c>
      <c r="G884" s="10" t="str">
        <f>TEXT(Transform_Data[[#This Row],[Date]],"mmm yyyy")</f>
        <v>Jun 2024</v>
      </c>
      <c r="H884" s="10">
        <f>HOUR(Transform_Data[[#This Row],[Time]])</f>
        <v>21</v>
      </c>
      <c r="I884" s="10" t="str">
        <f>IF(COUNTIF('Transform Data'!$D:$D,'Transform Data'!D884)&gt;1,"Repeat","Single")</f>
        <v>Single</v>
      </c>
      <c r="J884" s="10" t="str">
        <f>IF('Transform Data'!D884="Cash","Cash",IF(COUNTIF('Transform Data'!$D:$D,'Transform Data'!D884)&gt;1,"Repeat","Single"))</f>
        <v>Single</v>
      </c>
      <c r="K884" s="10" t="str">
        <f t="shared" si="13"/>
        <v>TRANS-0883</v>
      </c>
    </row>
    <row r="885" spans="1:11" x14ac:dyDescent="0.35">
      <c r="A885" s="5">
        <v>45471</v>
      </c>
      <c r="B885" s="3">
        <v>0.93633101851851852</v>
      </c>
      <c r="C885" t="s">
        <v>8</v>
      </c>
      <c r="D885" t="s">
        <v>385</v>
      </c>
      <c r="E885" s="4">
        <v>37.72</v>
      </c>
      <c r="F885" t="s">
        <v>24</v>
      </c>
      <c r="G885" s="10" t="str">
        <f>TEXT(Transform_Data[[#This Row],[Date]],"mmm yyyy")</f>
        <v>Jun 2024</v>
      </c>
      <c r="H885" s="10">
        <f>HOUR(Transform_Data[[#This Row],[Time]])</f>
        <v>22</v>
      </c>
      <c r="I885" s="10" t="str">
        <f>IF(COUNTIF('Transform Data'!$D:$D,'Transform Data'!D885)&gt;1,"Repeat","Single")</f>
        <v>Single</v>
      </c>
      <c r="J885" s="10" t="str">
        <f>IF('Transform Data'!D885="Cash","Cash",IF(COUNTIF('Transform Data'!$D:$D,'Transform Data'!D885)&gt;1,"Repeat","Single"))</f>
        <v>Single</v>
      </c>
      <c r="K885" s="10" t="str">
        <f t="shared" si="13"/>
        <v>TRANS-0884</v>
      </c>
    </row>
    <row r="886" spans="1:11" x14ac:dyDescent="0.35">
      <c r="A886" s="5">
        <v>45472</v>
      </c>
      <c r="B886" s="3">
        <v>0.40775462962962961</v>
      </c>
      <c r="C886" t="s">
        <v>8</v>
      </c>
      <c r="D886" t="s">
        <v>11</v>
      </c>
      <c r="E886" s="4">
        <v>32.82</v>
      </c>
      <c r="F886" t="s">
        <v>36</v>
      </c>
      <c r="G886" s="10" t="str">
        <f>TEXT(Transform_Data[[#This Row],[Date]],"mmm yyyy")</f>
        <v>Jun 2024</v>
      </c>
      <c r="H886" s="10">
        <f>HOUR(Transform_Data[[#This Row],[Time]])</f>
        <v>9</v>
      </c>
      <c r="I886" s="10" t="str">
        <f>IF(COUNTIF('Transform Data'!$D:$D,'Transform Data'!D886)&gt;1,"Repeat","Single")</f>
        <v>Repeat</v>
      </c>
      <c r="J886" s="10" t="str">
        <f>IF('Transform Data'!D886="Cash","Cash",IF(COUNTIF('Transform Data'!$D:$D,'Transform Data'!D886)&gt;1,"Repeat","Single"))</f>
        <v>Repeat</v>
      </c>
      <c r="K886" s="10" t="str">
        <f t="shared" si="13"/>
        <v>TRANS-0885</v>
      </c>
    </row>
    <row r="887" spans="1:11" x14ac:dyDescent="0.35">
      <c r="A887" s="5">
        <v>45472</v>
      </c>
      <c r="B887" s="3">
        <v>0.48633101851851851</v>
      </c>
      <c r="C887" t="s">
        <v>8</v>
      </c>
      <c r="D887" t="s">
        <v>386</v>
      </c>
      <c r="E887" s="4">
        <v>32.82</v>
      </c>
      <c r="F887" t="s">
        <v>36</v>
      </c>
      <c r="G887" s="10" t="str">
        <f>TEXT(Transform_Data[[#This Row],[Date]],"mmm yyyy")</f>
        <v>Jun 2024</v>
      </c>
      <c r="H887" s="10">
        <f>HOUR(Transform_Data[[#This Row],[Time]])</f>
        <v>11</v>
      </c>
      <c r="I887" s="10" t="str">
        <f>IF(COUNTIF('Transform Data'!$D:$D,'Transform Data'!D887)&gt;1,"Repeat","Single")</f>
        <v>Repeat</v>
      </c>
      <c r="J887" s="10" t="str">
        <f>IF('Transform Data'!D887="Cash","Cash",IF(COUNTIF('Transform Data'!$D:$D,'Transform Data'!D887)&gt;1,"Repeat","Single"))</f>
        <v>Repeat</v>
      </c>
      <c r="K887" s="10" t="str">
        <f t="shared" si="13"/>
        <v>TRANS-0886</v>
      </c>
    </row>
    <row r="888" spans="1:11" x14ac:dyDescent="0.35">
      <c r="A888" s="5">
        <v>45472</v>
      </c>
      <c r="B888" s="3">
        <v>0.4871064814814815</v>
      </c>
      <c r="C888" t="s">
        <v>8</v>
      </c>
      <c r="D888" t="s">
        <v>386</v>
      </c>
      <c r="E888" s="4">
        <v>32.82</v>
      </c>
      <c r="F888" t="s">
        <v>36</v>
      </c>
      <c r="G888" s="10" t="str">
        <f>TEXT(Transform_Data[[#This Row],[Date]],"mmm yyyy")</f>
        <v>Jun 2024</v>
      </c>
      <c r="H888" s="10">
        <f>HOUR(Transform_Data[[#This Row],[Time]])</f>
        <v>11</v>
      </c>
      <c r="I888" s="10" t="str">
        <f>IF(COUNTIF('Transform Data'!$D:$D,'Transform Data'!D888)&gt;1,"Repeat","Single")</f>
        <v>Repeat</v>
      </c>
      <c r="J888" s="10" t="str">
        <f>IF('Transform Data'!D888="Cash","Cash",IF(COUNTIF('Transform Data'!$D:$D,'Transform Data'!D888)&gt;1,"Repeat","Single"))</f>
        <v>Repeat</v>
      </c>
      <c r="K888" s="10" t="str">
        <f t="shared" si="13"/>
        <v>TRANS-0887</v>
      </c>
    </row>
    <row r="889" spans="1:11" x14ac:dyDescent="0.35">
      <c r="A889" s="5">
        <v>45472</v>
      </c>
      <c r="B889" s="3">
        <v>0.52111111111111108</v>
      </c>
      <c r="C889" t="s">
        <v>8</v>
      </c>
      <c r="D889" t="s">
        <v>387</v>
      </c>
      <c r="E889" s="4">
        <v>37.72</v>
      </c>
      <c r="F889" t="s">
        <v>24</v>
      </c>
      <c r="G889" s="10" t="str">
        <f>TEXT(Transform_Data[[#This Row],[Date]],"mmm yyyy")</f>
        <v>Jun 2024</v>
      </c>
      <c r="H889" s="10">
        <f>HOUR(Transform_Data[[#This Row],[Time]])</f>
        <v>12</v>
      </c>
      <c r="I889" s="10" t="str">
        <f>IF(COUNTIF('Transform Data'!$D:$D,'Transform Data'!D889)&gt;1,"Repeat","Single")</f>
        <v>Repeat</v>
      </c>
      <c r="J889" s="10" t="str">
        <f>IF('Transform Data'!D889="Cash","Cash",IF(COUNTIF('Transform Data'!$D:$D,'Transform Data'!D889)&gt;1,"Repeat","Single"))</f>
        <v>Repeat</v>
      </c>
      <c r="K889" s="10" t="str">
        <f t="shared" si="13"/>
        <v>TRANS-0888</v>
      </c>
    </row>
    <row r="890" spans="1:11" x14ac:dyDescent="0.35">
      <c r="A890" s="5">
        <v>45472</v>
      </c>
      <c r="B890" s="3">
        <v>0.52201388888888889</v>
      </c>
      <c r="C890" t="s">
        <v>8</v>
      </c>
      <c r="D890" t="s">
        <v>387</v>
      </c>
      <c r="E890" s="4">
        <v>37.72</v>
      </c>
      <c r="F890" t="s">
        <v>24</v>
      </c>
      <c r="G890" s="10" t="str">
        <f>TEXT(Transform_Data[[#This Row],[Date]],"mmm yyyy")</f>
        <v>Jun 2024</v>
      </c>
      <c r="H890" s="10">
        <f>HOUR(Transform_Data[[#This Row],[Time]])</f>
        <v>12</v>
      </c>
      <c r="I890" s="10" t="str">
        <f>IF(COUNTIF('Transform Data'!$D:$D,'Transform Data'!D890)&gt;1,"Repeat","Single")</f>
        <v>Repeat</v>
      </c>
      <c r="J890" s="10" t="str">
        <f>IF('Transform Data'!D890="Cash","Cash",IF(COUNTIF('Transform Data'!$D:$D,'Transform Data'!D890)&gt;1,"Repeat","Single"))</f>
        <v>Repeat</v>
      </c>
      <c r="K890" s="10" t="str">
        <f t="shared" si="13"/>
        <v>TRANS-0889</v>
      </c>
    </row>
    <row r="891" spans="1:11" x14ac:dyDescent="0.35">
      <c r="A891" s="5">
        <v>45472</v>
      </c>
      <c r="B891" s="3">
        <v>0.72480324074074076</v>
      </c>
      <c r="C891" t="s">
        <v>8</v>
      </c>
      <c r="D891" t="s">
        <v>388</v>
      </c>
      <c r="E891" s="4">
        <v>37.72</v>
      </c>
      <c r="F891" t="s">
        <v>24</v>
      </c>
      <c r="G891" s="10" t="str">
        <f>TEXT(Transform_Data[[#This Row],[Date]],"mmm yyyy")</f>
        <v>Jun 2024</v>
      </c>
      <c r="H891" s="10">
        <f>HOUR(Transform_Data[[#This Row],[Time]])</f>
        <v>17</v>
      </c>
      <c r="I891" s="10" t="str">
        <f>IF(COUNTIF('Transform Data'!$D:$D,'Transform Data'!D891)&gt;1,"Repeat","Single")</f>
        <v>Repeat</v>
      </c>
      <c r="J891" s="10" t="str">
        <f>IF('Transform Data'!D891="Cash","Cash",IF(COUNTIF('Transform Data'!$D:$D,'Transform Data'!D891)&gt;1,"Repeat","Single"))</f>
        <v>Repeat</v>
      </c>
      <c r="K891" s="10" t="str">
        <f t="shared" si="13"/>
        <v>TRANS-0890</v>
      </c>
    </row>
    <row r="892" spans="1:11" x14ac:dyDescent="0.35">
      <c r="A892" s="5">
        <v>45472</v>
      </c>
      <c r="B892" s="3">
        <v>0.72560185185185189</v>
      </c>
      <c r="C892" t="s">
        <v>8</v>
      </c>
      <c r="D892" t="s">
        <v>388</v>
      </c>
      <c r="E892" s="4">
        <v>37.72</v>
      </c>
      <c r="F892" t="s">
        <v>15</v>
      </c>
      <c r="G892" s="10" t="str">
        <f>TEXT(Transform_Data[[#This Row],[Date]],"mmm yyyy")</f>
        <v>Jun 2024</v>
      </c>
      <c r="H892" s="10">
        <f>HOUR(Transform_Data[[#This Row],[Time]])</f>
        <v>17</v>
      </c>
      <c r="I892" s="10" t="str">
        <f>IF(COUNTIF('Transform Data'!$D:$D,'Transform Data'!D892)&gt;1,"Repeat","Single")</f>
        <v>Repeat</v>
      </c>
      <c r="J892" s="10" t="str">
        <f>IF('Transform Data'!D892="Cash","Cash",IF(COUNTIF('Transform Data'!$D:$D,'Transform Data'!D892)&gt;1,"Repeat","Single"))</f>
        <v>Repeat</v>
      </c>
      <c r="K892" s="10" t="str">
        <f t="shared" si="13"/>
        <v>TRANS-0891</v>
      </c>
    </row>
    <row r="893" spans="1:11" x14ac:dyDescent="0.35">
      <c r="A893" s="5">
        <v>45472</v>
      </c>
      <c r="B893" s="3">
        <v>0.89400462962962968</v>
      </c>
      <c r="C893" t="s">
        <v>8</v>
      </c>
      <c r="D893" t="s">
        <v>25</v>
      </c>
      <c r="E893" s="4">
        <v>37.72</v>
      </c>
      <c r="F893" t="s">
        <v>32</v>
      </c>
      <c r="G893" s="10" t="str">
        <f>TEXT(Transform_Data[[#This Row],[Date]],"mmm yyyy")</f>
        <v>Jun 2024</v>
      </c>
      <c r="H893" s="10">
        <f>HOUR(Transform_Data[[#This Row],[Time]])</f>
        <v>21</v>
      </c>
      <c r="I893" s="10" t="str">
        <f>IF(COUNTIF('Transform Data'!$D:$D,'Transform Data'!D893)&gt;1,"Repeat","Single")</f>
        <v>Repeat</v>
      </c>
      <c r="J893" s="10" t="str">
        <f>IF('Transform Data'!D893="Cash","Cash",IF(COUNTIF('Transform Data'!$D:$D,'Transform Data'!D893)&gt;1,"Repeat","Single"))</f>
        <v>Repeat</v>
      </c>
      <c r="K893" s="10" t="str">
        <f t="shared" si="13"/>
        <v>TRANS-0892</v>
      </c>
    </row>
    <row r="894" spans="1:11" x14ac:dyDescent="0.35">
      <c r="A894" s="5">
        <v>45473</v>
      </c>
      <c r="B894" s="3">
        <v>0.4362152777777778</v>
      </c>
      <c r="C894" t="s">
        <v>8</v>
      </c>
      <c r="D894" t="s">
        <v>389</v>
      </c>
      <c r="E894" s="4">
        <v>37.72</v>
      </c>
      <c r="F894" t="s">
        <v>32</v>
      </c>
      <c r="G894" s="10" t="str">
        <f>TEXT(Transform_Data[[#This Row],[Date]],"mmm yyyy")</f>
        <v>Jun 2024</v>
      </c>
      <c r="H894" s="10">
        <f>HOUR(Transform_Data[[#This Row],[Time]])</f>
        <v>10</v>
      </c>
      <c r="I894" s="10" t="str">
        <f>IF(COUNTIF('Transform Data'!$D:$D,'Transform Data'!D894)&gt;1,"Repeat","Single")</f>
        <v>Single</v>
      </c>
      <c r="J894" s="10" t="str">
        <f>IF('Transform Data'!D894="Cash","Cash",IF(COUNTIF('Transform Data'!$D:$D,'Transform Data'!D894)&gt;1,"Repeat","Single"))</f>
        <v>Single</v>
      </c>
      <c r="K894" s="10" t="str">
        <f t="shared" si="13"/>
        <v>TRANS-0893</v>
      </c>
    </row>
    <row r="895" spans="1:11" x14ac:dyDescent="0.35">
      <c r="A895" s="5">
        <v>45473</v>
      </c>
      <c r="B895" s="3">
        <v>0.54571759259259256</v>
      </c>
      <c r="C895" t="s">
        <v>8</v>
      </c>
      <c r="D895" t="s">
        <v>390</v>
      </c>
      <c r="E895" s="4">
        <v>23.02</v>
      </c>
      <c r="F895" t="s">
        <v>5</v>
      </c>
      <c r="G895" s="10" t="str">
        <f>TEXT(Transform_Data[[#This Row],[Date]],"mmm yyyy")</f>
        <v>Jun 2024</v>
      </c>
      <c r="H895" s="10">
        <f>HOUR(Transform_Data[[#This Row],[Time]])</f>
        <v>13</v>
      </c>
      <c r="I895" s="10" t="str">
        <f>IF(COUNTIF('Transform Data'!$D:$D,'Transform Data'!D895)&gt;1,"Repeat","Single")</f>
        <v>Single</v>
      </c>
      <c r="J895" s="10" t="str">
        <f>IF('Transform Data'!D895="Cash","Cash",IF(COUNTIF('Transform Data'!$D:$D,'Transform Data'!D895)&gt;1,"Repeat","Single"))</f>
        <v>Single</v>
      </c>
      <c r="K895" s="10" t="str">
        <f t="shared" si="13"/>
        <v>TRANS-0894</v>
      </c>
    </row>
    <row r="896" spans="1:11" x14ac:dyDescent="0.35">
      <c r="A896" s="5">
        <v>45473</v>
      </c>
      <c r="B896" s="3">
        <v>0.70464120370370376</v>
      </c>
      <c r="C896" t="s">
        <v>8</v>
      </c>
      <c r="D896" t="s">
        <v>25</v>
      </c>
      <c r="E896" s="4">
        <v>37.72</v>
      </c>
      <c r="F896" t="s">
        <v>15</v>
      </c>
      <c r="G896" s="10" t="str">
        <f>TEXT(Transform_Data[[#This Row],[Date]],"mmm yyyy")</f>
        <v>Jun 2024</v>
      </c>
      <c r="H896" s="10">
        <f>HOUR(Transform_Data[[#This Row],[Time]])</f>
        <v>16</v>
      </c>
      <c r="I896" s="10" t="str">
        <f>IF(COUNTIF('Transform Data'!$D:$D,'Transform Data'!D896)&gt;1,"Repeat","Single")</f>
        <v>Repeat</v>
      </c>
      <c r="J896" s="10" t="str">
        <f>IF('Transform Data'!D896="Cash","Cash",IF(COUNTIF('Transform Data'!$D:$D,'Transform Data'!D896)&gt;1,"Repeat","Single"))</f>
        <v>Repeat</v>
      </c>
      <c r="K896" s="10" t="str">
        <f t="shared" si="13"/>
        <v>TRANS-0895</v>
      </c>
    </row>
    <row r="897" spans="1:11" x14ac:dyDescent="0.35">
      <c r="A897" s="5">
        <v>45473</v>
      </c>
      <c r="B897" s="3">
        <v>0.87788194444444445</v>
      </c>
      <c r="C897" t="s">
        <v>8</v>
      </c>
      <c r="D897" t="s">
        <v>11</v>
      </c>
      <c r="E897" s="4">
        <v>32.82</v>
      </c>
      <c r="F897" t="s">
        <v>36</v>
      </c>
      <c r="G897" s="10" t="str">
        <f>TEXT(Transform_Data[[#This Row],[Date]],"mmm yyyy")</f>
        <v>Jun 2024</v>
      </c>
      <c r="H897" s="10">
        <f>HOUR(Transform_Data[[#This Row],[Time]])</f>
        <v>21</v>
      </c>
      <c r="I897" s="10" t="str">
        <f>IF(COUNTIF('Transform Data'!$D:$D,'Transform Data'!D897)&gt;1,"Repeat","Single")</f>
        <v>Repeat</v>
      </c>
      <c r="J897" s="10" t="str">
        <f>IF('Transform Data'!D897="Cash","Cash",IF(COUNTIF('Transform Data'!$D:$D,'Transform Data'!D897)&gt;1,"Repeat","Single"))</f>
        <v>Repeat</v>
      </c>
      <c r="K897" s="10" t="str">
        <f t="shared" si="13"/>
        <v>TRANS-0896</v>
      </c>
    </row>
    <row r="898" spans="1:11" x14ac:dyDescent="0.35">
      <c r="A898" s="5">
        <v>45474</v>
      </c>
      <c r="B898" s="3">
        <v>0.75516203703703699</v>
      </c>
      <c r="C898" t="s">
        <v>8</v>
      </c>
      <c r="D898" t="s">
        <v>43</v>
      </c>
      <c r="E898" s="4">
        <v>23.02</v>
      </c>
      <c r="F898" t="s">
        <v>5</v>
      </c>
      <c r="G898" s="10" t="str">
        <f>TEXT(Transform_Data[[#This Row],[Date]],"mmm yyyy")</f>
        <v>Jul 2024</v>
      </c>
      <c r="H898" s="10">
        <f>HOUR(Transform_Data[[#This Row],[Time]])</f>
        <v>18</v>
      </c>
      <c r="I898" s="10" t="str">
        <f>IF(COUNTIF('Transform Data'!$D:$D,'Transform Data'!D898)&gt;1,"Repeat","Single")</f>
        <v>Repeat</v>
      </c>
      <c r="J898" s="10" t="str">
        <f>IF('Transform Data'!D898="Cash","Cash",IF(COUNTIF('Transform Data'!$D:$D,'Transform Data'!D898)&gt;1,"Repeat","Single"))</f>
        <v>Repeat</v>
      </c>
      <c r="K898" s="10" t="str">
        <f t="shared" ref="K898:K961" si="14">"TRANS-"&amp;TEXT(ROW(A897),"0000")</f>
        <v>TRANS-0897</v>
      </c>
    </row>
    <row r="899" spans="1:11" x14ac:dyDescent="0.35">
      <c r="A899" s="5">
        <v>45474</v>
      </c>
      <c r="B899" s="3">
        <v>0.78947916666666662</v>
      </c>
      <c r="C899" t="s">
        <v>8</v>
      </c>
      <c r="D899" t="s">
        <v>391</v>
      </c>
      <c r="E899" s="4">
        <v>37.72</v>
      </c>
      <c r="F899" t="s">
        <v>24</v>
      </c>
      <c r="G899" s="10" t="str">
        <f>TEXT(Transform_Data[[#This Row],[Date]],"mmm yyyy")</f>
        <v>Jul 2024</v>
      </c>
      <c r="H899" s="10">
        <f>HOUR(Transform_Data[[#This Row],[Time]])</f>
        <v>18</v>
      </c>
      <c r="I899" s="10" t="str">
        <f>IF(COUNTIF('Transform Data'!$D:$D,'Transform Data'!D899)&gt;1,"Repeat","Single")</f>
        <v>Single</v>
      </c>
      <c r="J899" s="10" t="str">
        <f>IF('Transform Data'!D899="Cash","Cash",IF(COUNTIF('Transform Data'!$D:$D,'Transform Data'!D899)&gt;1,"Repeat","Single"))</f>
        <v>Single</v>
      </c>
      <c r="K899" s="10" t="str">
        <f t="shared" si="14"/>
        <v>TRANS-0898</v>
      </c>
    </row>
    <row r="900" spans="1:11" x14ac:dyDescent="0.35">
      <c r="A900" s="5">
        <v>45474</v>
      </c>
      <c r="B900" s="3">
        <v>0.79020833333333329</v>
      </c>
      <c r="C900" t="s">
        <v>8</v>
      </c>
      <c r="D900" t="s">
        <v>392</v>
      </c>
      <c r="E900" s="4">
        <v>37.72</v>
      </c>
      <c r="F900" t="s">
        <v>24</v>
      </c>
      <c r="G900" s="10" t="str">
        <f>TEXT(Transform_Data[[#This Row],[Date]],"mmm yyyy")</f>
        <v>Jul 2024</v>
      </c>
      <c r="H900" s="10">
        <f>HOUR(Transform_Data[[#This Row],[Time]])</f>
        <v>18</v>
      </c>
      <c r="I900" s="10" t="str">
        <f>IF(COUNTIF('Transform Data'!$D:$D,'Transform Data'!D900)&gt;1,"Repeat","Single")</f>
        <v>Repeat</v>
      </c>
      <c r="J900" s="10" t="str">
        <f>IF('Transform Data'!D900="Cash","Cash",IF(COUNTIF('Transform Data'!$D:$D,'Transform Data'!D900)&gt;1,"Repeat","Single"))</f>
        <v>Repeat</v>
      </c>
      <c r="K900" s="10" t="str">
        <f t="shared" si="14"/>
        <v>TRANS-0899</v>
      </c>
    </row>
    <row r="901" spans="1:11" x14ac:dyDescent="0.35">
      <c r="A901" s="5">
        <v>45475</v>
      </c>
      <c r="B901" s="3">
        <v>0.44645833333333335</v>
      </c>
      <c r="C901" t="s">
        <v>8</v>
      </c>
      <c r="D901" t="s">
        <v>357</v>
      </c>
      <c r="E901" s="4">
        <v>32.82</v>
      </c>
      <c r="F901" t="s">
        <v>36</v>
      </c>
      <c r="G901" s="10" t="str">
        <f>TEXT(Transform_Data[[#This Row],[Date]],"mmm yyyy")</f>
        <v>Jul 2024</v>
      </c>
      <c r="H901" s="10">
        <f>HOUR(Transform_Data[[#This Row],[Time]])</f>
        <v>10</v>
      </c>
      <c r="I901" s="10" t="str">
        <f>IF(COUNTIF('Transform Data'!$D:$D,'Transform Data'!D901)&gt;1,"Repeat","Single")</f>
        <v>Repeat</v>
      </c>
      <c r="J901" s="10" t="str">
        <f>IF('Transform Data'!D901="Cash","Cash",IF(COUNTIF('Transform Data'!$D:$D,'Transform Data'!D901)&gt;1,"Repeat","Single"))</f>
        <v>Repeat</v>
      </c>
      <c r="K901" s="10" t="str">
        <f t="shared" si="14"/>
        <v>TRANS-0900</v>
      </c>
    </row>
    <row r="902" spans="1:11" x14ac:dyDescent="0.35">
      <c r="A902" s="5">
        <v>45475</v>
      </c>
      <c r="B902" s="3">
        <v>0.44791666666666669</v>
      </c>
      <c r="C902" t="s">
        <v>8</v>
      </c>
      <c r="D902" t="s">
        <v>357</v>
      </c>
      <c r="E902" s="4">
        <v>27.92</v>
      </c>
      <c r="F902" t="s">
        <v>28</v>
      </c>
      <c r="G902" s="10" t="str">
        <f>TEXT(Transform_Data[[#This Row],[Date]],"mmm yyyy")</f>
        <v>Jul 2024</v>
      </c>
      <c r="H902" s="10">
        <f>HOUR(Transform_Data[[#This Row],[Time]])</f>
        <v>10</v>
      </c>
      <c r="I902" s="10" t="str">
        <f>IF(COUNTIF('Transform Data'!$D:$D,'Transform Data'!D902)&gt;1,"Repeat","Single")</f>
        <v>Repeat</v>
      </c>
      <c r="J902" s="10" t="str">
        <f>IF('Transform Data'!D902="Cash","Cash",IF(COUNTIF('Transform Data'!$D:$D,'Transform Data'!D902)&gt;1,"Repeat","Single"))</f>
        <v>Repeat</v>
      </c>
      <c r="K902" s="10" t="str">
        <f t="shared" si="14"/>
        <v>TRANS-0901</v>
      </c>
    </row>
    <row r="903" spans="1:11" x14ac:dyDescent="0.35">
      <c r="A903" s="5">
        <v>45475</v>
      </c>
      <c r="B903" s="3">
        <v>0.53339120370370374</v>
      </c>
      <c r="C903" t="s">
        <v>8</v>
      </c>
      <c r="D903" t="s">
        <v>76</v>
      </c>
      <c r="E903" s="4">
        <v>37.72</v>
      </c>
      <c r="F903" t="s">
        <v>32</v>
      </c>
      <c r="G903" s="10" t="str">
        <f>TEXT(Transform_Data[[#This Row],[Date]],"mmm yyyy")</f>
        <v>Jul 2024</v>
      </c>
      <c r="H903" s="10">
        <f>HOUR(Transform_Data[[#This Row],[Time]])</f>
        <v>12</v>
      </c>
      <c r="I903" s="10" t="str">
        <f>IF(COUNTIF('Transform Data'!$D:$D,'Transform Data'!D903)&gt;1,"Repeat","Single")</f>
        <v>Repeat</v>
      </c>
      <c r="J903" s="10" t="str">
        <f>IF('Transform Data'!D903="Cash","Cash",IF(COUNTIF('Transform Data'!$D:$D,'Transform Data'!D903)&gt;1,"Repeat","Single"))</f>
        <v>Repeat</v>
      </c>
      <c r="K903" s="10" t="str">
        <f t="shared" si="14"/>
        <v>TRANS-0902</v>
      </c>
    </row>
    <row r="904" spans="1:11" x14ac:dyDescent="0.35">
      <c r="A904" s="5">
        <v>45475</v>
      </c>
      <c r="B904" s="3">
        <v>0.58556712962962965</v>
      </c>
      <c r="C904" t="s">
        <v>8</v>
      </c>
      <c r="D904" t="s">
        <v>393</v>
      </c>
      <c r="E904" s="4">
        <v>27.92</v>
      </c>
      <c r="F904" t="s">
        <v>28</v>
      </c>
      <c r="G904" s="10" t="str">
        <f>TEXT(Transform_Data[[#This Row],[Date]],"mmm yyyy")</f>
        <v>Jul 2024</v>
      </c>
      <c r="H904" s="10">
        <f>HOUR(Transform_Data[[#This Row],[Time]])</f>
        <v>14</v>
      </c>
      <c r="I904" s="10" t="str">
        <f>IF(COUNTIF('Transform Data'!$D:$D,'Transform Data'!D904)&gt;1,"Repeat","Single")</f>
        <v>Single</v>
      </c>
      <c r="J904" s="10" t="str">
        <f>IF('Transform Data'!D904="Cash","Cash",IF(COUNTIF('Transform Data'!$D:$D,'Transform Data'!D904)&gt;1,"Repeat","Single"))</f>
        <v>Single</v>
      </c>
      <c r="K904" s="10" t="str">
        <f t="shared" si="14"/>
        <v>TRANS-0903</v>
      </c>
    </row>
    <row r="905" spans="1:11" x14ac:dyDescent="0.35">
      <c r="A905" s="5">
        <v>45475</v>
      </c>
      <c r="B905" s="3">
        <v>0.68847222222222226</v>
      </c>
      <c r="C905" t="s">
        <v>8</v>
      </c>
      <c r="D905" t="s">
        <v>394</v>
      </c>
      <c r="E905" s="4">
        <v>32.82</v>
      </c>
      <c r="F905" t="s">
        <v>36</v>
      </c>
      <c r="G905" s="10" t="str">
        <f>TEXT(Transform_Data[[#This Row],[Date]],"mmm yyyy")</f>
        <v>Jul 2024</v>
      </c>
      <c r="H905" s="10">
        <f>HOUR(Transform_Data[[#This Row],[Time]])</f>
        <v>16</v>
      </c>
      <c r="I905" s="10" t="str">
        <f>IF(COUNTIF('Transform Data'!$D:$D,'Transform Data'!D905)&gt;1,"Repeat","Single")</f>
        <v>Single</v>
      </c>
      <c r="J905" s="10" t="str">
        <f>IF('Transform Data'!D905="Cash","Cash",IF(COUNTIF('Transform Data'!$D:$D,'Transform Data'!D905)&gt;1,"Repeat","Single"))</f>
        <v>Single</v>
      </c>
      <c r="K905" s="10" t="str">
        <f t="shared" si="14"/>
        <v>TRANS-0904</v>
      </c>
    </row>
    <row r="906" spans="1:11" x14ac:dyDescent="0.35">
      <c r="A906" s="5">
        <v>45475</v>
      </c>
      <c r="B906" s="3">
        <v>0.9183217592592593</v>
      </c>
      <c r="C906" t="s">
        <v>8</v>
      </c>
      <c r="D906" t="s">
        <v>382</v>
      </c>
      <c r="E906" s="4">
        <v>32.82</v>
      </c>
      <c r="F906" t="s">
        <v>36</v>
      </c>
      <c r="G906" s="10" t="str">
        <f>TEXT(Transform_Data[[#This Row],[Date]],"mmm yyyy")</f>
        <v>Jul 2024</v>
      </c>
      <c r="H906" s="10">
        <f>HOUR(Transform_Data[[#This Row],[Time]])</f>
        <v>22</v>
      </c>
      <c r="I906" s="10" t="str">
        <f>IF(COUNTIF('Transform Data'!$D:$D,'Transform Data'!D906)&gt;1,"Repeat","Single")</f>
        <v>Repeat</v>
      </c>
      <c r="J906" s="10" t="str">
        <f>IF('Transform Data'!D906="Cash","Cash",IF(COUNTIF('Transform Data'!$D:$D,'Transform Data'!D906)&gt;1,"Repeat","Single"))</f>
        <v>Repeat</v>
      </c>
      <c r="K906" s="10" t="str">
        <f t="shared" si="14"/>
        <v>TRANS-0905</v>
      </c>
    </row>
    <row r="907" spans="1:11" x14ac:dyDescent="0.35">
      <c r="A907" s="5">
        <v>45476</v>
      </c>
      <c r="B907" s="3">
        <v>0.57724537037037038</v>
      </c>
      <c r="C907" t="s">
        <v>8</v>
      </c>
      <c r="D907" t="s">
        <v>43</v>
      </c>
      <c r="E907" s="4">
        <v>32.82</v>
      </c>
      <c r="F907" t="s">
        <v>36</v>
      </c>
      <c r="G907" s="10" t="str">
        <f>TEXT(Transform_Data[[#This Row],[Date]],"mmm yyyy")</f>
        <v>Jul 2024</v>
      </c>
      <c r="H907" s="10">
        <f>HOUR(Transform_Data[[#This Row],[Time]])</f>
        <v>13</v>
      </c>
      <c r="I907" s="10" t="str">
        <f>IF(COUNTIF('Transform Data'!$D:$D,'Transform Data'!D907)&gt;1,"Repeat","Single")</f>
        <v>Repeat</v>
      </c>
      <c r="J907" s="10" t="str">
        <f>IF('Transform Data'!D907="Cash","Cash",IF(COUNTIF('Transform Data'!$D:$D,'Transform Data'!D907)&gt;1,"Repeat","Single"))</f>
        <v>Repeat</v>
      </c>
      <c r="K907" s="10" t="str">
        <f t="shared" si="14"/>
        <v>TRANS-0906</v>
      </c>
    </row>
    <row r="908" spans="1:11" x14ac:dyDescent="0.35">
      <c r="A908" s="5">
        <v>45476</v>
      </c>
      <c r="B908" s="3">
        <v>0.66754629629629625</v>
      </c>
      <c r="C908" t="s">
        <v>8</v>
      </c>
      <c r="D908" t="s">
        <v>395</v>
      </c>
      <c r="E908" s="4">
        <v>37.72</v>
      </c>
      <c r="F908" t="s">
        <v>24</v>
      </c>
      <c r="G908" s="10" t="str">
        <f>TEXT(Transform_Data[[#This Row],[Date]],"mmm yyyy")</f>
        <v>Jul 2024</v>
      </c>
      <c r="H908" s="10">
        <f>HOUR(Transform_Data[[#This Row],[Time]])</f>
        <v>16</v>
      </c>
      <c r="I908" s="10" t="str">
        <f>IF(COUNTIF('Transform Data'!$D:$D,'Transform Data'!D908)&gt;1,"Repeat","Single")</f>
        <v>Single</v>
      </c>
      <c r="J908" s="10" t="str">
        <f>IF('Transform Data'!D908="Cash","Cash",IF(COUNTIF('Transform Data'!$D:$D,'Transform Data'!D908)&gt;1,"Repeat","Single"))</f>
        <v>Single</v>
      </c>
      <c r="K908" s="10" t="str">
        <f t="shared" si="14"/>
        <v>TRANS-0907</v>
      </c>
    </row>
    <row r="909" spans="1:11" x14ac:dyDescent="0.35">
      <c r="A909" s="5">
        <v>45476</v>
      </c>
      <c r="B909" s="3">
        <v>0.7016782407407407</v>
      </c>
      <c r="C909" t="s">
        <v>8</v>
      </c>
      <c r="D909" t="s">
        <v>396</v>
      </c>
      <c r="E909" s="4">
        <v>37.72</v>
      </c>
      <c r="F909" t="s">
        <v>24</v>
      </c>
      <c r="G909" s="10" t="str">
        <f>TEXT(Transform_Data[[#This Row],[Date]],"mmm yyyy")</f>
        <v>Jul 2024</v>
      </c>
      <c r="H909" s="10">
        <f>HOUR(Transform_Data[[#This Row],[Time]])</f>
        <v>16</v>
      </c>
      <c r="I909" s="10" t="str">
        <f>IF(COUNTIF('Transform Data'!$D:$D,'Transform Data'!D909)&gt;1,"Repeat","Single")</f>
        <v>Single</v>
      </c>
      <c r="J909" s="10" t="str">
        <f>IF('Transform Data'!D909="Cash","Cash",IF(COUNTIF('Transform Data'!$D:$D,'Transform Data'!D909)&gt;1,"Repeat","Single"))</f>
        <v>Single</v>
      </c>
      <c r="K909" s="10" t="str">
        <f t="shared" si="14"/>
        <v>TRANS-0908</v>
      </c>
    </row>
    <row r="910" spans="1:11" x14ac:dyDescent="0.35">
      <c r="A910" s="5">
        <v>45476</v>
      </c>
      <c r="B910" s="3">
        <v>0.7036458333333333</v>
      </c>
      <c r="C910" t="s">
        <v>8</v>
      </c>
      <c r="D910" t="s">
        <v>324</v>
      </c>
      <c r="E910" s="4">
        <v>32.82</v>
      </c>
      <c r="F910" t="s">
        <v>36</v>
      </c>
      <c r="G910" s="10" t="str">
        <f>TEXT(Transform_Data[[#This Row],[Date]],"mmm yyyy")</f>
        <v>Jul 2024</v>
      </c>
      <c r="H910" s="10">
        <f>HOUR(Transform_Data[[#This Row],[Time]])</f>
        <v>16</v>
      </c>
      <c r="I910" s="10" t="str">
        <f>IF(COUNTIF('Transform Data'!$D:$D,'Transform Data'!D910)&gt;1,"Repeat","Single")</f>
        <v>Repeat</v>
      </c>
      <c r="J910" s="10" t="str">
        <f>IF('Transform Data'!D910="Cash","Cash",IF(COUNTIF('Transform Data'!$D:$D,'Transform Data'!D910)&gt;1,"Repeat","Single"))</f>
        <v>Repeat</v>
      </c>
      <c r="K910" s="10" t="str">
        <f t="shared" si="14"/>
        <v>TRANS-0909</v>
      </c>
    </row>
    <row r="911" spans="1:11" x14ac:dyDescent="0.35">
      <c r="A911" s="5">
        <v>45476</v>
      </c>
      <c r="B911" s="3">
        <v>0.70442129629629635</v>
      </c>
      <c r="C911" t="s">
        <v>8</v>
      </c>
      <c r="D911" t="s">
        <v>397</v>
      </c>
      <c r="E911" s="4">
        <v>32.82</v>
      </c>
      <c r="F911" t="s">
        <v>36</v>
      </c>
      <c r="G911" s="10" t="str">
        <f>TEXT(Transform_Data[[#This Row],[Date]],"mmm yyyy")</f>
        <v>Jul 2024</v>
      </c>
      <c r="H911" s="10">
        <f>HOUR(Transform_Data[[#This Row],[Time]])</f>
        <v>16</v>
      </c>
      <c r="I911" s="10" t="str">
        <f>IF(COUNTIF('Transform Data'!$D:$D,'Transform Data'!D911)&gt;1,"Repeat","Single")</f>
        <v>Single</v>
      </c>
      <c r="J911" s="10" t="str">
        <f>IF('Transform Data'!D911="Cash","Cash",IF(COUNTIF('Transform Data'!$D:$D,'Transform Data'!D911)&gt;1,"Repeat","Single"))</f>
        <v>Single</v>
      </c>
      <c r="K911" s="10" t="str">
        <f t="shared" si="14"/>
        <v>TRANS-0910</v>
      </c>
    </row>
    <row r="912" spans="1:11" x14ac:dyDescent="0.35">
      <c r="A912" s="5">
        <v>45476</v>
      </c>
      <c r="B912" s="3">
        <v>0.70521990740740736</v>
      </c>
      <c r="C912" t="s">
        <v>8</v>
      </c>
      <c r="D912" t="s">
        <v>324</v>
      </c>
      <c r="E912" s="4">
        <v>37.72</v>
      </c>
      <c r="F912" t="s">
        <v>32</v>
      </c>
      <c r="G912" s="10" t="str">
        <f>TEXT(Transform_Data[[#This Row],[Date]],"mmm yyyy")</f>
        <v>Jul 2024</v>
      </c>
      <c r="H912" s="10">
        <f>HOUR(Transform_Data[[#This Row],[Time]])</f>
        <v>16</v>
      </c>
      <c r="I912" s="10" t="str">
        <f>IF(COUNTIF('Transform Data'!$D:$D,'Transform Data'!D912)&gt;1,"Repeat","Single")</f>
        <v>Repeat</v>
      </c>
      <c r="J912" s="10" t="str">
        <f>IF('Transform Data'!D912="Cash","Cash",IF(COUNTIF('Transform Data'!$D:$D,'Transform Data'!D912)&gt;1,"Repeat","Single"))</f>
        <v>Repeat</v>
      </c>
      <c r="K912" s="10" t="str">
        <f t="shared" si="14"/>
        <v>TRANS-0911</v>
      </c>
    </row>
    <row r="913" spans="1:11" x14ac:dyDescent="0.35">
      <c r="A913" s="5">
        <v>45476</v>
      </c>
      <c r="B913" s="3">
        <v>0.70792824074074079</v>
      </c>
      <c r="C913" t="s">
        <v>8</v>
      </c>
      <c r="D913" t="s">
        <v>398</v>
      </c>
      <c r="E913" s="4">
        <v>23.02</v>
      </c>
      <c r="F913" t="s">
        <v>5</v>
      </c>
      <c r="G913" s="10" t="str">
        <f>TEXT(Transform_Data[[#This Row],[Date]],"mmm yyyy")</f>
        <v>Jul 2024</v>
      </c>
      <c r="H913" s="10">
        <f>HOUR(Transform_Data[[#This Row],[Time]])</f>
        <v>16</v>
      </c>
      <c r="I913" s="10" t="str">
        <f>IF(COUNTIF('Transform Data'!$D:$D,'Transform Data'!D913)&gt;1,"Repeat","Single")</f>
        <v>Single</v>
      </c>
      <c r="J913" s="10" t="str">
        <f>IF('Transform Data'!D913="Cash","Cash",IF(COUNTIF('Transform Data'!$D:$D,'Transform Data'!D913)&gt;1,"Repeat","Single"))</f>
        <v>Single</v>
      </c>
      <c r="K913" s="10" t="str">
        <f t="shared" si="14"/>
        <v>TRANS-0912</v>
      </c>
    </row>
    <row r="914" spans="1:11" x14ac:dyDescent="0.35">
      <c r="A914" s="5">
        <v>45476</v>
      </c>
      <c r="B914" s="3">
        <v>0.7493171296296296</v>
      </c>
      <c r="C914" t="s">
        <v>8</v>
      </c>
      <c r="D914" t="s">
        <v>399</v>
      </c>
      <c r="E914" s="4">
        <v>37.72</v>
      </c>
      <c r="F914" t="s">
        <v>24</v>
      </c>
      <c r="G914" s="10" t="str">
        <f>TEXT(Transform_Data[[#This Row],[Date]],"mmm yyyy")</f>
        <v>Jul 2024</v>
      </c>
      <c r="H914" s="10">
        <f>HOUR(Transform_Data[[#This Row],[Time]])</f>
        <v>17</v>
      </c>
      <c r="I914" s="10" t="str">
        <f>IF(COUNTIF('Transform Data'!$D:$D,'Transform Data'!D914)&gt;1,"Repeat","Single")</f>
        <v>Single</v>
      </c>
      <c r="J914" s="10" t="str">
        <f>IF('Transform Data'!D914="Cash","Cash",IF(COUNTIF('Transform Data'!$D:$D,'Transform Data'!D914)&gt;1,"Repeat","Single"))</f>
        <v>Single</v>
      </c>
      <c r="K914" s="10" t="str">
        <f t="shared" si="14"/>
        <v>TRANS-0913</v>
      </c>
    </row>
    <row r="915" spans="1:11" x14ac:dyDescent="0.35">
      <c r="A915" s="5">
        <v>45476</v>
      </c>
      <c r="B915" s="3">
        <v>0.79593749999999996</v>
      </c>
      <c r="C915" t="s">
        <v>8</v>
      </c>
      <c r="D915" t="s">
        <v>25</v>
      </c>
      <c r="E915" s="4">
        <v>37.72</v>
      </c>
      <c r="F915" t="s">
        <v>32</v>
      </c>
      <c r="G915" s="10" t="str">
        <f>TEXT(Transform_Data[[#This Row],[Date]],"mmm yyyy")</f>
        <v>Jul 2024</v>
      </c>
      <c r="H915" s="10">
        <f>HOUR(Transform_Data[[#This Row],[Time]])</f>
        <v>19</v>
      </c>
      <c r="I915" s="10" t="str">
        <f>IF(COUNTIF('Transform Data'!$D:$D,'Transform Data'!D915)&gt;1,"Repeat","Single")</f>
        <v>Repeat</v>
      </c>
      <c r="J915" s="10" t="str">
        <f>IF('Transform Data'!D915="Cash","Cash",IF(COUNTIF('Transform Data'!$D:$D,'Transform Data'!D915)&gt;1,"Repeat","Single"))</f>
        <v>Repeat</v>
      </c>
      <c r="K915" s="10" t="str">
        <f t="shared" si="14"/>
        <v>TRANS-0914</v>
      </c>
    </row>
    <row r="916" spans="1:11" x14ac:dyDescent="0.35">
      <c r="A916" s="5">
        <v>45477</v>
      </c>
      <c r="B916" s="3">
        <v>0.4349884259259259</v>
      </c>
      <c r="C916" t="s">
        <v>8</v>
      </c>
      <c r="D916" t="s">
        <v>197</v>
      </c>
      <c r="E916" s="4">
        <v>32.82</v>
      </c>
      <c r="F916" t="s">
        <v>36</v>
      </c>
      <c r="G916" s="10" t="str">
        <f>TEXT(Transform_Data[[#This Row],[Date]],"mmm yyyy")</f>
        <v>Jul 2024</v>
      </c>
      <c r="H916" s="10">
        <f>HOUR(Transform_Data[[#This Row],[Time]])</f>
        <v>10</v>
      </c>
      <c r="I916" s="10" t="str">
        <f>IF(COUNTIF('Transform Data'!$D:$D,'Transform Data'!D916)&gt;1,"Repeat","Single")</f>
        <v>Repeat</v>
      </c>
      <c r="J916" s="10" t="str">
        <f>IF('Transform Data'!D916="Cash","Cash",IF(COUNTIF('Transform Data'!$D:$D,'Transform Data'!D916)&gt;1,"Repeat","Single"))</f>
        <v>Repeat</v>
      </c>
      <c r="K916" s="10" t="str">
        <f t="shared" si="14"/>
        <v>TRANS-0915</v>
      </c>
    </row>
    <row r="917" spans="1:11" x14ac:dyDescent="0.35">
      <c r="A917" s="5">
        <v>45477</v>
      </c>
      <c r="B917" s="3">
        <v>0.4357638888888889</v>
      </c>
      <c r="C917" t="s">
        <v>8</v>
      </c>
      <c r="D917" t="s">
        <v>43</v>
      </c>
      <c r="E917" s="4">
        <v>27.92</v>
      </c>
      <c r="F917" t="s">
        <v>28</v>
      </c>
      <c r="G917" s="10" t="str">
        <f>TEXT(Transform_Data[[#This Row],[Date]],"mmm yyyy")</f>
        <v>Jul 2024</v>
      </c>
      <c r="H917" s="10">
        <f>HOUR(Transform_Data[[#This Row],[Time]])</f>
        <v>10</v>
      </c>
      <c r="I917" s="10" t="str">
        <f>IF(COUNTIF('Transform Data'!$D:$D,'Transform Data'!D917)&gt;1,"Repeat","Single")</f>
        <v>Repeat</v>
      </c>
      <c r="J917" s="10" t="str">
        <f>IF('Transform Data'!D917="Cash","Cash",IF(COUNTIF('Transform Data'!$D:$D,'Transform Data'!D917)&gt;1,"Repeat","Single"))</f>
        <v>Repeat</v>
      </c>
      <c r="K917" s="10" t="str">
        <f t="shared" si="14"/>
        <v>TRANS-0916</v>
      </c>
    </row>
    <row r="918" spans="1:11" x14ac:dyDescent="0.35">
      <c r="A918" s="5">
        <v>45478</v>
      </c>
      <c r="B918" s="3">
        <v>0.51421296296296293</v>
      </c>
      <c r="C918" t="s">
        <v>8</v>
      </c>
      <c r="D918" t="s">
        <v>114</v>
      </c>
      <c r="E918" s="4">
        <v>37.72</v>
      </c>
      <c r="F918" t="s">
        <v>10</v>
      </c>
      <c r="G918" s="10" t="str">
        <f>TEXT(Transform_Data[[#This Row],[Date]],"mmm yyyy")</f>
        <v>Jul 2024</v>
      </c>
      <c r="H918" s="10">
        <f>HOUR(Transform_Data[[#This Row],[Time]])</f>
        <v>12</v>
      </c>
      <c r="I918" s="10" t="str">
        <f>IF(COUNTIF('Transform Data'!$D:$D,'Transform Data'!D918)&gt;1,"Repeat","Single")</f>
        <v>Repeat</v>
      </c>
      <c r="J918" s="10" t="str">
        <f>IF('Transform Data'!D918="Cash","Cash",IF(COUNTIF('Transform Data'!$D:$D,'Transform Data'!D918)&gt;1,"Repeat","Single"))</f>
        <v>Repeat</v>
      </c>
      <c r="K918" s="10" t="str">
        <f t="shared" si="14"/>
        <v>TRANS-0917</v>
      </c>
    </row>
    <row r="919" spans="1:11" x14ac:dyDescent="0.35">
      <c r="A919" s="5">
        <v>45478</v>
      </c>
      <c r="B919" s="3">
        <v>0.57202546296296297</v>
      </c>
      <c r="C919" t="s">
        <v>8</v>
      </c>
      <c r="D919" t="s">
        <v>16</v>
      </c>
      <c r="E919" s="4">
        <v>32.82</v>
      </c>
      <c r="F919" t="s">
        <v>36</v>
      </c>
      <c r="G919" s="10" t="str">
        <f>TEXT(Transform_Data[[#This Row],[Date]],"mmm yyyy")</f>
        <v>Jul 2024</v>
      </c>
      <c r="H919" s="10">
        <f>HOUR(Transform_Data[[#This Row],[Time]])</f>
        <v>13</v>
      </c>
      <c r="I919" s="10" t="str">
        <f>IF(COUNTIF('Transform Data'!$D:$D,'Transform Data'!D919)&gt;1,"Repeat","Single")</f>
        <v>Repeat</v>
      </c>
      <c r="J919" s="10" t="str">
        <f>IF('Transform Data'!D919="Cash","Cash",IF(COUNTIF('Transform Data'!$D:$D,'Transform Data'!D919)&gt;1,"Repeat","Single"))</f>
        <v>Repeat</v>
      </c>
      <c r="K919" s="10" t="str">
        <f t="shared" si="14"/>
        <v>TRANS-0918</v>
      </c>
    </row>
    <row r="920" spans="1:11" x14ac:dyDescent="0.35">
      <c r="A920" s="5">
        <v>45478</v>
      </c>
      <c r="B920" s="3">
        <v>0.57271990740740741</v>
      </c>
      <c r="C920" t="s">
        <v>8</v>
      </c>
      <c r="D920" t="s">
        <v>400</v>
      </c>
      <c r="E920" s="4">
        <v>32.82</v>
      </c>
      <c r="F920" t="s">
        <v>36</v>
      </c>
      <c r="G920" s="10" t="str">
        <f>TEXT(Transform_Data[[#This Row],[Date]],"mmm yyyy")</f>
        <v>Jul 2024</v>
      </c>
      <c r="H920" s="10">
        <f>HOUR(Transform_Data[[#This Row],[Time]])</f>
        <v>13</v>
      </c>
      <c r="I920" s="10" t="str">
        <f>IF(COUNTIF('Transform Data'!$D:$D,'Transform Data'!D920)&gt;1,"Repeat","Single")</f>
        <v>Repeat</v>
      </c>
      <c r="J920" s="10" t="str">
        <f>IF('Transform Data'!D920="Cash","Cash",IF(COUNTIF('Transform Data'!$D:$D,'Transform Data'!D920)&gt;1,"Repeat","Single"))</f>
        <v>Repeat</v>
      </c>
      <c r="K920" s="10" t="str">
        <f t="shared" si="14"/>
        <v>TRANS-0919</v>
      </c>
    </row>
    <row r="921" spans="1:11" x14ac:dyDescent="0.35">
      <c r="A921" s="5">
        <v>45478</v>
      </c>
      <c r="B921" s="3">
        <v>0.7888425925925926</v>
      </c>
      <c r="C921" t="s">
        <v>8</v>
      </c>
      <c r="D921" t="s">
        <v>401</v>
      </c>
      <c r="E921" s="4">
        <v>23.02</v>
      </c>
      <c r="F921" t="s">
        <v>5</v>
      </c>
      <c r="G921" s="10" t="str">
        <f>TEXT(Transform_Data[[#This Row],[Date]],"mmm yyyy")</f>
        <v>Jul 2024</v>
      </c>
      <c r="H921" s="10">
        <f>HOUR(Transform_Data[[#This Row],[Time]])</f>
        <v>18</v>
      </c>
      <c r="I921" s="10" t="str">
        <f>IF(COUNTIF('Transform Data'!$D:$D,'Transform Data'!D921)&gt;1,"Repeat","Single")</f>
        <v>Repeat</v>
      </c>
      <c r="J921" s="10" t="str">
        <f>IF('Transform Data'!D921="Cash","Cash",IF(COUNTIF('Transform Data'!$D:$D,'Transform Data'!D921)&gt;1,"Repeat","Single"))</f>
        <v>Repeat</v>
      </c>
      <c r="K921" s="10" t="str">
        <f t="shared" si="14"/>
        <v>TRANS-0920</v>
      </c>
    </row>
    <row r="922" spans="1:11" x14ac:dyDescent="0.35">
      <c r="A922" s="5">
        <v>45478</v>
      </c>
      <c r="B922" s="3">
        <v>0.82994212962962965</v>
      </c>
      <c r="C922" t="s">
        <v>8</v>
      </c>
      <c r="D922" t="s">
        <v>154</v>
      </c>
      <c r="E922" s="4">
        <v>27.92</v>
      </c>
      <c r="F922" t="s">
        <v>28</v>
      </c>
      <c r="G922" s="10" t="str">
        <f>TEXT(Transform_Data[[#This Row],[Date]],"mmm yyyy")</f>
        <v>Jul 2024</v>
      </c>
      <c r="H922" s="10">
        <f>HOUR(Transform_Data[[#This Row],[Time]])</f>
        <v>19</v>
      </c>
      <c r="I922" s="10" t="str">
        <f>IF(COUNTIF('Transform Data'!$D:$D,'Transform Data'!D922)&gt;1,"Repeat","Single")</f>
        <v>Repeat</v>
      </c>
      <c r="J922" s="10" t="str">
        <f>IF('Transform Data'!D922="Cash","Cash",IF(COUNTIF('Transform Data'!$D:$D,'Transform Data'!D922)&gt;1,"Repeat","Single"))</f>
        <v>Repeat</v>
      </c>
      <c r="K922" s="10" t="str">
        <f t="shared" si="14"/>
        <v>TRANS-0921</v>
      </c>
    </row>
    <row r="923" spans="1:11" x14ac:dyDescent="0.35">
      <c r="A923" s="5">
        <v>45478</v>
      </c>
      <c r="B923" s="3">
        <v>0.92495370370370367</v>
      </c>
      <c r="C923" t="s">
        <v>8</v>
      </c>
      <c r="D923" t="s">
        <v>402</v>
      </c>
      <c r="E923" s="4">
        <v>23.02</v>
      </c>
      <c r="F923" t="s">
        <v>5</v>
      </c>
      <c r="G923" s="10" t="str">
        <f>TEXT(Transform_Data[[#This Row],[Date]],"mmm yyyy")</f>
        <v>Jul 2024</v>
      </c>
      <c r="H923" s="10">
        <f>HOUR(Transform_Data[[#This Row],[Time]])</f>
        <v>22</v>
      </c>
      <c r="I923" s="10" t="str">
        <f>IF(COUNTIF('Transform Data'!$D:$D,'Transform Data'!D923)&gt;1,"Repeat","Single")</f>
        <v>Single</v>
      </c>
      <c r="J923" s="10" t="str">
        <f>IF('Transform Data'!D923="Cash","Cash",IF(COUNTIF('Transform Data'!$D:$D,'Transform Data'!D923)&gt;1,"Repeat","Single"))</f>
        <v>Single</v>
      </c>
      <c r="K923" s="10" t="str">
        <f t="shared" si="14"/>
        <v>TRANS-0922</v>
      </c>
    </row>
    <row r="924" spans="1:11" x14ac:dyDescent="0.35">
      <c r="A924" s="5">
        <v>45478</v>
      </c>
      <c r="B924" s="3">
        <v>0.92920138888888892</v>
      </c>
      <c r="C924" t="s">
        <v>8</v>
      </c>
      <c r="D924" t="s">
        <v>403</v>
      </c>
      <c r="E924" s="4">
        <v>27.92</v>
      </c>
      <c r="F924" t="s">
        <v>28</v>
      </c>
      <c r="G924" s="10" t="str">
        <f>TEXT(Transform_Data[[#This Row],[Date]],"mmm yyyy")</f>
        <v>Jul 2024</v>
      </c>
      <c r="H924" s="10">
        <f>HOUR(Transform_Data[[#This Row],[Time]])</f>
        <v>22</v>
      </c>
      <c r="I924" s="10" t="str">
        <f>IF(COUNTIF('Transform Data'!$D:$D,'Transform Data'!D924)&gt;1,"Repeat","Single")</f>
        <v>Repeat</v>
      </c>
      <c r="J924" s="10" t="str">
        <f>IF('Transform Data'!D924="Cash","Cash",IF(COUNTIF('Transform Data'!$D:$D,'Transform Data'!D924)&gt;1,"Repeat","Single"))</f>
        <v>Repeat</v>
      </c>
      <c r="K924" s="10" t="str">
        <f t="shared" si="14"/>
        <v>TRANS-0923</v>
      </c>
    </row>
    <row r="925" spans="1:11" x14ac:dyDescent="0.35">
      <c r="A925" s="5">
        <v>45478</v>
      </c>
      <c r="B925" s="3">
        <v>0.92981481481481476</v>
      </c>
      <c r="C925" t="s">
        <v>8</v>
      </c>
      <c r="D925" t="s">
        <v>403</v>
      </c>
      <c r="E925" s="4">
        <v>27.92</v>
      </c>
      <c r="F925" t="s">
        <v>28</v>
      </c>
      <c r="G925" s="10" t="str">
        <f>TEXT(Transform_Data[[#This Row],[Date]],"mmm yyyy")</f>
        <v>Jul 2024</v>
      </c>
      <c r="H925" s="10">
        <f>HOUR(Transform_Data[[#This Row],[Time]])</f>
        <v>22</v>
      </c>
      <c r="I925" s="10" t="str">
        <f>IF(COUNTIF('Transform Data'!$D:$D,'Transform Data'!D925)&gt;1,"Repeat","Single")</f>
        <v>Repeat</v>
      </c>
      <c r="J925" s="10" t="str">
        <f>IF('Transform Data'!D925="Cash","Cash",IF(COUNTIF('Transform Data'!$D:$D,'Transform Data'!D925)&gt;1,"Repeat","Single"))</f>
        <v>Repeat</v>
      </c>
      <c r="K925" s="10" t="str">
        <f t="shared" si="14"/>
        <v>TRANS-0924</v>
      </c>
    </row>
    <row r="926" spans="1:11" x14ac:dyDescent="0.35">
      <c r="A926" s="5">
        <v>45478</v>
      </c>
      <c r="B926" s="3">
        <v>0.93056712962962962</v>
      </c>
      <c r="C926" t="s">
        <v>8</v>
      </c>
      <c r="D926" t="s">
        <v>404</v>
      </c>
      <c r="E926" s="4">
        <v>37.72</v>
      </c>
      <c r="F926" t="s">
        <v>24</v>
      </c>
      <c r="G926" s="10" t="str">
        <f>TEXT(Transform_Data[[#This Row],[Date]],"mmm yyyy")</f>
        <v>Jul 2024</v>
      </c>
      <c r="H926" s="10">
        <f>HOUR(Transform_Data[[#This Row],[Time]])</f>
        <v>22</v>
      </c>
      <c r="I926" s="10" t="str">
        <f>IF(COUNTIF('Transform Data'!$D:$D,'Transform Data'!D926)&gt;1,"Repeat","Single")</f>
        <v>Repeat</v>
      </c>
      <c r="J926" s="10" t="str">
        <f>IF('Transform Data'!D926="Cash","Cash",IF(COUNTIF('Transform Data'!$D:$D,'Transform Data'!D926)&gt;1,"Repeat","Single"))</f>
        <v>Repeat</v>
      </c>
      <c r="K926" s="10" t="str">
        <f t="shared" si="14"/>
        <v>TRANS-0925</v>
      </c>
    </row>
    <row r="927" spans="1:11" x14ac:dyDescent="0.35">
      <c r="A927" s="5">
        <v>45478</v>
      </c>
      <c r="B927" s="3">
        <v>0.93135416666666671</v>
      </c>
      <c r="C927" t="s">
        <v>8</v>
      </c>
      <c r="D927" t="s">
        <v>404</v>
      </c>
      <c r="E927" s="4">
        <v>32.82</v>
      </c>
      <c r="F927" t="s">
        <v>36</v>
      </c>
      <c r="G927" s="10" t="str">
        <f>TEXT(Transform_Data[[#This Row],[Date]],"mmm yyyy")</f>
        <v>Jul 2024</v>
      </c>
      <c r="H927" s="10">
        <f>HOUR(Transform_Data[[#This Row],[Time]])</f>
        <v>22</v>
      </c>
      <c r="I927" s="10" t="str">
        <f>IF(COUNTIF('Transform Data'!$D:$D,'Transform Data'!D927)&gt;1,"Repeat","Single")</f>
        <v>Repeat</v>
      </c>
      <c r="J927" s="10" t="str">
        <f>IF('Transform Data'!D927="Cash","Cash",IF(COUNTIF('Transform Data'!$D:$D,'Transform Data'!D927)&gt;1,"Repeat","Single"))</f>
        <v>Repeat</v>
      </c>
      <c r="K927" s="10" t="str">
        <f t="shared" si="14"/>
        <v>TRANS-0926</v>
      </c>
    </row>
    <row r="928" spans="1:11" x14ac:dyDescent="0.35">
      <c r="A928" s="5">
        <v>45479</v>
      </c>
      <c r="B928" s="3">
        <v>0.43618055555555557</v>
      </c>
      <c r="C928" t="s">
        <v>8</v>
      </c>
      <c r="D928" t="s">
        <v>405</v>
      </c>
      <c r="E928" s="4">
        <v>37.72</v>
      </c>
      <c r="F928" t="s">
        <v>32</v>
      </c>
      <c r="G928" s="10" t="str">
        <f>TEXT(Transform_Data[[#This Row],[Date]],"mmm yyyy")</f>
        <v>Jul 2024</v>
      </c>
      <c r="H928" s="10">
        <f>HOUR(Transform_Data[[#This Row],[Time]])</f>
        <v>10</v>
      </c>
      <c r="I928" s="10" t="str">
        <f>IF(COUNTIF('Transform Data'!$D:$D,'Transform Data'!D928)&gt;1,"Repeat","Single")</f>
        <v>Single</v>
      </c>
      <c r="J928" s="10" t="str">
        <f>IF('Transform Data'!D928="Cash","Cash",IF(COUNTIF('Transform Data'!$D:$D,'Transform Data'!D928)&gt;1,"Repeat","Single"))</f>
        <v>Single</v>
      </c>
      <c r="K928" s="10" t="str">
        <f t="shared" si="14"/>
        <v>TRANS-0927</v>
      </c>
    </row>
    <row r="929" spans="1:11" x14ac:dyDescent="0.35">
      <c r="A929" s="5">
        <v>45479</v>
      </c>
      <c r="B929" s="3">
        <v>0.71928240740740745</v>
      </c>
      <c r="C929" t="s">
        <v>8</v>
      </c>
      <c r="D929" t="s">
        <v>25</v>
      </c>
      <c r="E929" s="4">
        <v>32.82</v>
      </c>
      <c r="F929" t="s">
        <v>32</v>
      </c>
      <c r="G929" s="10" t="str">
        <f>TEXT(Transform_Data[[#This Row],[Date]],"mmm yyyy")</f>
        <v>Jul 2024</v>
      </c>
      <c r="H929" s="10">
        <f>HOUR(Transform_Data[[#This Row],[Time]])</f>
        <v>17</v>
      </c>
      <c r="I929" s="10" t="str">
        <f>IF(COUNTIF('Transform Data'!$D:$D,'Transform Data'!D929)&gt;1,"Repeat","Single")</f>
        <v>Repeat</v>
      </c>
      <c r="J929" s="10" t="str">
        <f>IF('Transform Data'!D929="Cash","Cash",IF(COUNTIF('Transform Data'!$D:$D,'Transform Data'!D929)&gt;1,"Repeat","Single"))</f>
        <v>Repeat</v>
      </c>
      <c r="K929" s="10" t="str">
        <f t="shared" si="14"/>
        <v>TRANS-0928</v>
      </c>
    </row>
    <row r="930" spans="1:11" x14ac:dyDescent="0.35">
      <c r="A930" s="5">
        <v>45479</v>
      </c>
      <c r="B930" s="3">
        <v>0.72015046296296292</v>
      </c>
      <c r="C930" t="s">
        <v>8</v>
      </c>
      <c r="D930" t="s">
        <v>25</v>
      </c>
      <c r="E930" s="4">
        <v>32.82</v>
      </c>
      <c r="F930" t="s">
        <v>32</v>
      </c>
      <c r="G930" s="10" t="str">
        <f>TEXT(Transform_Data[[#This Row],[Date]],"mmm yyyy")</f>
        <v>Jul 2024</v>
      </c>
      <c r="H930" s="10">
        <f>HOUR(Transform_Data[[#This Row],[Time]])</f>
        <v>17</v>
      </c>
      <c r="I930" s="10" t="str">
        <f>IF(COUNTIF('Transform Data'!$D:$D,'Transform Data'!D930)&gt;1,"Repeat","Single")</f>
        <v>Repeat</v>
      </c>
      <c r="J930" s="10" t="str">
        <f>IF('Transform Data'!D930="Cash","Cash",IF(COUNTIF('Transform Data'!$D:$D,'Transform Data'!D930)&gt;1,"Repeat","Single"))</f>
        <v>Repeat</v>
      </c>
      <c r="K930" s="10" t="str">
        <f t="shared" si="14"/>
        <v>TRANS-0929</v>
      </c>
    </row>
    <row r="931" spans="1:11" x14ac:dyDescent="0.35">
      <c r="A931" s="5">
        <v>45479</v>
      </c>
      <c r="B931" s="3">
        <v>0.79844907407407406</v>
      </c>
      <c r="C931" t="s">
        <v>8</v>
      </c>
      <c r="D931" t="s">
        <v>43</v>
      </c>
      <c r="E931" s="4">
        <v>32.82</v>
      </c>
      <c r="F931" t="s">
        <v>32</v>
      </c>
      <c r="G931" s="10" t="str">
        <f>TEXT(Transform_Data[[#This Row],[Date]],"mmm yyyy")</f>
        <v>Jul 2024</v>
      </c>
      <c r="H931" s="10">
        <f>HOUR(Transform_Data[[#This Row],[Time]])</f>
        <v>19</v>
      </c>
      <c r="I931" s="10" t="str">
        <f>IF(COUNTIF('Transform Data'!$D:$D,'Transform Data'!D931)&gt;1,"Repeat","Single")</f>
        <v>Repeat</v>
      </c>
      <c r="J931" s="10" t="str">
        <f>IF('Transform Data'!D931="Cash","Cash",IF(COUNTIF('Transform Data'!$D:$D,'Transform Data'!D931)&gt;1,"Repeat","Single"))</f>
        <v>Repeat</v>
      </c>
      <c r="K931" s="10" t="str">
        <f t="shared" si="14"/>
        <v>TRANS-0930</v>
      </c>
    </row>
    <row r="932" spans="1:11" x14ac:dyDescent="0.35">
      <c r="A932" s="5">
        <v>45479</v>
      </c>
      <c r="B932" s="3">
        <v>0.79906250000000001</v>
      </c>
      <c r="C932" t="s">
        <v>8</v>
      </c>
      <c r="D932" t="s">
        <v>43</v>
      </c>
      <c r="E932" s="4">
        <v>27.92</v>
      </c>
      <c r="F932" t="s">
        <v>36</v>
      </c>
      <c r="G932" s="10" t="str">
        <f>TEXT(Transform_Data[[#This Row],[Date]],"mmm yyyy")</f>
        <v>Jul 2024</v>
      </c>
      <c r="H932" s="10">
        <f>HOUR(Transform_Data[[#This Row],[Time]])</f>
        <v>19</v>
      </c>
      <c r="I932" s="10" t="str">
        <f>IF(COUNTIF('Transform Data'!$D:$D,'Transform Data'!D932)&gt;1,"Repeat","Single")</f>
        <v>Repeat</v>
      </c>
      <c r="J932" s="10" t="str">
        <f>IF('Transform Data'!D932="Cash","Cash",IF(COUNTIF('Transform Data'!$D:$D,'Transform Data'!D932)&gt;1,"Repeat","Single"))</f>
        <v>Repeat</v>
      </c>
      <c r="K932" s="10" t="str">
        <f t="shared" si="14"/>
        <v>TRANS-0931</v>
      </c>
    </row>
    <row r="933" spans="1:11" x14ac:dyDescent="0.35">
      <c r="A933" s="5">
        <v>45480</v>
      </c>
      <c r="B933" s="3">
        <v>0.37800925925925927</v>
      </c>
      <c r="C933" t="s">
        <v>8</v>
      </c>
      <c r="D933" t="s">
        <v>356</v>
      </c>
      <c r="E933" s="4">
        <v>32.82</v>
      </c>
      <c r="F933" t="s">
        <v>24</v>
      </c>
      <c r="G933" s="10" t="str">
        <f>TEXT(Transform_Data[[#This Row],[Date]],"mmm yyyy")</f>
        <v>Jul 2024</v>
      </c>
      <c r="H933" s="10">
        <f>HOUR(Transform_Data[[#This Row],[Time]])</f>
        <v>9</v>
      </c>
      <c r="I933" s="10" t="str">
        <f>IF(COUNTIF('Transform Data'!$D:$D,'Transform Data'!D933)&gt;1,"Repeat","Single")</f>
        <v>Repeat</v>
      </c>
      <c r="J933" s="10" t="str">
        <f>IF('Transform Data'!D933="Cash","Cash",IF(COUNTIF('Transform Data'!$D:$D,'Transform Data'!D933)&gt;1,"Repeat","Single"))</f>
        <v>Repeat</v>
      </c>
      <c r="K933" s="10" t="str">
        <f t="shared" si="14"/>
        <v>TRANS-0932</v>
      </c>
    </row>
    <row r="934" spans="1:11" x14ac:dyDescent="0.35">
      <c r="A934" s="5">
        <v>45480</v>
      </c>
      <c r="B934" s="3">
        <v>0.38505787037037037</v>
      </c>
      <c r="C934" t="s">
        <v>8</v>
      </c>
      <c r="D934" t="s">
        <v>406</v>
      </c>
      <c r="E934" s="4">
        <v>27.92</v>
      </c>
      <c r="F934" t="s">
        <v>36</v>
      </c>
      <c r="G934" s="10" t="str">
        <f>TEXT(Transform_Data[[#This Row],[Date]],"mmm yyyy")</f>
        <v>Jul 2024</v>
      </c>
      <c r="H934" s="10">
        <f>HOUR(Transform_Data[[#This Row],[Time]])</f>
        <v>9</v>
      </c>
      <c r="I934" s="10" t="str">
        <f>IF(COUNTIF('Transform Data'!$D:$D,'Transform Data'!D934)&gt;1,"Repeat","Single")</f>
        <v>Repeat</v>
      </c>
      <c r="J934" s="10" t="str">
        <f>IF('Transform Data'!D934="Cash","Cash",IF(COUNTIF('Transform Data'!$D:$D,'Transform Data'!D934)&gt;1,"Repeat","Single"))</f>
        <v>Repeat</v>
      </c>
      <c r="K934" s="10" t="str">
        <f t="shared" si="14"/>
        <v>TRANS-0933</v>
      </c>
    </row>
    <row r="935" spans="1:11" x14ac:dyDescent="0.35">
      <c r="A935" s="5">
        <v>45480</v>
      </c>
      <c r="B935" s="3">
        <v>0.38583333333333331</v>
      </c>
      <c r="C935" t="s">
        <v>8</v>
      </c>
      <c r="D935" t="s">
        <v>406</v>
      </c>
      <c r="E935" s="4">
        <v>27.92</v>
      </c>
      <c r="F935" t="s">
        <v>36</v>
      </c>
      <c r="G935" s="10" t="str">
        <f>TEXT(Transform_Data[[#This Row],[Date]],"mmm yyyy")</f>
        <v>Jul 2024</v>
      </c>
      <c r="H935" s="10">
        <f>HOUR(Transform_Data[[#This Row],[Time]])</f>
        <v>9</v>
      </c>
      <c r="I935" s="10" t="str">
        <f>IF(COUNTIF('Transform Data'!$D:$D,'Transform Data'!D935)&gt;1,"Repeat","Single")</f>
        <v>Repeat</v>
      </c>
      <c r="J935" s="10" t="str">
        <f>IF('Transform Data'!D935="Cash","Cash",IF(COUNTIF('Transform Data'!$D:$D,'Transform Data'!D935)&gt;1,"Repeat","Single"))</f>
        <v>Repeat</v>
      </c>
      <c r="K935" s="10" t="str">
        <f t="shared" si="14"/>
        <v>TRANS-0934</v>
      </c>
    </row>
    <row r="936" spans="1:11" x14ac:dyDescent="0.35">
      <c r="A936" s="5">
        <v>45480</v>
      </c>
      <c r="B936" s="3">
        <v>0.39500000000000002</v>
      </c>
      <c r="C936" t="s">
        <v>8</v>
      </c>
      <c r="D936" t="s">
        <v>407</v>
      </c>
      <c r="E936" s="4">
        <v>32.82</v>
      </c>
      <c r="F936" t="s">
        <v>24</v>
      </c>
      <c r="G936" s="10" t="str">
        <f>TEXT(Transform_Data[[#This Row],[Date]],"mmm yyyy")</f>
        <v>Jul 2024</v>
      </c>
      <c r="H936" s="10">
        <f>HOUR(Transform_Data[[#This Row],[Time]])</f>
        <v>9</v>
      </c>
      <c r="I936" s="10" t="str">
        <f>IF(COUNTIF('Transform Data'!$D:$D,'Transform Data'!D936)&gt;1,"Repeat","Single")</f>
        <v>Repeat</v>
      </c>
      <c r="J936" s="10" t="str">
        <f>IF('Transform Data'!D936="Cash","Cash",IF(COUNTIF('Transform Data'!$D:$D,'Transform Data'!D936)&gt;1,"Repeat","Single"))</f>
        <v>Repeat</v>
      </c>
      <c r="K936" s="10" t="str">
        <f t="shared" si="14"/>
        <v>TRANS-0935</v>
      </c>
    </row>
    <row r="937" spans="1:11" x14ac:dyDescent="0.35">
      <c r="A937" s="5">
        <v>45480</v>
      </c>
      <c r="B937" s="3">
        <v>0.39578703703703705</v>
      </c>
      <c r="C937" t="s">
        <v>8</v>
      </c>
      <c r="D937" t="s">
        <v>407</v>
      </c>
      <c r="E937" s="4">
        <v>32.82</v>
      </c>
      <c r="F937" t="s">
        <v>24</v>
      </c>
      <c r="G937" s="10" t="str">
        <f>TEXT(Transform_Data[[#This Row],[Date]],"mmm yyyy")</f>
        <v>Jul 2024</v>
      </c>
      <c r="H937" s="10">
        <f>HOUR(Transform_Data[[#This Row],[Time]])</f>
        <v>9</v>
      </c>
      <c r="I937" s="10" t="str">
        <f>IF(COUNTIF('Transform Data'!$D:$D,'Transform Data'!D937)&gt;1,"Repeat","Single")</f>
        <v>Repeat</v>
      </c>
      <c r="J937" s="10" t="str">
        <f>IF('Transform Data'!D937="Cash","Cash",IF(COUNTIF('Transform Data'!$D:$D,'Transform Data'!D937)&gt;1,"Repeat","Single"))</f>
        <v>Repeat</v>
      </c>
      <c r="K937" s="10" t="str">
        <f t="shared" si="14"/>
        <v>TRANS-0936</v>
      </c>
    </row>
    <row r="938" spans="1:11" x14ac:dyDescent="0.35">
      <c r="A938" s="5">
        <v>45480</v>
      </c>
      <c r="B938" s="3">
        <v>0.6225694444444444</v>
      </c>
      <c r="C938" t="s">
        <v>8</v>
      </c>
      <c r="D938" t="s">
        <v>408</v>
      </c>
      <c r="E938" s="4">
        <v>32.82</v>
      </c>
      <c r="F938" t="s">
        <v>15</v>
      </c>
      <c r="G938" s="10" t="str">
        <f>TEXT(Transform_Data[[#This Row],[Date]],"mmm yyyy")</f>
        <v>Jul 2024</v>
      </c>
      <c r="H938" s="10">
        <f>HOUR(Transform_Data[[#This Row],[Time]])</f>
        <v>14</v>
      </c>
      <c r="I938" s="10" t="str">
        <f>IF(COUNTIF('Transform Data'!$D:$D,'Transform Data'!D938)&gt;1,"Repeat","Single")</f>
        <v>Repeat</v>
      </c>
      <c r="J938" s="10" t="str">
        <f>IF('Transform Data'!D938="Cash","Cash",IF(COUNTIF('Transform Data'!$D:$D,'Transform Data'!D938)&gt;1,"Repeat","Single"))</f>
        <v>Repeat</v>
      </c>
      <c r="K938" s="10" t="str">
        <f t="shared" si="14"/>
        <v>TRANS-0937</v>
      </c>
    </row>
    <row r="939" spans="1:11" x14ac:dyDescent="0.35">
      <c r="A939" s="5">
        <v>45480</v>
      </c>
      <c r="B939" s="3">
        <v>0.62346064814814817</v>
      </c>
      <c r="C939" t="s">
        <v>8</v>
      </c>
      <c r="D939" t="s">
        <v>408</v>
      </c>
      <c r="E939" s="4">
        <v>32.82</v>
      </c>
      <c r="F939" t="s">
        <v>10</v>
      </c>
      <c r="G939" s="10" t="str">
        <f>TEXT(Transform_Data[[#This Row],[Date]],"mmm yyyy")</f>
        <v>Jul 2024</v>
      </c>
      <c r="H939" s="10">
        <f>HOUR(Transform_Data[[#This Row],[Time]])</f>
        <v>14</v>
      </c>
      <c r="I939" s="10" t="str">
        <f>IF(COUNTIF('Transform Data'!$D:$D,'Transform Data'!D939)&gt;1,"Repeat","Single")</f>
        <v>Repeat</v>
      </c>
      <c r="J939" s="10" t="str">
        <f>IF('Transform Data'!D939="Cash","Cash",IF(COUNTIF('Transform Data'!$D:$D,'Transform Data'!D939)&gt;1,"Repeat","Single"))</f>
        <v>Repeat</v>
      </c>
      <c r="K939" s="10" t="str">
        <f t="shared" si="14"/>
        <v>TRANS-0938</v>
      </c>
    </row>
    <row r="940" spans="1:11" x14ac:dyDescent="0.35">
      <c r="A940" s="5">
        <v>45480</v>
      </c>
      <c r="B940" s="3">
        <v>0.71377314814814818</v>
      </c>
      <c r="C940" t="s">
        <v>8</v>
      </c>
      <c r="D940" t="s">
        <v>409</v>
      </c>
      <c r="E940" s="4">
        <v>32.82</v>
      </c>
      <c r="F940" t="s">
        <v>32</v>
      </c>
      <c r="G940" s="10" t="str">
        <f>TEXT(Transform_Data[[#This Row],[Date]],"mmm yyyy")</f>
        <v>Jul 2024</v>
      </c>
      <c r="H940" s="10">
        <f>HOUR(Transform_Data[[#This Row],[Time]])</f>
        <v>17</v>
      </c>
      <c r="I940" s="10" t="str">
        <f>IF(COUNTIF('Transform Data'!$D:$D,'Transform Data'!D940)&gt;1,"Repeat","Single")</f>
        <v>Single</v>
      </c>
      <c r="J940" s="10" t="str">
        <f>IF('Transform Data'!D940="Cash","Cash",IF(COUNTIF('Transform Data'!$D:$D,'Transform Data'!D940)&gt;1,"Repeat","Single"))</f>
        <v>Single</v>
      </c>
      <c r="K940" s="10" t="str">
        <f t="shared" si="14"/>
        <v>TRANS-0939</v>
      </c>
    </row>
    <row r="941" spans="1:11" x14ac:dyDescent="0.35">
      <c r="A941" s="5">
        <v>45480</v>
      </c>
      <c r="B941" s="3">
        <v>0.81489583333333337</v>
      </c>
      <c r="C941" t="s">
        <v>8</v>
      </c>
      <c r="D941" t="s">
        <v>410</v>
      </c>
      <c r="E941" s="4">
        <v>32.82</v>
      </c>
      <c r="F941" t="s">
        <v>24</v>
      </c>
      <c r="G941" s="10" t="str">
        <f>TEXT(Transform_Data[[#This Row],[Date]],"mmm yyyy")</f>
        <v>Jul 2024</v>
      </c>
      <c r="H941" s="10">
        <f>HOUR(Transform_Data[[#This Row],[Time]])</f>
        <v>19</v>
      </c>
      <c r="I941" s="10" t="str">
        <f>IF(COUNTIF('Transform Data'!$D:$D,'Transform Data'!D941)&gt;1,"Repeat","Single")</f>
        <v>Single</v>
      </c>
      <c r="J941" s="10" t="str">
        <f>IF('Transform Data'!D941="Cash","Cash",IF(COUNTIF('Transform Data'!$D:$D,'Transform Data'!D941)&gt;1,"Repeat","Single"))</f>
        <v>Single</v>
      </c>
      <c r="K941" s="10" t="str">
        <f t="shared" si="14"/>
        <v>TRANS-0940</v>
      </c>
    </row>
    <row r="942" spans="1:11" x14ac:dyDescent="0.35">
      <c r="A942" s="5">
        <v>45480</v>
      </c>
      <c r="B942" s="3">
        <v>0.83438657407407413</v>
      </c>
      <c r="C942" t="s">
        <v>8</v>
      </c>
      <c r="D942" t="s">
        <v>411</v>
      </c>
      <c r="E942" s="4">
        <v>32.82</v>
      </c>
      <c r="F942" t="s">
        <v>15</v>
      </c>
      <c r="G942" s="10" t="str">
        <f>TEXT(Transform_Data[[#This Row],[Date]],"mmm yyyy")</f>
        <v>Jul 2024</v>
      </c>
      <c r="H942" s="10">
        <f>HOUR(Transform_Data[[#This Row],[Time]])</f>
        <v>20</v>
      </c>
      <c r="I942" s="10" t="str">
        <f>IF(COUNTIF('Transform Data'!$D:$D,'Transform Data'!D942)&gt;1,"Repeat","Single")</f>
        <v>Single</v>
      </c>
      <c r="J942" s="10" t="str">
        <f>IF('Transform Data'!D942="Cash","Cash",IF(COUNTIF('Transform Data'!$D:$D,'Transform Data'!D942)&gt;1,"Repeat","Single"))</f>
        <v>Single</v>
      </c>
      <c r="K942" s="10" t="str">
        <f t="shared" si="14"/>
        <v>TRANS-0941</v>
      </c>
    </row>
    <row r="943" spans="1:11" x14ac:dyDescent="0.35">
      <c r="A943" s="5">
        <v>45480</v>
      </c>
      <c r="B943" s="3">
        <v>0.94</v>
      </c>
      <c r="C943" t="s">
        <v>8</v>
      </c>
      <c r="D943" t="s">
        <v>412</v>
      </c>
      <c r="E943" s="4">
        <v>27.92</v>
      </c>
      <c r="F943" t="s">
        <v>36</v>
      </c>
      <c r="G943" s="10" t="str">
        <f>TEXT(Transform_Data[[#This Row],[Date]],"mmm yyyy")</f>
        <v>Jul 2024</v>
      </c>
      <c r="H943" s="10">
        <f>HOUR(Transform_Data[[#This Row],[Time]])</f>
        <v>22</v>
      </c>
      <c r="I943" s="10" t="str">
        <f>IF(COUNTIF('Transform Data'!$D:$D,'Transform Data'!D943)&gt;1,"Repeat","Single")</f>
        <v>Single</v>
      </c>
      <c r="J943" s="10" t="str">
        <f>IF('Transform Data'!D943="Cash","Cash",IF(COUNTIF('Transform Data'!$D:$D,'Transform Data'!D943)&gt;1,"Repeat","Single"))</f>
        <v>Single</v>
      </c>
      <c r="K943" s="10" t="str">
        <f t="shared" si="14"/>
        <v>TRANS-0942</v>
      </c>
    </row>
    <row r="944" spans="1:11" x14ac:dyDescent="0.35">
      <c r="A944" s="5">
        <v>45481</v>
      </c>
      <c r="B944" s="3">
        <v>0.31466435185185188</v>
      </c>
      <c r="C944" t="s">
        <v>8</v>
      </c>
      <c r="D944" t="s">
        <v>413</v>
      </c>
      <c r="E944" s="4">
        <v>32.82</v>
      </c>
      <c r="F944" t="s">
        <v>32</v>
      </c>
      <c r="G944" s="10" t="str">
        <f>TEXT(Transform_Data[[#This Row],[Date]],"mmm yyyy")</f>
        <v>Jul 2024</v>
      </c>
      <c r="H944" s="10">
        <f>HOUR(Transform_Data[[#This Row],[Time]])</f>
        <v>7</v>
      </c>
      <c r="I944" s="10" t="str">
        <f>IF(COUNTIF('Transform Data'!$D:$D,'Transform Data'!D944)&gt;1,"Repeat","Single")</f>
        <v>Single</v>
      </c>
      <c r="J944" s="10" t="str">
        <f>IF('Transform Data'!D944="Cash","Cash",IF(COUNTIF('Transform Data'!$D:$D,'Transform Data'!D944)&gt;1,"Repeat","Single"))</f>
        <v>Single</v>
      </c>
      <c r="K944" s="10" t="str">
        <f t="shared" si="14"/>
        <v>TRANS-0943</v>
      </c>
    </row>
    <row r="945" spans="1:11" x14ac:dyDescent="0.35">
      <c r="A945" s="5">
        <v>45481</v>
      </c>
      <c r="B945" s="3">
        <v>0.5019675925925926</v>
      </c>
      <c r="C945" t="s">
        <v>8</v>
      </c>
      <c r="D945" t="s">
        <v>414</v>
      </c>
      <c r="E945" s="4">
        <v>23.02</v>
      </c>
      <c r="F945" t="s">
        <v>28</v>
      </c>
      <c r="G945" s="10" t="str">
        <f>TEXT(Transform_Data[[#This Row],[Date]],"mmm yyyy")</f>
        <v>Jul 2024</v>
      </c>
      <c r="H945" s="10">
        <f>HOUR(Transform_Data[[#This Row],[Time]])</f>
        <v>12</v>
      </c>
      <c r="I945" s="10" t="str">
        <f>IF(COUNTIF('Transform Data'!$D:$D,'Transform Data'!D945)&gt;1,"Repeat","Single")</f>
        <v>Single</v>
      </c>
      <c r="J945" s="10" t="str">
        <f>IF('Transform Data'!D945="Cash","Cash",IF(COUNTIF('Transform Data'!$D:$D,'Transform Data'!D945)&gt;1,"Repeat","Single"))</f>
        <v>Single</v>
      </c>
      <c r="K945" s="10" t="str">
        <f t="shared" si="14"/>
        <v>TRANS-0944</v>
      </c>
    </row>
    <row r="946" spans="1:11" x14ac:dyDescent="0.35">
      <c r="A946" s="5">
        <v>45481</v>
      </c>
      <c r="B946" s="3">
        <v>0.61138888888888887</v>
      </c>
      <c r="C946" t="s">
        <v>8</v>
      </c>
      <c r="D946" t="s">
        <v>415</v>
      </c>
      <c r="E946" s="4">
        <v>23.02</v>
      </c>
      <c r="F946" t="s">
        <v>28</v>
      </c>
      <c r="G946" s="10" t="str">
        <f>TEXT(Transform_Data[[#This Row],[Date]],"mmm yyyy")</f>
        <v>Jul 2024</v>
      </c>
      <c r="H946" s="10">
        <f>HOUR(Transform_Data[[#This Row],[Time]])</f>
        <v>14</v>
      </c>
      <c r="I946" s="10" t="str">
        <f>IF(COUNTIF('Transform Data'!$D:$D,'Transform Data'!D946)&gt;1,"Repeat","Single")</f>
        <v>Single</v>
      </c>
      <c r="J946" s="10" t="str">
        <f>IF('Transform Data'!D946="Cash","Cash",IF(COUNTIF('Transform Data'!$D:$D,'Transform Data'!D946)&gt;1,"Repeat","Single"))</f>
        <v>Single</v>
      </c>
      <c r="K946" s="10" t="str">
        <f t="shared" si="14"/>
        <v>TRANS-0945</v>
      </c>
    </row>
    <row r="947" spans="1:11" x14ac:dyDescent="0.35">
      <c r="A947" s="5">
        <v>45481</v>
      </c>
      <c r="B947" s="3">
        <v>0.81289351851851854</v>
      </c>
      <c r="C947" t="s">
        <v>8</v>
      </c>
      <c r="D947" t="s">
        <v>416</v>
      </c>
      <c r="E947" s="4">
        <v>27.92</v>
      </c>
      <c r="F947" t="s">
        <v>36</v>
      </c>
      <c r="G947" s="10" t="str">
        <f>TEXT(Transform_Data[[#This Row],[Date]],"mmm yyyy")</f>
        <v>Jul 2024</v>
      </c>
      <c r="H947" s="10">
        <f>HOUR(Transform_Data[[#This Row],[Time]])</f>
        <v>19</v>
      </c>
      <c r="I947" s="10" t="str">
        <f>IF(COUNTIF('Transform Data'!$D:$D,'Transform Data'!D947)&gt;1,"Repeat","Single")</f>
        <v>Single</v>
      </c>
      <c r="J947" s="10" t="str">
        <f>IF('Transform Data'!D947="Cash","Cash",IF(COUNTIF('Transform Data'!$D:$D,'Transform Data'!D947)&gt;1,"Repeat","Single"))</f>
        <v>Single</v>
      </c>
      <c r="K947" s="10" t="str">
        <f t="shared" si="14"/>
        <v>TRANS-0946</v>
      </c>
    </row>
    <row r="948" spans="1:11" x14ac:dyDescent="0.35">
      <c r="A948" s="5">
        <v>45481</v>
      </c>
      <c r="B948" s="3">
        <v>0.92692129629629627</v>
      </c>
      <c r="C948" t="s">
        <v>8</v>
      </c>
      <c r="D948" t="s">
        <v>76</v>
      </c>
      <c r="E948" s="4">
        <v>32.82</v>
      </c>
      <c r="F948" t="s">
        <v>32</v>
      </c>
      <c r="G948" s="10" t="str">
        <f>TEXT(Transform_Data[[#This Row],[Date]],"mmm yyyy")</f>
        <v>Jul 2024</v>
      </c>
      <c r="H948" s="10">
        <f>HOUR(Transform_Data[[#This Row],[Time]])</f>
        <v>22</v>
      </c>
      <c r="I948" s="10" t="str">
        <f>IF(COUNTIF('Transform Data'!$D:$D,'Transform Data'!D948)&gt;1,"Repeat","Single")</f>
        <v>Repeat</v>
      </c>
      <c r="J948" s="10" t="str">
        <f>IF('Transform Data'!D948="Cash","Cash",IF(COUNTIF('Transform Data'!$D:$D,'Transform Data'!D948)&gt;1,"Repeat","Single"))</f>
        <v>Repeat</v>
      </c>
      <c r="K948" s="10" t="str">
        <f t="shared" si="14"/>
        <v>TRANS-0947</v>
      </c>
    </row>
    <row r="949" spans="1:11" x14ac:dyDescent="0.35">
      <c r="A949" s="5">
        <v>45482</v>
      </c>
      <c r="B949" s="3">
        <v>0.43532407407407409</v>
      </c>
      <c r="C949" t="s">
        <v>8</v>
      </c>
      <c r="D949" t="s">
        <v>386</v>
      </c>
      <c r="E949" s="4">
        <v>27.92</v>
      </c>
      <c r="F949" t="s">
        <v>36</v>
      </c>
      <c r="G949" s="10" t="str">
        <f>TEXT(Transform_Data[[#This Row],[Date]],"mmm yyyy")</f>
        <v>Jul 2024</v>
      </c>
      <c r="H949" s="10">
        <f>HOUR(Transform_Data[[#This Row],[Time]])</f>
        <v>10</v>
      </c>
      <c r="I949" s="10" t="str">
        <f>IF(COUNTIF('Transform Data'!$D:$D,'Transform Data'!D949)&gt;1,"Repeat","Single")</f>
        <v>Repeat</v>
      </c>
      <c r="J949" s="10" t="str">
        <f>IF('Transform Data'!D949="Cash","Cash",IF(COUNTIF('Transform Data'!$D:$D,'Transform Data'!D949)&gt;1,"Repeat","Single"))</f>
        <v>Repeat</v>
      </c>
      <c r="K949" s="10" t="str">
        <f t="shared" si="14"/>
        <v>TRANS-0948</v>
      </c>
    </row>
    <row r="950" spans="1:11" x14ac:dyDescent="0.35">
      <c r="A950" s="5">
        <v>45482</v>
      </c>
      <c r="B950" s="3">
        <v>0.44476851851851851</v>
      </c>
      <c r="C950" t="s">
        <v>8</v>
      </c>
      <c r="D950" t="s">
        <v>29</v>
      </c>
      <c r="E950" s="4">
        <v>27.92</v>
      </c>
      <c r="F950" t="s">
        <v>36</v>
      </c>
      <c r="G950" s="10" t="str">
        <f>TEXT(Transform_Data[[#This Row],[Date]],"mmm yyyy")</f>
        <v>Jul 2024</v>
      </c>
      <c r="H950" s="10">
        <f>HOUR(Transform_Data[[#This Row],[Time]])</f>
        <v>10</v>
      </c>
      <c r="I950" s="10" t="str">
        <f>IF(COUNTIF('Transform Data'!$D:$D,'Transform Data'!D950)&gt;1,"Repeat","Single")</f>
        <v>Repeat</v>
      </c>
      <c r="J950" s="10" t="str">
        <f>IF('Transform Data'!D950="Cash","Cash",IF(COUNTIF('Transform Data'!$D:$D,'Transform Data'!D950)&gt;1,"Repeat","Single"))</f>
        <v>Repeat</v>
      </c>
      <c r="K950" s="10" t="str">
        <f t="shared" si="14"/>
        <v>TRANS-0949</v>
      </c>
    </row>
    <row r="951" spans="1:11" x14ac:dyDescent="0.35">
      <c r="A951" s="5">
        <v>45482</v>
      </c>
      <c r="B951" s="3">
        <v>0.47333333333333333</v>
      </c>
      <c r="C951" t="s">
        <v>8</v>
      </c>
      <c r="D951" t="s">
        <v>248</v>
      </c>
      <c r="E951" s="4">
        <v>27.92</v>
      </c>
      <c r="F951" t="s">
        <v>36</v>
      </c>
      <c r="G951" s="10" t="str">
        <f>TEXT(Transform_Data[[#This Row],[Date]],"mmm yyyy")</f>
        <v>Jul 2024</v>
      </c>
      <c r="H951" s="10">
        <f>HOUR(Transform_Data[[#This Row],[Time]])</f>
        <v>11</v>
      </c>
      <c r="I951" s="10" t="str">
        <f>IF(COUNTIF('Transform Data'!$D:$D,'Transform Data'!D951)&gt;1,"Repeat","Single")</f>
        <v>Repeat</v>
      </c>
      <c r="J951" s="10" t="str">
        <f>IF('Transform Data'!D951="Cash","Cash",IF(COUNTIF('Transform Data'!$D:$D,'Transform Data'!D951)&gt;1,"Repeat","Single"))</f>
        <v>Repeat</v>
      </c>
      <c r="K951" s="10" t="str">
        <f t="shared" si="14"/>
        <v>TRANS-0950</v>
      </c>
    </row>
    <row r="952" spans="1:11" x14ac:dyDescent="0.35">
      <c r="A952" s="5">
        <v>45482</v>
      </c>
      <c r="B952" s="3">
        <v>0.47417824074074072</v>
      </c>
      <c r="C952" t="s">
        <v>8</v>
      </c>
      <c r="D952" t="s">
        <v>248</v>
      </c>
      <c r="E952" s="4">
        <v>32.82</v>
      </c>
      <c r="F952" t="s">
        <v>24</v>
      </c>
      <c r="G952" s="10" t="str">
        <f>TEXT(Transform_Data[[#This Row],[Date]],"mmm yyyy")</f>
        <v>Jul 2024</v>
      </c>
      <c r="H952" s="10">
        <f>HOUR(Transform_Data[[#This Row],[Time]])</f>
        <v>11</v>
      </c>
      <c r="I952" s="10" t="str">
        <f>IF(COUNTIF('Transform Data'!$D:$D,'Transform Data'!D952)&gt;1,"Repeat","Single")</f>
        <v>Repeat</v>
      </c>
      <c r="J952" s="10" t="str">
        <f>IF('Transform Data'!D952="Cash","Cash",IF(COUNTIF('Transform Data'!$D:$D,'Transform Data'!D952)&gt;1,"Repeat","Single"))</f>
        <v>Repeat</v>
      </c>
      <c r="K952" s="10" t="str">
        <f t="shared" si="14"/>
        <v>TRANS-0951</v>
      </c>
    </row>
    <row r="953" spans="1:11" x14ac:dyDescent="0.35">
      <c r="A953" s="5">
        <v>45482</v>
      </c>
      <c r="B953" s="3">
        <v>0.69651620370370371</v>
      </c>
      <c r="C953" t="s">
        <v>8</v>
      </c>
      <c r="D953" t="s">
        <v>417</v>
      </c>
      <c r="E953" s="4">
        <v>27.92</v>
      </c>
      <c r="F953" t="s">
        <v>36</v>
      </c>
      <c r="G953" s="10" t="str">
        <f>TEXT(Transform_Data[[#This Row],[Date]],"mmm yyyy")</f>
        <v>Jul 2024</v>
      </c>
      <c r="H953" s="10">
        <f>HOUR(Transform_Data[[#This Row],[Time]])</f>
        <v>16</v>
      </c>
      <c r="I953" s="10" t="str">
        <f>IF(COUNTIF('Transform Data'!$D:$D,'Transform Data'!D953)&gt;1,"Repeat","Single")</f>
        <v>Single</v>
      </c>
      <c r="J953" s="10" t="str">
        <f>IF('Transform Data'!D953="Cash","Cash",IF(COUNTIF('Transform Data'!$D:$D,'Transform Data'!D953)&gt;1,"Repeat","Single"))</f>
        <v>Single</v>
      </c>
      <c r="K953" s="10" t="str">
        <f t="shared" si="14"/>
        <v>TRANS-0952</v>
      </c>
    </row>
    <row r="954" spans="1:11" x14ac:dyDescent="0.35">
      <c r="A954" s="5">
        <v>45483</v>
      </c>
      <c r="B954" s="3">
        <v>0.46575231481481483</v>
      </c>
      <c r="C954" t="s">
        <v>8</v>
      </c>
      <c r="D954" t="s">
        <v>418</v>
      </c>
      <c r="E954" s="4">
        <v>23.02</v>
      </c>
      <c r="F954" t="s">
        <v>28</v>
      </c>
      <c r="G954" s="10" t="str">
        <f>TEXT(Transform_Data[[#This Row],[Date]],"mmm yyyy")</f>
        <v>Jul 2024</v>
      </c>
      <c r="H954" s="10">
        <f>HOUR(Transform_Data[[#This Row],[Time]])</f>
        <v>11</v>
      </c>
      <c r="I954" s="10" t="str">
        <f>IF(COUNTIF('Transform Data'!$D:$D,'Transform Data'!D954)&gt;1,"Repeat","Single")</f>
        <v>Repeat</v>
      </c>
      <c r="J954" s="10" t="str">
        <f>IF('Transform Data'!D954="Cash","Cash",IF(COUNTIF('Transform Data'!$D:$D,'Transform Data'!D954)&gt;1,"Repeat","Single"))</f>
        <v>Repeat</v>
      </c>
      <c r="K954" s="10" t="str">
        <f t="shared" si="14"/>
        <v>TRANS-0953</v>
      </c>
    </row>
    <row r="955" spans="1:11" x14ac:dyDescent="0.35">
      <c r="A955" s="5">
        <v>45483</v>
      </c>
      <c r="B955" s="3">
        <v>0.52005787037037032</v>
      </c>
      <c r="C955" t="s">
        <v>8</v>
      </c>
      <c r="D955" t="s">
        <v>419</v>
      </c>
      <c r="E955" s="4">
        <v>27.92</v>
      </c>
      <c r="F955" t="s">
        <v>36</v>
      </c>
      <c r="G955" s="10" t="str">
        <f>TEXT(Transform_Data[[#This Row],[Date]],"mmm yyyy")</f>
        <v>Jul 2024</v>
      </c>
      <c r="H955" s="10">
        <f>HOUR(Transform_Data[[#This Row],[Time]])</f>
        <v>12</v>
      </c>
      <c r="I955" s="10" t="str">
        <f>IF(COUNTIF('Transform Data'!$D:$D,'Transform Data'!D955)&gt;1,"Repeat","Single")</f>
        <v>Single</v>
      </c>
      <c r="J955" s="10" t="str">
        <f>IF('Transform Data'!D955="Cash","Cash",IF(COUNTIF('Transform Data'!$D:$D,'Transform Data'!D955)&gt;1,"Repeat","Single"))</f>
        <v>Single</v>
      </c>
      <c r="K955" s="10" t="str">
        <f t="shared" si="14"/>
        <v>TRANS-0954</v>
      </c>
    </row>
    <row r="956" spans="1:11" x14ac:dyDescent="0.35">
      <c r="A956" s="5">
        <v>45483</v>
      </c>
      <c r="B956" s="3">
        <v>0.92581018518518521</v>
      </c>
      <c r="C956" t="s">
        <v>8</v>
      </c>
      <c r="D956" t="s">
        <v>381</v>
      </c>
      <c r="E956" s="4">
        <v>32.82</v>
      </c>
      <c r="F956" t="s">
        <v>32</v>
      </c>
      <c r="G956" s="10" t="str">
        <f>TEXT(Transform_Data[[#This Row],[Date]],"mmm yyyy")</f>
        <v>Jul 2024</v>
      </c>
      <c r="H956" s="10">
        <f>HOUR(Transform_Data[[#This Row],[Time]])</f>
        <v>22</v>
      </c>
      <c r="I956" s="10" t="str">
        <f>IF(COUNTIF('Transform Data'!$D:$D,'Transform Data'!D956)&gt;1,"Repeat","Single")</f>
        <v>Repeat</v>
      </c>
      <c r="J956" s="10" t="str">
        <f>IF('Transform Data'!D956="Cash","Cash",IF(COUNTIF('Transform Data'!$D:$D,'Transform Data'!D956)&gt;1,"Repeat","Single"))</f>
        <v>Repeat</v>
      </c>
      <c r="K956" s="10" t="str">
        <f t="shared" si="14"/>
        <v>TRANS-0955</v>
      </c>
    </row>
    <row r="957" spans="1:11" x14ac:dyDescent="0.35">
      <c r="A957" s="5">
        <v>45484</v>
      </c>
      <c r="B957" s="3">
        <v>0.47739583333333335</v>
      </c>
      <c r="C957" t="s">
        <v>8</v>
      </c>
      <c r="D957" t="s">
        <v>420</v>
      </c>
      <c r="E957" s="4">
        <v>32.82</v>
      </c>
      <c r="F957" t="s">
        <v>15</v>
      </c>
      <c r="G957" s="10" t="str">
        <f>TEXT(Transform_Data[[#This Row],[Date]],"mmm yyyy")</f>
        <v>Jul 2024</v>
      </c>
      <c r="H957" s="10">
        <f>HOUR(Transform_Data[[#This Row],[Time]])</f>
        <v>11</v>
      </c>
      <c r="I957" s="10" t="str">
        <f>IF(COUNTIF('Transform Data'!$D:$D,'Transform Data'!D957)&gt;1,"Repeat","Single")</f>
        <v>Repeat</v>
      </c>
      <c r="J957" s="10" t="str">
        <f>IF('Transform Data'!D957="Cash","Cash",IF(COUNTIF('Transform Data'!$D:$D,'Transform Data'!D957)&gt;1,"Repeat","Single"))</f>
        <v>Repeat</v>
      </c>
      <c r="K957" s="10" t="str">
        <f t="shared" si="14"/>
        <v>TRANS-0956</v>
      </c>
    </row>
    <row r="958" spans="1:11" x14ac:dyDescent="0.35">
      <c r="A958" s="5">
        <v>45484</v>
      </c>
      <c r="B958" s="3">
        <v>0.70020833333333332</v>
      </c>
      <c r="C958" t="s">
        <v>8</v>
      </c>
      <c r="D958" t="s">
        <v>421</v>
      </c>
      <c r="E958" s="4">
        <v>27.92</v>
      </c>
      <c r="F958" t="s">
        <v>36</v>
      </c>
      <c r="G958" s="10" t="str">
        <f>TEXT(Transform_Data[[#This Row],[Date]],"mmm yyyy")</f>
        <v>Jul 2024</v>
      </c>
      <c r="H958" s="10">
        <f>HOUR(Transform_Data[[#This Row],[Time]])</f>
        <v>16</v>
      </c>
      <c r="I958" s="10" t="str">
        <f>IF(COUNTIF('Transform Data'!$D:$D,'Transform Data'!D958)&gt;1,"Repeat","Single")</f>
        <v>Single</v>
      </c>
      <c r="J958" s="10" t="str">
        <f>IF('Transform Data'!D958="Cash","Cash",IF(COUNTIF('Transform Data'!$D:$D,'Transform Data'!D958)&gt;1,"Repeat","Single"))</f>
        <v>Single</v>
      </c>
      <c r="K958" s="10" t="str">
        <f t="shared" si="14"/>
        <v>TRANS-0957</v>
      </c>
    </row>
    <row r="959" spans="1:11" x14ac:dyDescent="0.35">
      <c r="A959" s="5">
        <v>45484</v>
      </c>
      <c r="B959" s="3">
        <v>0.93209490740740741</v>
      </c>
      <c r="C959" t="s">
        <v>8</v>
      </c>
      <c r="D959" t="s">
        <v>422</v>
      </c>
      <c r="E959" s="4">
        <v>32.82</v>
      </c>
      <c r="F959" t="s">
        <v>32</v>
      </c>
      <c r="G959" s="10" t="str">
        <f>TEXT(Transform_Data[[#This Row],[Date]],"mmm yyyy")</f>
        <v>Jul 2024</v>
      </c>
      <c r="H959" s="10">
        <f>HOUR(Transform_Data[[#This Row],[Time]])</f>
        <v>22</v>
      </c>
      <c r="I959" s="10" t="str">
        <f>IF(COUNTIF('Transform Data'!$D:$D,'Transform Data'!D959)&gt;1,"Repeat","Single")</f>
        <v>Single</v>
      </c>
      <c r="J959" s="10" t="str">
        <f>IF('Transform Data'!D959="Cash","Cash",IF(COUNTIF('Transform Data'!$D:$D,'Transform Data'!D959)&gt;1,"Repeat","Single"))</f>
        <v>Single</v>
      </c>
      <c r="K959" s="10" t="str">
        <f t="shared" si="14"/>
        <v>TRANS-0958</v>
      </c>
    </row>
    <row r="960" spans="1:11" x14ac:dyDescent="0.35">
      <c r="A960" s="5">
        <v>45484</v>
      </c>
      <c r="B960" s="3">
        <v>0.93817129629629625</v>
      </c>
      <c r="C960" t="s">
        <v>8</v>
      </c>
      <c r="D960" t="s">
        <v>423</v>
      </c>
      <c r="E960" s="4">
        <v>23.02</v>
      </c>
      <c r="F960" t="s">
        <v>28</v>
      </c>
      <c r="G960" s="10" t="str">
        <f>TEXT(Transform_Data[[#This Row],[Date]],"mmm yyyy")</f>
        <v>Jul 2024</v>
      </c>
      <c r="H960" s="10">
        <f>HOUR(Transform_Data[[#This Row],[Time]])</f>
        <v>22</v>
      </c>
      <c r="I960" s="10" t="str">
        <f>IF(COUNTIF('Transform Data'!$D:$D,'Transform Data'!D960)&gt;1,"Repeat","Single")</f>
        <v>Single</v>
      </c>
      <c r="J960" s="10" t="str">
        <f>IF('Transform Data'!D960="Cash","Cash",IF(COUNTIF('Transform Data'!$D:$D,'Transform Data'!D960)&gt;1,"Repeat","Single"))</f>
        <v>Single</v>
      </c>
      <c r="K960" s="10" t="str">
        <f t="shared" si="14"/>
        <v>TRANS-0959</v>
      </c>
    </row>
    <row r="961" spans="1:11" x14ac:dyDescent="0.35">
      <c r="A961" s="5">
        <v>45485</v>
      </c>
      <c r="B961" s="3">
        <v>0.33561342592592591</v>
      </c>
      <c r="C961" t="s">
        <v>8</v>
      </c>
      <c r="D961" t="s">
        <v>424</v>
      </c>
      <c r="E961" s="4">
        <v>23.02</v>
      </c>
      <c r="F961" t="s">
        <v>20</v>
      </c>
      <c r="G961" s="10" t="str">
        <f>TEXT(Transform_Data[[#This Row],[Date]],"mmm yyyy")</f>
        <v>Jul 2024</v>
      </c>
      <c r="H961" s="10">
        <f>HOUR(Transform_Data[[#This Row],[Time]])</f>
        <v>8</v>
      </c>
      <c r="I961" s="10" t="str">
        <f>IF(COUNTIF('Transform Data'!$D:$D,'Transform Data'!D961)&gt;1,"Repeat","Single")</f>
        <v>Repeat</v>
      </c>
      <c r="J961" s="10" t="str">
        <f>IF('Transform Data'!D961="Cash","Cash",IF(COUNTIF('Transform Data'!$D:$D,'Transform Data'!D961)&gt;1,"Repeat","Single"))</f>
        <v>Repeat</v>
      </c>
      <c r="K961" s="10" t="str">
        <f t="shared" si="14"/>
        <v>TRANS-0960</v>
      </c>
    </row>
    <row r="962" spans="1:11" x14ac:dyDescent="0.35">
      <c r="A962" s="5">
        <v>45485</v>
      </c>
      <c r="B962" s="3">
        <v>0.49204861111111109</v>
      </c>
      <c r="C962" t="s">
        <v>8</v>
      </c>
      <c r="D962" t="s">
        <v>425</v>
      </c>
      <c r="E962" s="4">
        <v>32.82</v>
      </c>
      <c r="F962" t="s">
        <v>15</v>
      </c>
      <c r="G962" s="10" t="str">
        <f>TEXT(Transform_Data[[#This Row],[Date]],"mmm yyyy")</f>
        <v>Jul 2024</v>
      </c>
      <c r="H962" s="10">
        <f>HOUR(Transform_Data[[#This Row],[Time]])</f>
        <v>11</v>
      </c>
      <c r="I962" s="10" t="str">
        <f>IF(COUNTIF('Transform Data'!$D:$D,'Transform Data'!D962)&gt;1,"Repeat","Single")</f>
        <v>Single</v>
      </c>
      <c r="J962" s="10" t="str">
        <f>IF('Transform Data'!D962="Cash","Cash",IF(COUNTIF('Transform Data'!$D:$D,'Transform Data'!D962)&gt;1,"Repeat","Single"))</f>
        <v>Single</v>
      </c>
      <c r="K962" s="10" t="str">
        <f t="shared" ref="K962:K1025" si="15">"TRANS-"&amp;TEXT(ROW(A961),"0000")</f>
        <v>TRANS-0961</v>
      </c>
    </row>
    <row r="963" spans="1:11" x14ac:dyDescent="0.35">
      <c r="A963" s="5">
        <v>45485</v>
      </c>
      <c r="B963" s="3">
        <v>0.93987268518518519</v>
      </c>
      <c r="C963" t="s">
        <v>8</v>
      </c>
      <c r="D963" t="s">
        <v>232</v>
      </c>
      <c r="E963" s="4">
        <v>32.82</v>
      </c>
      <c r="F963" t="s">
        <v>15</v>
      </c>
      <c r="G963" s="10" t="str">
        <f>TEXT(Transform_Data[[#This Row],[Date]],"mmm yyyy")</f>
        <v>Jul 2024</v>
      </c>
      <c r="H963" s="10">
        <f>HOUR(Transform_Data[[#This Row],[Time]])</f>
        <v>22</v>
      </c>
      <c r="I963" s="10" t="str">
        <f>IF(COUNTIF('Transform Data'!$D:$D,'Transform Data'!D963)&gt;1,"Repeat","Single")</f>
        <v>Repeat</v>
      </c>
      <c r="J963" s="10" t="str">
        <f>IF('Transform Data'!D963="Cash","Cash",IF(COUNTIF('Transform Data'!$D:$D,'Transform Data'!D963)&gt;1,"Repeat","Single"))</f>
        <v>Repeat</v>
      </c>
      <c r="K963" s="10" t="str">
        <f t="shared" si="15"/>
        <v>TRANS-0962</v>
      </c>
    </row>
    <row r="964" spans="1:11" x14ac:dyDescent="0.35">
      <c r="A964" s="5">
        <v>45485</v>
      </c>
      <c r="B964" s="3">
        <v>0.94043981481481487</v>
      </c>
      <c r="C964" t="s">
        <v>8</v>
      </c>
      <c r="D964" t="s">
        <v>231</v>
      </c>
      <c r="E964" s="4">
        <v>32.82</v>
      </c>
      <c r="F964" t="s">
        <v>15</v>
      </c>
      <c r="G964" s="10" t="str">
        <f>TEXT(Transform_Data[[#This Row],[Date]],"mmm yyyy")</f>
        <v>Jul 2024</v>
      </c>
      <c r="H964" s="10">
        <f>HOUR(Transform_Data[[#This Row],[Time]])</f>
        <v>22</v>
      </c>
      <c r="I964" s="10" t="str">
        <f>IF(COUNTIF('Transform Data'!$D:$D,'Transform Data'!D964)&gt;1,"Repeat","Single")</f>
        <v>Repeat</v>
      </c>
      <c r="J964" s="10" t="str">
        <f>IF('Transform Data'!D964="Cash","Cash",IF(COUNTIF('Transform Data'!$D:$D,'Transform Data'!D964)&gt;1,"Repeat","Single"))</f>
        <v>Repeat</v>
      </c>
      <c r="K964" s="10" t="str">
        <f t="shared" si="15"/>
        <v>TRANS-0963</v>
      </c>
    </row>
    <row r="965" spans="1:11" x14ac:dyDescent="0.35">
      <c r="A965" s="5">
        <v>45485</v>
      </c>
      <c r="B965" s="3">
        <v>0.94130787037037034</v>
      </c>
      <c r="C965" t="s">
        <v>8</v>
      </c>
      <c r="D965" t="s">
        <v>233</v>
      </c>
      <c r="E965" s="4">
        <v>32.82</v>
      </c>
      <c r="F965" t="s">
        <v>15</v>
      </c>
      <c r="G965" s="10" t="str">
        <f>TEXT(Transform_Data[[#This Row],[Date]],"mmm yyyy")</f>
        <v>Jul 2024</v>
      </c>
      <c r="H965" s="10">
        <f>HOUR(Transform_Data[[#This Row],[Time]])</f>
        <v>22</v>
      </c>
      <c r="I965" s="10" t="str">
        <f>IF(COUNTIF('Transform Data'!$D:$D,'Transform Data'!D965)&gt;1,"Repeat","Single")</f>
        <v>Repeat</v>
      </c>
      <c r="J965" s="10" t="str">
        <f>IF('Transform Data'!D965="Cash","Cash",IF(COUNTIF('Transform Data'!$D:$D,'Transform Data'!D965)&gt;1,"Repeat","Single"))</f>
        <v>Repeat</v>
      </c>
      <c r="K965" s="10" t="str">
        <f t="shared" si="15"/>
        <v>TRANS-0964</v>
      </c>
    </row>
    <row r="966" spans="1:11" x14ac:dyDescent="0.35">
      <c r="A966" s="5">
        <v>45486</v>
      </c>
      <c r="B966" s="3">
        <v>0.44317129629629631</v>
      </c>
      <c r="C966" t="s">
        <v>8</v>
      </c>
      <c r="D966" t="s">
        <v>418</v>
      </c>
      <c r="E966" s="4">
        <v>32.82</v>
      </c>
      <c r="F966" t="s">
        <v>32</v>
      </c>
      <c r="G966" s="10" t="str">
        <f>TEXT(Transform_Data[[#This Row],[Date]],"mmm yyyy")</f>
        <v>Jul 2024</v>
      </c>
      <c r="H966" s="10">
        <f>HOUR(Transform_Data[[#This Row],[Time]])</f>
        <v>10</v>
      </c>
      <c r="I966" s="10" t="str">
        <f>IF(COUNTIF('Transform Data'!$D:$D,'Transform Data'!D966)&gt;1,"Repeat","Single")</f>
        <v>Repeat</v>
      </c>
      <c r="J966" s="10" t="str">
        <f>IF('Transform Data'!D966="Cash","Cash",IF(COUNTIF('Transform Data'!$D:$D,'Transform Data'!D966)&gt;1,"Repeat","Single"))</f>
        <v>Repeat</v>
      </c>
      <c r="K966" s="10" t="str">
        <f t="shared" si="15"/>
        <v>TRANS-0965</v>
      </c>
    </row>
    <row r="967" spans="1:11" x14ac:dyDescent="0.35">
      <c r="A967" s="5">
        <v>45486</v>
      </c>
      <c r="B967" s="3">
        <v>0.48724537037037036</v>
      </c>
      <c r="C967" t="s">
        <v>8</v>
      </c>
      <c r="D967" t="s">
        <v>418</v>
      </c>
      <c r="E967" s="4">
        <v>32.82</v>
      </c>
      <c r="F967" t="s">
        <v>32</v>
      </c>
      <c r="G967" s="10" t="str">
        <f>TEXT(Transform_Data[[#This Row],[Date]],"mmm yyyy")</f>
        <v>Jul 2024</v>
      </c>
      <c r="H967" s="10">
        <f>HOUR(Transform_Data[[#This Row],[Time]])</f>
        <v>11</v>
      </c>
      <c r="I967" s="10" t="str">
        <f>IF(COUNTIF('Transform Data'!$D:$D,'Transform Data'!D967)&gt;1,"Repeat","Single")</f>
        <v>Repeat</v>
      </c>
      <c r="J967" s="10" t="str">
        <f>IF('Transform Data'!D967="Cash","Cash",IF(COUNTIF('Transform Data'!$D:$D,'Transform Data'!D967)&gt;1,"Repeat","Single"))</f>
        <v>Repeat</v>
      </c>
      <c r="K967" s="10" t="str">
        <f t="shared" si="15"/>
        <v>TRANS-0966</v>
      </c>
    </row>
    <row r="968" spans="1:11" x14ac:dyDescent="0.35">
      <c r="A968" s="5">
        <v>45487</v>
      </c>
      <c r="B968" s="3">
        <v>0.45444444444444443</v>
      </c>
      <c r="C968" t="s">
        <v>8</v>
      </c>
      <c r="D968" t="s">
        <v>426</v>
      </c>
      <c r="E968" s="4">
        <v>23.02</v>
      </c>
      <c r="F968" t="s">
        <v>28</v>
      </c>
      <c r="G968" s="10" t="str">
        <f>TEXT(Transform_Data[[#This Row],[Date]],"mmm yyyy")</f>
        <v>Jul 2024</v>
      </c>
      <c r="H968" s="10">
        <f>HOUR(Transform_Data[[#This Row],[Time]])</f>
        <v>10</v>
      </c>
      <c r="I968" s="10" t="str">
        <f>IF(COUNTIF('Transform Data'!$D:$D,'Transform Data'!D968)&gt;1,"Repeat","Single")</f>
        <v>Repeat</v>
      </c>
      <c r="J968" s="10" t="str">
        <f>IF('Transform Data'!D968="Cash","Cash",IF(COUNTIF('Transform Data'!$D:$D,'Transform Data'!D968)&gt;1,"Repeat","Single"))</f>
        <v>Repeat</v>
      </c>
      <c r="K968" s="10" t="str">
        <f t="shared" si="15"/>
        <v>TRANS-0967</v>
      </c>
    </row>
    <row r="969" spans="1:11" x14ac:dyDescent="0.35">
      <c r="A969" s="5">
        <v>45487</v>
      </c>
      <c r="B969" s="3">
        <v>0.45520833333333333</v>
      </c>
      <c r="C969" t="s">
        <v>8</v>
      </c>
      <c r="D969" t="s">
        <v>426</v>
      </c>
      <c r="E969" s="4">
        <v>27.92</v>
      </c>
      <c r="F969" t="s">
        <v>36</v>
      </c>
      <c r="G969" s="10" t="str">
        <f>TEXT(Transform_Data[[#This Row],[Date]],"mmm yyyy")</f>
        <v>Jul 2024</v>
      </c>
      <c r="H969" s="10">
        <f>HOUR(Transform_Data[[#This Row],[Time]])</f>
        <v>10</v>
      </c>
      <c r="I969" s="10" t="str">
        <f>IF(COUNTIF('Transform Data'!$D:$D,'Transform Data'!D969)&gt;1,"Repeat","Single")</f>
        <v>Repeat</v>
      </c>
      <c r="J969" s="10" t="str">
        <f>IF('Transform Data'!D969="Cash","Cash",IF(COUNTIF('Transform Data'!$D:$D,'Transform Data'!D969)&gt;1,"Repeat","Single"))</f>
        <v>Repeat</v>
      </c>
      <c r="K969" s="10" t="str">
        <f t="shared" si="15"/>
        <v>TRANS-0968</v>
      </c>
    </row>
    <row r="970" spans="1:11" x14ac:dyDescent="0.35">
      <c r="A970" s="5">
        <v>45487</v>
      </c>
      <c r="B970" s="3">
        <v>0.45590277777777777</v>
      </c>
      <c r="C970" t="s">
        <v>8</v>
      </c>
      <c r="D970" t="s">
        <v>426</v>
      </c>
      <c r="E970" s="4">
        <v>32.82</v>
      </c>
      <c r="F970" t="s">
        <v>24</v>
      </c>
      <c r="G970" s="10" t="str">
        <f>TEXT(Transform_Data[[#This Row],[Date]],"mmm yyyy")</f>
        <v>Jul 2024</v>
      </c>
      <c r="H970" s="10">
        <f>HOUR(Transform_Data[[#This Row],[Time]])</f>
        <v>10</v>
      </c>
      <c r="I970" s="10" t="str">
        <f>IF(COUNTIF('Transform Data'!$D:$D,'Transform Data'!D970)&gt;1,"Repeat","Single")</f>
        <v>Repeat</v>
      </c>
      <c r="J970" s="10" t="str">
        <f>IF('Transform Data'!D970="Cash","Cash",IF(COUNTIF('Transform Data'!$D:$D,'Transform Data'!D970)&gt;1,"Repeat","Single"))</f>
        <v>Repeat</v>
      </c>
      <c r="K970" s="10" t="str">
        <f t="shared" si="15"/>
        <v>TRANS-0969</v>
      </c>
    </row>
    <row r="971" spans="1:11" x14ac:dyDescent="0.35">
      <c r="A971" s="5">
        <v>45487</v>
      </c>
      <c r="B971" s="3">
        <v>0.45687499999999998</v>
      </c>
      <c r="C971" t="s">
        <v>8</v>
      </c>
      <c r="D971" t="s">
        <v>427</v>
      </c>
      <c r="E971" s="4">
        <v>32.82</v>
      </c>
      <c r="F971" t="s">
        <v>32</v>
      </c>
      <c r="G971" s="10" t="str">
        <f>TEXT(Transform_Data[[#This Row],[Date]],"mmm yyyy")</f>
        <v>Jul 2024</v>
      </c>
      <c r="H971" s="10">
        <f>HOUR(Transform_Data[[#This Row],[Time]])</f>
        <v>10</v>
      </c>
      <c r="I971" s="10" t="str">
        <f>IF(COUNTIF('Transform Data'!$D:$D,'Transform Data'!D971)&gt;1,"Repeat","Single")</f>
        <v>Single</v>
      </c>
      <c r="J971" s="10" t="str">
        <f>IF('Transform Data'!D971="Cash","Cash",IF(COUNTIF('Transform Data'!$D:$D,'Transform Data'!D971)&gt;1,"Repeat","Single"))</f>
        <v>Single</v>
      </c>
      <c r="K971" s="10" t="str">
        <f t="shared" si="15"/>
        <v>TRANS-0970</v>
      </c>
    </row>
    <row r="972" spans="1:11" x14ac:dyDescent="0.35">
      <c r="A972" s="5">
        <v>45487</v>
      </c>
      <c r="B972" s="3">
        <v>0.45984953703703701</v>
      </c>
      <c r="C972" t="s">
        <v>8</v>
      </c>
      <c r="D972" t="s">
        <v>428</v>
      </c>
      <c r="E972" s="4">
        <v>23.02</v>
      </c>
      <c r="F972" t="s">
        <v>28</v>
      </c>
      <c r="G972" s="10" t="str">
        <f>TEXT(Transform_Data[[#This Row],[Date]],"mmm yyyy")</f>
        <v>Jul 2024</v>
      </c>
      <c r="H972" s="10">
        <f>HOUR(Transform_Data[[#This Row],[Time]])</f>
        <v>11</v>
      </c>
      <c r="I972" s="10" t="str">
        <f>IF(COUNTIF('Transform Data'!$D:$D,'Transform Data'!D972)&gt;1,"Repeat","Single")</f>
        <v>Repeat</v>
      </c>
      <c r="J972" s="10" t="str">
        <f>IF('Transform Data'!D972="Cash","Cash",IF(COUNTIF('Transform Data'!$D:$D,'Transform Data'!D972)&gt;1,"Repeat","Single"))</f>
        <v>Repeat</v>
      </c>
      <c r="K972" s="10" t="str">
        <f t="shared" si="15"/>
        <v>TRANS-0971</v>
      </c>
    </row>
    <row r="973" spans="1:11" x14ac:dyDescent="0.35">
      <c r="A973" s="5">
        <v>45487</v>
      </c>
      <c r="B973" s="3">
        <v>0.93853009259259257</v>
      </c>
      <c r="C973" t="s">
        <v>8</v>
      </c>
      <c r="D973" t="s">
        <v>429</v>
      </c>
      <c r="E973" s="4">
        <v>32.82</v>
      </c>
      <c r="F973" t="s">
        <v>32</v>
      </c>
      <c r="G973" s="10" t="str">
        <f>TEXT(Transform_Data[[#This Row],[Date]],"mmm yyyy")</f>
        <v>Jul 2024</v>
      </c>
      <c r="H973" s="10">
        <f>HOUR(Transform_Data[[#This Row],[Time]])</f>
        <v>22</v>
      </c>
      <c r="I973" s="10" t="str">
        <f>IF(COUNTIF('Transform Data'!$D:$D,'Transform Data'!D973)&gt;1,"Repeat","Single")</f>
        <v>Single</v>
      </c>
      <c r="J973" s="10" t="str">
        <f>IF('Transform Data'!D973="Cash","Cash",IF(COUNTIF('Transform Data'!$D:$D,'Transform Data'!D973)&gt;1,"Repeat","Single"))</f>
        <v>Single</v>
      </c>
      <c r="K973" s="10" t="str">
        <f t="shared" si="15"/>
        <v>TRANS-0972</v>
      </c>
    </row>
    <row r="974" spans="1:11" x14ac:dyDescent="0.35">
      <c r="A974" s="5">
        <v>45488</v>
      </c>
      <c r="B974" s="3">
        <v>0.31464120370370369</v>
      </c>
      <c r="C974" t="s">
        <v>8</v>
      </c>
      <c r="D974" t="s">
        <v>430</v>
      </c>
      <c r="E974" s="4">
        <v>32.82</v>
      </c>
      <c r="F974" t="s">
        <v>24</v>
      </c>
      <c r="G974" s="10" t="str">
        <f>TEXT(Transform_Data[[#This Row],[Date]],"mmm yyyy")</f>
        <v>Jul 2024</v>
      </c>
      <c r="H974" s="10">
        <f>HOUR(Transform_Data[[#This Row],[Time]])</f>
        <v>7</v>
      </c>
      <c r="I974" s="10" t="str">
        <f>IF(COUNTIF('Transform Data'!$D:$D,'Transform Data'!D974)&gt;1,"Repeat","Single")</f>
        <v>Single</v>
      </c>
      <c r="J974" s="10" t="str">
        <f>IF('Transform Data'!D974="Cash","Cash",IF(COUNTIF('Transform Data'!$D:$D,'Transform Data'!D974)&gt;1,"Repeat","Single"))</f>
        <v>Single</v>
      </c>
      <c r="K974" s="10" t="str">
        <f t="shared" si="15"/>
        <v>TRANS-0973</v>
      </c>
    </row>
    <row r="975" spans="1:11" x14ac:dyDescent="0.35">
      <c r="A975" s="5">
        <v>45489</v>
      </c>
      <c r="B975" s="3">
        <v>0.51640046296296294</v>
      </c>
      <c r="C975" t="s">
        <v>8</v>
      </c>
      <c r="D975" t="s">
        <v>431</v>
      </c>
      <c r="E975" s="4">
        <v>27.92</v>
      </c>
      <c r="F975" t="s">
        <v>36</v>
      </c>
      <c r="G975" s="10" t="str">
        <f>TEXT(Transform_Data[[#This Row],[Date]],"mmm yyyy")</f>
        <v>Jul 2024</v>
      </c>
      <c r="H975" s="10">
        <f>HOUR(Transform_Data[[#This Row],[Time]])</f>
        <v>12</v>
      </c>
      <c r="I975" s="10" t="str">
        <f>IF(COUNTIF('Transform Data'!$D:$D,'Transform Data'!D975)&gt;1,"Repeat","Single")</f>
        <v>Single</v>
      </c>
      <c r="J975" s="10" t="str">
        <f>IF('Transform Data'!D975="Cash","Cash",IF(COUNTIF('Transform Data'!$D:$D,'Transform Data'!D975)&gt;1,"Repeat","Single"))</f>
        <v>Single</v>
      </c>
      <c r="K975" s="10" t="str">
        <f t="shared" si="15"/>
        <v>TRANS-0974</v>
      </c>
    </row>
    <row r="976" spans="1:11" x14ac:dyDescent="0.35">
      <c r="A976" s="5">
        <v>45489</v>
      </c>
      <c r="B976" s="3">
        <v>0.81209490740740742</v>
      </c>
      <c r="C976" t="s">
        <v>8</v>
      </c>
      <c r="D976" t="s">
        <v>420</v>
      </c>
      <c r="E976" s="4">
        <v>32.82</v>
      </c>
      <c r="F976" t="s">
        <v>15</v>
      </c>
      <c r="G976" s="10" t="str">
        <f>TEXT(Transform_Data[[#This Row],[Date]],"mmm yyyy")</f>
        <v>Jul 2024</v>
      </c>
      <c r="H976" s="10">
        <f>HOUR(Transform_Data[[#This Row],[Time]])</f>
        <v>19</v>
      </c>
      <c r="I976" s="10" t="str">
        <f>IF(COUNTIF('Transform Data'!$D:$D,'Transform Data'!D976)&gt;1,"Repeat","Single")</f>
        <v>Repeat</v>
      </c>
      <c r="J976" s="10" t="str">
        <f>IF('Transform Data'!D976="Cash","Cash",IF(COUNTIF('Transform Data'!$D:$D,'Transform Data'!D976)&gt;1,"Repeat","Single"))</f>
        <v>Repeat</v>
      </c>
      <c r="K976" s="10" t="str">
        <f t="shared" si="15"/>
        <v>TRANS-0975</v>
      </c>
    </row>
    <row r="977" spans="1:11" x14ac:dyDescent="0.35">
      <c r="A977" s="5">
        <v>45490</v>
      </c>
      <c r="B977" s="3">
        <v>0.5451273148148148</v>
      </c>
      <c r="C977" t="s">
        <v>8</v>
      </c>
      <c r="D977" t="s">
        <v>432</v>
      </c>
      <c r="E977" s="4">
        <v>27.92</v>
      </c>
      <c r="F977" t="s">
        <v>36</v>
      </c>
      <c r="G977" s="10" t="str">
        <f>TEXT(Transform_Data[[#This Row],[Date]],"mmm yyyy")</f>
        <v>Jul 2024</v>
      </c>
      <c r="H977" s="10">
        <f>HOUR(Transform_Data[[#This Row],[Time]])</f>
        <v>13</v>
      </c>
      <c r="I977" s="10" t="str">
        <f>IF(COUNTIF('Transform Data'!$D:$D,'Transform Data'!D977)&gt;1,"Repeat","Single")</f>
        <v>Repeat</v>
      </c>
      <c r="J977" s="10" t="str">
        <f>IF('Transform Data'!D977="Cash","Cash",IF(COUNTIF('Transform Data'!$D:$D,'Transform Data'!D977)&gt;1,"Repeat","Single"))</f>
        <v>Repeat</v>
      </c>
      <c r="K977" s="10" t="str">
        <f t="shared" si="15"/>
        <v>TRANS-0976</v>
      </c>
    </row>
    <row r="978" spans="1:11" x14ac:dyDescent="0.35">
      <c r="A978" s="5">
        <v>45491</v>
      </c>
      <c r="B978" s="3">
        <v>0.46542824074074074</v>
      </c>
      <c r="C978" t="s">
        <v>8</v>
      </c>
      <c r="D978" t="s">
        <v>433</v>
      </c>
      <c r="E978" s="4">
        <v>27.92</v>
      </c>
      <c r="F978" t="s">
        <v>36</v>
      </c>
      <c r="G978" s="10" t="str">
        <f>TEXT(Transform_Data[[#This Row],[Date]],"mmm yyyy")</f>
        <v>Jul 2024</v>
      </c>
      <c r="H978" s="10">
        <f>HOUR(Transform_Data[[#This Row],[Time]])</f>
        <v>11</v>
      </c>
      <c r="I978" s="10" t="str">
        <f>IF(COUNTIF('Transform Data'!$D:$D,'Transform Data'!D978)&gt;1,"Repeat","Single")</f>
        <v>Single</v>
      </c>
      <c r="J978" s="10" t="str">
        <f>IF('Transform Data'!D978="Cash","Cash",IF(COUNTIF('Transform Data'!$D:$D,'Transform Data'!D978)&gt;1,"Repeat","Single"))</f>
        <v>Single</v>
      </c>
      <c r="K978" s="10" t="str">
        <f t="shared" si="15"/>
        <v>TRANS-0977</v>
      </c>
    </row>
    <row r="979" spans="1:11" x14ac:dyDescent="0.35">
      <c r="A979" s="5">
        <v>45491</v>
      </c>
      <c r="B979" s="3">
        <v>0.4662384259259259</v>
      </c>
      <c r="C979" t="s">
        <v>8</v>
      </c>
      <c r="D979" t="s">
        <v>434</v>
      </c>
      <c r="E979" s="4">
        <v>18.12</v>
      </c>
      <c r="F979" t="s">
        <v>5</v>
      </c>
      <c r="G979" s="10" t="str">
        <f>TEXT(Transform_Data[[#This Row],[Date]],"mmm yyyy")</f>
        <v>Jul 2024</v>
      </c>
      <c r="H979" s="10">
        <f>HOUR(Transform_Data[[#This Row],[Time]])</f>
        <v>11</v>
      </c>
      <c r="I979" s="10" t="str">
        <f>IF(COUNTIF('Transform Data'!$D:$D,'Transform Data'!D979)&gt;1,"Repeat","Single")</f>
        <v>Single</v>
      </c>
      <c r="J979" s="10" t="str">
        <f>IF('Transform Data'!D979="Cash","Cash",IF(COUNTIF('Transform Data'!$D:$D,'Transform Data'!D979)&gt;1,"Repeat","Single"))</f>
        <v>Single</v>
      </c>
      <c r="K979" s="10" t="str">
        <f t="shared" si="15"/>
        <v>TRANS-0978</v>
      </c>
    </row>
    <row r="980" spans="1:11" x14ac:dyDescent="0.35">
      <c r="A980" s="5">
        <v>45491</v>
      </c>
      <c r="B980" s="3">
        <v>0.48123842592592592</v>
      </c>
      <c r="C980" t="s">
        <v>8</v>
      </c>
      <c r="D980" t="s">
        <v>115</v>
      </c>
      <c r="E980" s="4">
        <v>23.02</v>
      </c>
      <c r="F980" t="s">
        <v>28</v>
      </c>
      <c r="G980" s="10" t="str">
        <f>TEXT(Transform_Data[[#This Row],[Date]],"mmm yyyy")</f>
        <v>Jul 2024</v>
      </c>
      <c r="H980" s="10">
        <f>HOUR(Transform_Data[[#This Row],[Time]])</f>
        <v>11</v>
      </c>
      <c r="I980" s="10" t="str">
        <f>IF(COUNTIF('Transform Data'!$D:$D,'Transform Data'!D980)&gt;1,"Repeat","Single")</f>
        <v>Repeat</v>
      </c>
      <c r="J980" s="10" t="str">
        <f>IF('Transform Data'!D980="Cash","Cash",IF(COUNTIF('Transform Data'!$D:$D,'Transform Data'!D980)&gt;1,"Repeat","Single"))</f>
        <v>Repeat</v>
      </c>
      <c r="K980" s="10" t="str">
        <f t="shared" si="15"/>
        <v>TRANS-0979</v>
      </c>
    </row>
    <row r="981" spans="1:11" x14ac:dyDescent="0.35">
      <c r="A981" s="5">
        <v>45491</v>
      </c>
      <c r="B981" s="3">
        <v>0.48249999999999998</v>
      </c>
      <c r="C981" t="s">
        <v>8</v>
      </c>
      <c r="D981" t="s">
        <v>115</v>
      </c>
      <c r="E981" s="4">
        <v>23.02</v>
      </c>
      <c r="F981" t="s">
        <v>28</v>
      </c>
      <c r="G981" s="10" t="str">
        <f>TEXT(Transform_Data[[#This Row],[Date]],"mmm yyyy")</f>
        <v>Jul 2024</v>
      </c>
      <c r="H981" s="10">
        <f>HOUR(Transform_Data[[#This Row],[Time]])</f>
        <v>11</v>
      </c>
      <c r="I981" s="10" t="str">
        <f>IF(COUNTIF('Transform Data'!$D:$D,'Transform Data'!D981)&gt;1,"Repeat","Single")</f>
        <v>Repeat</v>
      </c>
      <c r="J981" s="10" t="str">
        <f>IF('Transform Data'!D981="Cash","Cash",IF(COUNTIF('Transform Data'!$D:$D,'Transform Data'!D981)&gt;1,"Repeat","Single"))</f>
        <v>Repeat</v>
      </c>
      <c r="K981" s="10" t="str">
        <f t="shared" si="15"/>
        <v>TRANS-0980</v>
      </c>
    </row>
    <row r="982" spans="1:11" x14ac:dyDescent="0.35">
      <c r="A982" s="5">
        <v>45491</v>
      </c>
      <c r="B982" s="3">
        <v>0.48322916666666665</v>
      </c>
      <c r="C982" t="s">
        <v>8</v>
      </c>
      <c r="D982" t="s">
        <v>115</v>
      </c>
      <c r="E982" s="4">
        <v>23.02</v>
      </c>
      <c r="F982" t="s">
        <v>20</v>
      </c>
      <c r="G982" s="10" t="str">
        <f>TEXT(Transform_Data[[#This Row],[Date]],"mmm yyyy")</f>
        <v>Jul 2024</v>
      </c>
      <c r="H982" s="10">
        <f>HOUR(Transform_Data[[#This Row],[Time]])</f>
        <v>11</v>
      </c>
      <c r="I982" s="10" t="str">
        <f>IF(COUNTIF('Transform Data'!$D:$D,'Transform Data'!D982)&gt;1,"Repeat","Single")</f>
        <v>Repeat</v>
      </c>
      <c r="J982" s="10" t="str">
        <f>IF('Transform Data'!D982="Cash","Cash",IF(COUNTIF('Transform Data'!$D:$D,'Transform Data'!D982)&gt;1,"Repeat","Single"))</f>
        <v>Repeat</v>
      </c>
      <c r="K982" s="10" t="str">
        <f t="shared" si="15"/>
        <v>TRANS-0981</v>
      </c>
    </row>
    <row r="983" spans="1:11" x14ac:dyDescent="0.35">
      <c r="A983" s="5">
        <v>45491</v>
      </c>
      <c r="B983" s="3">
        <v>0.5580208333333333</v>
      </c>
      <c r="C983" t="s">
        <v>8</v>
      </c>
      <c r="D983" t="s">
        <v>428</v>
      </c>
      <c r="E983" s="4">
        <v>32.82</v>
      </c>
      <c r="F983" t="s">
        <v>32</v>
      </c>
      <c r="G983" s="10" t="str">
        <f>TEXT(Transform_Data[[#This Row],[Date]],"mmm yyyy")</f>
        <v>Jul 2024</v>
      </c>
      <c r="H983" s="10">
        <f>HOUR(Transform_Data[[#This Row],[Time]])</f>
        <v>13</v>
      </c>
      <c r="I983" s="10" t="str">
        <f>IF(COUNTIF('Transform Data'!$D:$D,'Transform Data'!D983)&gt;1,"Repeat","Single")</f>
        <v>Repeat</v>
      </c>
      <c r="J983" s="10" t="str">
        <f>IF('Transform Data'!D983="Cash","Cash",IF(COUNTIF('Transform Data'!$D:$D,'Transform Data'!D983)&gt;1,"Repeat","Single"))</f>
        <v>Repeat</v>
      </c>
      <c r="K983" s="10" t="str">
        <f t="shared" si="15"/>
        <v>TRANS-0982</v>
      </c>
    </row>
    <row r="984" spans="1:11" x14ac:dyDescent="0.35">
      <c r="A984" s="5">
        <v>45491</v>
      </c>
      <c r="B984" s="3">
        <v>0.76276620370370374</v>
      </c>
      <c r="C984" t="s">
        <v>8</v>
      </c>
      <c r="D984" t="s">
        <v>435</v>
      </c>
      <c r="E984" s="4">
        <v>32.82</v>
      </c>
      <c r="F984" t="s">
        <v>24</v>
      </c>
      <c r="G984" s="10" t="str">
        <f>TEXT(Transform_Data[[#This Row],[Date]],"mmm yyyy")</f>
        <v>Jul 2024</v>
      </c>
      <c r="H984" s="10">
        <f>HOUR(Transform_Data[[#This Row],[Time]])</f>
        <v>18</v>
      </c>
      <c r="I984" s="10" t="str">
        <f>IF(COUNTIF('Transform Data'!$D:$D,'Transform Data'!D984)&gt;1,"Repeat","Single")</f>
        <v>Single</v>
      </c>
      <c r="J984" s="10" t="str">
        <f>IF('Transform Data'!D984="Cash","Cash",IF(COUNTIF('Transform Data'!$D:$D,'Transform Data'!D984)&gt;1,"Repeat","Single"))</f>
        <v>Single</v>
      </c>
      <c r="K984" s="10" t="str">
        <f t="shared" si="15"/>
        <v>TRANS-0983</v>
      </c>
    </row>
    <row r="985" spans="1:11" x14ac:dyDescent="0.35">
      <c r="A985" s="5">
        <v>45491</v>
      </c>
      <c r="B985" s="3">
        <v>0.81307870370370372</v>
      </c>
      <c r="C985" t="s">
        <v>8</v>
      </c>
      <c r="D985" t="s">
        <v>25</v>
      </c>
      <c r="E985" s="4">
        <v>32.82</v>
      </c>
      <c r="F985" t="s">
        <v>32</v>
      </c>
      <c r="G985" s="10" t="str">
        <f>TEXT(Transform_Data[[#This Row],[Date]],"mmm yyyy")</f>
        <v>Jul 2024</v>
      </c>
      <c r="H985" s="10">
        <f>HOUR(Transform_Data[[#This Row],[Time]])</f>
        <v>19</v>
      </c>
      <c r="I985" s="10" t="str">
        <f>IF(COUNTIF('Transform Data'!$D:$D,'Transform Data'!D985)&gt;1,"Repeat","Single")</f>
        <v>Repeat</v>
      </c>
      <c r="J985" s="10" t="str">
        <f>IF('Transform Data'!D985="Cash","Cash",IF(COUNTIF('Transform Data'!$D:$D,'Transform Data'!D985)&gt;1,"Repeat","Single"))</f>
        <v>Repeat</v>
      </c>
      <c r="K985" s="10" t="str">
        <f t="shared" si="15"/>
        <v>TRANS-0984</v>
      </c>
    </row>
    <row r="986" spans="1:11" x14ac:dyDescent="0.35">
      <c r="A986" s="5">
        <v>45491</v>
      </c>
      <c r="B986" s="3">
        <v>0.88866898148148143</v>
      </c>
      <c r="C986" t="s">
        <v>8</v>
      </c>
      <c r="D986" t="s">
        <v>436</v>
      </c>
      <c r="E986" s="4">
        <v>32.82</v>
      </c>
      <c r="F986" t="s">
        <v>15</v>
      </c>
      <c r="G986" s="10" t="str">
        <f>TEXT(Transform_Data[[#This Row],[Date]],"mmm yyyy")</f>
        <v>Jul 2024</v>
      </c>
      <c r="H986" s="10">
        <f>HOUR(Transform_Data[[#This Row],[Time]])</f>
        <v>21</v>
      </c>
      <c r="I986" s="10" t="str">
        <f>IF(COUNTIF('Transform Data'!$D:$D,'Transform Data'!D986)&gt;1,"Repeat","Single")</f>
        <v>Repeat</v>
      </c>
      <c r="J986" s="10" t="str">
        <f>IF('Transform Data'!D986="Cash","Cash",IF(COUNTIF('Transform Data'!$D:$D,'Transform Data'!D986)&gt;1,"Repeat","Single"))</f>
        <v>Repeat</v>
      </c>
      <c r="K986" s="10" t="str">
        <f t="shared" si="15"/>
        <v>TRANS-0985</v>
      </c>
    </row>
    <row r="987" spans="1:11" x14ac:dyDescent="0.35">
      <c r="A987" s="5">
        <v>45491</v>
      </c>
      <c r="B987" s="3">
        <v>0.89026620370370368</v>
      </c>
      <c r="C987" t="s">
        <v>8</v>
      </c>
      <c r="D987" t="s">
        <v>436</v>
      </c>
      <c r="E987" s="4">
        <v>32.82</v>
      </c>
      <c r="F987" t="s">
        <v>32</v>
      </c>
      <c r="G987" s="10" t="str">
        <f>TEXT(Transform_Data[[#This Row],[Date]],"mmm yyyy")</f>
        <v>Jul 2024</v>
      </c>
      <c r="H987" s="10">
        <f>HOUR(Transform_Data[[#This Row],[Time]])</f>
        <v>21</v>
      </c>
      <c r="I987" s="10" t="str">
        <f>IF(COUNTIF('Transform Data'!$D:$D,'Transform Data'!D987)&gt;1,"Repeat","Single")</f>
        <v>Repeat</v>
      </c>
      <c r="J987" s="10" t="str">
        <f>IF('Transform Data'!D987="Cash","Cash",IF(COUNTIF('Transform Data'!$D:$D,'Transform Data'!D987)&gt;1,"Repeat","Single"))</f>
        <v>Repeat</v>
      </c>
      <c r="K987" s="10" t="str">
        <f t="shared" si="15"/>
        <v>TRANS-0986</v>
      </c>
    </row>
    <row r="988" spans="1:11" x14ac:dyDescent="0.35">
      <c r="A988" s="5">
        <v>45491</v>
      </c>
      <c r="B988" s="3">
        <v>0.90715277777777781</v>
      </c>
      <c r="C988" t="s">
        <v>8</v>
      </c>
      <c r="D988" t="s">
        <v>437</v>
      </c>
      <c r="E988" s="4">
        <v>32.82</v>
      </c>
      <c r="F988" t="s">
        <v>32</v>
      </c>
      <c r="G988" s="10" t="str">
        <f>TEXT(Transform_Data[[#This Row],[Date]],"mmm yyyy")</f>
        <v>Jul 2024</v>
      </c>
      <c r="H988" s="10">
        <f>HOUR(Transform_Data[[#This Row],[Time]])</f>
        <v>21</v>
      </c>
      <c r="I988" s="10" t="str">
        <f>IF(COUNTIF('Transform Data'!$D:$D,'Transform Data'!D988)&gt;1,"Repeat","Single")</f>
        <v>Repeat</v>
      </c>
      <c r="J988" s="10" t="str">
        <f>IF('Transform Data'!D988="Cash","Cash",IF(COUNTIF('Transform Data'!$D:$D,'Transform Data'!D988)&gt;1,"Repeat","Single"))</f>
        <v>Repeat</v>
      </c>
      <c r="K988" s="10" t="str">
        <f t="shared" si="15"/>
        <v>TRANS-0987</v>
      </c>
    </row>
    <row r="989" spans="1:11" x14ac:dyDescent="0.35">
      <c r="A989" s="5">
        <v>45492</v>
      </c>
      <c r="B989" s="3">
        <v>0.46043981481481483</v>
      </c>
      <c r="C989" t="s">
        <v>8</v>
      </c>
      <c r="D989" t="s">
        <v>428</v>
      </c>
      <c r="E989" s="4">
        <v>23.02</v>
      </c>
      <c r="F989" t="s">
        <v>28</v>
      </c>
      <c r="G989" s="10" t="str">
        <f>TEXT(Transform_Data[[#This Row],[Date]],"mmm yyyy")</f>
        <v>Jul 2024</v>
      </c>
      <c r="H989" s="10">
        <f>HOUR(Transform_Data[[#This Row],[Time]])</f>
        <v>11</v>
      </c>
      <c r="I989" s="10" t="str">
        <f>IF(COUNTIF('Transform Data'!$D:$D,'Transform Data'!D989)&gt;1,"Repeat","Single")</f>
        <v>Repeat</v>
      </c>
      <c r="J989" s="10" t="str">
        <f>IF('Transform Data'!D989="Cash","Cash",IF(COUNTIF('Transform Data'!$D:$D,'Transform Data'!D989)&gt;1,"Repeat","Single"))</f>
        <v>Repeat</v>
      </c>
      <c r="K989" s="10" t="str">
        <f t="shared" si="15"/>
        <v>TRANS-0988</v>
      </c>
    </row>
    <row r="990" spans="1:11" x14ac:dyDescent="0.35">
      <c r="A990" s="5">
        <v>45492</v>
      </c>
      <c r="B990" s="3">
        <v>0.46967592592592594</v>
      </c>
      <c r="C990" t="s">
        <v>8</v>
      </c>
      <c r="D990" t="s">
        <v>438</v>
      </c>
      <c r="E990" s="4">
        <v>27.92</v>
      </c>
      <c r="F990" t="s">
        <v>36</v>
      </c>
      <c r="G990" s="10" t="str">
        <f>TEXT(Transform_Data[[#This Row],[Date]],"mmm yyyy")</f>
        <v>Jul 2024</v>
      </c>
      <c r="H990" s="10">
        <f>HOUR(Transform_Data[[#This Row],[Time]])</f>
        <v>11</v>
      </c>
      <c r="I990" s="10" t="str">
        <f>IF(COUNTIF('Transform Data'!$D:$D,'Transform Data'!D990)&gt;1,"Repeat","Single")</f>
        <v>Repeat</v>
      </c>
      <c r="J990" s="10" t="str">
        <f>IF('Transform Data'!D990="Cash","Cash",IF(COUNTIF('Transform Data'!$D:$D,'Transform Data'!D990)&gt;1,"Repeat","Single"))</f>
        <v>Repeat</v>
      </c>
      <c r="K990" s="10" t="str">
        <f t="shared" si="15"/>
        <v>TRANS-0989</v>
      </c>
    </row>
    <row r="991" spans="1:11" x14ac:dyDescent="0.35">
      <c r="A991" s="5">
        <v>45492</v>
      </c>
      <c r="B991" s="3">
        <v>0.54070601851851852</v>
      </c>
      <c r="C991" t="s">
        <v>8</v>
      </c>
      <c r="D991" t="s">
        <v>439</v>
      </c>
      <c r="E991" s="4">
        <v>32.82</v>
      </c>
      <c r="F991" t="s">
        <v>32</v>
      </c>
      <c r="G991" s="10" t="str">
        <f>TEXT(Transform_Data[[#This Row],[Date]],"mmm yyyy")</f>
        <v>Jul 2024</v>
      </c>
      <c r="H991" s="10">
        <f>HOUR(Transform_Data[[#This Row],[Time]])</f>
        <v>12</v>
      </c>
      <c r="I991" s="10" t="str">
        <f>IF(COUNTIF('Transform Data'!$D:$D,'Transform Data'!D991)&gt;1,"Repeat","Single")</f>
        <v>Repeat</v>
      </c>
      <c r="J991" s="10" t="str">
        <f>IF('Transform Data'!D991="Cash","Cash",IF(COUNTIF('Transform Data'!$D:$D,'Transform Data'!D991)&gt;1,"Repeat","Single"))</f>
        <v>Repeat</v>
      </c>
      <c r="K991" s="10" t="str">
        <f t="shared" si="15"/>
        <v>TRANS-0990</v>
      </c>
    </row>
    <row r="992" spans="1:11" x14ac:dyDescent="0.35">
      <c r="A992" s="5">
        <v>45492</v>
      </c>
      <c r="B992" s="3">
        <v>0.54160879629629632</v>
      </c>
      <c r="C992" t="s">
        <v>8</v>
      </c>
      <c r="D992" t="s">
        <v>439</v>
      </c>
      <c r="E992" s="4">
        <v>27.92</v>
      </c>
      <c r="F992" t="s">
        <v>36</v>
      </c>
      <c r="G992" s="10" t="str">
        <f>TEXT(Transform_Data[[#This Row],[Date]],"mmm yyyy")</f>
        <v>Jul 2024</v>
      </c>
      <c r="H992" s="10">
        <f>HOUR(Transform_Data[[#This Row],[Time]])</f>
        <v>12</v>
      </c>
      <c r="I992" s="10" t="str">
        <f>IF(COUNTIF('Transform Data'!$D:$D,'Transform Data'!D992)&gt;1,"Repeat","Single")</f>
        <v>Repeat</v>
      </c>
      <c r="J992" s="10" t="str">
        <f>IF('Transform Data'!D992="Cash","Cash",IF(COUNTIF('Transform Data'!$D:$D,'Transform Data'!D992)&gt;1,"Repeat","Single"))</f>
        <v>Repeat</v>
      </c>
      <c r="K992" s="10" t="str">
        <f t="shared" si="15"/>
        <v>TRANS-0991</v>
      </c>
    </row>
    <row r="993" spans="1:11" x14ac:dyDescent="0.35">
      <c r="A993" s="5">
        <v>45492</v>
      </c>
      <c r="B993" s="3">
        <v>0.58981481481481479</v>
      </c>
      <c r="C993" t="s">
        <v>8</v>
      </c>
      <c r="D993" t="s">
        <v>437</v>
      </c>
      <c r="E993" s="4">
        <v>32.82</v>
      </c>
      <c r="F993" t="s">
        <v>32</v>
      </c>
      <c r="G993" s="10" t="str">
        <f>TEXT(Transform_Data[[#This Row],[Date]],"mmm yyyy")</f>
        <v>Jul 2024</v>
      </c>
      <c r="H993" s="10">
        <f>HOUR(Transform_Data[[#This Row],[Time]])</f>
        <v>14</v>
      </c>
      <c r="I993" s="10" t="str">
        <f>IF(COUNTIF('Transform Data'!$D:$D,'Transform Data'!D993)&gt;1,"Repeat","Single")</f>
        <v>Repeat</v>
      </c>
      <c r="J993" s="10" t="str">
        <f>IF('Transform Data'!D993="Cash","Cash",IF(COUNTIF('Transform Data'!$D:$D,'Transform Data'!D993)&gt;1,"Repeat","Single"))</f>
        <v>Repeat</v>
      </c>
      <c r="K993" s="10" t="str">
        <f t="shared" si="15"/>
        <v>TRANS-0992</v>
      </c>
    </row>
    <row r="994" spans="1:11" x14ac:dyDescent="0.35">
      <c r="A994" s="5">
        <v>45492</v>
      </c>
      <c r="B994" s="3">
        <v>0.59122685185185186</v>
      </c>
      <c r="C994" t="s">
        <v>8</v>
      </c>
      <c r="D994" t="s">
        <v>437</v>
      </c>
      <c r="E994" s="4">
        <v>32.82</v>
      </c>
      <c r="F994" t="s">
        <v>10</v>
      </c>
      <c r="G994" s="10" t="str">
        <f>TEXT(Transform_Data[[#This Row],[Date]],"mmm yyyy")</f>
        <v>Jul 2024</v>
      </c>
      <c r="H994" s="10">
        <f>HOUR(Transform_Data[[#This Row],[Time]])</f>
        <v>14</v>
      </c>
      <c r="I994" s="10" t="str">
        <f>IF(COUNTIF('Transform Data'!$D:$D,'Transform Data'!D994)&gt;1,"Repeat","Single")</f>
        <v>Repeat</v>
      </c>
      <c r="J994" s="10" t="str">
        <f>IF('Transform Data'!D994="Cash","Cash",IF(COUNTIF('Transform Data'!$D:$D,'Transform Data'!D994)&gt;1,"Repeat","Single"))</f>
        <v>Repeat</v>
      </c>
      <c r="K994" s="10" t="str">
        <f t="shared" si="15"/>
        <v>TRANS-0993</v>
      </c>
    </row>
    <row r="995" spans="1:11" x14ac:dyDescent="0.35">
      <c r="A995" s="5">
        <v>45492</v>
      </c>
      <c r="B995" s="3">
        <v>0.69188657407407406</v>
      </c>
      <c r="C995" t="s">
        <v>8</v>
      </c>
      <c r="D995" t="s">
        <v>437</v>
      </c>
      <c r="E995" s="4">
        <v>32.82</v>
      </c>
      <c r="F995" t="s">
        <v>32</v>
      </c>
      <c r="G995" s="10" t="str">
        <f>TEXT(Transform_Data[[#This Row],[Date]],"mmm yyyy")</f>
        <v>Jul 2024</v>
      </c>
      <c r="H995" s="10">
        <f>HOUR(Transform_Data[[#This Row],[Time]])</f>
        <v>16</v>
      </c>
      <c r="I995" s="10" t="str">
        <f>IF(COUNTIF('Transform Data'!$D:$D,'Transform Data'!D995)&gt;1,"Repeat","Single")</f>
        <v>Repeat</v>
      </c>
      <c r="J995" s="10" t="str">
        <f>IF('Transform Data'!D995="Cash","Cash",IF(COUNTIF('Transform Data'!$D:$D,'Transform Data'!D995)&gt;1,"Repeat","Single"))</f>
        <v>Repeat</v>
      </c>
      <c r="K995" s="10" t="str">
        <f t="shared" si="15"/>
        <v>TRANS-0994</v>
      </c>
    </row>
    <row r="996" spans="1:11" x14ac:dyDescent="0.35">
      <c r="A996" s="5">
        <v>45492</v>
      </c>
      <c r="B996" s="3">
        <v>0.69276620370370368</v>
      </c>
      <c r="C996" t="s">
        <v>8</v>
      </c>
      <c r="D996" t="s">
        <v>437</v>
      </c>
      <c r="E996" s="4">
        <v>32.82</v>
      </c>
      <c r="F996" t="s">
        <v>32</v>
      </c>
      <c r="G996" s="10" t="str">
        <f>TEXT(Transform_Data[[#This Row],[Date]],"mmm yyyy")</f>
        <v>Jul 2024</v>
      </c>
      <c r="H996" s="10">
        <f>HOUR(Transform_Data[[#This Row],[Time]])</f>
        <v>16</v>
      </c>
      <c r="I996" s="10" t="str">
        <f>IF(COUNTIF('Transform Data'!$D:$D,'Transform Data'!D996)&gt;1,"Repeat","Single")</f>
        <v>Repeat</v>
      </c>
      <c r="J996" s="10" t="str">
        <f>IF('Transform Data'!D996="Cash","Cash",IF(COUNTIF('Transform Data'!$D:$D,'Transform Data'!D996)&gt;1,"Repeat","Single"))</f>
        <v>Repeat</v>
      </c>
      <c r="K996" s="10" t="str">
        <f t="shared" si="15"/>
        <v>TRANS-0995</v>
      </c>
    </row>
    <row r="997" spans="1:11" x14ac:dyDescent="0.35">
      <c r="A997" s="5">
        <v>45493</v>
      </c>
      <c r="B997" s="3">
        <v>0.33731481481481479</v>
      </c>
      <c r="C997" t="s">
        <v>8</v>
      </c>
      <c r="D997" t="s">
        <v>440</v>
      </c>
      <c r="E997" s="4">
        <v>23.02</v>
      </c>
      <c r="F997" t="s">
        <v>28</v>
      </c>
      <c r="G997" s="10" t="str">
        <f>TEXT(Transform_Data[[#This Row],[Date]],"mmm yyyy")</f>
        <v>Jul 2024</v>
      </c>
      <c r="H997" s="10">
        <f>HOUR(Transform_Data[[#This Row],[Time]])</f>
        <v>8</v>
      </c>
      <c r="I997" s="10" t="str">
        <f>IF(COUNTIF('Transform Data'!$D:$D,'Transform Data'!D997)&gt;1,"Repeat","Single")</f>
        <v>Repeat</v>
      </c>
      <c r="J997" s="10" t="str">
        <f>IF('Transform Data'!D997="Cash","Cash",IF(COUNTIF('Transform Data'!$D:$D,'Transform Data'!D997)&gt;1,"Repeat","Single"))</f>
        <v>Repeat</v>
      </c>
      <c r="K997" s="10" t="str">
        <f t="shared" si="15"/>
        <v>TRANS-0996</v>
      </c>
    </row>
    <row r="998" spans="1:11" x14ac:dyDescent="0.35">
      <c r="A998" s="5">
        <v>45493</v>
      </c>
      <c r="B998" s="3">
        <v>0.33805555555555555</v>
      </c>
      <c r="C998" t="s">
        <v>8</v>
      </c>
      <c r="D998" t="s">
        <v>440</v>
      </c>
      <c r="E998" s="4">
        <v>32.82</v>
      </c>
      <c r="F998" t="s">
        <v>32</v>
      </c>
      <c r="G998" s="10" t="str">
        <f>TEXT(Transform_Data[[#This Row],[Date]],"mmm yyyy")</f>
        <v>Jul 2024</v>
      </c>
      <c r="H998" s="10">
        <f>HOUR(Transform_Data[[#This Row],[Time]])</f>
        <v>8</v>
      </c>
      <c r="I998" s="10" t="str">
        <f>IF(COUNTIF('Transform Data'!$D:$D,'Transform Data'!D998)&gt;1,"Repeat","Single")</f>
        <v>Repeat</v>
      </c>
      <c r="J998" s="10" t="str">
        <f>IF('Transform Data'!D998="Cash","Cash",IF(COUNTIF('Transform Data'!$D:$D,'Transform Data'!D998)&gt;1,"Repeat","Single"))</f>
        <v>Repeat</v>
      </c>
      <c r="K998" s="10" t="str">
        <f t="shared" si="15"/>
        <v>TRANS-0997</v>
      </c>
    </row>
    <row r="999" spans="1:11" x14ac:dyDescent="0.35">
      <c r="A999" s="5">
        <v>45493</v>
      </c>
      <c r="B999" s="3">
        <v>0.33878472222222222</v>
      </c>
      <c r="C999" t="s">
        <v>8</v>
      </c>
      <c r="D999" t="s">
        <v>440</v>
      </c>
      <c r="E999" s="4">
        <v>23.02</v>
      </c>
      <c r="F999" t="s">
        <v>28</v>
      </c>
      <c r="G999" s="10" t="str">
        <f>TEXT(Transform_Data[[#This Row],[Date]],"mmm yyyy")</f>
        <v>Jul 2024</v>
      </c>
      <c r="H999" s="10">
        <f>HOUR(Transform_Data[[#This Row],[Time]])</f>
        <v>8</v>
      </c>
      <c r="I999" s="10" t="str">
        <f>IF(COUNTIF('Transform Data'!$D:$D,'Transform Data'!D999)&gt;1,"Repeat","Single")</f>
        <v>Repeat</v>
      </c>
      <c r="J999" s="10" t="str">
        <f>IF('Transform Data'!D999="Cash","Cash",IF(COUNTIF('Transform Data'!$D:$D,'Transform Data'!D999)&gt;1,"Repeat","Single"))</f>
        <v>Repeat</v>
      </c>
      <c r="K999" s="10" t="str">
        <f t="shared" si="15"/>
        <v>TRANS-0998</v>
      </c>
    </row>
    <row r="1000" spans="1:11" x14ac:dyDescent="0.35">
      <c r="A1000" s="5">
        <v>45493</v>
      </c>
      <c r="B1000" s="3">
        <v>0.37561342592592595</v>
      </c>
      <c r="C1000" t="s">
        <v>8</v>
      </c>
      <c r="D1000" t="s">
        <v>441</v>
      </c>
      <c r="E1000" s="4">
        <v>32.82</v>
      </c>
      <c r="F1000" t="s">
        <v>32</v>
      </c>
      <c r="G1000" s="10" t="str">
        <f>TEXT(Transform_Data[[#This Row],[Date]],"mmm yyyy")</f>
        <v>Jul 2024</v>
      </c>
      <c r="H1000" s="10">
        <f>HOUR(Transform_Data[[#This Row],[Time]])</f>
        <v>9</v>
      </c>
      <c r="I1000" s="10" t="str">
        <f>IF(COUNTIF('Transform Data'!$D:$D,'Transform Data'!D1000)&gt;1,"Repeat","Single")</f>
        <v>Repeat</v>
      </c>
      <c r="J1000" s="10" t="str">
        <f>IF('Transform Data'!D1000="Cash","Cash",IF(COUNTIF('Transform Data'!$D:$D,'Transform Data'!D1000)&gt;1,"Repeat","Single"))</f>
        <v>Repeat</v>
      </c>
      <c r="K1000" s="10" t="str">
        <f t="shared" si="15"/>
        <v>TRANS-0999</v>
      </c>
    </row>
    <row r="1001" spans="1:11" x14ac:dyDescent="0.35">
      <c r="A1001" s="5">
        <v>45493</v>
      </c>
      <c r="B1001" s="3">
        <v>0.37670138888888888</v>
      </c>
      <c r="C1001" t="s">
        <v>8</v>
      </c>
      <c r="D1001" t="s">
        <v>442</v>
      </c>
      <c r="E1001" s="4">
        <v>32.82</v>
      </c>
      <c r="F1001" t="s">
        <v>32</v>
      </c>
      <c r="G1001" s="10" t="str">
        <f>TEXT(Transform_Data[[#This Row],[Date]],"mmm yyyy")</f>
        <v>Jul 2024</v>
      </c>
      <c r="H1001" s="10">
        <f>HOUR(Transform_Data[[#This Row],[Time]])</f>
        <v>9</v>
      </c>
      <c r="I1001" s="10" t="str">
        <f>IF(COUNTIF('Transform Data'!$D:$D,'Transform Data'!D1001)&gt;1,"Repeat","Single")</f>
        <v>Single</v>
      </c>
      <c r="J1001" s="10" t="str">
        <f>IF('Transform Data'!D1001="Cash","Cash",IF(COUNTIF('Transform Data'!$D:$D,'Transform Data'!D1001)&gt;1,"Repeat","Single"))</f>
        <v>Single</v>
      </c>
      <c r="K1001" s="10" t="str">
        <f t="shared" si="15"/>
        <v>TRANS-1000</v>
      </c>
    </row>
    <row r="1002" spans="1:11" x14ac:dyDescent="0.35">
      <c r="A1002" s="5">
        <v>45493</v>
      </c>
      <c r="B1002" s="3">
        <v>0.44399305555555557</v>
      </c>
      <c r="C1002" t="s">
        <v>8</v>
      </c>
      <c r="D1002" t="s">
        <v>443</v>
      </c>
      <c r="E1002" s="4">
        <v>23.02</v>
      </c>
      <c r="F1002" t="s">
        <v>28</v>
      </c>
      <c r="G1002" s="10" t="str">
        <f>TEXT(Transform_Data[[#This Row],[Date]],"mmm yyyy")</f>
        <v>Jul 2024</v>
      </c>
      <c r="H1002" s="10">
        <f>HOUR(Transform_Data[[#This Row],[Time]])</f>
        <v>10</v>
      </c>
      <c r="I1002" s="10" t="str">
        <f>IF(COUNTIF('Transform Data'!$D:$D,'Transform Data'!D1002)&gt;1,"Repeat","Single")</f>
        <v>Single</v>
      </c>
      <c r="J1002" s="10" t="str">
        <f>IF('Transform Data'!D1002="Cash","Cash",IF(COUNTIF('Transform Data'!$D:$D,'Transform Data'!D1002)&gt;1,"Repeat","Single"))</f>
        <v>Single</v>
      </c>
      <c r="K1002" s="10" t="str">
        <f t="shared" si="15"/>
        <v>TRANS-1001</v>
      </c>
    </row>
    <row r="1003" spans="1:11" x14ac:dyDescent="0.35">
      <c r="A1003" s="5">
        <v>45493</v>
      </c>
      <c r="B1003" s="3">
        <v>0.63552083333333331</v>
      </c>
      <c r="C1003" t="s">
        <v>8</v>
      </c>
      <c r="D1003" t="s">
        <v>444</v>
      </c>
      <c r="E1003" s="4">
        <v>32.82</v>
      </c>
      <c r="F1003" t="s">
        <v>32</v>
      </c>
      <c r="G1003" s="10" t="str">
        <f>TEXT(Transform_Data[[#This Row],[Date]],"mmm yyyy")</f>
        <v>Jul 2024</v>
      </c>
      <c r="H1003" s="10">
        <f>HOUR(Transform_Data[[#This Row],[Time]])</f>
        <v>15</v>
      </c>
      <c r="I1003" s="10" t="str">
        <f>IF(COUNTIF('Transform Data'!$D:$D,'Transform Data'!D1003)&gt;1,"Repeat","Single")</f>
        <v>Single</v>
      </c>
      <c r="J1003" s="10" t="str">
        <f>IF('Transform Data'!D1003="Cash","Cash",IF(COUNTIF('Transform Data'!$D:$D,'Transform Data'!D1003)&gt;1,"Repeat","Single"))</f>
        <v>Single</v>
      </c>
      <c r="K1003" s="10" t="str">
        <f t="shared" si="15"/>
        <v>TRANS-1002</v>
      </c>
    </row>
    <row r="1004" spans="1:11" x14ac:dyDescent="0.35">
      <c r="A1004" s="5">
        <v>45494</v>
      </c>
      <c r="B1004" s="3">
        <v>0.43813657407407408</v>
      </c>
      <c r="C1004" t="s">
        <v>8</v>
      </c>
      <c r="D1004" t="s">
        <v>420</v>
      </c>
      <c r="E1004" s="4">
        <v>32.82</v>
      </c>
      <c r="F1004" t="s">
        <v>10</v>
      </c>
      <c r="G1004" s="10" t="str">
        <f>TEXT(Transform_Data[[#This Row],[Date]],"mmm yyyy")</f>
        <v>Jul 2024</v>
      </c>
      <c r="H1004" s="10">
        <f>HOUR(Transform_Data[[#This Row],[Time]])</f>
        <v>10</v>
      </c>
      <c r="I1004" s="10" t="str">
        <f>IF(COUNTIF('Transform Data'!$D:$D,'Transform Data'!D1004)&gt;1,"Repeat","Single")</f>
        <v>Repeat</v>
      </c>
      <c r="J1004" s="10" t="str">
        <f>IF('Transform Data'!D1004="Cash","Cash",IF(COUNTIF('Transform Data'!$D:$D,'Transform Data'!D1004)&gt;1,"Repeat","Single"))</f>
        <v>Repeat</v>
      </c>
      <c r="K1004" s="10" t="str">
        <f t="shared" si="15"/>
        <v>TRANS-1003</v>
      </c>
    </row>
    <row r="1005" spans="1:11" x14ac:dyDescent="0.35">
      <c r="A1005" s="5">
        <v>45494</v>
      </c>
      <c r="B1005" s="3">
        <v>0.48574074074074075</v>
      </c>
      <c r="C1005" t="s">
        <v>8</v>
      </c>
      <c r="D1005" t="s">
        <v>445</v>
      </c>
      <c r="E1005" s="4">
        <v>32.82</v>
      </c>
      <c r="F1005" t="s">
        <v>24</v>
      </c>
      <c r="G1005" s="10" t="str">
        <f>TEXT(Transform_Data[[#This Row],[Date]],"mmm yyyy")</f>
        <v>Jul 2024</v>
      </c>
      <c r="H1005" s="10">
        <f>HOUR(Transform_Data[[#This Row],[Time]])</f>
        <v>11</v>
      </c>
      <c r="I1005" s="10" t="str">
        <f>IF(COUNTIF('Transform Data'!$D:$D,'Transform Data'!D1005)&gt;1,"Repeat","Single")</f>
        <v>Single</v>
      </c>
      <c r="J1005" s="10" t="str">
        <f>IF('Transform Data'!D1005="Cash","Cash",IF(COUNTIF('Transform Data'!$D:$D,'Transform Data'!D1005)&gt;1,"Repeat","Single"))</f>
        <v>Single</v>
      </c>
      <c r="K1005" s="10" t="str">
        <f t="shared" si="15"/>
        <v>TRANS-1004</v>
      </c>
    </row>
    <row r="1006" spans="1:11" x14ac:dyDescent="0.35">
      <c r="A1006" s="5">
        <v>45494</v>
      </c>
      <c r="B1006" s="3">
        <v>0.56562500000000004</v>
      </c>
      <c r="C1006" t="s">
        <v>8</v>
      </c>
      <c r="D1006" t="s">
        <v>446</v>
      </c>
      <c r="E1006" s="4">
        <v>23.02</v>
      </c>
      <c r="F1006" t="s">
        <v>20</v>
      </c>
      <c r="G1006" s="10" t="str">
        <f>TEXT(Transform_Data[[#This Row],[Date]],"mmm yyyy")</f>
        <v>Jul 2024</v>
      </c>
      <c r="H1006" s="10">
        <f>HOUR(Transform_Data[[#This Row],[Time]])</f>
        <v>13</v>
      </c>
      <c r="I1006" s="10" t="str">
        <f>IF(COUNTIF('Transform Data'!$D:$D,'Transform Data'!D1006)&gt;1,"Repeat","Single")</f>
        <v>Single</v>
      </c>
      <c r="J1006" s="10" t="str">
        <f>IF('Transform Data'!D1006="Cash","Cash",IF(COUNTIF('Transform Data'!$D:$D,'Transform Data'!D1006)&gt;1,"Repeat","Single"))</f>
        <v>Single</v>
      </c>
      <c r="K1006" s="10" t="str">
        <f t="shared" si="15"/>
        <v>TRANS-1005</v>
      </c>
    </row>
    <row r="1007" spans="1:11" x14ac:dyDescent="0.35">
      <c r="A1007" s="5">
        <v>45494</v>
      </c>
      <c r="B1007" s="3">
        <v>0.57119212962962962</v>
      </c>
      <c r="C1007" t="s">
        <v>8</v>
      </c>
      <c r="D1007" t="s">
        <v>447</v>
      </c>
      <c r="E1007" s="4">
        <v>32.82</v>
      </c>
      <c r="F1007" t="s">
        <v>32</v>
      </c>
      <c r="G1007" s="10" t="str">
        <f>TEXT(Transform_Data[[#This Row],[Date]],"mmm yyyy")</f>
        <v>Jul 2024</v>
      </c>
      <c r="H1007" s="10">
        <f>HOUR(Transform_Data[[#This Row],[Time]])</f>
        <v>13</v>
      </c>
      <c r="I1007" s="10" t="str">
        <f>IF(COUNTIF('Transform Data'!$D:$D,'Transform Data'!D1007)&gt;1,"Repeat","Single")</f>
        <v>Single</v>
      </c>
      <c r="J1007" s="10" t="str">
        <f>IF('Transform Data'!D1007="Cash","Cash",IF(COUNTIF('Transform Data'!$D:$D,'Transform Data'!D1007)&gt;1,"Repeat","Single"))</f>
        <v>Single</v>
      </c>
      <c r="K1007" s="10" t="str">
        <f t="shared" si="15"/>
        <v>TRANS-1006</v>
      </c>
    </row>
    <row r="1008" spans="1:11" x14ac:dyDescent="0.35">
      <c r="A1008" s="5">
        <v>45495</v>
      </c>
      <c r="B1008" s="3">
        <v>0.34262731481481479</v>
      </c>
      <c r="C1008" t="s">
        <v>8</v>
      </c>
      <c r="D1008" t="s">
        <v>428</v>
      </c>
      <c r="E1008" s="4">
        <v>23.02</v>
      </c>
      <c r="F1008" t="s">
        <v>28</v>
      </c>
      <c r="G1008" s="10" t="str">
        <f>TEXT(Transform_Data[[#This Row],[Date]],"mmm yyyy")</f>
        <v>Jul 2024</v>
      </c>
      <c r="H1008" s="10">
        <f>HOUR(Transform_Data[[#This Row],[Time]])</f>
        <v>8</v>
      </c>
      <c r="I1008" s="10" t="str">
        <f>IF(COUNTIF('Transform Data'!$D:$D,'Transform Data'!D1008)&gt;1,"Repeat","Single")</f>
        <v>Repeat</v>
      </c>
      <c r="J1008" s="10" t="str">
        <f>IF('Transform Data'!D1008="Cash","Cash",IF(COUNTIF('Transform Data'!$D:$D,'Transform Data'!D1008)&gt;1,"Repeat","Single"))</f>
        <v>Repeat</v>
      </c>
      <c r="K1008" s="10" t="str">
        <f t="shared" si="15"/>
        <v>TRANS-1007</v>
      </c>
    </row>
    <row r="1009" spans="1:11" x14ac:dyDescent="0.35">
      <c r="A1009" s="5">
        <v>45495</v>
      </c>
      <c r="B1009" s="3">
        <v>0.36167824074074073</v>
      </c>
      <c r="C1009" t="s">
        <v>8</v>
      </c>
      <c r="D1009" t="s">
        <v>448</v>
      </c>
      <c r="E1009" s="4">
        <v>23.02</v>
      </c>
      <c r="F1009" t="s">
        <v>28</v>
      </c>
      <c r="G1009" s="10" t="str">
        <f>TEXT(Transform_Data[[#This Row],[Date]],"mmm yyyy")</f>
        <v>Jul 2024</v>
      </c>
      <c r="H1009" s="10">
        <f>HOUR(Transform_Data[[#This Row],[Time]])</f>
        <v>8</v>
      </c>
      <c r="I1009" s="10" t="str">
        <f>IF(COUNTIF('Transform Data'!$D:$D,'Transform Data'!D1009)&gt;1,"Repeat","Single")</f>
        <v>Repeat</v>
      </c>
      <c r="J1009" s="10" t="str">
        <f>IF('Transform Data'!D1009="Cash","Cash",IF(COUNTIF('Transform Data'!$D:$D,'Transform Data'!D1009)&gt;1,"Repeat","Single"))</f>
        <v>Repeat</v>
      </c>
      <c r="K1009" s="10" t="str">
        <f t="shared" si="15"/>
        <v>TRANS-1008</v>
      </c>
    </row>
    <row r="1010" spans="1:11" x14ac:dyDescent="0.35">
      <c r="A1010" s="5">
        <v>45495</v>
      </c>
      <c r="B1010" s="3">
        <v>0.42751157407407409</v>
      </c>
      <c r="C1010" t="s">
        <v>8</v>
      </c>
      <c r="D1010" t="s">
        <v>438</v>
      </c>
      <c r="E1010" s="4">
        <v>27.92</v>
      </c>
      <c r="F1010" t="s">
        <v>36</v>
      </c>
      <c r="G1010" s="10" t="str">
        <f>TEXT(Transform_Data[[#This Row],[Date]],"mmm yyyy")</f>
        <v>Jul 2024</v>
      </c>
      <c r="H1010" s="10">
        <f>HOUR(Transform_Data[[#This Row],[Time]])</f>
        <v>10</v>
      </c>
      <c r="I1010" s="10" t="str">
        <f>IF(COUNTIF('Transform Data'!$D:$D,'Transform Data'!D1010)&gt;1,"Repeat","Single")</f>
        <v>Repeat</v>
      </c>
      <c r="J1010" s="10" t="str">
        <f>IF('Transform Data'!D1010="Cash","Cash",IF(COUNTIF('Transform Data'!$D:$D,'Transform Data'!D1010)&gt;1,"Repeat","Single"))</f>
        <v>Repeat</v>
      </c>
      <c r="K1010" s="10" t="str">
        <f t="shared" si="15"/>
        <v>TRANS-1009</v>
      </c>
    </row>
    <row r="1011" spans="1:11" x14ac:dyDescent="0.35">
      <c r="A1011" s="5">
        <v>45495</v>
      </c>
      <c r="B1011" s="3">
        <v>0.69765046296296296</v>
      </c>
      <c r="C1011" t="s">
        <v>8</v>
      </c>
      <c r="D1011" t="s">
        <v>449</v>
      </c>
      <c r="E1011" s="4">
        <v>32.82</v>
      </c>
      <c r="F1011" t="s">
        <v>32</v>
      </c>
      <c r="G1011" s="10" t="str">
        <f>TEXT(Transform_Data[[#This Row],[Date]],"mmm yyyy")</f>
        <v>Jul 2024</v>
      </c>
      <c r="H1011" s="10">
        <f>HOUR(Transform_Data[[#This Row],[Time]])</f>
        <v>16</v>
      </c>
      <c r="I1011" s="10" t="str">
        <f>IF(COUNTIF('Transform Data'!$D:$D,'Transform Data'!D1011)&gt;1,"Repeat","Single")</f>
        <v>Single</v>
      </c>
      <c r="J1011" s="10" t="str">
        <f>IF('Transform Data'!D1011="Cash","Cash",IF(COUNTIF('Transform Data'!$D:$D,'Transform Data'!D1011)&gt;1,"Repeat","Single"))</f>
        <v>Single</v>
      </c>
      <c r="K1011" s="10" t="str">
        <f t="shared" si="15"/>
        <v>TRANS-1010</v>
      </c>
    </row>
    <row r="1012" spans="1:11" x14ac:dyDescent="0.35">
      <c r="A1012" s="5">
        <v>45496</v>
      </c>
      <c r="B1012" s="3">
        <v>0.34231481481481479</v>
      </c>
      <c r="C1012" t="s">
        <v>8</v>
      </c>
      <c r="D1012" t="s">
        <v>251</v>
      </c>
      <c r="E1012" s="4">
        <v>32.82</v>
      </c>
      <c r="F1012" t="s">
        <v>32</v>
      </c>
      <c r="G1012" s="10" t="str">
        <f>TEXT(Transform_Data[[#This Row],[Date]],"mmm yyyy")</f>
        <v>Jul 2024</v>
      </c>
      <c r="H1012" s="10">
        <f>HOUR(Transform_Data[[#This Row],[Time]])</f>
        <v>8</v>
      </c>
      <c r="I1012" s="10" t="str">
        <f>IF(COUNTIF('Transform Data'!$D:$D,'Transform Data'!D1012)&gt;1,"Repeat","Single")</f>
        <v>Repeat</v>
      </c>
      <c r="J1012" s="10" t="str">
        <f>IF('Transform Data'!D1012="Cash","Cash",IF(COUNTIF('Transform Data'!$D:$D,'Transform Data'!D1012)&gt;1,"Repeat","Single"))</f>
        <v>Repeat</v>
      </c>
      <c r="K1012" s="10" t="str">
        <f t="shared" si="15"/>
        <v>TRANS-1011</v>
      </c>
    </row>
    <row r="1013" spans="1:11" x14ac:dyDescent="0.35">
      <c r="A1013" s="5">
        <v>45496</v>
      </c>
      <c r="B1013" s="3">
        <v>0.36131944444444447</v>
      </c>
      <c r="C1013" t="s">
        <v>8</v>
      </c>
      <c r="D1013" t="s">
        <v>448</v>
      </c>
      <c r="E1013" s="4">
        <v>23.02</v>
      </c>
      <c r="F1013" t="s">
        <v>28</v>
      </c>
      <c r="G1013" s="10" t="str">
        <f>TEXT(Transform_Data[[#This Row],[Date]],"mmm yyyy")</f>
        <v>Jul 2024</v>
      </c>
      <c r="H1013" s="10">
        <f>HOUR(Transform_Data[[#This Row],[Time]])</f>
        <v>8</v>
      </c>
      <c r="I1013" s="10" t="str">
        <f>IF(COUNTIF('Transform Data'!$D:$D,'Transform Data'!D1013)&gt;1,"Repeat","Single")</f>
        <v>Repeat</v>
      </c>
      <c r="J1013" s="10" t="str">
        <f>IF('Transform Data'!D1013="Cash","Cash",IF(COUNTIF('Transform Data'!$D:$D,'Transform Data'!D1013)&gt;1,"Repeat","Single"))</f>
        <v>Repeat</v>
      </c>
      <c r="K1013" s="10" t="str">
        <f t="shared" si="15"/>
        <v>TRANS-1012</v>
      </c>
    </row>
    <row r="1014" spans="1:11" x14ac:dyDescent="0.35">
      <c r="A1014" s="5">
        <v>45496</v>
      </c>
      <c r="B1014" s="3">
        <v>0.36450231481481482</v>
      </c>
      <c r="C1014" t="s">
        <v>8</v>
      </c>
      <c r="D1014" t="s">
        <v>450</v>
      </c>
      <c r="E1014" s="4">
        <v>27.92</v>
      </c>
      <c r="F1014" t="s">
        <v>36</v>
      </c>
      <c r="G1014" s="10" t="str">
        <f>TEXT(Transform_Data[[#This Row],[Date]],"mmm yyyy")</f>
        <v>Jul 2024</v>
      </c>
      <c r="H1014" s="10">
        <f>HOUR(Transform_Data[[#This Row],[Time]])</f>
        <v>8</v>
      </c>
      <c r="I1014" s="10" t="str">
        <f>IF(COUNTIF('Transform Data'!$D:$D,'Transform Data'!D1014)&gt;1,"Repeat","Single")</f>
        <v>Single</v>
      </c>
      <c r="J1014" s="10" t="str">
        <f>IF('Transform Data'!D1014="Cash","Cash",IF(COUNTIF('Transform Data'!$D:$D,'Transform Data'!D1014)&gt;1,"Repeat","Single"))</f>
        <v>Single</v>
      </c>
      <c r="K1014" s="10" t="str">
        <f t="shared" si="15"/>
        <v>TRANS-1013</v>
      </c>
    </row>
    <row r="1015" spans="1:11" x14ac:dyDescent="0.35">
      <c r="A1015" s="5">
        <v>45496</v>
      </c>
      <c r="B1015" s="3">
        <v>0.36765046296296294</v>
      </c>
      <c r="C1015" t="s">
        <v>8</v>
      </c>
      <c r="D1015" t="s">
        <v>451</v>
      </c>
      <c r="E1015" s="4">
        <v>32.82</v>
      </c>
      <c r="F1015" t="s">
        <v>10</v>
      </c>
      <c r="G1015" s="10" t="str">
        <f>TEXT(Transform_Data[[#This Row],[Date]],"mmm yyyy")</f>
        <v>Jul 2024</v>
      </c>
      <c r="H1015" s="10">
        <f>HOUR(Transform_Data[[#This Row],[Time]])</f>
        <v>8</v>
      </c>
      <c r="I1015" s="10" t="str">
        <f>IF(COUNTIF('Transform Data'!$D:$D,'Transform Data'!D1015)&gt;1,"Repeat","Single")</f>
        <v>Single</v>
      </c>
      <c r="J1015" s="10" t="str">
        <f>IF('Transform Data'!D1015="Cash","Cash",IF(COUNTIF('Transform Data'!$D:$D,'Transform Data'!D1015)&gt;1,"Repeat","Single"))</f>
        <v>Single</v>
      </c>
      <c r="K1015" s="10" t="str">
        <f t="shared" si="15"/>
        <v>TRANS-1014</v>
      </c>
    </row>
    <row r="1016" spans="1:11" x14ac:dyDescent="0.35">
      <c r="A1016" s="5">
        <v>45496</v>
      </c>
      <c r="B1016" s="3">
        <v>0.36886574074074074</v>
      </c>
      <c r="C1016" t="s">
        <v>8</v>
      </c>
      <c r="D1016" t="s">
        <v>452</v>
      </c>
      <c r="E1016" s="4">
        <v>32.82</v>
      </c>
      <c r="F1016" t="s">
        <v>32</v>
      </c>
      <c r="G1016" s="10" t="str">
        <f>TEXT(Transform_Data[[#This Row],[Date]],"mmm yyyy")</f>
        <v>Jul 2024</v>
      </c>
      <c r="H1016" s="10">
        <f>HOUR(Transform_Data[[#This Row],[Time]])</f>
        <v>8</v>
      </c>
      <c r="I1016" s="10" t="str">
        <f>IF(COUNTIF('Transform Data'!$D:$D,'Transform Data'!D1016)&gt;1,"Repeat","Single")</f>
        <v>Repeat</v>
      </c>
      <c r="J1016" s="10" t="str">
        <f>IF('Transform Data'!D1016="Cash","Cash",IF(COUNTIF('Transform Data'!$D:$D,'Transform Data'!D1016)&gt;1,"Repeat","Single"))</f>
        <v>Repeat</v>
      </c>
      <c r="K1016" s="10" t="str">
        <f t="shared" si="15"/>
        <v>TRANS-1015</v>
      </c>
    </row>
    <row r="1017" spans="1:11" x14ac:dyDescent="0.35">
      <c r="A1017" s="5">
        <v>45496</v>
      </c>
      <c r="B1017" s="3">
        <v>0.3762152777777778</v>
      </c>
      <c r="C1017" t="s">
        <v>8</v>
      </c>
      <c r="D1017" t="s">
        <v>428</v>
      </c>
      <c r="E1017" s="4">
        <v>23.02</v>
      </c>
      <c r="F1017" t="s">
        <v>28</v>
      </c>
      <c r="G1017" s="10" t="str">
        <f>TEXT(Transform_Data[[#This Row],[Date]],"mmm yyyy")</f>
        <v>Jul 2024</v>
      </c>
      <c r="H1017" s="10">
        <f>HOUR(Transform_Data[[#This Row],[Time]])</f>
        <v>9</v>
      </c>
      <c r="I1017" s="10" t="str">
        <f>IF(COUNTIF('Transform Data'!$D:$D,'Transform Data'!D1017)&gt;1,"Repeat","Single")</f>
        <v>Repeat</v>
      </c>
      <c r="J1017" s="10" t="str">
        <f>IF('Transform Data'!D1017="Cash","Cash",IF(COUNTIF('Transform Data'!$D:$D,'Transform Data'!D1017)&gt;1,"Repeat","Single"))</f>
        <v>Repeat</v>
      </c>
      <c r="K1017" s="10" t="str">
        <f t="shared" si="15"/>
        <v>TRANS-1016</v>
      </c>
    </row>
    <row r="1018" spans="1:11" x14ac:dyDescent="0.35">
      <c r="A1018" s="5">
        <v>45496</v>
      </c>
      <c r="B1018" s="3">
        <v>0.41916666666666669</v>
      </c>
      <c r="C1018" t="s">
        <v>8</v>
      </c>
      <c r="D1018" t="s">
        <v>453</v>
      </c>
      <c r="E1018" s="4">
        <v>27.92</v>
      </c>
      <c r="F1018" t="s">
        <v>36</v>
      </c>
      <c r="G1018" s="10" t="str">
        <f>TEXT(Transform_Data[[#This Row],[Date]],"mmm yyyy")</f>
        <v>Jul 2024</v>
      </c>
      <c r="H1018" s="10">
        <f>HOUR(Transform_Data[[#This Row],[Time]])</f>
        <v>10</v>
      </c>
      <c r="I1018" s="10" t="str">
        <f>IF(COUNTIF('Transform Data'!$D:$D,'Transform Data'!D1018)&gt;1,"Repeat","Single")</f>
        <v>Single</v>
      </c>
      <c r="J1018" s="10" t="str">
        <f>IF('Transform Data'!D1018="Cash","Cash",IF(COUNTIF('Transform Data'!$D:$D,'Transform Data'!D1018)&gt;1,"Repeat","Single"))</f>
        <v>Single</v>
      </c>
      <c r="K1018" s="10" t="str">
        <f t="shared" si="15"/>
        <v>TRANS-1017</v>
      </c>
    </row>
    <row r="1019" spans="1:11" x14ac:dyDescent="0.35">
      <c r="A1019" s="5">
        <v>45496</v>
      </c>
      <c r="B1019" s="3">
        <v>0.63893518518518522</v>
      </c>
      <c r="C1019" t="s">
        <v>8</v>
      </c>
      <c r="D1019" t="s">
        <v>454</v>
      </c>
      <c r="E1019" s="4">
        <v>27.92</v>
      </c>
      <c r="F1019" t="s">
        <v>36</v>
      </c>
      <c r="G1019" s="10" t="str">
        <f>TEXT(Transform_Data[[#This Row],[Date]],"mmm yyyy")</f>
        <v>Jul 2024</v>
      </c>
      <c r="H1019" s="10">
        <f>HOUR(Transform_Data[[#This Row],[Time]])</f>
        <v>15</v>
      </c>
      <c r="I1019" s="10" t="str">
        <f>IF(COUNTIF('Transform Data'!$D:$D,'Transform Data'!D1019)&gt;1,"Repeat","Single")</f>
        <v>Repeat</v>
      </c>
      <c r="J1019" s="10" t="str">
        <f>IF('Transform Data'!D1019="Cash","Cash",IF(COUNTIF('Transform Data'!$D:$D,'Transform Data'!D1019)&gt;1,"Repeat","Single"))</f>
        <v>Repeat</v>
      </c>
      <c r="K1019" s="10" t="str">
        <f t="shared" si="15"/>
        <v>TRANS-1018</v>
      </c>
    </row>
    <row r="1020" spans="1:11" x14ac:dyDescent="0.35">
      <c r="A1020" s="5">
        <v>45496</v>
      </c>
      <c r="B1020" s="3">
        <v>0.63959490740740743</v>
      </c>
      <c r="C1020" t="s">
        <v>8</v>
      </c>
      <c r="D1020" t="s">
        <v>454</v>
      </c>
      <c r="E1020" s="4">
        <v>32.82</v>
      </c>
      <c r="F1020" t="s">
        <v>32</v>
      </c>
      <c r="G1020" s="10" t="str">
        <f>TEXT(Transform_Data[[#This Row],[Date]],"mmm yyyy")</f>
        <v>Jul 2024</v>
      </c>
      <c r="H1020" s="10">
        <f>HOUR(Transform_Data[[#This Row],[Time]])</f>
        <v>15</v>
      </c>
      <c r="I1020" s="10" t="str">
        <f>IF(COUNTIF('Transform Data'!$D:$D,'Transform Data'!D1020)&gt;1,"Repeat","Single")</f>
        <v>Repeat</v>
      </c>
      <c r="J1020" s="10" t="str">
        <f>IF('Transform Data'!D1020="Cash","Cash",IF(COUNTIF('Transform Data'!$D:$D,'Transform Data'!D1020)&gt;1,"Repeat","Single"))</f>
        <v>Repeat</v>
      </c>
      <c r="K1020" s="10" t="str">
        <f t="shared" si="15"/>
        <v>TRANS-1019</v>
      </c>
    </row>
    <row r="1021" spans="1:11" x14ac:dyDescent="0.35">
      <c r="A1021" s="5">
        <v>45496</v>
      </c>
      <c r="B1021" s="3">
        <v>0.87615740740740744</v>
      </c>
      <c r="C1021" t="s">
        <v>8</v>
      </c>
      <c r="D1021" t="s">
        <v>25</v>
      </c>
      <c r="E1021" s="4">
        <v>32.82</v>
      </c>
      <c r="F1021" t="s">
        <v>32</v>
      </c>
      <c r="G1021" s="10" t="str">
        <f>TEXT(Transform_Data[[#This Row],[Date]],"mmm yyyy")</f>
        <v>Jul 2024</v>
      </c>
      <c r="H1021" s="10">
        <f>HOUR(Transform_Data[[#This Row],[Time]])</f>
        <v>21</v>
      </c>
      <c r="I1021" s="10" t="str">
        <f>IF(COUNTIF('Transform Data'!$D:$D,'Transform Data'!D1021)&gt;1,"Repeat","Single")</f>
        <v>Repeat</v>
      </c>
      <c r="J1021" s="10" t="str">
        <f>IF('Transform Data'!D1021="Cash","Cash",IF(COUNTIF('Transform Data'!$D:$D,'Transform Data'!D1021)&gt;1,"Repeat","Single"))</f>
        <v>Repeat</v>
      </c>
      <c r="K1021" s="10" t="str">
        <f t="shared" si="15"/>
        <v>TRANS-1020</v>
      </c>
    </row>
    <row r="1022" spans="1:11" x14ac:dyDescent="0.35">
      <c r="A1022" s="5">
        <v>45496</v>
      </c>
      <c r="B1022" s="3">
        <v>0.89112268518518523</v>
      </c>
      <c r="C1022" t="s">
        <v>8</v>
      </c>
      <c r="D1022" t="s">
        <v>43</v>
      </c>
      <c r="E1022" s="4">
        <v>23.02</v>
      </c>
      <c r="F1022" t="s">
        <v>28</v>
      </c>
      <c r="G1022" s="10" t="str">
        <f>TEXT(Transform_Data[[#This Row],[Date]],"mmm yyyy")</f>
        <v>Jul 2024</v>
      </c>
      <c r="H1022" s="10">
        <f>HOUR(Transform_Data[[#This Row],[Time]])</f>
        <v>21</v>
      </c>
      <c r="I1022" s="10" t="str">
        <f>IF(COUNTIF('Transform Data'!$D:$D,'Transform Data'!D1022)&gt;1,"Repeat","Single")</f>
        <v>Repeat</v>
      </c>
      <c r="J1022" s="10" t="str">
        <f>IF('Transform Data'!D1022="Cash","Cash",IF(COUNTIF('Transform Data'!$D:$D,'Transform Data'!D1022)&gt;1,"Repeat","Single"))</f>
        <v>Repeat</v>
      </c>
      <c r="K1022" s="10" t="str">
        <f t="shared" si="15"/>
        <v>TRANS-1021</v>
      </c>
    </row>
    <row r="1023" spans="1:11" x14ac:dyDescent="0.35">
      <c r="A1023" s="5">
        <v>45496</v>
      </c>
      <c r="B1023" s="3">
        <v>0.89192129629629635</v>
      </c>
      <c r="C1023" t="s">
        <v>8</v>
      </c>
      <c r="D1023" t="s">
        <v>43</v>
      </c>
      <c r="E1023" s="4">
        <v>23.02</v>
      </c>
      <c r="F1023" t="s">
        <v>28</v>
      </c>
      <c r="G1023" s="10" t="str">
        <f>TEXT(Transform_Data[[#This Row],[Date]],"mmm yyyy")</f>
        <v>Jul 2024</v>
      </c>
      <c r="H1023" s="10">
        <f>HOUR(Transform_Data[[#This Row],[Time]])</f>
        <v>21</v>
      </c>
      <c r="I1023" s="10" t="str">
        <f>IF(COUNTIF('Transform Data'!$D:$D,'Transform Data'!D1023)&gt;1,"Repeat","Single")</f>
        <v>Repeat</v>
      </c>
      <c r="J1023" s="10" t="str">
        <f>IF('Transform Data'!D1023="Cash","Cash",IF(COUNTIF('Transform Data'!$D:$D,'Transform Data'!D1023)&gt;1,"Repeat","Single"))</f>
        <v>Repeat</v>
      </c>
      <c r="K1023" s="10" t="str">
        <f t="shared" si="15"/>
        <v>TRANS-1022</v>
      </c>
    </row>
    <row r="1024" spans="1:11" x14ac:dyDescent="0.35">
      <c r="A1024" s="5">
        <v>45497</v>
      </c>
      <c r="B1024" s="3">
        <v>0.38621527777777775</v>
      </c>
      <c r="C1024" t="s">
        <v>8</v>
      </c>
      <c r="D1024" t="s">
        <v>11</v>
      </c>
      <c r="E1024" s="4">
        <v>27.92</v>
      </c>
      <c r="F1024" t="s">
        <v>36</v>
      </c>
      <c r="G1024" s="10" t="str">
        <f>TEXT(Transform_Data[[#This Row],[Date]],"mmm yyyy")</f>
        <v>Jul 2024</v>
      </c>
      <c r="H1024" s="10">
        <f>HOUR(Transform_Data[[#This Row],[Time]])</f>
        <v>9</v>
      </c>
      <c r="I1024" s="10" t="str">
        <f>IF(COUNTIF('Transform Data'!$D:$D,'Transform Data'!D1024)&gt;1,"Repeat","Single")</f>
        <v>Repeat</v>
      </c>
      <c r="J1024" s="10" t="str">
        <f>IF('Transform Data'!D1024="Cash","Cash",IF(COUNTIF('Transform Data'!$D:$D,'Transform Data'!D1024)&gt;1,"Repeat","Single"))</f>
        <v>Repeat</v>
      </c>
      <c r="K1024" s="10" t="str">
        <f t="shared" si="15"/>
        <v>TRANS-1023</v>
      </c>
    </row>
    <row r="1025" spans="1:11" x14ac:dyDescent="0.35">
      <c r="A1025" s="5">
        <v>45497</v>
      </c>
      <c r="B1025" s="3">
        <v>0.40202546296296299</v>
      </c>
      <c r="C1025" t="s">
        <v>8</v>
      </c>
      <c r="D1025" t="s">
        <v>438</v>
      </c>
      <c r="E1025" s="4">
        <v>27.92</v>
      </c>
      <c r="F1025" t="s">
        <v>36</v>
      </c>
      <c r="G1025" s="10" t="str">
        <f>TEXT(Transform_Data[[#This Row],[Date]],"mmm yyyy")</f>
        <v>Jul 2024</v>
      </c>
      <c r="H1025" s="10">
        <f>HOUR(Transform_Data[[#This Row],[Time]])</f>
        <v>9</v>
      </c>
      <c r="I1025" s="10" t="str">
        <f>IF(COUNTIF('Transform Data'!$D:$D,'Transform Data'!D1025)&gt;1,"Repeat","Single")</f>
        <v>Repeat</v>
      </c>
      <c r="J1025" s="10" t="str">
        <f>IF('Transform Data'!D1025="Cash","Cash",IF(COUNTIF('Transform Data'!$D:$D,'Transform Data'!D1025)&gt;1,"Repeat","Single"))</f>
        <v>Repeat</v>
      </c>
      <c r="K1025" s="10" t="str">
        <f t="shared" si="15"/>
        <v>TRANS-1024</v>
      </c>
    </row>
    <row r="1026" spans="1:11" x14ac:dyDescent="0.35">
      <c r="A1026" s="5">
        <v>45497</v>
      </c>
      <c r="B1026" s="3">
        <v>0.41292824074074075</v>
      </c>
      <c r="C1026" t="s">
        <v>8</v>
      </c>
      <c r="D1026" t="s">
        <v>455</v>
      </c>
      <c r="E1026" s="4">
        <v>18.12</v>
      </c>
      <c r="F1026" t="s">
        <v>5</v>
      </c>
      <c r="G1026" s="10" t="str">
        <f>TEXT(Transform_Data[[#This Row],[Date]],"mmm yyyy")</f>
        <v>Jul 2024</v>
      </c>
      <c r="H1026" s="10">
        <f>HOUR(Transform_Data[[#This Row],[Time]])</f>
        <v>9</v>
      </c>
      <c r="I1026" s="10" t="str">
        <f>IF(COUNTIF('Transform Data'!$D:$D,'Transform Data'!D1026)&gt;1,"Repeat","Single")</f>
        <v>Repeat</v>
      </c>
      <c r="J1026" s="10" t="str">
        <f>IF('Transform Data'!D1026="Cash","Cash",IF(COUNTIF('Transform Data'!$D:$D,'Transform Data'!D1026)&gt;1,"Repeat","Single"))</f>
        <v>Repeat</v>
      </c>
      <c r="K1026" s="10" t="str">
        <f t="shared" ref="K1026:K1089" si="16">"TRANS-"&amp;TEXT(ROW(A1025),"0000")</f>
        <v>TRANS-1025</v>
      </c>
    </row>
    <row r="1027" spans="1:11" x14ac:dyDescent="0.35">
      <c r="A1027" s="5">
        <v>45497</v>
      </c>
      <c r="B1027" s="3">
        <v>0.48880787037037038</v>
      </c>
      <c r="C1027" t="s">
        <v>8</v>
      </c>
      <c r="D1027" t="s">
        <v>432</v>
      </c>
      <c r="E1027" s="4">
        <v>32.82</v>
      </c>
      <c r="F1027" t="s">
        <v>24</v>
      </c>
      <c r="G1027" s="10" t="str">
        <f>TEXT(Transform_Data[[#This Row],[Date]],"mmm yyyy")</f>
        <v>Jul 2024</v>
      </c>
      <c r="H1027" s="10">
        <f>HOUR(Transform_Data[[#This Row],[Time]])</f>
        <v>11</v>
      </c>
      <c r="I1027" s="10" t="str">
        <f>IF(COUNTIF('Transform Data'!$D:$D,'Transform Data'!D1027)&gt;1,"Repeat","Single")</f>
        <v>Repeat</v>
      </c>
      <c r="J1027" s="10" t="str">
        <f>IF('Transform Data'!D1027="Cash","Cash",IF(COUNTIF('Transform Data'!$D:$D,'Transform Data'!D1027)&gt;1,"Repeat","Single"))</f>
        <v>Repeat</v>
      </c>
      <c r="K1027" s="10" t="str">
        <f t="shared" si="16"/>
        <v>TRANS-1026</v>
      </c>
    </row>
    <row r="1028" spans="1:11" x14ac:dyDescent="0.35">
      <c r="A1028" s="5">
        <v>45497</v>
      </c>
      <c r="B1028" s="3">
        <v>0.58001157407407411</v>
      </c>
      <c r="C1028" t="s">
        <v>8</v>
      </c>
      <c r="D1028" t="s">
        <v>452</v>
      </c>
      <c r="E1028" s="4">
        <v>32.82</v>
      </c>
      <c r="F1028" t="s">
        <v>32</v>
      </c>
      <c r="G1028" s="10" t="str">
        <f>TEXT(Transform_Data[[#This Row],[Date]],"mmm yyyy")</f>
        <v>Jul 2024</v>
      </c>
      <c r="H1028" s="10">
        <f>HOUR(Transform_Data[[#This Row],[Time]])</f>
        <v>13</v>
      </c>
      <c r="I1028" s="10" t="str">
        <f>IF(COUNTIF('Transform Data'!$D:$D,'Transform Data'!D1028)&gt;1,"Repeat","Single")</f>
        <v>Repeat</v>
      </c>
      <c r="J1028" s="10" t="str">
        <f>IF('Transform Data'!D1028="Cash","Cash",IF(COUNTIF('Transform Data'!$D:$D,'Transform Data'!D1028)&gt;1,"Repeat","Single"))</f>
        <v>Repeat</v>
      </c>
      <c r="K1028" s="10" t="str">
        <f t="shared" si="16"/>
        <v>TRANS-1027</v>
      </c>
    </row>
    <row r="1029" spans="1:11" x14ac:dyDescent="0.35">
      <c r="A1029" s="5">
        <v>45497</v>
      </c>
      <c r="B1029" s="3">
        <v>0.61515046296296294</v>
      </c>
      <c r="C1029" t="s">
        <v>8</v>
      </c>
      <c r="D1029" t="s">
        <v>43</v>
      </c>
      <c r="E1029" s="4">
        <v>18.12</v>
      </c>
      <c r="F1029" t="s">
        <v>5</v>
      </c>
      <c r="G1029" s="10" t="str">
        <f>TEXT(Transform_Data[[#This Row],[Date]],"mmm yyyy")</f>
        <v>Jul 2024</v>
      </c>
      <c r="H1029" s="10">
        <f>HOUR(Transform_Data[[#This Row],[Time]])</f>
        <v>14</v>
      </c>
      <c r="I1029" s="10" t="str">
        <f>IF(COUNTIF('Transform Data'!$D:$D,'Transform Data'!D1029)&gt;1,"Repeat","Single")</f>
        <v>Repeat</v>
      </c>
      <c r="J1029" s="10" t="str">
        <f>IF('Transform Data'!D1029="Cash","Cash",IF(COUNTIF('Transform Data'!$D:$D,'Transform Data'!D1029)&gt;1,"Repeat","Single"))</f>
        <v>Repeat</v>
      </c>
      <c r="K1029" s="10" t="str">
        <f t="shared" si="16"/>
        <v>TRANS-1028</v>
      </c>
    </row>
    <row r="1030" spans="1:11" x14ac:dyDescent="0.35">
      <c r="A1030" s="5">
        <v>45497</v>
      </c>
      <c r="B1030" s="3">
        <v>0.63784722222222223</v>
      </c>
      <c r="C1030" t="s">
        <v>8</v>
      </c>
      <c r="D1030" t="s">
        <v>25</v>
      </c>
      <c r="E1030" s="4">
        <v>32.82</v>
      </c>
      <c r="F1030" t="s">
        <v>32</v>
      </c>
      <c r="G1030" s="10" t="str">
        <f>TEXT(Transform_Data[[#This Row],[Date]],"mmm yyyy")</f>
        <v>Jul 2024</v>
      </c>
      <c r="H1030" s="10">
        <f>HOUR(Transform_Data[[#This Row],[Time]])</f>
        <v>15</v>
      </c>
      <c r="I1030" s="10" t="str">
        <f>IF(COUNTIF('Transform Data'!$D:$D,'Transform Data'!D1030)&gt;1,"Repeat","Single")</f>
        <v>Repeat</v>
      </c>
      <c r="J1030" s="10" t="str">
        <f>IF('Transform Data'!D1030="Cash","Cash",IF(COUNTIF('Transform Data'!$D:$D,'Transform Data'!D1030)&gt;1,"Repeat","Single"))</f>
        <v>Repeat</v>
      </c>
      <c r="K1030" s="10" t="str">
        <f t="shared" si="16"/>
        <v>TRANS-1029</v>
      </c>
    </row>
    <row r="1031" spans="1:11" x14ac:dyDescent="0.35">
      <c r="A1031" s="5">
        <v>45497</v>
      </c>
      <c r="B1031" s="3">
        <v>0.80214120370370368</v>
      </c>
      <c r="C1031" t="s">
        <v>8</v>
      </c>
      <c r="D1031" t="s">
        <v>259</v>
      </c>
      <c r="E1031" s="4">
        <v>32.82</v>
      </c>
      <c r="F1031" t="s">
        <v>24</v>
      </c>
      <c r="G1031" s="10" t="str">
        <f>TEXT(Transform_Data[[#This Row],[Date]],"mmm yyyy")</f>
        <v>Jul 2024</v>
      </c>
      <c r="H1031" s="10">
        <f>HOUR(Transform_Data[[#This Row],[Time]])</f>
        <v>19</v>
      </c>
      <c r="I1031" s="10" t="str">
        <f>IF(COUNTIF('Transform Data'!$D:$D,'Transform Data'!D1031)&gt;1,"Repeat","Single")</f>
        <v>Repeat</v>
      </c>
      <c r="J1031" s="10" t="str">
        <f>IF('Transform Data'!D1031="Cash","Cash",IF(COUNTIF('Transform Data'!$D:$D,'Transform Data'!D1031)&gt;1,"Repeat","Single"))</f>
        <v>Repeat</v>
      </c>
      <c r="K1031" s="10" t="str">
        <f t="shared" si="16"/>
        <v>TRANS-1030</v>
      </c>
    </row>
    <row r="1032" spans="1:11" x14ac:dyDescent="0.35">
      <c r="A1032" s="5">
        <v>45497</v>
      </c>
      <c r="B1032" s="3">
        <v>0.8034606481481481</v>
      </c>
      <c r="C1032" t="s">
        <v>8</v>
      </c>
      <c r="D1032" t="s">
        <v>259</v>
      </c>
      <c r="E1032" s="4">
        <v>32.82</v>
      </c>
      <c r="F1032" t="s">
        <v>24</v>
      </c>
      <c r="G1032" s="10" t="str">
        <f>TEXT(Transform_Data[[#This Row],[Date]],"mmm yyyy")</f>
        <v>Jul 2024</v>
      </c>
      <c r="H1032" s="10">
        <f>HOUR(Transform_Data[[#This Row],[Time]])</f>
        <v>19</v>
      </c>
      <c r="I1032" s="10" t="str">
        <f>IF(COUNTIF('Transform Data'!$D:$D,'Transform Data'!D1032)&gt;1,"Repeat","Single")</f>
        <v>Repeat</v>
      </c>
      <c r="J1032" s="10" t="str">
        <f>IF('Transform Data'!D1032="Cash","Cash",IF(COUNTIF('Transform Data'!$D:$D,'Transform Data'!D1032)&gt;1,"Repeat","Single"))</f>
        <v>Repeat</v>
      </c>
      <c r="K1032" s="10" t="str">
        <f t="shared" si="16"/>
        <v>TRANS-1031</v>
      </c>
    </row>
    <row r="1033" spans="1:11" x14ac:dyDescent="0.35">
      <c r="A1033" s="5">
        <v>45497</v>
      </c>
      <c r="B1033" s="3">
        <v>0.88722222222222225</v>
      </c>
      <c r="C1033" t="s">
        <v>8</v>
      </c>
      <c r="D1033" t="s">
        <v>16</v>
      </c>
      <c r="E1033" s="4">
        <v>27.92</v>
      </c>
      <c r="F1033" t="s">
        <v>36</v>
      </c>
      <c r="G1033" s="10" t="str">
        <f>TEXT(Transform_Data[[#This Row],[Date]],"mmm yyyy")</f>
        <v>Jul 2024</v>
      </c>
      <c r="H1033" s="10">
        <f>HOUR(Transform_Data[[#This Row],[Time]])</f>
        <v>21</v>
      </c>
      <c r="I1033" s="10" t="str">
        <f>IF(COUNTIF('Transform Data'!$D:$D,'Transform Data'!D1033)&gt;1,"Repeat","Single")</f>
        <v>Repeat</v>
      </c>
      <c r="J1033" s="10" t="str">
        <f>IF('Transform Data'!D1033="Cash","Cash",IF(COUNTIF('Transform Data'!$D:$D,'Transform Data'!D1033)&gt;1,"Repeat","Single"))</f>
        <v>Repeat</v>
      </c>
      <c r="K1033" s="10" t="str">
        <f t="shared" si="16"/>
        <v>TRANS-1032</v>
      </c>
    </row>
    <row r="1034" spans="1:11" x14ac:dyDescent="0.35">
      <c r="A1034" s="5">
        <v>45497</v>
      </c>
      <c r="B1034" s="3">
        <v>0.88797453703703699</v>
      </c>
      <c r="C1034" t="s">
        <v>8</v>
      </c>
      <c r="D1034" t="s">
        <v>16</v>
      </c>
      <c r="E1034" s="4">
        <v>23.02</v>
      </c>
      <c r="F1034" t="s">
        <v>28</v>
      </c>
      <c r="G1034" s="10" t="str">
        <f>TEXT(Transform_Data[[#This Row],[Date]],"mmm yyyy")</f>
        <v>Jul 2024</v>
      </c>
      <c r="H1034" s="10">
        <f>HOUR(Transform_Data[[#This Row],[Time]])</f>
        <v>21</v>
      </c>
      <c r="I1034" s="10" t="str">
        <f>IF(COUNTIF('Transform Data'!$D:$D,'Transform Data'!D1034)&gt;1,"Repeat","Single")</f>
        <v>Repeat</v>
      </c>
      <c r="J1034" s="10" t="str">
        <f>IF('Transform Data'!D1034="Cash","Cash",IF(COUNTIF('Transform Data'!$D:$D,'Transform Data'!D1034)&gt;1,"Repeat","Single"))</f>
        <v>Repeat</v>
      </c>
      <c r="K1034" s="10" t="str">
        <f t="shared" si="16"/>
        <v>TRANS-1033</v>
      </c>
    </row>
    <row r="1035" spans="1:11" x14ac:dyDescent="0.35">
      <c r="A1035" s="5">
        <v>45497</v>
      </c>
      <c r="B1035" s="3">
        <v>0.89255787037037038</v>
      </c>
      <c r="C1035" t="s">
        <v>8</v>
      </c>
      <c r="D1035" t="s">
        <v>43</v>
      </c>
      <c r="E1035" s="4">
        <v>23.02</v>
      </c>
      <c r="F1035" t="s">
        <v>28</v>
      </c>
      <c r="G1035" s="10" t="str">
        <f>TEXT(Transform_Data[[#This Row],[Date]],"mmm yyyy")</f>
        <v>Jul 2024</v>
      </c>
      <c r="H1035" s="10">
        <f>HOUR(Transform_Data[[#This Row],[Time]])</f>
        <v>21</v>
      </c>
      <c r="I1035" s="10" t="str">
        <f>IF(COUNTIF('Transform Data'!$D:$D,'Transform Data'!D1035)&gt;1,"Repeat","Single")</f>
        <v>Repeat</v>
      </c>
      <c r="J1035" s="10" t="str">
        <f>IF('Transform Data'!D1035="Cash","Cash",IF(COUNTIF('Transform Data'!$D:$D,'Transform Data'!D1035)&gt;1,"Repeat","Single"))</f>
        <v>Repeat</v>
      </c>
      <c r="K1035" s="10" t="str">
        <f t="shared" si="16"/>
        <v>TRANS-1034</v>
      </c>
    </row>
    <row r="1036" spans="1:11" x14ac:dyDescent="0.35">
      <c r="A1036" s="5">
        <v>45498</v>
      </c>
      <c r="B1036" s="3">
        <v>0.32971064814814816</v>
      </c>
      <c r="C1036" t="s">
        <v>8</v>
      </c>
      <c r="D1036" t="s">
        <v>43</v>
      </c>
      <c r="E1036" s="4">
        <v>23.02</v>
      </c>
      <c r="F1036" t="s">
        <v>28</v>
      </c>
      <c r="G1036" s="10" t="str">
        <f>TEXT(Transform_Data[[#This Row],[Date]],"mmm yyyy")</f>
        <v>Jul 2024</v>
      </c>
      <c r="H1036" s="10">
        <f>HOUR(Transform_Data[[#This Row],[Time]])</f>
        <v>7</v>
      </c>
      <c r="I1036" s="10" t="str">
        <f>IF(COUNTIF('Transform Data'!$D:$D,'Transform Data'!D1036)&gt;1,"Repeat","Single")</f>
        <v>Repeat</v>
      </c>
      <c r="J1036" s="10" t="str">
        <f>IF('Transform Data'!D1036="Cash","Cash",IF(COUNTIF('Transform Data'!$D:$D,'Transform Data'!D1036)&gt;1,"Repeat","Single"))</f>
        <v>Repeat</v>
      </c>
      <c r="K1036" s="10" t="str">
        <f t="shared" si="16"/>
        <v>TRANS-1035</v>
      </c>
    </row>
    <row r="1037" spans="1:11" x14ac:dyDescent="0.35">
      <c r="A1037" s="5">
        <v>45498</v>
      </c>
      <c r="B1037" s="3">
        <v>0.36756944444444445</v>
      </c>
      <c r="C1037" t="s">
        <v>8</v>
      </c>
      <c r="D1037" t="s">
        <v>452</v>
      </c>
      <c r="E1037" s="4">
        <v>32.82</v>
      </c>
      <c r="F1037" t="s">
        <v>32</v>
      </c>
      <c r="G1037" s="10" t="str">
        <f>TEXT(Transform_Data[[#This Row],[Date]],"mmm yyyy")</f>
        <v>Jul 2024</v>
      </c>
      <c r="H1037" s="10">
        <f>HOUR(Transform_Data[[#This Row],[Time]])</f>
        <v>8</v>
      </c>
      <c r="I1037" s="10" t="str">
        <f>IF(COUNTIF('Transform Data'!$D:$D,'Transform Data'!D1037)&gt;1,"Repeat","Single")</f>
        <v>Repeat</v>
      </c>
      <c r="J1037" s="10" t="str">
        <f>IF('Transform Data'!D1037="Cash","Cash",IF(COUNTIF('Transform Data'!$D:$D,'Transform Data'!D1037)&gt;1,"Repeat","Single"))</f>
        <v>Repeat</v>
      </c>
      <c r="K1037" s="10" t="str">
        <f t="shared" si="16"/>
        <v>TRANS-1036</v>
      </c>
    </row>
    <row r="1038" spans="1:11" x14ac:dyDescent="0.35">
      <c r="A1038" s="5">
        <v>45498</v>
      </c>
      <c r="B1038" s="3">
        <v>0.43731481481481482</v>
      </c>
      <c r="C1038" t="s">
        <v>8</v>
      </c>
      <c r="D1038" t="s">
        <v>438</v>
      </c>
      <c r="E1038" s="4">
        <v>27.92</v>
      </c>
      <c r="F1038" t="s">
        <v>36</v>
      </c>
      <c r="G1038" s="10" t="str">
        <f>TEXT(Transform_Data[[#This Row],[Date]],"mmm yyyy")</f>
        <v>Jul 2024</v>
      </c>
      <c r="H1038" s="10">
        <f>HOUR(Transform_Data[[#This Row],[Time]])</f>
        <v>10</v>
      </c>
      <c r="I1038" s="10" t="str">
        <f>IF(COUNTIF('Transform Data'!$D:$D,'Transform Data'!D1038)&gt;1,"Repeat","Single")</f>
        <v>Repeat</v>
      </c>
      <c r="J1038" s="10" t="str">
        <f>IF('Transform Data'!D1038="Cash","Cash",IF(COUNTIF('Transform Data'!$D:$D,'Transform Data'!D1038)&gt;1,"Repeat","Single"))</f>
        <v>Repeat</v>
      </c>
      <c r="K1038" s="10" t="str">
        <f t="shared" si="16"/>
        <v>TRANS-1037</v>
      </c>
    </row>
    <row r="1039" spans="1:11" x14ac:dyDescent="0.35">
      <c r="A1039" s="5">
        <v>45498</v>
      </c>
      <c r="B1039" s="3">
        <v>0.47643518518518518</v>
      </c>
      <c r="C1039" t="s">
        <v>8</v>
      </c>
      <c r="D1039" t="s">
        <v>428</v>
      </c>
      <c r="E1039" s="4">
        <v>23.02</v>
      </c>
      <c r="F1039" t="s">
        <v>28</v>
      </c>
      <c r="G1039" s="10" t="str">
        <f>TEXT(Transform_Data[[#This Row],[Date]],"mmm yyyy")</f>
        <v>Jul 2024</v>
      </c>
      <c r="H1039" s="10">
        <f>HOUR(Transform_Data[[#This Row],[Time]])</f>
        <v>11</v>
      </c>
      <c r="I1039" s="10" t="str">
        <f>IF(COUNTIF('Transform Data'!$D:$D,'Transform Data'!D1039)&gt;1,"Repeat","Single")</f>
        <v>Repeat</v>
      </c>
      <c r="J1039" s="10" t="str">
        <f>IF('Transform Data'!D1039="Cash","Cash",IF(COUNTIF('Transform Data'!$D:$D,'Transform Data'!D1039)&gt;1,"Repeat","Single"))</f>
        <v>Repeat</v>
      </c>
      <c r="K1039" s="10" t="str">
        <f t="shared" si="16"/>
        <v>TRANS-1038</v>
      </c>
    </row>
    <row r="1040" spans="1:11" x14ac:dyDescent="0.35">
      <c r="A1040" s="5">
        <v>45498</v>
      </c>
      <c r="B1040" s="3">
        <v>0.6424305555555555</v>
      </c>
      <c r="C1040" t="s">
        <v>8</v>
      </c>
      <c r="D1040" t="s">
        <v>456</v>
      </c>
      <c r="E1040" s="4">
        <v>32.82</v>
      </c>
      <c r="F1040" t="s">
        <v>24</v>
      </c>
      <c r="G1040" s="10" t="str">
        <f>TEXT(Transform_Data[[#This Row],[Date]],"mmm yyyy")</f>
        <v>Jul 2024</v>
      </c>
      <c r="H1040" s="10">
        <f>HOUR(Transform_Data[[#This Row],[Time]])</f>
        <v>15</v>
      </c>
      <c r="I1040" s="10" t="str">
        <f>IF(COUNTIF('Transform Data'!$D:$D,'Transform Data'!D1040)&gt;1,"Repeat","Single")</f>
        <v>Single</v>
      </c>
      <c r="J1040" s="10" t="str">
        <f>IF('Transform Data'!D1040="Cash","Cash",IF(COUNTIF('Transform Data'!$D:$D,'Transform Data'!D1040)&gt;1,"Repeat","Single"))</f>
        <v>Single</v>
      </c>
      <c r="K1040" s="10" t="str">
        <f t="shared" si="16"/>
        <v>TRANS-1039</v>
      </c>
    </row>
    <row r="1041" spans="1:11" x14ac:dyDescent="0.35">
      <c r="A1041" s="5">
        <v>45498</v>
      </c>
      <c r="B1041" s="3">
        <v>0.80625000000000002</v>
      </c>
      <c r="C1041" t="s">
        <v>8</v>
      </c>
      <c r="D1041" t="s">
        <v>311</v>
      </c>
      <c r="E1041" s="4">
        <v>32.82</v>
      </c>
      <c r="F1041" t="s">
        <v>24</v>
      </c>
      <c r="G1041" s="10" t="str">
        <f>TEXT(Transform_Data[[#This Row],[Date]],"mmm yyyy")</f>
        <v>Jul 2024</v>
      </c>
      <c r="H1041" s="10">
        <f>HOUR(Transform_Data[[#This Row],[Time]])</f>
        <v>19</v>
      </c>
      <c r="I1041" s="10" t="str">
        <f>IF(COUNTIF('Transform Data'!$D:$D,'Transform Data'!D1041)&gt;1,"Repeat","Single")</f>
        <v>Repeat</v>
      </c>
      <c r="J1041" s="10" t="str">
        <f>IF('Transform Data'!D1041="Cash","Cash",IF(COUNTIF('Transform Data'!$D:$D,'Transform Data'!D1041)&gt;1,"Repeat","Single"))</f>
        <v>Repeat</v>
      </c>
      <c r="K1041" s="10" t="str">
        <f t="shared" si="16"/>
        <v>TRANS-1040</v>
      </c>
    </row>
    <row r="1042" spans="1:11" x14ac:dyDescent="0.35">
      <c r="A1042" s="5">
        <v>45498</v>
      </c>
      <c r="B1042" s="3">
        <v>0.87917824074074069</v>
      </c>
      <c r="C1042" t="s">
        <v>8</v>
      </c>
      <c r="D1042" t="s">
        <v>457</v>
      </c>
      <c r="E1042" s="4">
        <v>23.02</v>
      </c>
      <c r="F1042" t="s">
        <v>20</v>
      </c>
      <c r="G1042" s="10" t="str">
        <f>TEXT(Transform_Data[[#This Row],[Date]],"mmm yyyy")</f>
        <v>Jul 2024</v>
      </c>
      <c r="H1042" s="10">
        <f>HOUR(Transform_Data[[#This Row],[Time]])</f>
        <v>21</v>
      </c>
      <c r="I1042" s="10" t="str">
        <f>IF(COUNTIF('Transform Data'!$D:$D,'Transform Data'!D1042)&gt;1,"Repeat","Single")</f>
        <v>Repeat</v>
      </c>
      <c r="J1042" s="10" t="str">
        <f>IF('Transform Data'!D1042="Cash","Cash",IF(COUNTIF('Transform Data'!$D:$D,'Transform Data'!D1042)&gt;1,"Repeat","Single"))</f>
        <v>Repeat</v>
      </c>
      <c r="K1042" s="10" t="str">
        <f t="shared" si="16"/>
        <v>TRANS-1041</v>
      </c>
    </row>
    <row r="1043" spans="1:11" x14ac:dyDescent="0.35">
      <c r="A1043" s="5">
        <v>45498</v>
      </c>
      <c r="B1043" s="3">
        <v>0.87974537037037037</v>
      </c>
      <c r="C1043" t="s">
        <v>8</v>
      </c>
      <c r="D1043" t="s">
        <v>457</v>
      </c>
      <c r="E1043" s="4">
        <v>18.12</v>
      </c>
      <c r="F1043" t="s">
        <v>5</v>
      </c>
      <c r="G1043" s="10" t="str">
        <f>TEXT(Transform_Data[[#This Row],[Date]],"mmm yyyy")</f>
        <v>Jul 2024</v>
      </c>
      <c r="H1043" s="10">
        <f>HOUR(Transform_Data[[#This Row],[Time]])</f>
        <v>21</v>
      </c>
      <c r="I1043" s="10" t="str">
        <f>IF(COUNTIF('Transform Data'!$D:$D,'Transform Data'!D1043)&gt;1,"Repeat","Single")</f>
        <v>Repeat</v>
      </c>
      <c r="J1043" s="10" t="str">
        <f>IF('Transform Data'!D1043="Cash","Cash",IF(COUNTIF('Transform Data'!$D:$D,'Transform Data'!D1043)&gt;1,"Repeat","Single"))</f>
        <v>Repeat</v>
      </c>
      <c r="K1043" s="10" t="str">
        <f t="shared" si="16"/>
        <v>TRANS-1042</v>
      </c>
    </row>
    <row r="1044" spans="1:11" x14ac:dyDescent="0.35">
      <c r="A1044" s="5">
        <v>45498</v>
      </c>
      <c r="B1044" s="3">
        <v>0.94364583333333329</v>
      </c>
      <c r="C1044" t="s">
        <v>8</v>
      </c>
      <c r="D1044" t="s">
        <v>381</v>
      </c>
      <c r="E1044" s="4">
        <v>23.02</v>
      </c>
      <c r="F1044" t="s">
        <v>20</v>
      </c>
      <c r="G1044" s="10" t="str">
        <f>TEXT(Transform_Data[[#This Row],[Date]],"mmm yyyy")</f>
        <v>Jul 2024</v>
      </c>
      <c r="H1044" s="10">
        <f>HOUR(Transform_Data[[#This Row],[Time]])</f>
        <v>22</v>
      </c>
      <c r="I1044" s="10" t="str">
        <f>IF(COUNTIF('Transform Data'!$D:$D,'Transform Data'!D1044)&gt;1,"Repeat","Single")</f>
        <v>Repeat</v>
      </c>
      <c r="J1044" s="10" t="str">
        <f>IF('Transform Data'!D1044="Cash","Cash",IF(COUNTIF('Transform Data'!$D:$D,'Transform Data'!D1044)&gt;1,"Repeat","Single"))</f>
        <v>Repeat</v>
      </c>
      <c r="K1044" s="10" t="str">
        <f t="shared" si="16"/>
        <v>TRANS-1043</v>
      </c>
    </row>
    <row r="1045" spans="1:11" x14ac:dyDescent="0.35">
      <c r="A1045" s="5">
        <v>45498</v>
      </c>
      <c r="B1045" s="3">
        <v>0.94428240740740743</v>
      </c>
      <c r="C1045" t="s">
        <v>8</v>
      </c>
      <c r="D1045" t="s">
        <v>458</v>
      </c>
      <c r="E1045" s="4">
        <v>32.82</v>
      </c>
      <c r="F1045" t="s">
        <v>10</v>
      </c>
      <c r="G1045" s="10" t="str">
        <f>TEXT(Transform_Data[[#This Row],[Date]],"mmm yyyy")</f>
        <v>Jul 2024</v>
      </c>
      <c r="H1045" s="10">
        <f>HOUR(Transform_Data[[#This Row],[Time]])</f>
        <v>22</v>
      </c>
      <c r="I1045" s="10" t="str">
        <f>IF(COUNTIF('Transform Data'!$D:$D,'Transform Data'!D1045)&gt;1,"Repeat","Single")</f>
        <v>Single</v>
      </c>
      <c r="J1045" s="10" t="str">
        <f>IF('Transform Data'!D1045="Cash","Cash",IF(COUNTIF('Transform Data'!$D:$D,'Transform Data'!D1045)&gt;1,"Repeat","Single"))</f>
        <v>Single</v>
      </c>
      <c r="K1045" s="10" t="str">
        <f t="shared" si="16"/>
        <v>TRANS-1044</v>
      </c>
    </row>
    <row r="1046" spans="1:11" x14ac:dyDescent="0.35">
      <c r="A1046" s="5">
        <v>45499</v>
      </c>
      <c r="B1046" s="3">
        <v>0.35626157407407405</v>
      </c>
      <c r="C1046" t="s">
        <v>8</v>
      </c>
      <c r="D1046" t="s">
        <v>459</v>
      </c>
      <c r="E1046" s="4">
        <v>32.82</v>
      </c>
      <c r="F1046" t="s">
        <v>32</v>
      </c>
      <c r="G1046" s="10" t="str">
        <f>TEXT(Transform_Data[[#This Row],[Date]],"mmm yyyy")</f>
        <v>Jul 2024</v>
      </c>
      <c r="H1046" s="10">
        <f>HOUR(Transform_Data[[#This Row],[Time]])</f>
        <v>8</v>
      </c>
      <c r="I1046" s="10" t="str">
        <f>IF(COUNTIF('Transform Data'!$D:$D,'Transform Data'!D1046)&gt;1,"Repeat","Single")</f>
        <v>Repeat</v>
      </c>
      <c r="J1046" s="10" t="str">
        <f>IF('Transform Data'!D1046="Cash","Cash",IF(COUNTIF('Transform Data'!$D:$D,'Transform Data'!D1046)&gt;1,"Repeat","Single"))</f>
        <v>Repeat</v>
      </c>
      <c r="K1046" s="10" t="str">
        <f t="shared" si="16"/>
        <v>TRANS-1045</v>
      </c>
    </row>
    <row r="1047" spans="1:11" x14ac:dyDescent="0.35">
      <c r="A1047" s="5">
        <v>45499</v>
      </c>
      <c r="B1047" s="3">
        <v>0.38862268518518517</v>
      </c>
      <c r="C1047" t="s">
        <v>8</v>
      </c>
      <c r="D1047" t="s">
        <v>11</v>
      </c>
      <c r="E1047" s="4">
        <v>27.92</v>
      </c>
      <c r="F1047" t="s">
        <v>36</v>
      </c>
      <c r="G1047" s="10" t="str">
        <f>TEXT(Transform_Data[[#This Row],[Date]],"mmm yyyy")</f>
        <v>Jul 2024</v>
      </c>
      <c r="H1047" s="10">
        <f>HOUR(Transform_Data[[#This Row],[Time]])</f>
        <v>9</v>
      </c>
      <c r="I1047" s="10" t="str">
        <f>IF(COUNTIF('Transform Data'!$D:$D,'Transform Data'!D1047)&gt;1,"Repeat","Single")</f>
        <v>Repeat</v>
      </c>
      <c r="J1047" s="10" t="str">
        <f>IF('Transform Data'!D1047="Cash","Cash",IF(COUNTIF('Transform Data'!$D:$D,'Transform Data'!D1047)&gt;1,"Repeat","Single"))</f>
        <v>Repeat</v>
      </c>
      <c r="K1047" s="10" t="str">
        <f t="shared" si="16"/>
        <v>TRANS-1046</v>
      </c>
    </row>
    <row r="1048" spans="1:11" x14ac:dyDescent="0.35">
      <c r="A1048" s="5">
        <v>45499</v>
      </c>
      <c r="B1048" s="3">
        <v>0.38928240740740738</v>
      </c>
      <c r="C1048" t="s">
        <v>8</v>
      </c>
      <c r="D1048" t="s">
        <v>115</v>
      </c>
      <c r="E1048" s="4">
        <v>18.12</v>
      </c>
      <c r="F1048" t="s">
        <v>5</v>
      </c>
      <c r="G1048" s="10" t="str">
        <f>TEXT(Transform_Data[[#This Row],[Date]],"mmm yyyy")</f>
        <v>Jul 2024</v>
      </c>
      <c r="H1048" s="10">
        <f>HOUR(Transform_Data[[#This Row],[Time]])</f>
        <v>9</v>
      </c>
      <c r="I1048" s="10" t="str">
        <f>IF(COUNTIF('Transform Data'!$D:$D,'Transform Data'!D1048)&gt;1,"Repeat","Single")</f>
        <v>Repeat</v>
      </c>
      <c r="J1048" s="10" t="str">
        <f>IF('Transform Data'!D1048="Cash","Cash",IF(COUNTIF('Transform Data'!$D:$D,'Transform Data'!D1048)&gt;1,"Repeat","Single"))</f>
        <v>Repeat</v>
      </c>
      <c r="K1048" s="10" t="str">
        <f t="shared" si="16"/>
        <v>TRANS-1047</v>
      </c>
    </row>
    <row r="1049" spans="1:11" x14ac:dyDescent="0.35">
      <c r="A1049" s="5">
        <v>45499</v>
      </c>
      <c r="B1049" s="3">
        <v>0.39804398148148146</v>
      </c>
      <c r="C1049" t="s">
        <v>8</v>
      </c>
      <c r="D1049" t="s">
        <v>460</v>
      </c>
      <c r="E1049" s="4">
        <v>23.02</v>
      </c>
      <c r="F1049" t="s">
        <v>20</v>
      </c>
      <c r="G1049" s="10" t="str">
        <f>TEXT(Transform_Data[[#This Row],[Date]],"mmm yyyy")</f>
        <v>Jul 2024</v>
      </c>
      <c r="H1049" s="10">
        <f>HOUR(Transform_Data[[#This Row],[Time]])</f>
        <v>9</v>
      </c>
      <c r="I1049" s="10" t="str">
        <f>IF(COUNTIF('Transform Data'!$D:$D,'Transform Data'!D1049)&gt;1,"Repeat","Single")</f>
        <v>Repeat</v>
      </c>
      <c r="J1049" s="10" t="str">
        <f>IF('Transform Data'!D1049="Cash","Cash",IF(COUNTIF('Transform Data'!$D:$D,'Transform Data'!D1049)&gt;1,"Repeat","Single"))</f>
        <v>Repeat</v>
      </c>
      <c r="K1049" s="10" t="str">
        <f t="shared" si="16"/>
        <v>TRANS-1048</v>
      </c>
    </row>
    <row r="1050" spans="1:11" x14ac:dyDescent="0.35">
      <c r="A1050" s="5">
        <v>45499</v>
      </c>
      <c r="B1050" s="3">
        <v>0.39879629629629632</v>
      </c>
      <c r="C1050" t="s">
        <v>8</v>
      </c>
      <c r="D1050" t="s">
        <v>460</v>
      </c>
      <c r="E1050" s="4">
        <v>23.02</v>
      </c>
      <c r="F1050" t="s">
        <v>20</v>
      </c>
      <c r="G1050" s="10" t="str">
        <f>TEXT(Transform_Data[[#This Row],[Date]],"mmm yyyy")</f>
        <v>Jul 2024</v>
      </c>
      <c r="H1050" s="10">
        <f>HOUR(Transform_Data[[#This Row],[Time]])</f>
        <v>9</v>
      </c>
      <c r="I1050" s="10" t="str">
        <f>IF(COUNTIF('Transform Data'!$D:$D,'Transform Data'!D1050)&gt;1,"Repeat","Single")</f>
        <v>Repeat</v>
      </c>
      <c r="J1050" s="10" t="str">
        <f>IF('Transform Data'!D1050="Cash","Cash",IF(COUNTIF('Transform Data'!$D:$D,'Transform Data'!D1050)&gt;1,"Repeat","Single"))</f>
        <v>Repeat</v>
      </c>
      <c r="K1050" s="10" t="str">
        <f t="shared" si="16"/>
        <v>TRANS-1049</v>
      </c>
    </row>
    <row r="1051" spans="1:11" x14ac:dyDescent="0.35">
      <c r="A1051" s="5">
        <v>45499</v>
      </c>
      <c r="B1051" s="3">
        <v>0.41605324074074074</v>
      </c>
      <c r="C1051" t="s">
        <v>8</v>
      </c>
      <c r="D1051" t="s">
        <v>461</v>
      </c>
      <c r="E1051" s="4">
        <v>32.82</v>
      </c>
      <c r="F1051" t="s">
        <v>32</v>
      </c>
      <c r="G1051" s="10" t="str">
        <f>TEXT(Transform_Data[[#This Row],[Date]],"mmm yyyy")</f>
        <v>Jul 2024</v>
      </c>
      <c r="H1051" s="10">
        <f>HOUR(Transform_Data[[#This Row],[Time]])</f>
        <v>9</v>
      </c>
      <c r="I1051" s="10" t="str">
        <f>IF(COUNTIF('Transform Data'!$D:$D,'Transform Data'!D1051)&gt;1,"Repeat","Single")</f>
        <v>Repeat</v>
      </c>
      <c r="J1051" s="10" t="str">
        <f>IF('Transform Data'!D1051="Cash","Cash",IF(COUNTIF('Transform Data'!$D:$D,'Transform Data'!D1051)&gt;1,"Repeat","Single"))</f>
        <v>Repeat</v>
      </c>
      <c r="K1051" s="10" t="str">
        <f t="shared" si="16"/>
        <v>TRANS-1050</v>
      </c>
    </row>
    <row r="1052" spans="1:11" x14ac:dyDescent="0.35">
      <c r="A1052" s="5">
        <v>45499</v>
      </c>
      <c r="B1052" s="3">
        <v>0.41668981481481482</v>
      </c>
      <c r="C1052" t="s">
        <v>8</v>
      </c>
      <c r="D1052" t="s">
        <v>461</v>
      </c>
      <c r="E1052" s="4">
        <v>32.82</v>
      </c>
      <c r="F1052" t="s">
        <v>32</v>
      </c>
      <c r="G1052" s="10" t="str">
        <f>TEXT(Transform_Data[[#This Row],[Date]],"mmm yyyy")</f>
        <v>Jul 2024</v>
      </c>
      <c r="H1052" s="10">
        <f>HOUR(Transform_Data[[#This Row],[Time]])</f>
        <v>10</v>
      </c>
      <c r="I1052" s="10" t="str">
        <f>IF(COUNTIF('Transform Data'!$D:$D,'Transform Data'!D1052)&gt;1,"Repeat","Single")</f>
        <v>Repeat</v>
      </c>
      <c r="J1052" s="10" t="str">
        <f>IF('Transform Data'!D1052="Cash","Cash",IF(COUNTIF('Transform Data'!$D:$D,'Transform Data'!D1052)&gt;1,"Repeat","Single"))</f>
        <v>Repeat</v>
      </c>
      <c r="K1052" s="10" t="str">
        <f t="shared" si="16"/>
        <v>TRANS-1051</v>
      </c>
    </row>
    <row r="1053" spans="1:11" x14ac:dyDescent="0.35">
      <c r="A1053" s="5">
        <v>45499</v>
      </c>
      <c r="B1053" s="3">
        <v>0.4911226851851852</v>
      </c>
      <c r="C1053" t="s">
        <v>8</v>
      </c>
      <c r="D1053" t="s">
        <v>438</v>
      </c>
      <c r="E1053" s="4">
        <v>27.92</v>
      </c>
      <c r="F1053" t="s">
        <v>36</v>
      </c>
      <c r="G1053" s="10" t="str">
        <f>TEXT(Transform_Data[[#This Row],[Date]],"mmm yyyy")</f>
        <v>Jul 2024</v>
      </c>
      <c r="H1053" s="10">
        <f>HOUR(Transform_Data[[#This Row],[Time]])</f>
        <v>11</v>
      </c>
      <c r="I1053" s="10" t="str">
        <f>IF(COUNTIF('Transform Data'!$D:$D,'Transform Data'!D1053)&gt;1,"Repeat","Single")</f>
        <v>Repeat</v>
      </c>
      <c r="J1053" s="10" t="str">
        <f>IF('Transform Data'!D1053="Cash","Cash",IF(COUNTIF('Transform Data'!$D:$D,'Transform Data'!D1053)&gt;1,"Repeat","Single"))</f>
        <v>Repeat</v>
      </c>
      <c r="K1053" s="10" t="str">
        <f t="shared" si="16"/>
        <v>TRANS-1052</v>
      </c>
    </row>
    <row r="1054" spans="1:11" x14ac:dyDescent="0.35">
      <c r="A1054" s="5">
        <v>45499</v>
      </c>
      <c r="B1054" s="3">
        <v>0.50487268518518513</v>
      </c>
      <c r="C1054" t="s">
        <v>8</v>
      </c>
      <c r="D1054" t="s">
        <v>432</v>
      </c>
      <c r="E1054" s="4">
        <v>27.92</v>
      </c>
      <c r="F1054" t="s">
        <v>36</v>
      </c>
      <c r="G1054" s="10" t="str">
        <f>TEXT(Transform_Data[[#This Row],[Date]],"mmm yyyy")</f>
        <v>Jul 2024</v>
      </c>
      <c r="H1054" s="10">
        <f>HOUR(Transform_Data[[#This Row],[Time]])</f>
        <v>12</v>
      </c>
      <c r="I1054" s="10" t="str">
        <f>IF(COUNTIF('Transform Data'!$D:$D,'Transform Data'!D1054)&gt;1,"Repeat","Single")</f>
        <v>Repeat</v>
      </c>
      <c r="J1054" s="10" t="str">
        <f>IF('Transform Data'!D1054="Cash","Cash",IF(COUNTIF('Transform Data'!$D:$D,'Transform Data'!D1054)&gt;1,"Repeat","Single"))</f>
        <v>Repeat</v>
      </c>
      <c r="K1054" s="10" t="str">
        <f t="shared" si="16"/>
        <v>TRANS-1053</v>
      </c>
    </row>
    <row r="1055" spans="1:11" x14ac:dyDescent="0.35">
      <c r="A1055" s="5">
        <v>45499</v>
      </c>
      <c r="B1055" s="3">
        <v>0.51953703703703702</v>
      </c>
      <c r="C1055" t="s">
        <v>8</v>
      </c>
      <c r="D1055" t="s">
        <v>392</v>
      </c>
      <c r="E1055" s="4">
        <v>32.82</v>
      </c>
      <c r="F1055" t="s">
        <v>24</v>
      </c>
      <c r="G1055" s="10" t="str">
        <f>TEXT(Transform_Data[[#This Row],[Date]],"mmm yyyy")</f>
        <v>Jul 2024</v>
      </c>
      <c r="H1055" s="10">
        <f>HOUR(Transform_Data[[#This Row],[Time]])</f>
        <v>12</v>
      </c>
      <c r="I1055" s="10" t="str">
        <f>IF(COUNTIF('Transform Data'!$D:$D,'Transform Data'!D1055)&gt;1,"Repeat","Single")</f>
        <v>Repeat</v>
      </c>
      <c r="J1055" s="10" t="str">
        <f>IF('Transform Data'!D1055="Cash","Cash",IF(COUNTIF('Transform Data'!$D:$D,'Transform Data'!D1055)&gt;1,"Repeat","Single"))</f>
        <v>Repeat</v>
      </c>
      <c r="K1055" s="10" t="str">
        <f t="shared" si="16"/>
        <v>TRANS-1054</v>
      </c>
    </row>
    <row r="1056" spans="1:11" x14ac:dyDescent="0.35">
      <c r="A1056" s="5">
        <v>45499</v>
      </c>
      <c r="B1056" s="3">
        <v>0.52033564814814814</v>
      </c>
      <c r="C1056" t="s">
        <v>8</v>
      </c>
      <c r="D1056" t="s">
        <v>392</v>
      </c>
      <c r="E1056" s="4">
        <v>32.82</v>
      </c>
      <c r="F1056" t="s">
        <v>24</v>
      </c>
      <c r="G1056" s="10" t="str">
        <f>TEXT(Transform_Data[[#This Row],[Date]],"mmm yyyy")</f>
        <v>Jul 2024</v>
      </c>
      <c r="H1056" s="10">
        <f>HOUR(Transform_Data[[#This Row],[Time]])</f>
        <v>12</v>
      </c>
      <c r="I1056" s="10" t="str">
        <f>IF(COUNTIF('Transform Data'!$D:$D,'Transform Data'!D1056)&gt;1,"Repeat","Single")</f>
        <v>Repeat</v>
      </c>
      <c r="J1056" s="10" t="str">
        <f>IF('Transform Data'!D1056="Cash","Cash",IF(COUNTIF('Transform Data'!$D:$D,'Transform Data'!D1056)&gt;1,"Repeat","Single"))</f>
        <v>Repeat</v>
      </c>
      <c r="K1056" s="10" t="str">
        <f t="shared" si="16"/>
        <v>TRANS-1055</v>
      </c>
    </row>
    <row r="1057" spans="1:11" x14ac:dyDescent="0.35">
      <c r="A1057" s="5">
        <v>45499</v>
      </c>
      <c r="B1057" s="3">
        <v>0.54856481481481478</v>
      </c>
      <c r="C1057" t="s">
        <v>8</v>
      </c>
      <c r="D1057" t="s">
        <v>462</v>
      </c>
      <c r="E1057" s="4">
        <v>32.82</v>
      </c>
      <c r="F1057" t="s">
        <v>32</v>
      </c>
      <c r="G1057" s="10" t="str">
        <f>TEXT(Transform_Data[[#This Row],[Date]],"mmm yyyy")</f>
        <v>Jul 2024</v>
      </c>
      <c r="H1057" s="10">
        <f>HOUR(Transform_Data[[#This Row],[Time]])</f>
        <v>13</v>
      </c>
      <c r="I1057" s="10" t="str">
        <f>IF(COUNTIF('Transform Data'!$D:$D,'Transform Data'!D1057)&gt;1,"Repeat","Single")</f>
        <v>Repeat</v>
      </c>
      <c r="J1057" s="10" t="str">
        <f>IF('Transform Data'!D1057="Cash","Cash",IF(COUNTIF('Transform Data'!$D:$D,'Transform Data'!D1057)&gt;1,"Repeat","Single"))</f>
        <v>Repeat</v>
      </c>
      <c r="K1057" s="10" t="str">
        <f t="shared" si="16"/>
        <v>TRANS-1056</v>
      </c>
    </row>
    <row r="1058" spans="1:11" x14ac:dyDescent="0.35">
      <c r="A1058" s="5">
        <v>45499</v>
      </c>
      <c r="B1058" s="3">
        <v>0.72464120370370366</v>
      </c>
      <c r="C1058" t="s">
        <v>8</v>
      </c>
      <c r="D1058" t="s">
        <v>463</v>
      </c>
      <c r="E1058" s="4">
        <v>23.02</v>
      </c>
      <c r="F1058" t="s">
        <v>28</v>
      </c>
      <c r="G1058" s="10" t="str">
        <f>TEXT(Transform_Data[[#This Row],[Date]],"mmm yyyy")</f>
        <v>Jul 2024</v>
      </c>
      <c r="H1058" s="10">
        <f>HOUR(Transform_Data[[#This Row],[Time]])</f>
        <v>17</v>
      </c>
      <c r="I1058" s="10" t="str">
        <f>IF(COUNTIF('Transform Data'!$D:$D,'Transform Data'!D1058)&gt;1,"Repeat","Single")</f>
        <v>Single</v>
      </c>
      <c r="J1058" s="10" t="str">
        <f>IF('Transform Data'!D1058="Cash","Cash",IF(COUNTIF('Transform Data'!$D:$D,'Transform Data'!D1058)&gt;1,"Repeat","Single"))</f>
        <v>Single</v>
      </c>
      <c r="K1058" s="10" t="str">
        <f t="shared" si="16"/>
        <v>TRANS-1057</v>
      </c>
    </row>
    <row r="1059" spans="1:11" x14ac:dyDescent="0.35">
      <c r="A1059" s="5">
        <v>45499</v>
      </c>
      <c r="B1059" s="3">
        <v>0.74894675925925924</v>
      </c>
      <c r="C1059" t="s">
        <v>8</v>
      </c>
      <c r="D1059" t="s">
        <v>464</v>
      </c>
      <c r="E1059" s="4">
        <v>32.82</v>
      </c>
      <c r="F1059" t="s">
        <v>24</v>
      </c>
      <c r="G1059" s="10" t="str">
        <f>TEXT(Transform_Data[[#This Row],[Date]],"mmm yyyy")</f>
        <v>Jul 2024</v>
      </c>
      <c r="H1059" s="10">
        <f>HOUR(Transform_Data[[#This Row],[Time]])</f>
        <v>17</v>
      </c>
      <c r="I1059" s="10" t="str">
        <f>IF(COUNTIF('Transform Data'!$D:$D,'Transform Data'!D1059)&gt;1,"Repeat","Single")</f>
        <v>Single</v>
      </c>
      <c r="J1059" s="10" t="str">
        <f>IF('Transform Data'!D1059="Cash","Cash",IF(COUNTIF('Transform Data'!$D:$D,'Transform Data'!D1059)&gt;1,"Repeat","Single"))</f>
        <v>Single</v>
      </c>
      <c r="K1059" s="10" t="str">
        <f t="shared" si="16"/>
        <v>TRANS-1058</v>
      </c>
    </row>
    <row r="1060" spans="1:11" x14ac:dyDescent="0.35">
      <c r="A1060" s="5">
        <v>45499</v>
      </c>
      <c r="B1060" s="3">
        <v>0.88552083333333331</v>
      </c>
      <c r="C1060" t="s">
        <v>8</v>
      </c>
      <c r="D1060" t="s">
        <v>25</v>
      </c>
      <c r="E1060" s="4">
        <v>32.82</v>
      </c>
      <c r="F1060" t="s">
        <v>32</v>
      </c>
      <c r="G1060" s="10" t="str">
        <f>TEXT(Transform_Data[[#This Row],[Date]],"mmm yyyy")</f>
        <v>Jul 2024</v>
      </c>
      <c r="H1060" s="10">
        <f>HOUR(Transform_Data[[#This Row],[Time]])</f>
        <v>21</v>
      </c>
      <c r="I1060" s="10" t="str">
        <f>IF(COUNTIF('Transform Data'!$D:$D,'Transform Data'!D1060)&gt;1,"Repeat","Single")</f>
        <v>Repeat</v>
      </c>
      <c r="J1060" s="10" t="str">
        <f>IF('Transform Data'!D1060="Cash","Cash",IF(COUNTIF('Transform Data'!$D:$D,'Transform Data'!D1060)&gt;1,"Repeat","Single"))</f>
        <v>Repeat</v>
      </c>
      <c r="K1060" s="10" t="str">
        <f t="shared" si="16"/>
        <v>TRANS-1059</v>
      </c>
    </row>
    <row r="1061" spans="1:11" x14ac:dyDescent="0.35">
      <c r="A1061" s="5">
        <v>45499</v>
      </c>
      <c r="B1061" s="3">
        <v>0.95129629629629631</v>
      </c>
      <c r="C1061" t="s">
        <v>8</v>
      </c>
      <c r="D1061" t="s">
        <v>465</v>
      </c>
      <c r="E1061" s="4">
        <v>27.92</v>
      </c>
      <c r="F1061" t="s">
        <v>36</v>
      </c>
      <c r="G1061" s="10" t="str">
        <f>TEXT(Transform_Data[[#This Row],[Date]],"mmm yyyy")</f>
        <v>Jul 2024</v>
      </c>
      <c r="H1061" s="10">
        <f>HOUR(Transform_Data[[#This Row],[Time]])</f>
        <v>22</v>
      </c>
      <c r="I1061" s="10" t="str">
        <f>IF(COUNTIF('Transform Data'!$D:$D,'Transform Data'!D1061)&gt;1,"Repeat","Single")</f>
        <v>Single</v>
      </c>
      <c r="J1061" s="10" t="str">
        <f>IF('Transform Data'!D1061="Cash","Cash",IF(COUNTIF('Transform Data'!$D:$D,'Transform Data'!D1061)&gt;1,"Repeat","Single"))</f>
        <v>Single</v>
      </c>
      <c r="K1061" s="10" t="str">
        <f t="shared" si="16"/>
        <v>TRANS-1060</v>
      </c>
    </row>
    <row r="1062" spans="1:11" x14ac:dyDescent="0.35">
      <c r="A1062" s="5">
        <v>45500</v>
      </c>
      <c r="B1062" s="3">
        <v>0.38143518518518521</v>
      </c>
      <c r="C1062" t="s">
        <v>8</v>
      </c>
      <c r="D1062" t="s">
        <v>11</v>
      </c>
      <c r="E1062" s="4">
        <v>32.82</v>
      </c>
      <c r="F1062" t="s">
        <v>24</v>
      </c>
      <c r="G1062" s="10" t="str">
        <f>TEXT(Transform_Data[[#This Row],[Date]],"mmm yyyy")</f>
        <v>Jul 2024</v>
      </c>
      <c r="H1062" s="10">
        <f>HOUR(Transform_Data[[#This Row],[Time]])</f>
        <v>9</v>
      </c>
      <c r="I1062" s="10" t="str">
        <f>IF(COUNTIF('Transform Data'!$D:$D,'Transform Data'!D1062)&gt;1,"Repeat","Single")</f>
        <v>Repeat</v>
      </c>
      <c r="J1062" s="10" t="str">
        <f>IF('Transform Data'!D1062="Cash","Cash",IF(COUNTIF('Transform Data'!$D:$D,'Transform Data'!D1062)&gt;1,"Repeat","Single"))</f>
        <v>Repeat</v>
      </c>
      <c r="K1062" s="10" t="str">
        <f t="shared" si="16"/>
        <v>TRANS-1061</v>
      </c>
    </row>
    <row r="1063" spans="1:11" x14ac:dyDescent="0.35">
      <c r="A1063" s="5">
        <v>45500</v>
      </c>
      <c r="B1063" s="3">
        <v>0.49688657407407405</v>
      </c>
      <c r="C1063" t="s">
        <v>8</v>
      </c>
      <c r="D1063" t="s">
        <v>466</v>
      </c>
      <c r="E1063" s="4">
        <v>27.92</v>
      </c>
      <c r="F1063" t="s">
        <v>36</v>
      </c>
      <c r="G1063" s="10" t="str">
        <f>TEXT(Transform_Data[[#This Row],[Date]],"mmm yyyy")</f>
        <v>Jul 2024</v>
      </c>
      <c r="H1063" s="10">
        <f>HOUR(Transform_Data[[#This Row],[Time]])</f>
        <v>11</v>
      </c>
      <c r="I1063" s="10" t="str">
        <f>IF(COUNTIF('Transform Data'!$D:$D,'Transform Data'!D1063)&gt;1,"Repeat","Single")</f>
        <v>Single</v>
      </c>
      <c r="J1063" s="10" t="str">
        <f>IF('Transform Data'!D1063="Cash","Cash",IF(COUNTIF('Transform Data'!$D:$D,'Transform Data'!D1063)&gt;1,"Repeat","Single"))</f>
        <v>Single</v>
      </c>
      <c r="K1063" s="10" t="str">
        <f t="shared" si="16"/>
        <v>TRANS-1062</v>
      </c>
    </row>
    <row r="1064" spans="1:11" x14ac:dyDescent="0.35">
      <c r="A1064" s="5">
        <v>45500</v>
      </c>
      <c r="B1064" s="3">
        <v>0.51747685185185188</v>
      </c>
      <c r="C1064" t="s">
        <v>8</v>
      </c>
      <c r="D1064" t="s">
        <v>115</v>
      </c>
      <c r="E1064" s="4">
        <v>27.92</v>
      </c>
      <c r="F1064" t="s">
        <v>36</v>
      </c>
      <c r="G1064" s="10" t="str">
        <f>TEXT(Transform_Data[[#This Row],[Date]],"mmm yyyy")</f>
        <v>Jul 2024</v>
      </c>
      <c r="H1064" s="10">
        <f>HOUR(Transform_Data[[#This Row],[Time]])</f>
        <v>12</v>
      </c>
      <c r="I1064" s="10" t="str">
        <f>IF(COUNTIF('Transform Data'!$D:$D,'Transform Data'!D1064)&gt;1,"Repeat","Single")</f>
        <v>Repeat</v>
      </c>
      <c r="J1064" s="10" t="str">
        <f>IF('Transform Data'!D1064="Cash","Cash",IF(COUNTIF('Transform Data'!$D:$D,'Transform Data'!D1064)&gt;1,"Repeat","Single"))</f>
        <v>Repeat</v>
      </c>
      <c r="K1064" s="10" t="str">
        <f t="shared" si="16"/>
        <v>TRANS-1063</v>
      </c>
    </row>
    <row r="1065" spans="1:11" x14ac:dyDescent="0.35">
      <c r="A1065" s="5">
        <v>45500</v>
      </c>
      <c r="B1065" s="3">
        <v>0.51820601851851855</v>
      </c>
      <c r="C1065" t="s">
        <v>8</v>
      </c>
      <c r="D1065" t="s">
        <v>16</v>
      </c>
      <c r="E1065" s="4">
        <v>18.12</v>
      </c>
      <c r="F1065" t="s">
        <v>5</v>
      </c>
      <c r="G1065" s="10" t="str">
        <f>TEXT(Transform_Data[[#This Row],[Date]],"mmm yyyy")</f>
        <v>Jul 2024</v>
      </c>
      <c r="H1065" s="10">
        <f>HOUR(Transform_Data[[#This Row],[Time]])</f>
        <v>12</v>
      </c>
      <c r="I1065" s="10" t="str">
        <f>IF(COUNTIF('Transform Data'!$D:$D,'Transform Data'!D1065)&gt;1,"Repeat","Single")</f>
        <v>Repeat</v>
      </c>
      <c r="J1065" s="10" t="str">
        <f>IF('Transform Data'!D1065="Cash","Cash",IF(COUNTIF('Transform Data'!$D:$D,'Transform Data'!D1065)&gt;1,"Repeat","Single"))</f>
        <v>Repeat</v>
      </c>
      <c r="K1065" s="10" t="str">
        <f t="shared" si="16"/>
        <v>TRANS-1064</v>
      </c>
    </row>
    <row r="1066" spans="1:11" x14ac:dyDescent="0.35">
      <c r="A1066" s="5">
        <v>45500</v>
      </c>
      <c r="B1066" s="3">
        <v>0.52318287037037037</v>
      </c>
      <c r="C1066" t="s">
        <v>8</v>
      </c>
      <c r="D1066" t="s">
        <v>115</v>
      </c>
      <c r="E1066" s="4">
        <v>27.92</v>
      </c>
      <c r="F1066" t="s">
        <v>36</v>
      </c>
      <c r="G1066" s="10" t="str">
        <f>TEXT(Transform_Data[[#This Row],[Date]],"mmm yyyy")</f>
        <v>Jul 2024</v>
      </c>
      <c r="H1066" s="10">
        <f>HOUR(Transform_Data[[#This Row],[Time]])</f>
        <v>12</v>
      </c>
      <c r="I1066" s="10" t="str">
        <f>IF(COUNTIF('Transform Data'!$D:$D,'Transform Data'!D1066)&gt;1,"Repeat","Single")</f>
        <v>Repeat</v>
      </c>
      <c r="J1066" s="10" t="str">
        <f>IF('Transform Data'!D1066="Cash","Cash",IF(COUNTIF('Transform Data'!$D:$D,'Transform Data'!D1066)&gt;1,"Repeat","Single"))</f>
        <v>Repeat</v>
      </c>
      <c r="K1066" s="10" t="str">
        <f t="shared" si="16"/>
        <v>TRANS-1065</v>
      </c>
    </row>
    <row r="1067" spans="1:11" x14ac:dyDescent="0.35">
      <c r="A1067" s="5">
        <v>45500</v>
      </c>
      <c r="B1067" s="3">
        <v>0.60325231481481478</v>
      </c>
      <c r="C1067" t="s">
        <v>8</v>
      </c>
      <c r="D1067" t="s">
        <v>279</v>
      </c>
      <c r="E1067" s="4">
        <v>18.12</v>
      </c>
      <c r="F1067" t="s">
        <v>5</v>
      </c>
      <c r="G1067" s="10" t="str">
        <f>TEXT(Transform_Data[[#This Row],[Date]],"mmm yyyy")</f>
        <v>Jul 2024</v>
      </c>
      <c r="H1067" s="10">
        <f>HOUR(Transform_Data[[#This Row],[Time]])</f>
        <v>14</v>
      </c>
      <c r="I1067" s="10" t="str">
        <f>IF(COUNTIF('Transform Data'!$D:$D,'Transform Data'!D1067)&gt;1,"Repeat","Single")</f>
        <v>Repeat</v>
      </c>
      <c r="J1067" s="10" t="str">
        <f>IF('Transform Data'!D1067="Cash","Cash",IF(COUNTIF('Transform Data'!$D:$D,'Transform Data'!D1067)&gt;1,"Repeat","Single"))</f>
        <v>Repeat</v>
      </c>
      <c r="K1067" s="10" t="str">
        <f t="shared" si="16"/>
        <v>TRANS-1066</v>
      </c>
    </row>
    <row r="1068" spans="1:11" x14ac:dyDescent="0.35">
      <c r="A1068" s="5">
        <v>45500</v>
      </c>
      <c r="B1068" s="3">
        <v>0.61936342592592597</v>
      </c>
      <c r="C1068" t="s">
        <v>8</v>
      </c>
      <c r="D1068" t="s">
        <v>133</v>
      </c>
      <c r="E1068" s="4">
        <v>32.82</v>
      </c>
      <c r="F1068" t="s">
        <v>32</v>
      </c>
      <c r="G1068" s="10" t="str">
        <f>TEXT(Transform_Data[[#This Row],[Date]],"mmm yyyy")</f>
        <v>Jul 2024</v>
      </c>
      <c r="H1068" s="10">
        <f>HOUR(Transform_Data[[#This Row],[Time]])</f>
        <v>14</v>
      </c>
      <c r="I1068" s="10" t="str">
        <f>IF(COUNTIF('Transform Data'!$D:$D,'Transform Data'!D1068)&gt;1,"Repeat","Single")</f>
        <v>Repeat</v>
      </c>
      <c r="J1068" s="10" t="str">
        <f>IF('Transform Data'!D1068="Cash","Cash",IF(COUNTIF('Transform Data'!$D:$D,'Transform Data'!D1068)&gt;1,"Repeat","Single"))</f>
        <v>Repeat</v>
      </c>
      <c r="K1068" s="10" t="str">
        <f t="shared" si="16"/>
        <v>TRANS-1067</v>
      </c>
    </row>
    <row r="1069" spans="1:11" x14ac:dyDescent="0.35">
      <c r="A1069" s="5">
        <v>45500</v>
      </c>
      <c r="B1069" s="3">
        <v>0.71010416666666665</v>
      </c>
      <c r="C1069" t="s">
        <v>8</v>
      </c>
      <c r="D1069" t="s">
        <v>467</v>
      </c>
      <c r="E1069" s="4">
        <v>32.82</v>
      </c>
      <c r="F1069" t="s">
        <v>24</v>
      </c>
      <c r="G1069" s="10" t="str">
        <f>TEXT(Transform_Data[[#This Row],[Date]],"mmm yyyy")</f>
        <v>Jul 2024</v>
      </c>
      <c r="H1069" s="10">
        <f>HOUR(Transform_Data[[#This Row],[Time]])</f>
        <v>17</v>
      </c>
      <c r="I1069" s="10" t="str">
        <f>IF(COUNTIF('Transform Data'!$D:$D,'Transform Data'!D1069)&gt;1,"Repeat","Single")</f>
        <v>Repeat</v>
      </c>
      <c r="J1069" s="10" t="str">
        <f>IF('Transform Data'!D1069="Cash","Cash",IF(COUNTIF('Transform Data'!$D:$D,'Transform Data'!D1069)&gt;1,"Repeat","Single"))</f>
        <v>Repeat</v>
      </c>
      <c r="K1069" s="10" t="str">
        <f t="shared" si="16"/>
        <v>TRANS-1068</v>
      </c>
    </row>
    <row r="1070" spans="1:11" x14ac:dyDescent="0.35">
      <c r="A1070" s="5">
        <v>45500</v>
      </c>
      <c r="B1070" s="3">
        <v>0.71086805555555554</v>
      </c>
      <c r="C1070" t="s">
        <v>8</v>
      </c>
      <c r="D1070" t="s">
        <v>468</v>
      </c>
      <c r="E1070" s="4">
        <v>32.82</v>
      </c>
      <c r="F1070" t="s">
        <v>24</v>
      </c>
      <c r="G1070" s="10" t="str">
        <f>TEXT(Transform_Data[[#This Row],[Date]],"mmm yyyy")</f>
        <v>Jul 2024</v>
      </c>
      <c r="H1070" s="10">
        <f>HOUR(Transform_Data[[#This Row],[Time]])</f>
        <v>17</v>
      </c>
      <c r="I1070" s="10" t="str">
        <f>IF(COUNTIF('Transform Data'!$D:$D,'Transform Data'!D1070)&gt;1,"Repeat","Single")</f>
        <v>Single</v>
      </c>
      <c r="J1070" s="10" t="str">
        <f>IF('Transform Data'!D1070="Cash","Cash",IF(COUNTIF('Transform Data'!$D:$D,'Transform Data'!D1070)&gt;1,"Repeat","Single"))</f>
        <v>Single</v>
      </c>
      <c r="K1070" s="10" t="str">
        <f t="shared" si="16"/>
        <v>TRANS-1069</v>
      </c>
    </row>
    <row r="1071" spans="1:11" x14ac:dyDescent="0.35">
      <c r="A1071" s="5">
        <v>45500</v>
      </c>
      <c r="B1071" s="3">
        <v>0.71458333333333335</v>
      </c>
      <c r="C1071" t="s">
        <v>8</v>
      </c>
      <c r="D1071" t="s">
        <v>469</v>
      </c>
      <c r="E1071" s="4">
        <v>27.92</v>
      </c>
      <c r="F1071" t="s">
        <v>36</v>
      </c>
      <c r="G1071" s="10" t="str">
        <f>TEXT(Transform_Data[[#This Row],[Date]],"mmm yyyy")</f>
        <v>Jul 2024</v>
      </c>
      <c r="H1071" s="10">
        <f>HOUR(Transform_Data[[#This Row],[Time]])</f>
        <v>17</v>
      </c>
      <c r="I1071" s="10" t="str">
        <f>IF(COUNTIF('Transform Data'!$D:$D,'Transform Data'!D1071)&gt;1,"Repeat","Single")</f>
        <v>Repeat</v>
      </c>
      <c r="J1071" s="10" t="str">
        <f>IF('Transform Data'!D1071="Cash","Cash",IF(COUNTIF('Transform Data'!$D:$D,'Transform Data'!D1071)&gt;1,"Repeat","Single"))</f>
        <v>Repeat</v>
      </c>
      <c r="K1071" s="10" t="str">
        <f t="shared" si="16"/>
        <v>TRANS-1070</v>
      </c>
    </row>
    <row r="1072" spans="1:11" x14ac:dyDescent="0.35">
      <c r="A1072" s="5">
        <v>45500</v>
      </c>
      <c r="B1072" s="3">
        <v>0.71537037037037032</v>
      </c>
      <c r="C1072" t="s">
        <v>8</v>
      </c>
      <c r="D1072" t="s">
        <v>469</v>
      </c>
      <c r="E1072" s="4">
        <v>27.92</v>
      </c>
      <c r="F1072" t="s">
        <v>36</v>
      </c>
      <c r="G1072" s="10" t="str">
        <f>TEXT(Transform_Data[[#This Row],[Date]],"mmm yyyy")</f>
        <v>Jul 2024</v>
      </c>
      <c r="H1072" s="10">
        <f>HOUR(Transform_Data[[#This Row],[Time]])</f>
        <v>17</v>
      </c>
      <c r="I1072" s="10" t="str">
        <f>IF(COUNTIF('Transform Data'!$D:$D,'Transform Data'!D1072)&gt;1,"Repeat","Single")</f>
        <v>Repeat</v>
      </c>
      <c r="J1072" s="10" t="str">
        <f>IF('Transform Data'!D1072="Cash","Cash",IF(COUNTIF('Transform Data'!$D:$D,'Transform Data'!D1072)&gt;1,"Repeat","Single"))</f>
        <v>Repeat</v>
      </c>
      <c r="K1072" s="10" t="str">
        <f t="shared" si="16"/>
        <v>TRANS-1071</v>
      </c>
    </row>
    <row r="1073" spans="1:11" x14ac:dyDescent="0.35">
      <c r="A1073" s="5">
        <v>45500</v>
      </c>
      <c r="B1073" s="3">
        <v>0.87175925925925923</v>
      </c>
      <c r="C1073" t="s">
        <v>8</v>
      </c>
      <c r="D1073" t="s">
        <v>25</v>
      </c>
      <c r="E1073" s="4">
        <v>32.82</v>
      </c>
      <c r="F1073" t="s">
        <v>32</v>
      </c>
      <c r="G1073" s="10" t="str">
        <f>TEXT(Transform_Data[[#This Row],[Date]],"mmm yyyy")</f>
        <v>Jul 2024</v>
      </c>
      <c r="H1073" s="10">
        <f>HOUR(Transform_Data[[#This Row],[Time]])</f>
        <v>20</v>
      </c>
      <c r="I1073" s="10" t="str">
        <f>IF(COUNTIF('Transform Data'!$D:$D,'Transform Data'!D1073)&gt;1,"Repeat","Single")</f>
        <v>Repeat</v>
      </c>
      <c r="J1073" s="10" t="str">
        <f>IF('Transform Data'!D1073="Cash","Cash",IF(COUNTIF('Transform Data'!$D:$D,'Transform Data'!D1073)&gt;1,"Repeat","Single"))</f>
        <v>Repeat</v>
      </c>
      <c r="K1073" s="10" t="str">
        <f t="shared" si="16"/>
        <v>TRANS-1072</v>
      </c>
    </row>
    <row r="1074" spans="1:11" x14ac:dyDescent="0.35">
      <c r="A1074" s="5">
        <v>45500</v>
      </c>
      <c r="B1074" s="3">
        <v>0.95582175925925927</v>
      </c>
      <c r="C1074" t="s">
        <v>8</v>
      </c>
      <c r="D1074" t="s">
        <v>470</v>
      </c>
      <c r="E1074" s="4">
        <v>32.82</v>
      </c>
      <c r="F1074" t="s">
        <v>24</v>
      </c>
      <c r="G1074" s="10" t="str">
        <f>TEXT(Transform_Data[[#This Row],[Date]],"mmm yyyy")</f>
        <v>Jul 2024</v>
      </c>
      <c r="H1074" s="10">
        <f>HOUR(Transform_Data[[#This Row],[Time]])</f>
        <v>22</v>
      </c>
      <c r="I1074" s="10" t="str">
        <f>IF(COUNTIF('Transform Data'!$D:$D,'Transform Data'!D1074)&gt;1,"Repeat","Single")</f>
        <v>Single</v>
      </c>
      <c r="J1074" s="10" t="str">
        <f>IF('Transform Data'!D1074="Cash","Cash",IF(COUNTIF('Transform Data'!$D:$D,'Transform Data'!D1074)&gt;1,"Repeat","Single"))</f>
        <v>Single</v>
      </c>
      <c r="K1074" s="10" t="str">
        <f t="shared" si="16"/>
        <v>TRANS-1073</v>
      </c>
    </row>
    <row r="1075" spans="1:11" x14ac:dyDescent="0.35">
      <c r="A1075" s="5">
        <v>45501</v>
      </c>
      <c r="B1075" s="3">
        <v>0.46348379629629627</v>
      </c>
      <c r="C1075" t="s">
        <v>8</v>
      </c>
      <c r="D1075" t="s">
        <v>43</v>
      </c>
      <c r="E1075" s="4">
        <v>18.12</v>
      </c>
      <c r="F1075" t="s">
        <v>5</v>
      </c>
      <c r="G1075" s="10" t="str">
        <f>TEXT(Transform_Data[[#This Row],[Date]],"mmm yyyy")</f>
        <v>Jul 2024</v>
      </c>
      <c r="H1075" s="10">
        <f>HOUR(Transform_Data[[#This Row],[Time]])</f>
        <v>11</v>
      </c>
      <c r="I1075" s="10" t="str">
        <f>IF(COUNTIF('Transform Data'!$D:$D,'Transform Data'!D1075)&gt;1,"Repeat","Single")</f>
        <v>Repeat</v>
      </c>
      <c r="J1075" s="10" t="str">
        <f>IF('Transform Data'!D1075="Cash","Cash",IF(COUNTIF('Transform Data'!$D:$D,'Transform Data'!D1075)&gt;1,"Repeat","Single"))</f>
        <v>Repeat</v>
      </c>
      <c r="K1075" s="10" t="str">
        <f t="shared" si="16"/>
        <v>TRANS-1074</v>
      </c>
    </row>
    <row r="1076" spans="1:11" x14ac:dyDescent="0.35">
      <c r="A1076" s="5">
        <v>45501</v>
      </c>
      <c r="B1076" s="3">
        <v>0.59576388888888887</v>
      </c>
      <c r="C1076" t="s">
        <v>8</v>
      </c>
      <c r="D1076" t="s">
        <v>29</v>
      </c>
      <c r="E1076" s="4">
        <v>27.92</v>
      </c>
      <c r="F1076" t="s">
        <v>36</v>
      </c>
      <c r="G1076" s="10" t="str">
        <f>TEXT(Transform_Data[[#This Row],[Date]],"mmm yyyy")</f>
        <v>Jul 2024</v>
      </c>
      <c r="H1076" s="10">
        <f>HOUR(Transform_Data[[#This Row],[Time]])</f>
        <v>14</v>
      </c>
      <c r="I1076" s="10" t="str">
        <f>IF(COUNTIF('Transform Data'!$D:$D,'Transform Data'!D1076)&gt;1,"Repeat","Single")</f>
        <v>Repeat</v>
      </c>
      <c r="J1076" s="10" t="str">
        <f>IF('Transform Data'!D1076="Cash","Cash",IF(COUNTIF('Transform Data'!$D:$D,'Transform Data'!D1076)&gt;1,"Repeat","Single"))</f>
        <v>Repeat</v>
      </c>
      <c r="K1076" s="10" t="str">
        <f t="shared" si="16"/>
        <v>TRANS-1075</v>
      </c>
    </row>
    <row r="1077" spans="1:11" x14ac:dyDescent="0.35">
      <c r="A1077" s="5">
        <v>45501</v>
      </c>
      <c r="B1077" s="3">
        <v>0.59643518518518523</v>
      </c>
      <c r="C1077" t="s">
        <v>8</v>
      </c>
      <c r="D1077" t="s">
        <v>29</v>
      </c>
      <c r="E1077" s="4">
        <v>32.82</v>
      </c>
      <c r="F1077" t="s">
        <v>32</v>
      </c>
      <c r="G1077" s="10" t="str">
        <f>TEXT(Transform_Data[[#This Row],[Date]],"mmm yyyy")</f>
        <v>Jul 2024</v>
      </c>
      <c r="H1077" s="10">
        <f>HOUR(Transform_Data[[#This Row],[Time]])</f>
        <v>14</v>
      </c>
      <c r="I1077" s="10" t="str">
        <f>IF(COUNTIF('Transform Data'!$D:$D,'Transform Data'!D1077)&gt;1,"Repeat","Single")</f>
        <v>Repeat</v>
      </c>
      <c r="J1077" s="10" t="str">
        <f>IF('Transform Data'!D1077="Cash","Cash",IF(COUNTIF('Transform Data'!$D:$D,'Transform Data'!D1077)&gt;1,"Repeat","Single"))</f>
        <v>Repeat</v>
      </c>
      <c r="K1077" s="10" t="str">
        <f t="shared" si="16"/>
        <v>TRANS-1076</v>
      </c>
    </row>
    <row r="1078" spans="1:11" x14ac:dyDescent="0.35">
      <c r="A1078" s="5">
        <v>45502</v>
      </c>
      <c r="B1078" s="3">
        <v>0.34173611111111113</v>
      </c>
      <c r="C1078" t="s">
        <v>8</v>
      </c>
      <c r="D1078" t="s">
        <v>471</v>
      </c>
      <c r="E1078" s="4">
        <v>32.82</v>
      </c>
      <c r="F1078" t="s">
        <v>32</v>
      </c>
      <c r="G1078" s="10" t="str">
        <f>TEXT(Transform_Data[[#This Row],[Date]],"mmm yyyy")</f>
        <v>Jul 2024</v>
      </c>
      <c r="H1078" s="10">
        <f>HOUR(Transform_Data[[#This Row],[Time]])</f>
        <v>8</v>
      </c>
      <c r="I1078" s="10" t="str">
        <f>IF(COUNTIF('Transform Data'!$D:$D,'Transform Data'!D1078)&gt;1,"Repeat","Single")</f>
        <v>Single</v>
      </c>
      <c r="J1078" s="10" t="str">
        <f>IF('Transform Data'!D1078="Cash","Cash",IF(COUNTIF('Transform Data'!$D:$D,'Transform Data'!D1078)&gt;1,"Repeat","Single"))</f>
        <v>Single</v>
      </c>
      <c r="K1078" s="10" t="str">
        <f t="shared" si="16"/>
        <v>TRANS-1077</v>
      </c>
    </row>
    <row r="1079" spans="1:11" x14ac:dyDescent="0.35">
      <c r="A1079" s="5">
        <v>45502</v>
      </c>
      <c r="B1079" s="3">
        <v>0.37832175925925926</v>
      </c>
      <c r="C1079" t="s">
        <v>8</v>
      </c>
      <c r="D1079" t="s">
        <v>43</v>
      </c>
      <c r="E1079" s="4">
        <v>23.02</v>
      </c>
      <c r="F1079" t="s">
        <v>28</v>
      </c>
      <c r="G1079" s="10" t="str">
        <f>TEXT(Transform_Data[[#This Row],[Date]],"mmm yyyy")</f>
        <v>Jul 2024</v>
      </c>
      <c r="H1079" s="10">
        <f>HOUR(Transform_Data[[#This Row],[Time]])</f>
        <v>9</v>
      </c>
      <c r="I1079" s="10" t="str">
        <f>IF(COUNTIF('Transform Data'!$D:$D,'Transform Data'!D1079)&gt;1,"Repeat","Single")</f>
        <v>Repeat</v>
      </c>
      <c r="J1079" s="10" t="str">
        <f>IF('Transform Data'!D1079="Cash","Cash",IF(COUNTIF('Transform Data'!$D:$D,'Transform Data'!D1079)&gt;1,"Repeat","Single"))</f>
        <v>Repeat</v>
      </c>
      <c r="K1079" s="10" t="str">
        <f t="shared" si="16"/>
        <v>TRANS-1078</v>
      </c>
    </row>
    <row r="1080" spans="1:11" x14ac:dyDescent="0.35">
      <c r="A1080" s="5">
        <v>45502</v>
      </c>
      <c r="B1080" s="3">
        <v>0.38594907407407408</v>
      </c>
      <c r="C1080" t="s">
        <v>8</v>
      </c>
      <c r="D1080" t="s">
        <v>11</v>
      </c>
      <c r="E1080" s="4">
        <v>27.92</v>
      </c>
      <c r="F1080" t="s">
        <v>36</v>
      </c>
      <c r="G1080" s="10" t="str">
        <f>TEXT(Transform_Data[[#This Row],[Date]],"mmm yyyy")</f>
        <v>Jul 2024</v>
      </c>
      <c r="H1080" s="10">
        <f>HOUR(Transform_Data[[#This Row],[Time]])</f>
        <v>9</v>
      </c>
      <c r="I1080" s="10" t="str">
        <f>IF(COUNTIF('Transform Data'!$D:$D,'Transform Data'!D1080)&gt;1,"Repeat","Single")</f>
        <v>Repeat</v>
      </c>
      <c r="J1080" s="10" t="str">
        <f>IF('Transform Data'!D1080="Cash","Cash",IF(COUNTIF('Transform Data'!$D:$D,'Transform Data'!D1080)&gt;1,"Repeat","Single"))</f>
        <v>Repeat</v>
      </c>
      <c r="K1080" s="10" t="str">
        <f t="shared" si="16"/>
        <v>TRANS-1079</v>
      </c>
    </row>
    <row r="1081" spans="1:11" x14ac:dyDescent="0.35">
      <c r="A1081" s="5">
        <v>45502</v>
      </c>
      <c r="B1081" s="3">
        <v>0.38870370370370372</v>
      </c>
      <c r="C1081" t="s">
        <v>8</v>
      </c>
      <c r="D1081" t="s">
        <v>62</v>
      </c>
      <c r="E1081" s="4">
        <v>23.02</v>
      </c>
      <c r="F1081" t="s">
        <v>28</v>
      </c>
      <c r="G1081" s="10" t="str">
        <f>TEXT(Transform_Data[[#This Row],[Date]],"mmm yyyy")</f>
        <v>Jul 2024</v>
      </c>
      <c r="H1081" s="10">
        <f>HOUR(Transform_Data[[#This Row],[Time]])</f>
        <v>9</v>
      </c>
      <c r="I1081" s="10" t="str">
        <f>IF(COUNTIF('Transform Data'!$D:$D,'Transform Data'!D1081)&gt;1,"Repeat","Single")</f>
        <v>Repeat</v>
      </c>
      <c r="J1081" s="10" t="str">
        <f>IF('Transform Data'!D1081="Cash","Cash",IF(COUNTIF('Transform Data'!$D:$D,'Transform Data'!D1081)&gt;1,"Repeat","Single"))</f>
        <v>Repeat</v>
      </c>
      <c r="K1081" s="10" t="str">
        <f t="shared" si="16"/>
        <v>TRANS-1080</v>
      </c>
    </row>
    <row r="1082" spans="1:11" x14ac:dyDescent="0.35">
      <c r="A1082" s="5">
        <v>45502</v>
      </c>
      <c r="B1082" s="3">
        <v>0.41069444444444442</v>
      </c>
      <c r="C1082" t="s">
        <v>8</v>
      </c>
      <c r="D1082" t="s">
        <v>472</v>
      </c>
      <c r="E1082" s="4">
        <v>27.92</v>
      </c>
      <c r="F1082" t="s">
        <v>36</v>
      </c>
      <c r="G1082" s="10" t="str">
        <f>TEXT(Transform_Data[[#This Row],[Date]],"mmm yyyy")</f>
        <v>Jul 2024</v>
      </c>
      <c r="H1082" s="10">
        <f>HOUR(Transform_Data[[#This Row],[Time]])</f>
        <v>9</v>
      </c>
      <c r="I1082" s="10" t="str">
        <f>IF(COUNTIF('Transform Data'!$D:$D,'Transform Data'!D1082)&gt;1,"Repeat","Single")</f>
        <v>Repeat</v>
      </c>
      <c r="J1082" s="10" t="str">
        <f>IF('Transform Data'!D1082="Cash","Cash",IF(COUNTIF('Transform Data'!$D:$D,'Transform Data'!D1082)&gt;1,"Repeat","Single"))</f>
        <v>Repeat</v>
      </c>
      <c r="K1082" s="10" t="str">
        <f t="shared" si="16"/>
        <v>TRANS-1081</v>
      </c>
    </row>
    <row r="1083" spans="1:11" x14ac:dyDescent="0.35">
      <c r="A1083" s="5">
        <v>45502</v>
      </c>
      <c r="B1083" s="3">
        <v>0.41561342592592593</v>
      </c>
      <c r="C1083" t="s">
        <v>8</v>
      </c>
      <c r="D1083" t="s">
        <v>473</v>
      </c>
      <c r="E1083" s="4">
        <v>32.82</v>
      </c>
      <c r="F1083" t="s">
        <v>24</v>
      </c>
      <c r="G1083" s="10" t="str">
        <f>TEXT(Transform_Data[[#This Row],[Date]],"mmm yyyy")</f>
        <v>Jul 2024</v>
      </c>
      <c r="H1083" s="10">
        <f>HOUR(Transform_Data[[#This Row],[Time]])</f>
        <v>9</v>
      </c>
      <c r="I1083" s="10" t="str">
        <f>IF(COUNTIF('Transform Data'!$D:$D,'Transform Data'!D1083)&gt;1,"Repeat","Single")</f>
        <v>Repeat</v>
      </c>
      <c r="J1083" s="10" t="str">
        <f>IF('Transform Data'!D1083="Cash","Cash",IF(COUNTIF('Transform Data'!$D:$D,'Transform Data'!D1083)&gt;1,"Repeat","Single"))</f>
        <v>Repeat</v>
      </c>
      <c r="K1083" s="10" t="str">
        <f t="shared" si="16"/>
        <v>TRANS-1082</v>
      </c>
    </row>
    <row r="1084" spans="1:11" x14ac:dyDescent="0.35">
      <c r="A1084" s="5">
        <v>45502</v>
      </c>
      <c r="B1084" s="3">
        <v>0.44702546296296297</v>
      </c>
      <c r="C1084" t="s">
        <v>8</v>
      </c>
      <c r="D1084" t="s">
        <v>474</v>
      </c>
      <c r="E1084" s="4">
        <v>32.82</v>
      </c>
      <c r="F1084" t="s">
        <v>15</v>
      </c>
      <c r="G1084" s="10" t="str">
        <f>TEXT(Transform_Data[[#This Row],[Date]],"mmm yyyy")</f>
        <v>Jul 2024</v>
      </c>
      <c r="H1084" s="10">
        <f>HOUR(Transform_Data[[#This Row],[Time]])</f>
        <v>10</v>
      </c>
      <c r="I1084" s="10" t="str">
        <f>IF(COUNTIF('Transform Data'!$D:$D,'Transform Data'!D1084)&gt;1,"Repeat","Single")</f>
        <v>Repeat</v>
      </c>
      <c r="J1084" s="10" t="str">
        <f>IF('Transform Data'!D1084="Cash","Cash",IF(COUNTIF('Transform Data'!$D:$D,'Transform Data'!D1084)&gt;1,"Repeat","Single"))</f>
        <v>Repeat</v>
      </c>
      <c r="K1084" s="10" t="str">
        <f t="shared" si="16"/>
        <v>TRANS-1083</v>
      </c>
    </row>
    <row r="1085" spans="1:11" x14ac:dyDescent="0.35">
      <c r="A1085" s="5">
        <v>45502</v>
      </c>
      <c r="B1085" s="3">
        <v>0.44785879629629627</v>
      </c>
      <c r="C1085" t="s">
        <v>8</v>
      </c>
      <c r="D1085" t="s">
        <v>474</v>
      </c>
      <c r="E1085" s="4">
        <v>32.82</v>
      </c>
      <c r="F1085" t="s">
        <v>15</v>
      </c>
      <c r="G1085" s="10" t="str">
        <f>TEXT(Transform_Data[[#This Row],[Date]],"mmm yyyy")</f>
        <v>Jul 2024</v>
      </c>
      <c r="H1085" s="10">
        <f>HOUR(Transform_Data[[#This Row],[Time]])</f>
        <v>10</v>
      </c>
      <c r="I1085" s="10" t="str">
        <f>IF(COUNTIF('Transform Data'!$D:$D,'Transform Data'!D1085)&gt;1,"Repeat","Single")</f>
        <v>Repeat</v>
      </c>
      <c r="J1085" s="10" t="str">
        <f>IF('Transform Data'!D1085="Cash","Cash",IF(COUNTIF('Transform Data'!$D:$D,'Transform Data'!D1085)&gt;1,"Repeat","Single"))</f>
        <v>Repeat</v>
      </c>
      <c r="K1085" s="10" t="str">
        <f t="shared" si="16"/>
        <v>TRANS-1084</v>
      </c>
    </row>
    <row r="1086" spans="1:11" x14ac:dyDescent="0.35">
      <c r="A1086" s="5">
        <v>45502</v>
      </c>
      <c r="B1086" s="3">
        <v>0.7961921296296296</v>
      </c>
      <c r="C1086" t="s">
        <v>8</v>
      </c>
      <c r="D1086" t="s">
        <v>475</v>
      </c>
      <c r="E1086" s="4">
        <v>32.82</v>
      </c>
      <c r="F1086" t="s">
        <v>24</v>
      </c>
      <c r="G1086" s="10" t="str">
        <f>TEXT(Transform_Data[[#This Row],[Date]],"mmm yyyy")</f>
        <v>Jul 2024</v>
      </c>
      <c r="H1086" s="10">
        <f>HOUR(Transform_Data[[#This Row],[Time]])</f>
        <v>19</v>
      </c>
      <c r="I1086" s="10" t="str">
        <f>IF(COUNTIF('Transform Data'!$D:$D,'Transform Data'!D1086)&gt;1,"Repeat","Single")</f>
        <v>Single</v>
      </c>
      <c r="J1086" s="10" t="str">
        <f>IF('Transform Data'!D1086="Cash","Cash",IF(COUNTIF('Transform Data'!$D:$D,'Transform Data'!D1086)&gt;1,"Repeat","Single"))</f>
        <v>Single</v>
      </c>
      <c r="K1086" s="10" t="str">
        <f t="shared" si="16"/>
        <v>TRANS-1085</v>
      </c>
    </row>
    <row r="1087" spans="1:11" x14ac:dyDescent="0.35">
      <c r="A1087" s="5">
        <v>45502</v>
      </c>
      <c r="B1087" s="3">
        <v>0.81268518518518518</v>
      </c>
      <c r="C1087" t="s">
        <v>8</v>
      </c>
      <c r="D1087" t="s">
        <v>154</v>
      </c>
      <c r="E1087" s="4">
        <v>23.02</v>
      </c>
      <c r="F1087" t="s">
        <v>28</v>
      </c>
      <c r="G1087" s="10" t="str">
        <f>TEXT(Transform_Data[[#This Row],[Date]],"mmm yyyy")</f>
        <v>Jul 2024</v>
      </c>
      <c r="H1087" s="10">
        <f>HOUR(Transform_Data[[#This Row],[Time]])</f>
        <v>19</v>
      </c>
      <c r="I1087" s="10" t="str">
        <f>IF(COUNTIF('Transform Data'!$D:$D,'Transform Data'!D1087)&gt;1,"Repeat","Single")</f>
        <v>Repeat</v>
      </c>
      <c r="J1087" s="10" t="str">
        <f>IF('Transform Data'!D1087="Cash","Cash",IF(COUNTIF('Transform Data'!$D:$D,'Transform Data'!D1087)&gt;1,"Repeat","Single"))</f>
        <v>Repeat</v>
      </c>
      <c r="K1087" s="10" t="str">
        <f t="shared" si="16"/>
        <v>TRANS-1086</v>
      </c>
    </row>
    <row r="1088" spans="1:11" x14ac:dyDescent="0.35">
      <c r="A1088" s="5">
        <v>45502</v>
      </c>
      <c r="B1088" s="3">
        <v>0.91497685185185185</v>
      </c>
      <c r="C1088" t="s">
        <v>8</v>
      </c>
      <c r="D1088" t="s">
        <v>381</v>
      </c>
      <c r="E1088" s="4">
        <v>32.82</v>
      </c>
      <c r="F1088" t="s">
        <v>10</v>
      </c>
      <c r="G1088" s="10" t="str">
        <f>TEXT(Transform_Data[[#This Row],[Date]],"mmm yyyy")</f>
        <v>Jul 2024</v>
      </c>
      <c r="H1088" s="10">
        <f>HOUR(Transform_Data[[#This Row],[Time]])</f>
        <v>21</v>
      </c>
      <c r="I1088" s="10" t="str">
        <f>IF(COUNTIF('Transform Data'!$D:$D,'Transform Data'!D1088)&gt;1,"Repeat","Single")</f>
        <v>Repeat</v>
      </c>
      <c r="J1088" s="10" t="str">
        <f>IF('Transform Data'!D1088="Cash","Cash",IF(COUNTIF('Transform Data'!$D:$D,'Transform Data'!D1088)&gt;1,"Repeat","Single"))</f>
        <v>Repeat</v>
      </c>
      <c r="K1088" s="10" t="str">
        <f t="shared" si="16"/>
        <v>TRANS-1087</v>
      </c>
    </row>
    <row r="1089" spans="1:11" x14ac:dyDescent="0.35">
      <c r="A1089" s="5">
        <v>45503</v>
      </c>
      <c r="B1089" s="3">
        <v>0.32025462962962964</v>
      </c>
      <c r="C1089" t="s">
        <v>8</v>
      </c>
      <c r="D1089" t="s">
        <v>476</v>
      </c>
      <c r="E1089" s="4">
        <v>27.92</v>
      </c>
      <c r="F1089" t="s">
        <v>36</v>
      </c>
      <c r="G1089" s="10" t="str">
        <f>TEXT(Transform_Data[[#This Row],[Date]],"mmm yyyy")</f>
        <v>Jul 2024</v>
      </c>
      <c r="H1089" s="10">
        <f>HOUR(Transform_Data[[#This Row],[Time]])</f>
        <v>7</v>
      </c>
      <c r="I1089" s="10" t="str">
        <f>IF(COUNTIF('Transform Data'!$D:$D,'Transform Data'!D1089)&gt;1,"Repeat","Single")</f>
        <v>Repeat</v>
      </c>
      <c r="J1089" s="10" t="str">
        <f>IF('Transform Data'!D1089="Cash","Cash",IF(COUNTIF('Transform Data'!$D:$D,'Transform Data'!D1089)&gt;1,"Repeat","Single"))</f>
        <v>Repeat</v>
      </c>
      <c r="K1089" s="10" t="str">
        <f t="shared" si="16"/>
        <v>TRANS-1088</v>
      </c>
    </row>
    <row r="1090" spans="1:11" x14ac:dyDescent="0.35">
      <c r="A1090" s="5">
        <v>45503</v>
      </c>
      <c r="B1090" s="3">
        <v>0.33688657407407407</v>
      </c>
      <c r="C1090" t="s">
        <v>8</v>
      </c>
      <c r="D1090" t="s">
        <v>477</v>
      </c>
      <c r="E1090" s="4">
        <v>23.02</v>
      </c>
      <c r="F1090" t="s">
        <v>20</v>
      </c>
      <c r="G1090" s="10" t="str">
        <f>TEXT(Transform_Data[[#This Row],[Date]],"mmm yyyy")</f>
        <v>Jul 2024</v>
      </c>
      <c r="H1090" s="10">
        <f>HOUR(Transform_Data[[#This Row],[Time]])</f>
        <v>8</v>
      </c>
      <c r="I1090" s="10" t="str">
        <f>IF(COUNTIF('Transform Data'!$D:$D,'Transform Data'!D1090)&gt;1,"Repeat","Single")</f>
        <v>Repeat</v>
      </c>
      <c r="J1090" s="10" t="str">
        <f>IF('Transform Data'!D1090="Cash","Cash",IF(COUNTIF('Transform Data'!$D:$D,'Transform Data'!D1090)&gt;1,"Repeat","Single"))</f>
        <v>Repeat</v>
      </c>
      <c r="K1090" s="10" t="str">
        <f t="shared" ref="K1090:K1153" si="17">"TRANS-"&amp;TEXT(ROW(A1089),"0000")</f>
        <v>TRANS-1089</v>
      </c>
    </row>
    <row r="1091" spans="1:11" x14ac:dyDescent="0.35">
      <c r="A1091" s="5">
        <v>45503</v>
      </c>
      <c r="B1091" s="3">
        <v>0.34781250000000002</v>
      </c>
      <c r="C1091" t="s">
        <v>8</v>
      </c>
      <c r="D1091" t="s">
        <v>478</v>
      </c>
      <c r="E1091" s="4">
        <v>32.82</v>
      </c>
      <c r="F1091" t="s">
        <v>24</v>
      </c>
      <c r="G1091" s="10" t="str">
        <f>TEXT(Transform_Data[[#This Row],[Date]],"mmm yyyy")</f>
        <v>Jul 2024</v>
      </c>
      <c r="H1091" s="10">
        <f>HOUR(Transform_Data[[#This Row],[Time]])</f>
        <v>8</v>
      </c>
      <c r="I1091" s="10" t="str">
        <f>IF(COUNTIF('Transform Data'!$D:$D,'Transform Data'!D1091)&gt;1,"Repeat","Single")</f>
        <v>Repeat</v>
      </c>
      <c r="J1091" s="10" t="str">
        <f>IF('Transform Data'!D1091="Cash","Cash",IF(COUNTIF('Transform Data'!$D:$D,'Transform Data'!D1091)&gt;1,"Repeat","Single"))</f>
        <v>Repeat</v>
      </c>
      <c r="K1091" s="10" t="str">
        <f t="shared" si="17"/>
        <v>TRANS-1090</v>
      </c>
    </row>
    <row r="1092" spans="1:11" x14ac:dyDescent="0.35">
      <c r="A1092" s="5">
        <v>45503</v>
      </c>
      <c r="B1092" s="3">
        <v>0.38452546296296297</v>
      </c>
      <c r="C1092" t="s">
        <v>8</v>
      </c>
      <c r="D1092" t="s">
        <v>11</v>
      </c>
      <c r="E1092" s="4">
        <v>27.92</v>
      </c>
      <c r="F1092" t="s">
        <v>36</v>
      </c>
      <c r="G1092" s="10" t="str">
        <f>TEXT(Transform_Data[[#This Row],[Date]],"mmm yyyy")</f>
        <v>Jul 2024</v>
      </c>
      <c r="H1092" s="10">
        <f>HOUR(Transform_Data[[#This Row],[Time]])</f>
        <v>9</v>
      </c>
      <c r="I1092" s="10" t="str">
        <f>IF(COUNTIF('Transform Data'!$D:$D,'Transform Data'!D1092)&gt;1,"Repeat","Single")</f>
        <v>Repeat</v>
      </c>
      <c r="J1092" s="10" t="str">
        <f>IF('Transform Data'!D1092="Cash","Cash",IF(COUNTIF('Transform Data'!$D:$D,'Transform Data'!D1092)&gt;1,"Repeat","Single"))</f>
        <v>Repeat</v>
      </c>
      <c r="K1092" s="10" t="str">
        <f t="shared" si="17"/>
        <v>TRANS-1091</v>
      </c>
    </row>
    <row r="1093" spans="1:11" x14ac:dyDescent="0.35">
      <c r="A1093" s="5">
        <v>45503</v>
      </c>
      <c r="B1093" s="3">
        <v>0.42859953703703701</v>
      </c>
      <c r="C1093" t="s">
        <v>8</v>
      </c>
      <c r="D1093" t="s">
        <v>40</v>
      </c>
      <c r="E1093" s="4">
        <v>23.02</v>
      </c>
      <c r="F1093" t="s">
        <v>20</v>
      </c>
      <c r="G1093" s="10" t="str">
        <f>TEXT(Transform_Data[[#This Row],[Date]],"mmm yyyy")</f>
        <v>Jul 2024</v>
      </c>
      <c r="H1093" s="10">
        <f>HOUR(Transform_Data[[#This Row],[Time]])</f>
        <v>10</v>
      </c>
      <c r="I1093" s="10" t="str">
        <f>IF(COUNTIF('Transform Data'!$D:$D,'Transform Data'!D1093)&gt;1,"Repeat","Single")</f>
        <v>Repeat</v>
      </c>
      <c r="J1093" s="10" t="str">
        <f>IF('Transform Data'!D1093="Cash","Cash",IF(COUNTIF('Transform Data'!$D:$D,'Transform Data'!D1093)&gt;1,"Repeat","Single"))</f>
        <v>Repeat</v>
      </c>
      <c r="K1093" s="10" t="str">
        <f t="shared" si="17"/>
        <v>TRANS-1092</v>
      </c>
    </row>
    <row r="1094" spans="1:11" x14ac:dyDescent="0.35">
      <c r="A1094" s="5">
        <v>45503</v>
      </c>
      <c r="B1094" s="3">
        <v>0.43025462962962963</v>
      </c>
      <c r="C1094" t="s">
        <v>8</v>
      </c>
      <c r="D1094" t="s">
        <v>29</v>
      </c>
      <c r="E1094" s="4">
        <v>27.92</v>
      </c>
      <c r="F1094" t="s">
        <v>36</v>
      </c>
      <c r="G1094" s="10" t="str">
        <f>TEXT(Transform_Data[[#This Row],[Date]],"mmm yyyy")</f>
        <v>Jul 2024</v>
      </c>
      <c r="H1094" s="10">
        <f>HOUR(Transform_Data[[#This Row],[Time]])</f>
        <v>10</v>
      </c>
      <c r="I1094" s="10" t="str">
        <f>IF(COUNTIF('Transform Data'!$D:$D,'Transform Data'!D1094)&gt;1,"Repeat","Single")</f>
        <v>Repeat</v>
      </c>
      <c r="J1094" s="10" t="str">
        <f>IF('Transform Data'!D1094="Cash","Cash",IF(COUNTIF('Transform Data'!$D:$D,'Transform Data'!D1094)&gt;1,"Repeat","Single"))</f>
        <v>Repeat</v>
      </c>
      <c r="K1094" s="10" t="str">
        <f t="shared" si="17"/>
        <v>TRANS-1093</v>
      </c>
    </row>
    <row r="1095" spans="1:11" x14ac:dyDescent="0.35">
      <c r="A1095" s="5">
        <v>45503</v>
      </c>
      <c r="B1095" s="3">
        <v>0.43287037037037035</v>
      </c>
      <c r="C1095" t="s">
        <v>8</v>
      </c>
      <c r="D1095" t="s">
        <v>304</v>
      </c>
      <c r="E1095" s="4">
        <v>32.82</v>
      </c>
      <c r="F1095" t="s">
        <v>32</v>
      </c>
      <c r="G1095" s="10" t="str">
        <f>TEXT(Transform_Data[[#This Row],[Date]],"mmm yyyy")</f>
        <v>Jul 2024</v>
      </c>
      <c r="H1095" s="10">
        <f>HOUR(Transform_Data[[#This Row],[Time]])</f>
        <v>10</v>
      </c>
      <c r="I1095" s="10" t="str">
        <f>IF(COUNTIF('Transform Data'!$D:$D,'Transform Data'!D1095)&gt;1,"Repeat","Single")</f>
        <v>Repeat</v>
      </c>
      <c r="J1095" s="10" t="str">
        <f>IF('Transform Data'!D1095="Cash","Cash",IF(COUNTIF('Transform Data'!$D:$D,'Transform Data'!D1095)&gt;1,"Repeat","Single"))</f>
        <v>Repeat</v>
      </c>
      <c r="K1095" s="10" t="str">
        <f t="shared" si="17"/>
        <v>TRANS-1094</v>
      </c>
    </row>
    <row r="1096" spans="1:11" x14ac:dyDescent="0.35">
      <c r="A1096" s="5">
        <v>45503</v>
      </c>
      <c r="B1096" s="3">
        <v>0.46674768518518517</v>
      </c>
      <c r="C1096" t="s">
        <v>8</v>
      </c>
      <c r="D1096" t="s">
        <v>479</v>
      </c>
      <c r="E1096" s="4">
        <v>23.02</v>
      </c>
      <c r="F1096" t="s">
        <v>28</v>
      </c>
      <c r="G1096" s="10" t="str">
        <f>TEXT(Transform_Data[[#This Row],[Date]],"mmm yyyy")</f>
        <v>Jul 2024</v>
      </c>
      <c r="H1096" s="10">
        <f>HOUR(Transform_Data[[#This Row],[Time]])</f>
        <v>11</v>
      </c>
      <c r="I1096" s="10" t="str">
        <f>IF(COUNTIF('Transform Data'!$D:$D,'Transform Data'!D1096)&gt;1,"Repeat","Single")</f>
        <v>Repeat</v>
      </c>
      <c r="J1096" s="10" t="str">
        <f>IF('Transform Data'!D1096="Cash","Cash",IF(COUNTIF('Transform Data'!$D:$D,'Transform Data'!D1096)&gt;1,"Repeat","Single"))</f>
        <v>Repeat</v>
      </c>
      <c r="K1096" s="10" t="str">
        <f t="shared" si="17"/>
        <v>TRANS-1095</v>
      </c>
    </row>
    <row r="1097" spans="1:11" x14ac:dyDescent="0.35">
      <c r="A1097" s="5">
        <v>45503</v>
      </c>
      <c r="B1097" s="3">
        <v>0.46754629629629629</v>
      </c>
      <c r="C1097" t="s">
        <v>8</v>
      </c>
      <c r="D1097" t="s">
        <v>479</v>
      </c>
      <c r="E1097" s="4">
        <v>18.12</v>
      </c>
      <c r="F1097" t="s">
        <v>5</v>
      </c>
      <c r="G1097" s="10" t="str">
        <f>TEXT(Transform_Data[[#This Row],[Date]],"mmm yyyy")</f>
        <v>Jul 2024</v>
      </c>
      <c r="H1097" s="10">
        <f>HOUR(Transform_Data[[#This Row],[Time]])</f>
        <v>11</v>
      </c>
      <c r="I1097" s="10" t="str">
        <f>IF(COUNTIF('Transform Data'!$D:$D,'Transform Data'!D1097)&gt;1,"Repeat","Single")</f>
        <v>Repeat</v>
      </c>
      <c r="J1097" s="10" t="str">
        <f>IF('Transform Data'!D1097="Cash","Cash",IF(COUNTIF('Transform Data'!$D:$D,'Transform Data'!D1097)&gt;1,"Repeat","Single"))</f>
        <v>Repeat</v>
      </c>
      <c r="K1097" s="10" t="str">
        <f t="shared" si="17"/>
        <v>TRANS-1096</v>
      </c>
    </row>
    <row r="1098" spans="1:11" x14ac:dyDescent="0.35">
      <c r="A1098" s="5">
        <v>45503</v>
      </c>
      <c r="B1098" s="3">
        <v>0.4685300925925926</v>
      </c>
      <c r="C1098" t="s">
        <v>8</v>
      </c>
      <c r="D1098" t="s">
        <v>480</v>
      </c>
      <c r="E1098" s="4">
        <v>27.92</v>
      </c>
      <c r="F1098" t="s">
        <v>36</v>
      </c>
      <c r="G1098" s="10" t="str">
        <f>TEXT(Transform_Data[[#This Row],[Date]],"mmm yyyy")</f>
        <v>Jul 2024</v>
      </c>
      <c r="H1098" s="10">
        <f>HOUR(Transform_Data[[#This Row],[Time]])</f>
        <v>11</v>
      </c>
      <c r="I1098" s="10" t="str">
        <f>IF(COUNTIF('Transform Data'!$D:$D,'Transform Data'!D1098)&gt;1,"Repeat","Single")</f>
        <v>Repeat</v>
      </c>
      <c r="J1098" s="10" t="str">
        <f>IF('Transform Data'!D1098="Cash","Cash",IF(COUNTIF('Transform Data'!$D:$D,'Transform Data'!D1098)&gt;1,"Repeat","Single"))</f>
        <v>Repeat</v>
      </c>
      <c r="K1098" s="10" t="str">
        <f t="shared" si="17"/>
        <v>TRANS-1097</v>
      </c>
    </row>
    <row r="1099" spans="1:11" x14ac:dyDescent="0.35">
      <c r="A1099" s="5">
        <v>45503</v>
      </c>
      <c r="B1099" s="3">
        <v>0.46945601851851854</v>
      </c>
      <c r="C1099" t="s">
        <v>8</v>
      </c>
      <c r="D1099" t="s">
        <v>481</v>
      </c>
      <c r="E1099" s="4">
        <v>27.92</v>
      </c>
      <c r="F1099" t="s">
        <v>36</v>
      </c>
      <c r="G1099" s="10" t="str">
        <f>TEXT(Transform_Data[[#This Row],[Date]],"mmm yyyy")</f>
        <v>Jul 2024</v>
      </c>
      <c r="H1099" s="10">
        <f>HOUR(Transform_Data[[#This Row],[Time]])</f>
        <v>11</v>
      </c>
      <c r="I1099" s="10" t="str">
        <f>IF(COUNTIF('Transform Data'!$D:$D,'Transform Data'!D1099)&gt;1,"Repeat","Single")</f>
        <v>Single</v>
      </c>
      <c r="J1099" s="10" t="str">
        <f>IF('Transform Data'!D1099="Cash","Cash",IF(COUNTIF('Transform Data'!$D:$D,'Transform Data'!D1099)&gt;1,"Repeat","Single"))</f>
        <v>Single</v>
      </c>
      <c r="K1099" s="10" t="str">
        <f t="shared" si="17"/>
        <v>TRANS-1098</v>
      </c>
    </row>
    <row r="1100" spans="1:11" x14ac:dyDescent="0.35">
      <c r="A1100" s="5">
        <v>45503</v>
      </c>
      <c r="B1100" s="3">
        <v>0.47956018518518517</v>
      </c>
      <c r="C1100" t="s">
        <v>8</v>
      </c>
      <c r="D1100" t="s">
        <v>482</v>
      </c>
      <c r="E1100" s="4">
        <v>27.92</v>
      </c>
      <c r="F1100" t="s">
        <v>36</v>
      </c>
      <c r="G1100" s="10" t="str">
        <f>TEXT(Transform_Data[[#This Row],[Date]],"mmm yyyy")</f>
        <v>Jul 2024</v>
      </c>
      <c r="H1100" s="10">
        <f>HOUR(Transform_Data[[#This Row],[Time]])</f>
        <v>11</v>
      </c>
      <c r="I1100" s="10" t="str">
        <f>IF(COUNTIF('Transform Data'!$D:$D,'Transform Data'!D1100)&gt;1,"Repeat","Single")</f>
        <v>Repeat</v>
      </c>
      <c r="J1100" s="10" t="str">
        <f>IF('Transform Data'!D1100="Cash","Cash",IF(COUNTIF('Transform Data'!$D:$D,'Transform Data'!D1100)&gt;1,"Repeat","Single"))</f>
        <v>Repeat</v>
      </c>
      <c r="K1100" s="10" t="str">
        <f t="shared" si="17"/>
        <v>TRANS-1099</v>
      </c>
    </row>
    <row r="1101" spans="1:11" x14ac:dyDescent="0.35">
      <c r="A1101" s="5">
        <v>45503</v>
      </c>
      <c r="B1101" s="3">
        <v>0.48032407407407407</v>
      </c>
      <c r="C1101" t="s">
        <v>8</v>
      </c>
      <c r="D1101" t="s">
        <v>483</v>
      </c>
      <c r="E1101" s="4">
        <v>27.92</v>
      </c>
      <c r="F1101" t="s">
        <v>36</v>
      </c>
      <c r="G1101" s="10" t="str">
        <f>TEXT(Transform_Data[[#This Row],[Date]],"mmm yyyy")</f>
        <v>Jul 2024</v>
      </c>
      <c r="H1101" s="10">
        <f>HOUR(Transform_Data[[#This Row],[Time]])</f>
        <v>11</v>
      </c>
      <c r="I1101" s="10" t="str">
        <f>IF(COUNTIF('Transform Data'!$D:$D,'Transform Data'!D1101)&gt;1,"Repeat","Single")</f>
        <v>Single</v>
      </c>
      <c r="J1101" s="10" t="str">
        <f>IF('Transform Data'!D1101="Cash","Cash",IF(COUNTIF('Transform Data'!$D:$D,'Transform Data'!D1101)&gt;1,"Repeat","Single"))</f>
        <v>Single</v>
      </c>
      <c r="K1101" s="10" t="str">
        <f t="shared" si="17"/>
        <v>TRANS-1100</v>
      </c>
    </row>
    <row r="1102" spans="1:11" x14ac:dyDescent="0.35">
      <c r="A1102" s="5">
        <v>45503</v>
      </c>
      <c r="B1102" s="3">
        <v>0.50563657407407403</v>
      </c>
      <c r="C1102" t="s">
        <v>8</v>
      </c>
      <c r="D1102" t="s">
        <v>484</v>
      </c>
      <c r="E1102" s="4">
        <v>32.82</v>
      </c>
      <c r="F1102" t="s">
        <v>32</v>
      </c>
      <c r="G1102" s="10" t="str">
        <f>TEXT(Transform_Data[[#This Row],[Date]],"mmm yyyy")</f>
        <v>Jul 2024</v>
      </c>
      <c r="H1102" s="10">
        <f>HOUR(Transform_Data[[#This Row],[Time]])</f>
        <v>12</v>
      </c>
      <c r="I1102" s="10" t="str">
        <f>IF(COUNTIF('Transform Data'!$D:$D,'Transform Data'!D1102)&gt;1,"Repeat","Single")</f>
        <v>Single</v>
      </c>
      <c r="J1102" s="10" t="str">
        <f>IF('Transform Data'!D1102="Cash","Cash",IF(COUNTIF('Transform Data'!$D:$D,'Transform Data'!D1102)&gt;1,"Repeat","Single"))</f>
        <v>Single</v>
      </c>
      <c r="K1102" s="10" t="str">
        <f t="shared" si="17"/>
        <v>TRANS-1101</v>
      </c>
    </row>
    <row r="1103" spans="1:11" x14ac:dyDescent="0.35">
      <c r="A1103" s="5">
        <v>45503</v>
      </c>
      <c r="B1103" s="3">
        <v>0.63621527777777775</v>
      </c>
      <c r="C1103" t="s">
        <v>8</v>
      </c>
      <c r="D1103" t="s">
        <v>485</v>
      </c>
      <c r="E1103" s="4">
        <v>27.92</v>
      </c>
      <c r="F1103" t="s">
        <v>36</v>
      </c>
      <c r="G1103" s="10" t="str">
        <f>TEXT(Transform_Data[[#This Row],[Date]],"mmm yyyy")</f>
        <v>Jul 2024</v>
      </c>
      <c r="H1103" s="10">
        <f>HOUR(Transform_Data[[#This Row],[Time]])</f>
        <v>15</v>
      </c>
      <c r="I1103" s="10" t="str">
        <f>IF(COUNTIF('Transform Data'!$D:$D,'Transform Data'!D1103)&gt;1,"Repeat","Single")</f>
        <v>Single</v>
      </c>
      <c r="J1103" s="10" t="str">
        <f>IF('Transform Data'!D1103="Cash","Cash",IF(COUNTIF('Transform Data'!$D:$D,'Transform Data'!D1103)&gt;1,"Repeat","Single"))</f>
        <v>Single</v>
      </c>
      <c r="K1103" s="10" t="str">
        <f t="shared" si="17"/>
        <v>TRANS-1102</v>
      </c>
    </row>
    <row r="1104" spans="1:11" x14ac:dyDescent="0.35">
      <c r="A1104" s="5">
        <v>45503</v>
      </c>
      <c r="B1104" s="3">
        <v>0.67282407407407407</v>
      </c>
      <c r="C1104" t="s">
        <v>8</v>
      </c>
      <c r="D1104" t="s">
        <v>486</v>
      </c>
      <c r="E1104" s="4">
        <v>23.02</v>
      </c>
      <c r="F1104" t="s">
        <v>20</v>
      </c>
      <c r="G1104" s="10" t="str">
        <f>TEXT(Transform_Data[[#This Row],[Date]],"mmm yyyy")</f>
        <v>Jul 2024</v>
      </c>
      <c r="H1104" s="10">
        <f>HOUR(Transform_Data[[#This Row],[Time]])</f>
        <v>16</v>
      </c>
      <c r="I1104" s="10" t="str">
        <f>IF(COUNTIF('Transform Data'!$D:$D,'Transform Data'!D1104)&gt;1,"Repeat","Single")</f>
        <v>Repeat</v>
      </c>
      <c r="J1104" s="10" t="str">
        <f>IF('Transform Data'!D1104="Cash","Cash",IF(COUNTIF('Transform Data'!$D:$D,'Transform Data'!D1104)&gt;1,"Repeat","Single"))</f>
        <v>Repeat</v>
      </c>
      <c r="K1104" s="10" t="str">
        <f t="shared" si="17"/>
        <v>TRANS-1103</v>
      </c>
    </row>
    <row r="1105" spans="1:11" x14ac:dyDescent="0.35">
      <c r="A1105" s="5">
        <v>45503</v>
      </c>
      <c r="B1105" s="3">
        <v>0.67341435185185183</v>
      </c>
      <c r="C1105" t="s">
        <v>8</v>
      </c>
      <c r="D1105" t="s">
        <v>486</v>
      </c>
      <c r="E1105" s="4">
        <v>27.92</v>
      </c>
      <c r="F1105" t="s">
        <v>36</v>
      </c>
      <c r="G1105" s="10" t="str">
        <f>TEXT(Transform_Data[[#This Row],[Date]],"mmm yyyy")</f>
        <v>Jul 2024</v>
      </c>
      <c r="H1105" s="10">
        <f>HOUR(Transform_Data[[#This Row],[Time]])</f>
        <v>16</v>
      </c>
      <c r="I1105" s="10" t="str">
        <f>IF(COUNTIF('Transform Data'!$D:$D,'Transform Data'!D1105)&gt;1,"Repeat","Single")</f>
        <v>Repeat</v>
      </c>
      <c r="J1105" s="10" t="str">
        <f>IF('Transform Data'!D1105="Cash","Cash",IF(COUNTIF('Transform Data'!$D:$D,'Transform Data'!D1105)&gt;1,"Repeat","Single"))</f>
        <v>Repeat</v>
      </c>
      <c r="K1105" s="10" t="str">
        <f t="shared" si="17"/>
        <v>TRANS-1104</v>
      </c>
    </row>
    <row r="1106" spans="1:11" x14ac:dyDescent="0.35">
      <c r="A1106" s="5">
        <v>45503</v>
      </c>
      <c r="B1106" s="3">
        <v>0.85021990740740738</v>
      </c>
      <c r="C1106" t="s">
        <v>8</v>
      </c>
      <c r="D1106" t="s">
        <v>487</v>
      </c>
      <c r="E1106" s="4">
        <v>18.12</v>
      </c>
      <c r="F1106" t="s">
        <v>5</v>
      </c>
      <c r="G1106" s="10" t="str">
        <f>TEXT(Transform_Data[[#This Row],[Date]],"mmm yyyy")</f>
        <v>Jul 2024</v>
      </c>
      <c r="H1106" s="10">
        <f>HOUR(Transform_Data[[#This Row],[Time]])</f>
        <v>20</v>
      </c>
      <c r="I1106" s="10" t="str">
        <f>IF(COUNTIF('Transform Data'!$D:$D,'Transform Data'!D1106)&gt;1,"Repeat","Single")</f>
        <v>Single</v>
      </c>
      <c r="J1106" s="10" t="str">
        <f>IF('Transform Data'!D1106="Cash","Cash",IF(COUNTIF('Transform Data'!$D:$D,'Transform Data'!D1106)&gt;1,"Repeat","Single"))</f>
        <v>Single</v>
      </c>
      <c r="K1106" s="10" t="str">
        <f t="shared" si="17"/>
        <v>TRANS-1105</v>
      </c>
    </row>
    <row r="1107" spans="1:11" x14ac:dyDescent="0.35">
      <c r="A1107" s="5">
        <v>45503</v>
      </c>
      <c r="B1107" s="3">
        <v>0.87072916666666667</v>
      </c>
      <c r="C1107" t="s">
        <v>8</v>
      </c>
      <c r="D1107" t="s">
        <v>11</v>
      </c>
      <c r="E1107" s="4">
        <v>27.92</v>
      </c>
      <c r="F1107" t="s">
        <v>36</v>
      </c>
      <c r="G1107" s="10" t="str">
        <f>TEXT(Transform_Data[[#This Row],[Date]],"mmm yyyy")</f>
        <v>Jul 2024</v>
      </c>
      <c r="H1107" s="10">
        <f>HOUR(Transform_Data[[#This Row],[Time]])</f>
        <v>20</v>
      </c>
      <c r="I1107" s="10" t="str">
        <f>IF(COUNTIF('Transform Data'!$D:$D,'Transform Data'!D1107)&gt;1,"Repeat","Single")</f>
        <v>Repeat</v>
      </c>
      <c r="J1107" s="10" t="str">
        <f>IF('Transform Data'!D1107="Cash","Cash",IF(COUNTIF('Transform Data'!$D:$D,'Transform Data'!D1107)&gt;1,"Repeat","Single"))</f>
        <v>Repeat</v>
      </c>
      <c r="K1107" s="10" t="str">
        <f t="shared" si="17"/>
        <v>TRANS-1106</v>
      </c>
    </row>
    <row r="1108" spans="1:11" x14ac:dyDescent="0.35">
      <c r="A1108" s="5">
        <v>45503</v>
      </c>
      <c r="B1108" s="3">
        <v>0.87136574074074069</v>
      </c>
      <c r="C1108" t="s">
        <v>8</v>
      </c>
      <c r="D1108" t="s">
        <v>11</v>
      </c>
      <c r="E1108" s="4">
        <v>27.92</v>
      </c>
      <c r="F1108" t="s">
        <v>36</v>
      </c>
      <c r="G1108" s="10" t="str">
        <f>TEXT(Transform_Data[[#This Row],[Date]],"mmm yyyy")</f>
        <v>Jul 2024</v>
      </c>
      <c r="H1108" s="10">
        <f>HOUR(Transform_Data[[#This Row],[Time]])</f>
        <v>20</v>
      </c>
      <c r="I1108" s="10" t="str">
        <f>IF(COUNTIF('Transform Data'!$D:$D,'Transform Data'!D1108)&gt;1,"Repeat","Single")</f>
        <v>Repeat</v>
      </c>
      <c r="J1108" s="10" t="str">
        <f>IF('Transform Data'!D1108="Cash","Cash",IF(COUNTIF('Transform Data'!$D:$D,'Transform Data'!D1108)&gt;1,"Repeat","Single"))</f>
        <v>Repeat</v>
      </c>
      <c r="K1108" s="10" t="str">
        <f t="shared" si="17"/>
        <v>TRANS-1107</v>
      </c>
    </row>
    <row r="1109" spans="1:11" x14ac:dyDescent="0.35">
      <c r="A1109" s="5">
        <v>45503</v>
      </c>
      <c r="B1109" s="3">
        <v>0.87293981481481486</v>
      </c>
      <c r="C1109" t="s">
        <v>8</v>
      </c>
      <c r="D1109" t="s">
        <v>400</v>
      </c>
      <c r="E1109" s="4">
        <v>27.92</v>
      </c>
      <c r="F1109" t="s">
        <v>36</v>
      </c>
      <c r="G1109" s="10" t="str">
        <f>TEXT(Transform_Data[[#This Row],[Date]],"mmm yyyy")</f>
        <v>Jul 2024</v>
      </c>
      <c r="H1109" s="10">
        <f>HOUR(Transform_Data[[#This Row],[Time]])</f>
        <v>20</v>
      </c>
      <c r="I1109" s="10" t="str">
        <f>IF(COUNTIF('Transform Data'!$D:$D,'Transform Data'!D1109)&gt;1,"Repeat","Single")</f>
        <v>Repeat</v>
      </c>
      <c r="J1109" s="10" t="str">
        <f>IF('Transform Data'!D1109="Cash","Cash",IF(COUNTIF('Transform Data'!$D:$D,'Transform Data'!D1109)&gt;1,"Repeat","Single"))</f>
        <v>Repeat</v>
      </c>
      <c r="K1109" s="10" t="str">
        <f t="shared" si="17"/>
        <v>TRANS-1108</v>
      </c>
    </row>
    <row r="1110" spans="1:11" x14ac:dyDescent="0.35">
      <c r="A1110" s="5">
        <v>45503</v>
      </c>
      <c r="B1110" s="3">
        <v>0.8981365740740741</v>
      </c>
      <c r="C1110" t="s">
        <v>8</v>
      </c>
      <c r="D1110" t="s">
        <v>488</v>
      </c>
      <c r="E1110" s="4">
        <v>32.82</v>
      </c>
      <c r="F1110" t="s">
        <v>32</v>
      </c>
      <c r="G1110" s="10" t="str">
        <f>TEXT(Transform_Data[[#This Row],[Date]],"mmm yyyy")</f>
        <v>Jul 2024</v>
      </c>
      <c r="H1110" s="10">
        <f>HOUR(Transform_Data[[#This Row],[Time]])</f>
        <v>21</v>
      </c>
      <c r="I1110" s="10" t="str">
        <f>IF(COUNTIF('Transform Data'!$D:$D,'Transform Data'!D1110)&gt;1,"Repeat","Single")</f>
        <v>Single</v>
      </c>
      <c r="J1110" s="10" t="str">
        <f>IF('Transform Data'!D1110="Cash","Cash",IF(COUNTIF('Transform Data'!$D:$D,'Transform Data'!D1110)&gt;1,"Repeat","Single"))</f>
        <v>Single</v>
      </c>
      <c r="K1110" s="10" t="str">
        <f t="shared" si="17"/>
        <v>TRANS-1109</v>
      </c>
    </row>
    <row r="1111" spans="1:11" x14ac:dyDescent="0.35">
      <c r="A1111" s="5">
        <v>45503</v>
      </c>
      <c r="B1111" s="3">
        <v>0.92732638888888885</v>
      </c>
      <c r="C1111" t="s">
        <v>8</v>
      </c>
      <c r="D1111" t="s">
        <v>489</v>
      </c>
      <c r="E1111" s="4">
        <v>23.02</v>
      </c>
      <c r="F1111" t="s">
        <v>28</v>
      </c>
      <c r="G1111" s="10" t="str">
        <f>TEXT(Transform_Data[[#This Row],[Date]],"mmm yyyy")</f>
        <v>Jul 2024</v>
      </c>
      <c r="H1111" s="10">
        <f>HOUR(Transform_Data[[#This Row],[Time]])</f>
        <v>22</v>
      </c>
      <c r="I1111" s="10" t="str">
        <f>IF(COUNTIF('Transform Data'!$D:$D,'Transform Data'!D1111)&gt;1,"Repeat","Single")</f>
        <v>Repeat</v>
      </c>
      <c r="J1111" s="10" t="str">
        <f>IF('Transform Data'!D1111="Cash","Cash",IF(COUNTIF('Transform Data'!$D:$D,'Transform Data'!D1111)&gt;1,"Repeat","Single"))</f>
        <v>Repeat</v>
      </c>
      <c r="K1111" s="10" t="str">
        <f t="shared" si="17"/>
        <v>TRANS-1110</v>
      </c>
    </row>
    <row r="1112" spans="1:11" x14ac:dyDescent="0.35">
      <c r="A1112" s="5">
        <v>45503</v>
      </c>
      <c r="B1112" s="3">
        <v>0.92799768518518522</v>
      </c>
      <c r="C1112" t="s">
        <v>8</v>
      </c>
      <c r="D1112" t="s">
        <v>489</v>
      </c>
      <c r="E1112" s="4">
        <v>32.82</v>
      </c>
      <c r="F1112" t="s">
        <v>24</v>
      </c>
      <c r="G1112" s="10" t="str">
        <f>TEXT(Transform_Data[[#This Row],[Date]],"mmm yyyy")</f>
        <v>Jul 2024</v>
      </c>
      <c r="H1112" s="10">
        <f>HOUR(Transform_Data[[#This Row],[Time]])</f>
        <v>22</v>
      </c>
      <c r="I1112" s="10" t="str">
        <f>IF(COUNTIF('Transform Data'!$D:$D,'Transform Data'!D1112)&gt;1,"Repeat","Single")</f>
        <v>Repeat</v>
      </c>
      <c r="J1112" s="10" t="str">
        <f>IF('Transform Data'!D1112="Cash","Cash",IF(COUNTIF('Transform Data'!$D:$D,'Transform Data'!D1112)&gt;1,"Repeat","Single"))</f>
        <v>Repeat</v>
      </c>
      <c r="K1112" s="10" t="str">
        <f t="shared" si="17"/>
        <v>TRANS-1111</v>
      </c>
    </row>
    <row r="1113" spans="1:11" x14ac:dyDescent="0.35">
      <c r="A1113" s="5">
        <v>45504</v>
      </c>
      <c r="B1113" s="3">
        <v>0.33324074074074073</v>
      </c>
      <c r="C1113" t="s">
        <v>8</v>
      </c>
      <c r="D1113" t="s">
        <v>476</v>
      </c>
      <c r="E1113" s="4">
        <v>27.92</v>
      </c>
      <c r="F1113" t="s">
        <v>36</v>
      </c>
      <c r="G1113" s="10" t="str">
        <f>TEXT(Transform_Data[[#This Row],[Date]],"mmm yyyy")</f>
        <v>Jul 2024</v>
      </c>
      <c r="H1113" s="10">
        <f>HOUR(Transform_Data[[#This Row],[Time]])</f>
        <v>7</v>
      </c>
      <c r="I1113" s="10" t="str">
        <f>IF(COUNTIF('Transform Data'!$D:$D,'Transform Data'!D1113)&gt;1,"Repeat","Single")</f>
        <v>Repeat</v>
      </c>
      <c r="J1113" s="10" t="str">
        <f>IF('Transform Data'!D1113="Cash","Cash",IF(COUNTIF('Transform Data'!$D:$D,'Transform Data'!D1113)&gt;1,"Repeat","Single"))</f>
        <v>Repeat</v>
      </c>
      <c r="K1113" s="10" t="str">
        <f t="shared" si="17"/>
        <v>TRANS-1112</v>
      </c>
    </row>
    <row r="1114" spans="1:11" x14ac:dyDescent="0.35">
      <c r="A1114" s="5">
        <v>45504</v>
      </c>
      <c r="B1114" s="3">
        <v>0.35950231481481482</v>
      </c>
      <c r="C1114" t="s">
        <v>8</v>
      </c>
      <c r="D1114" t="s">
        <v>490</v>
      </c>
      <c r="E1114" s="4">
        <v>27.92</v>
      </c>
      <c r="F1114" t="s">
        <v>36</v>
      </c>
      <c r="G1114" s="10" t="str">
        <f>TEXT(Transform_Data[[#This Row],[Date]],"mmm yyyy")</f>
        <v>Jul 2024</v>
      </c>
      <c r="H1114" s="10">
        <f>HOUR(Transform_Data[[#This Row],[Time]])</f>
        <v>8</v>
      </c>
      <c r="I1114" s="10" t="str">
        <f>IF(COUNTIF('Transform Data'!$D:$D,'Transform Data'!D1114)&gt;1,"Repeat","Single")</f>
        <v>Repeat</v>
      </c>
      <c r="J1114" s="10" t="str">
        <f>IF('Transform Data'!D1114="Cash","Cash",IF(COUNTIF('Transform Data'!$D:$D,'Transform Data'!D1114)&gt;1,"Repeat","Single"))</f>
        <v>Repeat</v>
      </c>
      <c r="K1114" s="10" t="str">
        <f t="shared" si="17"/>
        <v>TRANS-1113</v>
      </c>
    </row>
    <row r="1115" spans="1:11" x14ac:dyDescent="0.35">
      <c r="A1115" s="5">
        <v>45504</v>
      </c>
      <c r="B1115" s="3">
        <v>0.36016203703703703</v>
      </c>
      <c r="C1115" t="s">
        <v>8</v>
      </c>
      <c r="D1115" t="s">
        <v>490</v>
      </c>
      <c r="E1115" s="4">
        <v>27.92</v>
      </c>
      <c r="F1115" t="s">
        <v>36</v>
      </c>
      <c r="G1115" s="10" t="str">
        <f>TEXT(Transform_Data[[#This Row],[Date]],"mmm yyyy")</f>
        <v>Jul 2024</v>
      </c>
      <c r="H1115" s="10">
        <f>HOUR(Transform_Data[[#This Row],[Time]])</f>
        <v>8</v>
      </c>
      <c r="I1115" s="10" t="str">
        <f>IF(COUNTIF('Transform Data'!$D:$D,'Transform Data'!D1115)&gt;1,"Repeat","Single")</f>
        <v>Repeat</v>
      </c>
      <c r="J1115" s="10" t="str">
        <f>IF('Transform Data'!D1115="Cash","Cash",IF(COUNTIF('Transform Data'!$D:$D,'Transform Data'!D1115)&gt;1,"Repeat","Single"))</f>
        <v>Repeat</v>
      </c>
      <c r="K1115" s="10" t="str">
        <f t="shared" si="17"/>
        <v>TRANS-1114</v>
      </c>
    </row>
    <row r="1116" spans="1:11" x14ac:dyDescent="0.35">
      <c r="A1116" s="5">
        <v>45504</v>
      </c>
      <c r="B1116" s="3">
        <v>0.41302083333333334</v>
      </c>
      <c r="C1116" t="s">
        <v>8</v>
      </c>
      <c r="D1116" t="s">
        <v>441</v>
      </c>
      <c r="E1116" s="4">
        <v>23.02</v>
      </c>
      <c r="F1116" t="s">
        <v>28</v>
      </c>
      <c r="G1116" s="10" t="str">
        <f>TEXT(Transform_Data[[#This Row],[Date]],"mmm yyyy")</f>
        <v>Jul 2024</v>
      </c>
      <c r="H1116" s="10">
        <f>HOUR(Transform_Data[[#This Row],[Time]])</f>
        <v>9</v>
      </c>
      <c r="I1116" s="10" t="str">
        <f>IF(COUNTIF('Transform Data'!$D:$D,'Transform Data'!D1116)&gt;1,"Repeat","Single")</f>
        <v>Repeat</v>
      </c>
      <c r="J1116" s="10" t="str">
        <f>IF('Transform Data'!D1116="Cash","Cash",IF(COUNTIF('Transform Data'!$D:$D,'Transform Data'!D1116)&gt;1,"Repeat","Single"))</f>
        <v>Repeat</v>
      </c>
      <c r="K1116" s="10" t="str">
        <f t="shared" si="17"/>
        <v>TRANS-1115</v>
      </c>
    </row>
    <row r="1117" spans="1:11" x14ac:dyDescent="0.35">
      <c r="A1117" s="5">
        <v>45504</v>
      </c>
      <c r="B1117" s="3">
        <v>0.41371527777777778</v>
      </c>
      <c r="C1117" t="s">
        <v>8</v>
      </c>
      <c r="D1117" t="s">
        <v>441</v>
      </c>
      <c r="E1117" s="4">
        <v>23.02</v>
      </c>
      <c r="F1117" t="s">
        <v>28</v>
      </c>
      <c r="G1117" s="10" t="str">
        <f>TEXT(Transform_Data[[#This Row],[Date]],"mmm yyyy")</f>
        <v>Jul 2024</v>
      </c>
      <c r="H1117" s="10">
        <f>HOUR(Transform_Data[[#This Row],[Time]])</f>
        <v>9</v>
      </c>
      <c r="I1117" s="10" t="str">
        <f>IF(COUNTIF('Transform Data'!$D:$D,'Transform Data'!D1117)&gt;1,"Repeat","Single")</f>
        <v>Repeat</v>
      </c>
      <c r="J1117" s="10" t="str">
        <f>IF('Transform Data'!D1117="Cash","Cash",IF(COUNTIF('Transform Data'!$D:$D,'Transform Data'!D1117)&gt;1,"Repeat","Single"))</f>
        <v>Repeat</v>
      </c>
      <c r="K1117" s="10" t="str">
        <f t="shared" si="17"/>
        <v>TRANS-1116</v>
      </c>
    </row>
    <row r="1118" spans="1:11" x14ac:dyDescent="0.35">
      <c r="A1118" s="5">
        <v>45504</v>
      </c>
      <c r="B1118" s="3">
        <v>0.41545138888888888</v>
      </c>
      <c r="C1118" t="s">
        <v>8</v>
      </c>
      <c r="D1118" t="s">
        <v>29</v>
      </c>
      <c r="E1118" s="4">
        <v>27.92</v>
      </c>
      <c r="F1118" t="s">
        <v>36</v>
      </c>
      <c r="G1118" s="10" t="str">
        <f>TEXT(Transform_Data[[#This Row],[Date]],"mmm yyyy")</f>
        <v>Jul 2024</v>
      </c>
      <c r="H1118" s="10">
        <f>HOUR(Transform_Data[[#This Row],[Time]])</f>
        <v>9</v>
      </c>
      <c r="I1118" s="10" t="str">
        <f>IF(COUNTIF('Transform Data'!$D:$D,'Transform Data'!D1118)&gt;1,"Repeat","Single")</f>
        <v>Repeat</v>
      </c>
      <c r="J1118" s="10" t="str">
        <f>IF('Transform Data'!D1118="Cash","Cash",IF(COUNTIF('Transform Data'!$D:$D,'Transform Data'!D1118)&gt;1,"Repeat","Single"))</f>
        <v>Repeat</v>
      </c>
      <c r="K1118" s="10" t="str">
        <f t="shared" si="17"/>
        <v>TRANS-1117</v>
      </c>
    </row>
    <row r="1119" spans="1:11" x14ac:dyDescent="0.35">
      <c r="A1119" s="5">
        <v>45504</v>
      </c>
      <c r="B1119" s="3">
        <v>0.54979166666666668</v>
      </c>
      <c r="C1119" t="s">
        <v>8</v>
      </c>
      <c r="D1119" t="s">
        <v>437</v>
      </c>
      <c r="E1119" s="4">
        <v>32.82</v>
      </c>
      <c r="F1119" t="s">
        <v>10</v>
      </c>
      <c r="G1119" s="10" t="str">
        <f>TEXT(Transform_Data[[#This Row],[Date]],"mmm yyyy")</f>
        <v>Jul 2024</v>
      </c>
      <c r="H1119" s="10">
        <f>HOUR(Transform_Data[[#This Row],[Time]])</f>
        <v>13</v>
      </c>
      <c r="I1119" s="10" t="str">
        <f>IF(COUNTIF('Transform Data'!$D:$D,'Transform Data'!D1119)&gt;1,"Repeat","Single")</f>
        <v>Repeat</v>
      </c>
      <c r="J1119" s="10" t="str">
        <f>IF('Transform Data'!D1119="Cash","Cash",IF(COUNTIF('Transform Data'!$D:$D,'Transform Data'!D1119)&gt;1,"Repeat","Single"))</f>
        <v>Repeat</v>
      </c>
      <c r="K1119" s="10" t="str">
        <f t="shared" si="17"/>
        <v>TRANS-1118</v>
      </c>
    </row>
    <row r="1120" spans="1:11" x14ac:dyDescent="0.35">
      <c r="A1120" s="5">
        <v>45504</v>
      </c>
      <c r="B1120" s="3">
        <v>0.55138888888888893</v>
      </c>
      <c r="C1120" t="s">
        <v>8</v>
      </c>
      <c r="D1120" t="s">
        <v>437</v>
      </c>
      <c r="E1120" s="4">
        <v>32.82</v>
      </c>
      <c r="F1120" t="s">
        <v>32</v>
      </c>
      <c r="G1120" s="10" t="str">
        <f>TEXT(Transform_Data[[#This Row],[Date]],"mmm yyyy")</f>
        <v>Jul 2024</v>
      </c>
      <c r="H1120" s="10">
        <f>HOUR(Transform_Data[[#This Row],[Time]])</f>
        <v>13</v>
      </c>
      <c r="I1120" s="10" t="str">
        <f>IF(COUNTIF('Transform Data'!$D:$D,'Transform Data'!D1120)&gt;1,"Repeat","Single")</f>
        <v>Repeat</v>
      </c>
      <c r="J1120" s="10" t="str">
        <f>IF('Transform Data'!D1120="Cash","Cash",IF(COUNTIF('Transform Data'!$D:$D,'Transform Data'!D1120)&gt;1,"Repeat","Single"))</f>
        <v>Repeat</v>
      </c>
      <c r="K1120" s="10" t="str">
        <f t="shared" si="17"/>
        <v>TRANS-1119</v>
      </c>
    </row>
    <row r="1121" spans="1:11" x14ac:dyDescent="0.35">
      <c r="A1121" s="5">
        <v>45504</v>
      </c>
      <c r="B1121" s="3">
        <v>0.55890046296296292</v>
      </c>
      <c r="C1121" t="s">
        <v>8</v>
      </c>
      <c r="D1121" t="s">
        <v>491</v>
      </c>
      <c r="E1121" s="4">
        <v>27.92</v>
      </c>
      <c r="F1121" t="s">
        <v>36</v>
      </c>
      <c r="G1121" s="10" t="str">
        <f>TEXT(Transform_Data[[#This Row],[Date]],"mmm yyyy")</f>
        <v>Jul 2024</v>
      </c>
      <c r="H1121" s="10">
        <f>HOUR(Transform_Data[[#This Row],[Time]])</f>
        <v>13</v>
      </c>
      <c r="I1121" s="10" t="str">
        <f>IF(COUNTIF('Transform Data'!$D:$D,'Transform Data'!D1121)&gt;1,"Repeat","Single")</f>
        <v>Single</v>
      </c>
      <c r="J1121" s="10" t="str">
        <f>IF('Transform Data'!D1121="Cash","Cash",IF(COUNTIF('Transform Data'!$D:$D,'Transform Data'!D1121)&gt;1,"Repeat","Single"))</f>
        <v>Single</v>
      </c>
      <c r="K1121" s="10" t="str">
        <f t="shared" si="17"/>
        <v>TRANS-1120</v>
      </c>
    </row>
    <row r="1122" spans="1:11" x14ac:dyDescent="0.35">
      <c r="A1122" s="5">
        <v>45504</v>
      </c>
      <c r="B1122" s="3">
        <v>0.74173611111111115</v>
      </c>
      <c r="C1122" t="s">
        <v>8</v>
      </c>
      <c r="D1122" t="s">
        <v>492</v>
      </c>
      <c r="E1122" s="4">
        <v>23.02</v>
      </c>
      <c r="F1122" t="s">
        <v>20</v>
      </c>
      <c r="G1122" s="10" t="str">
        <f>TEXT(Transform_Data[[#This Row],[Date]],"mmm yyyy")</f>
        <v>Jul 2024</v>
      </c>
      <c r="H1122" s="10">
        <f>HOUR(Transform_Data[[#This Row],[Time]])</f>
        <v>17</v>
      </c>
      <c r="I1122" s="10" t="str">
        <f>IF(COUNTIF('Transform Data'!$D:$D,'Transform Data'!D1122)&gt;1,"Repeat","Single")</f>
        <v>Single</v>
      </c>
      <c r="J1122" s="10" t="str">
        <f>IF('Transform Data'!D1122="Cash","Cash",IF(COUNTIF('Transform Data'!$D:$D,'Transform Data'!D1122)&gt;1,"Repeat","Single"))</f>
        <v>Single</v>
      </c>
      <c r="K1122" s="10" t="str">
        <f t="shared" si="17"/>
        <v>TRANS-1121</v>
      </c>
    </row>
    <row r="1123" spans="1:11" x14ac:dyDescent="0.35">
      <c r="A1123" s="5">
        <v>45504</v>
      </c>
      <c r="B1123" s="3">
        <v>0.75293981481481487</v>
      </c>
      <c r="C1123" t="s">
        <v>8</v>
      </c>
      <c r="D1123" t="s">
        <v>493</v>
      </c>
      <c r="E1123" s="4">
        <v>32.82</v>
      </c>
      <c r="F1123" t="s">
        <v>32</v>
      </c>
      <c r="G1123" s="10" t="str">
        <f>TEXT(Transform_Data[[#This Row],[Date]],"mmm yyyy")</f>
        <v>Jul 2024</v>
      </c>
      <c r="H1123" s="10">
        <f>HOUR(Transform_Data[[#This Row],[Time]])</f>
        <v>18</v>
      </c>
      <c r="I1123" s="10" t="str">
        <f>IF(COUNTIF('Transform Data'!$D:$D,'Transform Data'!D1123)&gt;1,"Repeat","Single")</f>
        <v>Repeat</v>
      </c>
      <c r="J1123" s="10" t="str">
        <f>IF('Transform Data'!D1123="Cash","Cash",IF(COUNTIF('Transform Data'!$D:$D,'Transform Data'!D1123)&gt;1,"Repeat","Single"))</f>
        <v>Repeat</v>
      </c>
      <c r="K1123" s="10" t="str">
        <f t="shared" si="17"/>
        <v>TRANS-1122</v>
      </c>
    </row>
    <row r="1124" spans="1:11" x14ac:dyDescent="0.35">
      <c r="A1124" s="5">
        <v>45504</v>
      </c>
      <c r="B1124" s="3">
        <v>0.80738425925925927</v>
      </c>
      <c r="C1124" t="s">
        <v>8</v>
      </c>
      <c r="D1124" t="s">
        <v>494</v>
      </c>
      <c r="E1124" s="4">
        <v>23.02</v>
      </c>
      <c r="F1124" t="s">
        <v>20</v>
      </c>
      <c r="G1124" s="10" t="str">
        <f>TEXT(Transform_Data[[#This Row],[Date]],"mmm yyyy")</f>
        <v>Jul 2024</v>
      </c>
      <c r="H1124" s="10">
        <f>HOUR(Transform_Data[[#This Row],[Time]])</f>
        <v>19</v>
      </c>
      <c r="I1124" s="10" t="str">
        <f>IF(COUNTIF('Transform Data'!$D:$D,'Transform Data'!D1124)&gt;1,"Repeat","Single")</f>
        <v>Single</v>
      </c>
      <c r="J1124" s="10" t="str">
        <f>IF('Transform Data'!D1124="Cash","Cash",IF(COUNTIF('Transform Data'!$D:$D,'Transform Data'!D1124)&gt;1,"Repeat","Single"))</f>
        <v>Single</v>
      </c>
      <c r="K1124" s="10" t="str">
        <f t="shared" si="17"/>
        <v>TRANS-1123</v>
      </c>
    </row>
    <row r="1125" spans="1:11" x14ac:dyDescent="0.35">
      <c r="A1125" s="5">
        <v>45504</v>
      </c>
      <c r="B1125" s="3">
        <v>0.81163194444444442</v>
      </c>
      <c r="C1125" t="s">
        <v>8</v>
      </c>
      <c r="D1125" t="s">
        <v>25</v>
      </c>
      <c r="E1125" s="4">
        <v>32.82</v>
      </c>
      <c r="F1125" t="s">
        <v>32</v>
      </c>
      <c r="G1125" s="10" t="str">
        <f>TEXT(Transform_Data[[#This Row],[Date]],"mmm yyyy")</f>
        <v>Jul 2024</v>
      </c>
      <c r="H1125" s="10">
        <f>HOUR(Transform_Data[[#This Row],[Time]])</f>
        <v>19</v>
      </c>
      <c r="I1125" s="10" t="str">
        <f>IF(COUNTIF('Transform Data'!$D:$D,'Transform Data'!D1125)&gt;1,"Repeat","Single")</f>
        <v>Repeat</v>
      </c>
      <c r="J1125" s="10" t="str">
        <f>IF('Transform Data'!D1125="Cash","Cash",IF(COUNTIF('Transform Data'!$D:$D,'Transform Data'!D1125)&gt;1,"Repeat","Single"))</f>
        <v>Repeat</v>
      </c>
      <c r="K1125" s="10" t="str">
        <f t="shared" si="17"/>
        <v>TRANS-1124</v>
      </c>
    </row>
    <row r="1126" spans="1:11" x14ac:dyDescent="0.35">
      <c r="A1126" s="5">
        <v>45504</v>
      </c>
      <c r="B1126" s="3">
        <v>0.86576388888888889</v>
      </c>
      <c r="C1126" t="s">
        <v>8</v>
      </c>
      <c r="D1126" t="s">
        <v>495</v>
      </c>
      <c r="E1126" s="4">
        <v>32.82</v>
      </c>
      <c r="F1126" t="s">
        <v>10</v>
      </c>
      <c r="G1126" s="10" t="str">
        <f>TEXT(Transform_Data[[#This Row],[Date]],"mmm yyyy")</f>
        <v>Jul 2024</v>
      </c>
      <c r="H1126" s="10">
        <f>HOUR(Transform_Data[[#This Row],[Time]])</f>
        <v>20</v>
      </c>
      <c r="I1126" s="10" t="str">
        <f>IF(COUNTIF('Transform Data'!$D:$D,'Transform Data'!D1126)&gt;1,"Repeat","Single")</f>
        <v>Repeat</v>
      </c>
      <c r="J1126" s="10" t="str">
        <f>IF('Transform Data'!D1126="Cash","Cash",IF(COUNTIF('Transform Data'!$D:$D,'Transform Data'!D1126)&gt;1,"Repeat","Single"))</f>
        <v>Repeat</v>
      </c>
      <c r="K1126" s="10" t="str">
        <f t="shared" si="17"/>
        <v>TRANS-1125</v>
      </c>
    </row>
    <row r="1127" spans="1:11" x14ac:dyDescent="0.35">
      <c r="A1127" s="5">
        <v>45504</v>
      </c>
      <c r="B1127" s="3">
        <v>0.86813657407407407</v>
      </c>
      <c r="C1127" t="s">
        <v>8</v>
      </c>
      <c r="D1127" t="s">
        <v>496</v>
      </c>
      <c r="E1127" s="4">
        <v>23.02</v>
      </c>
      <c r="F1127" t="s">
        <v>20</v>
      </c>
      <c r="G1127" s="10" t="str">
        <f>TEXT(Transform_Data[[#This Row],[Date]],"mmm yyyy")</f>
        <v>Jul 2024</v>
      </c>
      <c r="H1127" s="10">
        <f>HOUR(Transform_Data[[#This Row],[Time]])</f>
        <v>20</v>
      </c>
      <c r="I1127" s="10" t="str">
        <f>IF(COUNTIF('Transform Data'!$D:$D,'Transform Data'!D1127)&gt;1,"Repeat","Single")</f>
        <v>Repeat</v>
      </c>
      <c r="J1127" s="10" t="str">
        <f>IF('Transform Data'!D1127="Cash","Cash",IF(COUNTIF('Transform Data'!$D:$D,'Transform Data'!D1127)&gt;1,"Repeat","Single"))</f>
        <v>Repeat</v>
      </c>
      <c r="K1127" s="10" t="str">
        <f t="shared" si="17"/>
        <v>TRANS-1126</v>
      </c>
    </row>
    <row r="1128" spans="1:11" x14ac:dyDescent="0.35">
      <c r="A1128" s="5">
        <v>45504</v>
      </c>
      <c r="B1128" s="3">
        <v>0.86886574074074074</v>
      </c>
      <c r="C1128" t="s">
        <v>8</v>
      </c>
      <c r="D1128" t="s">
        <v>496</v>
      </c>
      <c r="E1128" s="4">
        <v>32.82</v>
      </c>
      <c r="F1128" t="s">
        <v>32</v>
      </c>
      <c r="G1128" s="10" t="str">
        <f>TEXT(Transform_Data[[#This Row],[Date]],"mmm yyyy")</f>
        <v>Jul 2024</v>
      </c>
      <c r="H1128" s="10">
        <f>HOUR(Transform_Data[[#This Row],[Time]])</f>
        <v>20</v>
      </c>
      <c r="I1128" s="10" t="str">
        <f>IF(COUNTIF('Transform Data'!$D:$D,'Transform Data'!D1128)&gt;1,"Repeat","Single")</f>
        <v>Repeat</v>
      </c>
      <c r="J1128" s="10" t="str">
        <f>IF('Transform Data'!D1128="Cash","Cash",IF(COUNTIF('Transform Data'!$D:$D,'Transform Data'!D1128)&gt;1,"Repeat","Single"))</f>
        <v>Repeat</v>
      </c>
      <c r="K1128" s="10" t="str">
        <f t="shared" si="17"/>
        <v>TRANS-1127</v>
      </c>
    </row>
    <row r="1129" spans="1:11" x14ac:dyDescent="0.35">
      <c r="A1129" s="5">
        <v>45504</v>
      </c>
      <c r="B1129" s="3">
        <v>0.86960648148148145</v>
      </c>
      <c r="C1129" t="s">
        <v>8</v>
      </c>
      <c r="D1129" t="s">
        <v>207</v>
      </c>
      <c r="E1129" s="4">
        <v>32.82</v>
      </c>
      <c r="F1129" t="s">
        <v>24</v>
      </c>
      <c r="G1129" s="10" t="str">
        <f>TEXT(Transform_Data[[#This Row],[Date]],"mmm yyyy")</f>
        <v>Jul 2024</v>
      </c>
      <c r="H1129" s="10">
        <f>HOUR(Transform_Data[[#This Row],[Time]])</f>
        <v>20</v>
      </c>
      <c r="I1129" s="10" t="str">
        <f>IF(COUNTIF('Transform Data'!$D:$D,'Transform Data'!D1129)&gt;1,"Repeat","Single")</f>
        <v>Repeat</v>
      </c>
      <c r="J1129" s="10" t="str">
        <f>IF('Transform Data'!D1129="Cash","Cash",IF(COUNTIF('Transform Data'!$D:$D,'Transform Data'!D1129)&gt;1,"Repeat","Single"))</f>
        <v>Repeat</v>
      </c>
      <c r="K1129" s="10" t="str">
        <f t="shared" si="17"/>
        <v>TRANS-1128</v>
      </c>
    </row>
    <row r="1130" spans="1:11" x14ac:dyDescent="0.35">
      <c r="A1130" s="5">
        <v>45504</v>
      </c>
      <c r="B1130" s="3">
        <v>0.87054398148148149</v>
      </c>
      <c r="C1130" t="s">
        <v>8</v>
      </c>
      <c r="D1130" t="s">
        <v>496</v>
      </c>
      <c r="E1130" s="4">
        <v>23.02</v>
      </c>
      <c r="F1130" t="s">
        <v>20</v>
      </c>
      <c r="G1130" s="10" t="str">
        <f>TEXT(Transform_Data[[#This Row],[Date]],"mmm yyyy")</f>
        <v>Jul 2024</v>
      </c>
      <c r="H1130" s="10">
        <f>HOUR(Transform_Data[[#This Row],[Time]])</f>
        <v>20</v>
      </c>
      <c r="I1130" s="10" t="str">
        <f>IF(COUNTIF('Transform Data'!$D:$D,'Transform Data'!D1130)&gt;1,"Repeat","Single")</f>
        <v>Repeat</v>
      </c>
      <c r="J1130" s="10" t="str">
        <f>IF('Transform Data'!D1130="Cash","Cash",IF(COUNTIF('Transform Data'!$D:$D,'Transform Data'!D1130)&gt;1,"Repeat","Single"))</f>
        <v>Repeat</v>
      </c>
      <c r="K1130" s="10" t="str">
        <f t="shared" si="17"/>
        <v>TRANS-1129</v>
      </c>
    </row>
    <row r="1131" spans="1:11" x14ac:dyDescent="0.35">
      <c r="A1131" s="5">
        <v>45504</v>
      </c>
      <c r="B1131" s="3">
        <v>0.87459490740740742</v>
      </c>
      <c r="C1131" t="s">
        <v>8</v>
      </c>
      <c r="D1131" t="s">
        <v>16</v>
      </c>
      <c r="E1131" s="4">
        <v>27.92</v>
      </c>
      <c r="F1131" t="s">
        <v>36</v>
      </c>
      <c r="G1131" s="10" t="str">
        <f>TEXT(Transform_Data[[#This Row],[Date]],"mmm yyyy")</f>
        <v>Jul 2024</v>
      </c>
      <c r="H1131" s="10">
        <f>HOUR(Transform_Data[[#This Row],[Time]])</f>
        <v>20</v>
      </c>
      <c r="I1131" s="10" t="str">
        <f>IF(COUNTIF('Transform Data'!$D:$D,'Transform Data'!D1131)&gt;1,"Repeat","Single")</f>
        <v>Repeat</v>
      </c>
      <c r="J1131" s="10" t="str">
        <f>IF('Transform Data'!D1131="Cash","Cash",IF(COUNTIF('Transform Data'!$D:$D,'Transform Data'!D1131)&gt;1,"Repeat","Single"))</f>
        <v>Repeat</v>
      </c>
      <c r="K1131" s="10" t="str">
        <f t="shared" si="17"/>
        <v>TRANS-1130</v>
      </c>
    </row>
    <row r="1132" spans="1:11" x14ac:dyDescent="0.35">
      <c r="A1132" s="5">
        <v>45504</v>
      </c>
      <c r="B1132" s="3">
        <v>0.8933564814814815</v>
      </c>
      <c r="C1132" t="s">
        <v>8</v>
      </c>
      <c r="D1132" t="s">
        <v>497</v>
      </c>
      <c r="E1132" s="4">
        <v>32.82</v>
      </c>
      <c r="F1132" t="s">
        <v>32</v>
      </c>
      <c r="G1132" s="10" t="str">
        <f>TEXT(Transform_Data[[#This Row],[Date]],"mmm yyyy")</f>
        <v>Jul 2024</v>
      </c>
      <c r="H1132" s="10">
        <f>HOUR(Transform_Data[[#This Row],[Time]])</f>
        <v>21</v>
      </c>
      <c r="I1132" s="10" t="str">
        <f>IF(COUNTIF('Transform Data'!$D:$D,'Transform Data'!D1132)&gt;1,"Repeat","Single")</f>
        <v>Single</v>
      </c>
      <c r="J1132" s="10" t="str">
        <f>IF('Transform Data'!D1132="Cash","Cash",IF(COUNTIF('Transform Data'!$D:$D,'Transform Data'!D1132)&gt;1,"Repeat","Single"))</f>
        <v>Single</v>
      </c>
      <c r="K1132" s="10" t="str">
        <f t="shared" si="17"/>
        <v>TRANS-1131</v>
      </c>
    </row>
    <row r="1133" spans="1:11" x14ac:dyDescent="0.35">
      <c r="A1133" s="5">
        <v>45504</v>
      </c>
      <c r="B1133" s="3">
        <v>0.91262731481481485</v>
      </c>
      <c r="C1133" t="s">
        <v>8</v>
      </c>
      <c r="D1133" t="s">
        <v>498</v>
      </c>
      <c r="E1133" s="4">
        <v>32.82</v>
      </c>
      <c r="F1133" t="s">
        <v>32</v>
      </c>
      <c r="G1133" s="10" t="str">
        <f>TEXT(Transform_Data[[#This Row],[Date]],"mmm yyyy")</f>
        <v>Jul 2024</v>
      </c>
      <c r="H1133" s="10">
        <f>HOUR(Transform_Data[[#This Row],[Time]])</f>
        <v>21</v>
      </c>
      <c r="I1133" s="10" t="str">
        <f>IF(COUNTIF('Transform Data'!$D:$D,'Transform Data'!D1133)&gt;1,"Repeat","Single")</f>
        <v>Repeat</v>
      </c>
      <c r="J1133" s="10" t="str">
        <f>IF('Transform Data'!D1133="Cash","Cash",IF(COUNTIF('Transform Data'!$D:$D,'Transform Data'!D1133)&gt;1,"Repeat","Single"))</f>
        <v>Repeat</v>
      </c>
      <c r="K1133" s="10" t="str">
        <f t="shared" si="17"/>
        <v>TRANS-1132</v>
      </c>
    </row>
    <row r="1134" spans="1:11" x14ac:dyDescent="0.35">
      <c r="A1134" s="5">
        <v>45504</v>
      </c>
      <c r="B1134" s="3">
        <v>0.9133796296296296</v>
      </c>
      <c r="C1134" t="s">
        <v>8</v>
      </c>
      <c r="D1134" t="s">
        <v>499</v>
      </c>
      <c r="E1134" s="4">
        <v>32.82</v>
      </c>
      <c r="F1134" t="s">
        <v>32</v>
      </c>
      <c r="G1134" s="10" t="str">
        <f>TEXT(Transform_Data[[#This Row],[Date]],"mmm yyyy")</f>
        <v>Jul 2024</v>
      </c>
      <c r="H1134" s="10">
        <f>HOUR(Transform_Data[[#This Row],[Time]])</f>
        <v>21</v>
      </c>
      <c r="I1134" s="10" t="str">
        <f>IF(COUNTIF('Transform Data'!$D:$D,'Transform Data'!D1134)&gt;1,"Repeat","Single")</f>
        <v>Single</v>
      </c>
      <c r="J1134" s="10" t="str">
        <f>IF('Transform Data'!D1134="Cash","Cash",IF(COUNTIF('Transform Data'!$D:$D,'Transform Data'!D1134)&gt;1,"Repeat","Single"))</f>
        <v>Single</v>
      </c>
      <c r="K1134" s="10" t="str">
        <f t="shared" si="17"/>
        <v>TRANS-1133</v>
      </c>
    </row>
    <row r="1135" spans="1:11" x14ac:dyDescent="0.35">
      <c r="A1135" s="5">
        <v>45505</v>
      </c>
      <c r="B1135" s="3">
        <v>0.31319444444444444</v>
      </c>
      <c r="C1135" t="s">
        <v>8</v>
      </c>
      <c r="D1135" t="s">
        <v>476</v>
      </c>
      <c r="E1135" s="4">
        <v>27.92</v>
      </c>
      <c r="F1135" t="s">
        <v>36</v>
      </c>
      <c r="G1135" s="10" t="str">
        <f>TEXT(Transform_Data[[#This Row],[Date]],"mmm yyyy")</f>
        <v>Aug 2024</v>
      </c>
      <c r="H1135" s="10">
        <f>HOUR(Transform_Data[[#This Row],[Time]])</f>
        <v>7</v>
      </c>
      <c r="I1135" s="10" t="str">
        <f>IF(COUNTIF('Transform Data'!$D:$D,'Transform Data'!D1135)&gt;1,"Repeat","Single")</f>
        <v>Repeat</v>
      </c>
      <c r="J1135" s="10" t="str">
        <f>IF('Transform Data'!D1135="Cash","Cash",IF(COUNTIF('Transform Data'!$D:$D,'Transform Data'!D1135)&gt;1,"Repeat","Single"))</f>
        <v>Repeat</v>
      </c>
      <c r="K1135" s="10" t="str">
        <f t="shared" si="17"/>
        <v>TRANS-1134</v>
      </c>
    </row>
    <row r="1136" spans="1:11" x14ac:dyDescent="0.35">
      <c r="A1136" s="5">
        <v>45505</v>
      </c>
      <c r="B1136" s="3">
        <v>0.3925925925925926</v>
      </c>
      <c r="C1136" t="s">
        <v>8</v>
      </c>
      <c r="D1136" t="s">
        <v>29</v>
      </c>
      <c r="E1136" s="4">
        <v>27.92</v>
      </c>
      <c r="F1136" t="s">
        <v>36</v>
      </c>
      <c r="G1136" s="10" t="str">
        <f>TEXT(Transform_Data[[#This Row],[Date]],"mmm yyyy")</f>
        <v>Aug 2024</v>
      </c>
      <c r="H1136" s="10">
        <f>HOUR(Transform_Data[[#This Row],[Time]])</f>
        <v>9</v>
      </c>
      <c r="I1136" s="10" t="str">
        <f>IF(COUNTIF('Transform Data'!$D:$D,'Transform Data'!D1136)&gt;1,"Repeat","Single")</f>
        <v>Repeat</v>
      </c>
      <c r="J1136" s="10" t="str">
        <f>IF('Transform Data'!D1136="Cash","Cash",IF(COUNTIF('Transform Data'!$D:$D,'Transform Data'!D1136)&gt;1,"Repeat","Single"))</f>
        <v>Repeat</v>
      </c>
      <c r="K1136" s="10" t="str">
        <f t="shared" si="17"/>
        <v>TRANS-1135</v>
      </c>
    </row>
    <row r="1137" spans="1:11" x14ac:dyDescent="0.35">
      <c r="A1137" s="5">
        <v>45505</v>
      </c>
      <c r="B1137" s="3">
        <v>0.46127314814814813</v>
      </c>
      <c r="C1137" t="s">
        <v>8</v>
      </c>
      <c r="D1137" t="s">
        <v>11</v>
      </c>
      <c r="E1137" s="4">
        <v>27.92</v>
      </c>
      <c r="F1137" t="s">
        <v>36</v>
      </c>
      <c r="G1137" s="10" t="str">
        <f>TEXT(Transform_Data[[#This Row],[Date]],"mmm yyyy")</f>
        <v>Aug 2024</v>
      </c>
      <c r="H1137" s="10">
        <f>HOUR(Transform_Data[[#This Row],[Time]])</f>
        <v>11</v>
      </c>
      <c r="I1137" s="10" t="str">
        <f>IF(COUNTIF('Transform Data'!$D:$D,'Transform Data'!D1137)&gt;1,"Repeat","Single")</f>
        <v>Repeat</v>
      </c>
      <c r="J1137" s="10" t="str">
        <f>IF('Transform Data'!D1137="Cash","Cash",IF(COUNTIF('Transform Data'!$D:$D,'Transform Data'!D1137)&gt;1,"Repeat","Single"))</f>
        <v>Repeat</v>
      </c>
      <c r="K1137" s="10" t="str">
        <f t="shared" si="17"/>
        <v>TRANS-1136</v>
      </c>
    </row>
    <row r="1138" spans="1:11" x14ac:dyDescent="0.35">
      <c r="A1138" s="5">
        <v>45505</v>
      </c>
      <c r="B1138" s="3">
        <v>0.47414351851851849</v>
      </c>
      <c r="C1138" t="s">
        <v>8</v>
      </c>
      <c r="D1138" t="s">
        <v>500</v>
      </c>
      <c r="E1138" s="4">
        <v>27.92</v>
      </c>
      <c r="F1138" t="s">
        <v>36</v>
      </c>
      <c r="G1138" s="10" t="str">
        <f>TEXT(Transform_Data[[#This Row],[Date]],"mmm yyyy")</f>
        <v>Aug 2024</v>
      </c>
      <c r="H1138" s="10">
        <f>HOUR(Transform_Data[[#This Row],[Time]])</f>
        <v>11</v>
      </c>
      <c r="I1138" s="10" t="str">
        <f>IF(COUNTIF('Transform Data'!$D:$D,'Transform Data'!D1138)&gt;1,"Repeat","Single")</f>
        <v>Single</v>
      </c>
      <c r="J1138" s="10" t="str">
        <f>IF('Transform Data'!D1138="Cash","Cash",IF(COUNTIF('Transform Data'!$D:$D,'Transform Data'!D1138)&gt;1,"Repeat","Single"))</f>
        <v>Single</v>
      </c>
      <c r="K1138" s="10" t="str">
        <f t="shared" si="17"/>
        <v>TRANS-1137</v>
      </c>
    </row>
    <row r="1139" spans="1:11" x14ac:dyDescent="0.35">
      <c r="A1139" s="5">
        <v>45505</v>
      </c>
      <c r="B1139" s="3">
        <v>0.55747685185185181</v>
      </c>
      <c r="C1139" t="s">
        <v>8</v>
      </c>
      <c r="D1139" t="s">
        <v>501</v>
      </c>
      <c r="E1139" s="4">
        <v>23.02</v>
      </c>
      <c r="F1139" t="s">
        <v>20</v>
      </c>
      <c r="G1139" s="10" t="str">
        <f>TEXT(Transform_Data[[#This Row],[Date]],"mmm yyyy")</f>
        <v>Aug 2024</v>
      </c>
      <c r="H1139" s="10">
        <f>HOUR(Transform_Data[[#This Row],[Time]])</f>
        <v>13</v>
      </c>
      <c r="I1139" s="10" t="str">
        <f>IF(COUNTIF('Transform Data'!$D:$D,'Transform Data'!D1139)&gt;1,"Repeat","Single")</f>
        <v>Repeat</v>
      </c>
      <c r="J1139" s="10" t="str">
        <f>IF('Transform Data'!D1139="Cash","Cash",IF(COUNTIF('Transform Data'!$D:$D,'Transform Data'!D1139)&gt;1,"Repeat","Single"))</f>
        <v>Repeat</v>
      </c>
      <c r="K1139" s="10" t="str">
        <f t="shared" si="17"/>
        <v>TRANS-1138</v>
      </c>
    </row>
    <row r="1140" spans="1:11" x14ac:dyDescent="0.35">
      <c r="A1140" s="5">
        <v>45505</v>
      </c>
      <c r="B1140" s="3">
        <v>0.55806712962962968</v>
      </c>
      <c r="C1140" t="s">
        <v>8</v>
      </c>
      <c r="D1140" t="s">
        <v>501</v>
      </c>
      <c r="E1140" s="4">
        <v>32.82</v>
      </c>
      <c r="F1140" t="s">
        <v>24</v>
      </c>
      <c r="G1140" s="10" t="str">
        <f>TEXT(Transform_Data[[#This Row],[Date]],"mmm yyyy")</f>
        <v>Aug 2024</v>
      </c>
      <c r="H1140" s="10">
        <f>HOUR(Transform_Data[[#This Row],[Time]])</f>
        <v>13</v>
      </c>
      <c r="I1140" s="10" t="str">
        <f>IF(COUNTIF('Transform Data'!$D:$D,'Transform Data'!D1140)&gt;1,"Repeat","Single")</f>
        <v>Repeat</v>
      </c>
      <c r="J1140" s="10" t="str">
        <f>IF('Transform Data'!D1140="Cash","Cash",IF(COUNTIF('Transform Data'!$D:$D,'Transform Data'!D1140)&gt;1,"Repeat","Single"))</f>
        <v>Repeat</v>
      </c>
      <c r="K1140" s="10" t="str">
        <f t="shared" si="17"/>
        <v>TRANS-1139</v>
      </c>
    </row>
    <row r="1141" spans="1:11" x14ac:dyDescent="0.35">
      <c r="A1141" s="5">
        <v>45505</v>
      </c>
      <c r="B1141" s="3">
        <v>0.575775462962963</v>
      </c>
      <c r="C1141" t="s">
        <v>8</v>
      </c>
      <c r="D1141" t="s">
        <v>502</v>
      </c>
      <c r="E1141" s="4">
        <v>32.82</v>
      </c>
      <c r="F1141" t="s">
        <v>24</v>
      </c>
      <c r="G1141" s="10" t="str">
        <f>TEXT(Transform_Data[[#This Row],[Date]],"mmm yyyy")</f>
        <v>Aug 2024</v>
      </c>
      <c r="H1141" s="10">
        <f>HOUR(Transform_Data[[#This Row],[Time]])</f>
        <v>13</v>
      </c>
      <c r="I1141" s="10" t="str">
        <f>IF(COUNTIF('Transform Data'!$D:$D,'Transform Data'!D1141)&gt;1,"Repeat","Single")</f>
        <v>Single</v>
      </c>
      <c r="J1141" s="10" t="str">
        <f>IF('Transform Data'!D1141="Cash","Cash",IF(COUNTIF('Transform Data'!$D:$D,'Transform Data'!D1141)&gt;1,"Repeat","Single"))</f>
        <v>Single</v>
      </c>
      <c r="K1141" s="10" t="str">
        <f t="shared" si="17"/>
        <v>TRANS-1140</v>
      </c>
    </row>
    <row r="1142" spans="1:11" x14ac:dyDescent="0.35">
      <c r="A1142" s="5">
        <v>45505</v>
      </c>
      <c r="B1142" s="3">
        <v>0.65535879629629634</v>
      </c>
      <c r="C1142" t="s">
        <v>8</v>
      </c>
      <c r="D1142" t="s">
        <v>476</v>
      </c>
      <c r="E1142" s="4">
        <v>27.92</v>
      </c>
      <c r="F1142" t="s">
        <v>36</v>
      </c>
      <c r="G1142" s="10" t="str">
        <f>TEXT(Transform_Data[[#This Row],[Date]],"mmm yyyy")</f>
        <v>Aug 2024</v>
      </c>
      <c r="H1142" s="10">
        <f>HOUR(Transform_Data[[#This Row],[Time]])</f>
        <v>15</v>
      </c>
      <c r="I1142" s="10" t="str">
        <f>IF(COUNTIF('Transform Data'!$D:$D,'Transform Data'!D1142)&gt;1,"Repeat","Single")</f>
        <v>Repeat</v>
      </c>
      <c r="J1142" s="10" t="str">
        <f>IF('Transform Data'!D1142="Cash","Cash",IF(COUNTIF('Transform Data'!$D:$D,'Transform Data'!D1142)&gt;1,"Repeat","Single"))</f>
        <v>Repeat</v>
      </c>
      <c r="K1142" s="10" t="str">
        <f t="shared" si="17"/>
        <v>TRANS-1141</v>
      </c>
    </row>
    <row r="1143" spans="1:11" x14ac:dyDescent="0.35">
      <c r="A1143" s="5">
        <v>45505</v>
      </c>
      <c r="B1143" s="3">
        <v>0.68333333333333335</v>
      </c>
      <c r="C1143" t="s">
        <v>8</v>
      </c>
      <c r="D1143" t="s">
        <v>503</v>
      </c>
      <c r="E1143" s="4">
        <v>27.92</v>
      </c>
      <c r="F1143" t="s">
        <v>36</v>
      </c>
      <c r="G1143" s="10" t="str">
        <f>TEXT(Transform_Data[[#This Row],[Date]],"mmm yyyy")</f>
        <v>Aug 2024</v>
      </c>
      <c r="H1143" s="10">
        <f>HOUR(Transform_Data[[#This Row],[Time]])</f>
        <v>16</v>
      </c>
      <c r="I1143" s="10" t="str">
        <f>IF(COUNTIF('Transform Data'!$D:$D,'Transform Data'!D1143)&gt;1,"Repeat","Single")</f>
        <v>Repeat</v>
      </c>
      <c r="J1143" s="10" t="str">
        <f>IF('Transform Data'!D1143="Cash","Cash",IF(COUNTIF('Transform Data'!$D:$D,'Transform Data'!D1143)&gt;1,"Repeat","Single"))</f>
        <v>Repeat</v>
      </c>
      <c r="K1143" s="10" t="str">
        <f t="shared" si="17"/>
        <v>TRANS-1142</v>
      </c>
    </row>
    <row r="1144" spans="1:11" x14ac:dyDescent="0.35">
      <c r="A1144" s="5">
        <v>45505</v>
      </c>
      <c r="B1144" s="3">
        <v>0.68480324074074073</v>
      </c>
      <c r="C1144" t="s">
        <v>8</v>
      </c>
      <c r="D1144" t="s">
        <v>503</v>
      </c>
      <c r="E1144" s="4">
        <v>23.02</v>
      </c>
      <c r="F1144" t="s">
        <v>28</v>
      </c>
      <c r="G1144" s="10" t="str">
        <f>TEXT(Transform_Data[[#This Row],[Date]],"mmm yyyy")</f>
        <v>Aug 2024</v>
      </c>
      <c r="H1144" s="10">
        <f>HOUR(Transform_Data[[#This Row],[Time]])</f>
        <v>16</v>
      </c>
      <c r="I1144" s="10" t="str">
        <f>IF(COUNTIF('Transform Data'!$D:$D,'Transform Data'!D1144)&gt;1,"Repeat","Single")</f>
        <v>Repeat</v>
      </c>
      <c r="J1144" s="10" t="str">
        <f>IF('Transform Data'!D1144="Cash","Cash",IF(COUNTIF('Transform Data'!$D:$D,'Transform Data'!D1144)&gt;1,"Repeat","Single"))</f>
        <v>Repeat</v>
      </c>
      <c r="K1144" s="10" t="str">
        <f t="shared" si="17"/>
        <v>TRANS-1143</v>
      </c>
    </row>
    <row r="1145" spans="1:11" x14ac:dyDescent="0.35">
      <c r="A1145" s="5">
        <v>45505</v>
      </c>
      <c r="B1145" s="3">
        <v>0.72471064814814812</v>
      </c>
      <c r="C1145" t="s">
        <v>8</v>
      </c>
      <c r="D1145" t="s">
        <v>504</v>
      </c>
      <c r="E1145" s="4">
        <v>23.02</v>
      </c>
      <c r="F1145" t="s">
        <v>28</v>
      </c>
      <c r="G1145" s="10" t="str">
        <f>TEXT(Transform_Data[[#This Row],[Date]],"mmm yyyy")</f>
        <v>Aug 2024</v>
      </c>
      <c r="H1145" s="10">
        <f>HOUR(Transform_Data[[#This Row],[Time]])</f>
        <v>17</v>
      </c>
      <c r="I1145" s="10" t="str">
        <f>IF(COUNTIF('Transform Data'!$D:$D,'Transform Data'!D1145)&gt;1,"Repeat","Single")</f>
        <v>Single</v>
      </c>
      <c r="J1145" s="10" t="str">
        <f>IF('Transform Data'!D1145="Cash","Cash",IF(COUNTIF('Transform Data'!$D:$D,'Transform Data'!D1145)&gt;1,"Repeat","Single"))</f>
        <v>Single</v>
      </c>
      <c r="K1145" s="10" t="str">
        <f t="shared" si="17"/>
        <v>TRANS-1144</v>
      </c>
    </row>
    <row r="1146" spans="1:11" x14ac:dyDescent="0.35">
      <c r="A1146" s="5">
        <v>45505</v>
      </c>
      <c r="B1146" s="3">
        <v>0.86212962962962958</v>
      </c>
      <c r="C1146" t="s">
        <v>8</v>
      </c>
      <c r="D1146" t="s">
        <v>505</v>
      </c>
      <c r="E1146" s="4">
        <v>32.82</v>
      </c>
      <c r="F1146" t="s">
        <v>24</v>
      </c>
      <c r="G1146" s="10" t="str">
        <f>TEXT(Transform_Data[[#This Row],[Date]],"mmm yyyy")</f>
        <v>Aug 2024</v>
      </c>
      <c r="H1146" s="10">
        <f>HOUR(Transform_Data[[#This Row],[Time]])</f>
        <v>20</v>
      </c>
      <c r="I1146" s="10" t="str">
        <f>IF(COUNTIF('Transform Data'!$D:$D,'Transform Data'!D1146)&gt;1,"Repeat","Single")</f>
        <v>Single</v>
      </c>
      <c r="J1146" s="10" t="str">
        <f>IF('Transform Data'!D1146="Cash","Cash",IF(COUNTIF('Transform Data'!$D:$D,'Transform Data'!D1146)&gt;1,"Repeat","Single"))</f>
        <v>Single</v>
      </c>
      <c r="K1146" s="10" t="str">
        <f t="shared" si="17"/>
        <v>TRANS-1145</v>
      </c>
    </row>
    <row r="1147" spans="1:11" x14ac:dyDescent="0.35">
      <c r="A1147" s="5">
        <v>45506</v>
      </c>
      <c r="B1147" s="3">
        <v>0.37631944444444443</v>
      </c>
      <c r="C1147" t="s">
        <v>8</v>
      </c>
      <c r="D1147" t="s">
        <v>506</v>
      </c>
      <c r="E1147" s="4">
        <v>27.92</v>
      </c>
      <c r="F1147" t="s">
        <v>36</v>
      </c>
      <c r="G1147" s="10" t="str">
        <f>TEXT(Transform_Data[[#This Row],[Date]],"mmm yyyy")</f>
        <v>Aug 2024</v>
      </c>
      <c r="H1147" s="10">
        <f>HOUR(Transform_Data[[#This Row],[Time]])</f>
        <v>9</v>
      </c>
      <c r="I1147" s="10" t="str">
        <f>IF(COUNTIF('Transform Data'!$D:$D,'Transform Data'!D1147)&gt;1,"Repeat","Single")</f>
        <v>Repeat</v>
      </c>
      <c r="J1147" s="10" t="str">
        <f>IF('Transform Data'!D1147="Cash","Cash",IF(COUNTIF('Transform Data'!$D:$D,'Transform Data'!D1147)&gt;1,"Repeat","Single"))</f>
        <v>Repeat</v>
      </c>
      <c r="K1147" s="10" t="str">
        <f t="shared" si="17"/>
        <v>TRANS-1146</v>
      </c>
    </row>
    <row r="1148" spans="1:11" x14ac:dyDescent="0.35">
      <c r="A1148" s="5">
        <v>45506</v>
      </c>
      <c r="B1148" s="3">
        <v>0.39932870370370371</v>
      </c>
      <c r="C1148" t="s">
        <v>8</v>
      </c>
      <c r="D1148" t="s">
        <v>11</v>
      </c>
      <c r="E1148" s="4">
        <v>27.92</v>
      </c>
      <c r="F1148" t="s">
        <v>36</v>
      </c>
      <c r="G1148" s="10" t="str">
        <f>TEXT(Transform_Data[[#This Row],[Date]],"mmm yyyy")</f>
        <v>Aug 2024</v>
      </c>
      <c r="H1148" s="10">
        <f>HOUR(Transform_Data[[#This Row],[Time]])</f>
        <v>9</v>
      </c>
      <c r="I1148" s="10" t="str">
        <f>IF(COUNTIF('Transform Data'!$D:$D,'Transform Data'!D1148)&gt;1,"Repeat","Single")</f>
        <v>Repeat</v>
      </c>
      <c r="J1148" s="10" t="str">
        <f>IF('Transform Data'!D1148="Cash","Cash",IF(COUNTIF('Transform Data'!$D:$D,'Transform Data'!D1148)&gt;1,"Repeat","Single"))</f>
        <v>Repeat</v>
      </c>
      <c r="K1148" s="10" t="str">
        <f t="shared" si="17"/>
        <v>TRANS-1147</v>
      </c>
    </row>
    <row r="1149" spans="1:11" x14ac:dyDescent="0.35">
      <c r="A1149" s="5">
        <v>45506</v>
      </c>
      <c r="B1149" s="3">
        <v>0.46480324074074075</v>
      </c>
      <c r="C1149" t="s">
        <v>8</v>
      </c>
      <c r="D1149" t="s">
        <v>40</v>
      </c>
      <c r="E1149" s="4">
        <v>23.02</v>
      </c>
      <c r="F1149" t="s">
        <v>20</v>
      </c>
      <c r="G1149" s="10" t="str">
        <f>TEXT(Transform_Data[[#This Row],[Date]],"mmm yyyy")</f>
        <v>Aug 2024</v>
      </c>
      <c r="H1149" s="10">
        <f>HOUR(Transform_Data[[#This Row],[Time]])</f>
        <v>11</v>
      </c>
      <c r="I1149" s="10" t="str">
        <f>IF(COUNTIF('Transform Data'!$D:$D,'Transform Data'!D1149)&gt;1,"Repeat","Single")</f>
        <v>Repeat</v>
      </c>
      <c r="J1149" s="10" t="str">
        <f>IF('Transform Data'!D1149="Cash","Cash",IF(COUNTIF('Transform Data'!$D:$D,'Transform Data'!D1149)&gt;1,"Repeat","Single"))</f>
        <v>Repeat</v>
      </c>
      <c r="K1149" s="10" t="str">
        <f t="shared" si="17"/>
        <v>TRANS-1148</v>
      </c>
    </row>
    <row r="1150" spans="1:11" x14ac:dyDescent="0.35">
      <c r="A1150" s="5">
        <v>45506</v>
      </c>
      <c r="B1150" s="3">
        <v>0.75596064814814812</v>
      </c>
      <c r="C1150" t="s">
        <v>8</v>
      </c>
      <c r="D1150" t="s">
        <v>507</v>
      </c>
      <c r="E1150" s="4">
        <v>27.92</v>
      </c>
      <c r="F1150" t="s">
        <v>36</v>
      </c>
      <c r="G1150" s="10" t="str">
        <f>TEXT(Transform_Data[[#This Row],[Date]],"mmm yyyy")</f>
        <v>Aug 2024</v>
      </c>
      <c r="H1150" s="10">
        <f>HOUR(Transform_Data[[#This Row],[Time]])</f>
        <v>18</v>
      </c>
      <c r="I1150" s="10" t="str">
        <f>IF(COUNTIF('Transform Data'!$D:$D,'Transform Data'!D1150)&gt;1,"Repeat","Single")</f>
        <v>Single</v>
      </c>
      <c r="J1150" s="10" t="str">
        <f>IF('Transform Data'!D1150="Cash","Cash",IF(COUNTIF('Transform Data'!$D:$D,'Transform Data'!D1150)&gt;1,"Repeat","Single"))</f>
        <v>Single</v>
      </c>
      <c r="K1150" s="10" t="str">
        <f t="shared" si="17"/>
        <v>TRANS-1149</v>
      </c>
    </row>
    <row r="1151" spans="1:11" x14ac:dyDescent="0.35">
      <c r="A1151" s="5">
        <v>45506</v>
      </c>
      <c r="B1151" s="3">
        <v>0.89101851851851854</v>
      </c>
      <c r="C1151" t="s">
        <v>8</v>
      </c>
      <c r="D1151" t="s">
        <v>25</v>
      </c>
      <c r="E1151" s="4">
        <v>32.82</v>
      </c>
      <c r="F1151" t="s">
        <v>32</v>
      </c>
      <c r="G1151" s="10" t="str">
        <f>TEXT(Transform_Data[[#This Row],[Date]],"mmm yyyy")</f>
        <v>Aug 2024</v>
      </c>
      <c r="H1151" s="10">
        <f>HOUR(Transform_Data[[#This Row],[Time]])</f>
        <v>21</v>
      </c>
      <c r="I1151" s="10" t="str">
        <f>IF(COUNTIF('Transform Data'!$D:$D,'Transform Data'!D1151)&gt;1,"Repeat","Single")</f>
        <v>Repeat</v>
      </c>
      <c r="J1151" s="10" t="str">
        <f>IF('Transform Data'!D1151="Cash","Cash",IF(COUNTIF('Transform Data'!$D:$D,'Transform Data'!D1151)&gt;1,"Repeat","Single"))</f>
        <v>Repeat</v>
      </c>
      <c r="K1151" s="10" t="str">
        <f t="shared" si="17"/>
        <v>TRANS-1150</v>
      </c>
    </row>
    <row r="1152" spans="1:11" x14ac:dyDescent="0.35">
      <c r="A1152" s="5">
        <v>45507</v>
      </c>
      <c r="B1152" s="3">
        <v>0.3706712962962963</v>
      </c>
      <c r="C1152" t="s">
        <v>8</v>
      </c>
      <c r="D1152" t="s">
        <v>11</v>
      </c>
      <c r="E1152" s="4">
        <v>27.92</v>
      </c>
      <c r="F1152" t="s">
        <v>36</v>
      </c>
      <c r="G1152" s="10" t="str">
        <f>TEXT(Transform_Data[[#This Row],[Date]],"mmm yyyy")</f>
        <v>Aug 2024</v>
      </c>
      <c r="H1152" s="10">
        <f>HOUR(Transform_Data[[#This Row],[Time]])</f>
        <v>8</v>
      </c>
      <c r="I1152" s="10" t="str">
        <f>IF(COUNTIF('Transform Data'!$D:$D,'Transform Data'!D1152)&gt;1,"Repeat","Single")</f>
        <v>Repeat</v>
      </c>
      <c r="J1152" s="10" t="str">
        <f>IF('Transform Data'!D1152="Cash","Cash",IF(COUNTIF('Transform Data'!$D:$D,'Transform Data'!D1152)&gt;1,"Repeat","Single"))</f>
        <v>Repeat</v>
      </c>
      <c r="K1152" s="10" t="str">
        <f t="shared" si="17"/>
        <v>TRANS-1151</v>
      </c>
    </row>
    <row r="1153" spans="1:11" x14ac:dyDescent="0.35">
      <c r="A1153" s="5">
        <v>45507</v>
      </c>
      <c r="B1153" s="3">
        <v>0.40091435185185187</v>
      </c>
      <c r="C1153" t="s">
        <v>8</v>
      </c>
      <c r="D1153" t="s">
        <v>454</v>
      </c>
      <c r="E1153" s="4">
        <v>27.92</v>
      </c>
      <c r="F1153" t="s">
        <v>36</v>
      </c>
      <c r="G1153" s="10" t="str">
        <f>TEXT(Transform_Data[[#This Row],[Date]],"mmm yyyy")</f>
        <v>Aug 2024</v>
      </c>
      <c r="H1153" s="10">
        <f>HOUR(Transform_Data[[#This Row],[Time]])</f>
        <v>9</v>
      </c>
      <c r="I1153" s="10" t="str">
        <f>IF(COUNTIF('Transform Data'!$D:$D,'Transform Data'!D1153)&gt;1,"Repeat","Single")</f>
        <v>Repeat</v>
      </c>
      <c r="J1153" s="10" t="str">
        <f>IF('Transform Data'!D1153="Cash","Cash",IF(COUNTIF('Transform Data'!$D:$D,'Transform Data'!D1153)&gt;1,"Repeat","Single"))</f>
        <v>Repeat</v>
      </c>
      <c r="K1153" s="10" t="str">
        <f t="shared" si="17"/>
        <v>TRANS-1152</v>
      </c>
    </row>
    <row r="1154" spans="1:11" x14ac:dyDescent="0.35">
      <c r="A1154" s="5">
        <v>45507</v>
      </c>
      <c r="B1154" s="3">
        <v>0.40186342592592594</v>
      </c>
      <c r="C1154" t="s">
        <v>8</v>
      </c>
      <c r="D1154" t="s">
        <v>454</v>
      </c>
      <c r="E1154" s="4">
        <v>27.92</v>
      </c>
      <c r="F1154" t="s">
        <v>36</v>
      </c>
      <c r="G1154" s="10" t="str">
        <f>TEXT(Transform_Data[[#This Row],[Date]],"mmm yyyy")</f>
        <v>Aug 2024</v>
      </c>
      <c r="H1154" s="10">
        <f>HOUR(Transform_Data[[#This Row],[Time]])</f>
        <v>9</v>
      </c>
      <c r="I1154" s="10" t="str">
        <f>IF(COUNTIF('Transform Data'!$D:$D,'Transform Data'!D1154)&gt;1,"Repeat","Single")</f>
        <v>Repeat</v>
      </c>
      <c r="J1154" s="10" t="str">
        <f>IF('Transform Data'!D1154="Cash","Cash",IF(COUNTIF('Transform Data'!$D:$D,'Transform Data'!D1154)&gt;1,"Repeat","Single"))</f>
        <v>Repeat</v>
      </c>
      <c r="K1154" s="10" t="str">
        <f t="shared" ref="K1154:K1217" si="18">"TRANS-"&amp;TEXT(ROW(A1153),"0000")</f>
        <v>TRANS-1153</v>
      </c>
    </row>
    <row r="1155" spans="1:11" x14ac:dyDescent="0.35">
      <c r="A1155" s="5">
        <v>45507</v>
      </c>
      <c r="B1155" s="3">
        <v>0.42528935185185185</v>
      </c>
      <c r="C1155" t="s">
        <v>8</v>
      </c>
      <c r="D1155" t="s">
        <v>357</v>
      </c>
      <c r="E1155" s="4">
        <v>27.92</v>
      </c>
      <c r="F1155" t="s">
        <v>36</v>
      </c>
      <c r="G1155" s="10" t="str">
        <f>TEXT(Transform_Data[[#This Row],[Date]],"mmm yyyy")</f>
        <v>Aug 2024</v>
      </c>
      <c r="H1155" s="10">
        <f>HOUR(Transform_Data[[#This Row],[Time]])</f>
        <v>10</v>
      </c>
      <c r="I1155" s="10" t="str">
        <f>IF(COUNTIF('Transform Data'!$D:$D,'Transform Data'!D1155)&gt;1,"Repeat","Single")</f>
        <v>Repeat</v>
      </c>
      <c r="J1155" s="10" t="str">
        <f>IF('Transform Data'!D1155="Cash","Cash",IF(COUNTIF('Transform Data'!$D:$D,'Transform Data'!D1155)&gt;1,"Repeat","Single"))</f>
        <v>Repeat</v>
      </c>
      <c r="K1155" s="10" t="str">
        <f t="shared" si="18"/>
        <v>TRANS-1154</v>
      </c>
    </row>
    <row r="1156" spans="1:11" x14ac:dyDescent="0.35">
      <c r="A1156" s="5">
        <v>45507</v>
      </c>
      <c r="B1156" s="3">
        <v>0.47252314814814816</v>
      </c>
      <c r="C1156" t="s">
        <v>8</v>
      </c>
      <c r="D1156" t="s">
        <v>508</v>
      </c>
      <c r="E1156" s="4">
        <v>23.02</v>
      </c>
      <c r="F1156" t="s">
        <v>20</v>
      </c>
      <c r="G1156" s="10" t="str">
        <f>TEXT(Transform_Data[[#This Row],[Date]],"mmm yyyy")</f>
        <v>Aug 2024</v>
      </c>
      <c r="H1156" s="10">
        <f>HOUR(Transform_Data[[#This Row],[Time]])</f>
        <v>11</v>
      </c>
      <c r="I1156" s="10" t="str">
        <f>IF(COUNTIF('Transform Data'!$D:$D,'Transform Data'!D1156)&gt;1,"Repeat","Single")</f>
        <v>Repeat</v>
      </c>
      <c r="J1156" s="10" t="str">
        <f>IF('Transform Data'!D1156="Cash","Cash",IF(COUNTIF('Transform Data'!$D:$D,'Transform Data'!D1156)&gt;1,"Repeat","Single"))</f>
        <v>Repeat</v>
      </c>
      <c r="K1156" s="10" t="str">
        <f t="shared" si="18"/>
        <v>TRANS-1155</v>
      </c>
    </row>
    <row r="1157" spans="1:11" x14ac:dyDescent="0.35">
      <c r="A1157" s="5">
        <v>45507</v>
      </c>
      <c r="B1157" s="3">
        <v>0.47317129629629628</v>
      </c>
      <c r="C1157" t="s">
        <v>8</v>
      </c>
      <c r="D1157" t="s">
        <v>508</v>
      </c>
      <c r="E1157" s="4">
        <v>23.02</v>
      </c>
      <c r="F1157" t="s">
        <v>20</v>
      </c>
      <c r="G1157" s="10" t="str">
        <f>TEXT(Transform_Data[[#This Row],[Date]],"mmm yyyy")</f>
        <v>Aug 2024</v>
      </c>
      <c r="H1157" s="10">
        <f>HOUR(Transform_Data[[#This Row],[Time]])</f>
        <v>11</v>
      </c>
      <c r="I1157" s="10" t="str">
        <f>IF(COUNTIF('Transform Data'!$D:$D,'Transform Data'!D1157)&gt;1,"Repeat","Single")</f>
        <v>Repeat</v>
      </c>
      <c r="J1157" s="10" t="str">
        <f>IF('Transform Data'!D1157="Cash","Cash",IF(COUNTIF('Transform Data'!$D:$D,'Transform Data'!D1157)&gt;1,"Repeat","Single"))</f>
        <v>Repeat</v>
      </c>
      <c r="K1157" s="10" t="str">
        <f t="shared" si="18"/>
        <v>TRANS-1156</v>
      </c>
    </row>
    <row r="1158" spans="1:11" x14ac:dyDescent="0.35">
      <c r="A1158" s="5">
        <v>45507</v>
      </c>
      <c r="B1158" s="3">
        <v>0.49763888888888891</v>
      </c>
      <c r="C1158" t="s">
        <v>8</v>
      </c>
      <c r="D1158" t="s">
        <v>16</v>
      </c>
      <c r="E1158" s="4">
        <v>18.12</v>
      </c>
      <c r="F1158" t="s">
        <v>5</v>
      </c>
      <c r="G1158" s="10" t="str">
        <f>TEXT(Transform_Data[[#This Row],[Date]],"mmm yyyy")</f>
        <v>Aug 2024</v>
      </c>
      <c r="H1158" s="10">
        <f>HOUR(Transform_Data[[#This Row],[Time]])</f>
        <v>11</v>
      </c>
      <c r="I1158" s="10" t="str">
        <f>IF(COUNTIF('Transform Data'!$D:$D,'Transform Data'!D1158)&gt;1,"Repeat","Single")</f>
        <v>Repeat</v>
      </c>
      <c r="J1158" s="10" t="str">
        <f>IF('Transform Data'!D1158="Cash","Cash",IF(COUNTIF('Transform Data'!$D:$D,'Transform Data'!D1158)&gt;1,"Repeat","Single"))</f>
        <v>Repeat</v>
      </c>
      <c r="K1158" s="10" t="str">
        <f t="shared" si="18"/>
        <v>TRANS-1157</v>
      </c>
    </row>
    <row r="1159" spans="1:11" x14ac:dyDescent="0.35">
      <c r="A1159" s="5">
        <v>45507</v>
      </c>
      <c r="B1159" s="3">
        <v>0.49827546296296299</v>
      </c>
      <c r="C1159" t="s">
        <v>8</v>
      </c>
      <c r="D1159" t="s">
        <v>16</v>
      </c>
      <c r="E1159" s="4">
        <v>27.92</v>
      </c>
      <c r="F1159" t="s">
        <v>36</v>
      </c>
      <c r="G1159" s="10" t="str">
        <f>TEXT(Transform_Data[[#This Row],[Date]],"mmm yyyy")</f>
        <v>Aug 2024</v>
      </c>
      <c r="H1159" s="10">
        <f>HOUR(Transform_Data[[#This Row],[Time]])</f>
        <v>11</v>
      </c>
      <c r="I1159" s="10" t="str">
        <f>IF(COUNTIF('Transform Data'!$D:$D,'Transform Data'!D1159)&gt;1,"Repeat","Single")</f>
        <v>Repeat</v>
      </c>
      <c r="J1159" s="10" t="str">
        <f>IF('Transform Data'!D1159="Cash","Cash",IF(COUNTIF('Transform Data'!$D:$D,'Transform Data'!D1159)&gt;1,"Repeat","Single"))</f>
        <v>Repeat</v>
      </c>
      <c r="K1159" s="10" t="str">
        <f t="shared" si="18"/>
        <v>TRANS-1158</v>
      </c>
    </row>
    <row r="1160" spans="1:11" x14ac:dyDescent="0.35">
      <c r="A1160" s="5">
        <v>45507</v>
      </c>
      <c r="B1160" s="3">
        <v>0.50248842592592591</v>
      </c>
      <c r="C1160" t="s">
        <v>8</v>
      </c>
      <c r="D1160" t="s">
        <v>16</v>
      </c>
      <c r="E1160" s="4">
        <v>27.92</v>
      </c>
      <c r="F1160" t="s">
        <v>36</v>
      </c>
      <c r="G1160" s="10" t="str">
        <f>TEXT(Transform_Data[[#This Row],[Date]],"mmm yyyy")</f>
        <v>Aug 2024</v>
      </c>
      <c r="H1160" s="10">
        <f>HOUR(Transform_Data[[#This Row],[Time]])</f>
        <v>12</v>
      </c>
      <c r="I1160" s="10" t="str">
        <f>IF(COUNTIF('Transform Data'!$D:$D,'Transform Data'!D1160)&gt;1,"Repeat","Single")</f>
        <v>Repeat</v>
      </c>
      <c r="J1160" s="10" t="str">
        <f>IF('Transform Data'!D1160="Cash","Cash",IF(COUNTIF('Transform Data'!$D:$D,'Transform Data'!D1160)&gt;1,"Repeat","Single"))</f>
        <v>Repeat</v>
      </c>
      <c r="K1160" s="10" t="str">
        <f t="shared" si="18"/>
        <v>TRANS-1159</v>
      </c>
    </row>
    <row r="1161" spans="1:11" x14ac:dyDescent="0.35">
      <c r="A1161" s="5">
        <v>45507</v>
      </c>
      <c r="B1161" s="3">
        <v>0.70415509259259257</v>
      </c>
      <c r="C1161" t="s">
        <v>8</v>
      </c>
      <c r="D1161" t="s">
        <v>375</v>
      </c>
      <c r="E1161" s="4">
        <v>27.92</v>
      </c>
      <c r="F1161" t="s">
        <v>36</v>
      </c>
      <c r="G1161" s="10" t="str">
        <f>TEXT(Transform_Data[[#This Row],[Date]],"mmm yyyy")</f>
        <v>Aug 2024</v>
      </c>
      <c r="H1161" s="10">
        <f>HOUR(Transform_Data[[#This Row],[Time]])</f>
        <v>16</v>
      </c>
      <c r="I1161" s="10" t="str">
        <f>IF(COUNTIF('Transform Data'!$D:$D,'Transform Data'!D1161)&gt;1,"Repeat","Single")</f>
        <v>Repeat</v>
      </c>
      <c r="J1161" s="10" t="str">
        <f>IF('Transform Data'!D1161="Cash","Cash",IF(COUNTIF('Transform Data'!$D:$D,'Transform Data'!D1161)&gt;1,"Repeat","Single"))</f>
        <v>Repeat</v>
      </c>
      <c r="K1161" s="10" t="str">
        <f t="shared" si="18"/>
        <v>TRANS-1160</v>
      </c>
    </row>
    <row r="1162" spans="1:11" x14ac:dyDescent="0.35">
      <c r="A1162" s="5">
        <v>45507</v>
      </c>
      <c r="B1162" s="3">
        <v>0.77687499999999998</v>
      </c>
      <c r="C1162" t="s">
        <v>8</v>
      </c>
      <c r="D1162" t="s">
        <v>509</v>
      </c>
      <c r="E1162" s="4">
        <v>32.82</v>
      </c>
      <c r="F1162" t="s">
        <v>24</v>
      </c>
      <c r="G1162" s="10" t="str">
        <f>TEXT(Transform_Data[[#This Row],[Date]],"mmm yyyy")</f>
        <v>Aug 2024</v>
      </c>
      <c r="H1162" s="10">
        <f>HOUR(Transform_Data[[#This Row],[Time]])</f>
        <v>18</v>
      </c>
      <c r="I1162" s="10" t="str">
        <f>IF(COUNTIF('Transform Data'!$D:$D,'Transform Data'!D1162)&gt;1,"Repeat","Single")</f>
        <v>Repeat</v>
      </c>
      <c r="J1162" s="10" t="str">
        <f>IF('Transform Data'!D1162="Cash","Cash",IF(COUNTIF('Transform Data'!$D:$D,'Transform Data'!D1162)&gt;1,"Repeat","Single"))</f>
        <v>Repeat</v>
      </c>
      <c r="K1162" s="10" t="str">
        <f t="shared" si="18"/>
        <v>TRANS-1161</v>
      </c>
    </row>
    <row r="1163" spans="1:11" x14ac:dyDescent="0.35">
      <c r="A1163" s="5">
        <v>45507</v>
      </c>
      <c r="B1163" s="3">
        <v>0.8963888888888889</v>
      </c>
      <c r="C1163" t="s">
        <v>8</v>
      </c>
      <c r="D1163" t="s">
        <v>510</v>
      </c>
      <c r="E1163" s="4">
        <v>32.82</v>
      </c>
      <c r="F1163" t="s">
        <v>32</v>
      </c>
      <c r="G1163" s="10" t="str">
        <f>TEXT(Transform_Data[[#This Row],[Date]],"mmm yyyy")</f>
        <v>Aug 2024</v>
      </c>
      <c r="H1163" s="10">
        <f>HOUR(Transform_Data[[#This Row],[Time]])</f>
        <v>21</v>
      </c>
      <c r="I1163" s="10" t="str">
        <f>IF(COUNTIF('Transform Data'!$D:$D,'Transform Data'!D1163)&gt;1,"Repeat","Single")</f>
        <v>Repeat</v>
      </c>
      <c r="J1163" s="10" t="str">
        <f>IF('Transform Data'!D1163="Cash","Cash",IF(COUNTIF('Transform Data'!$D:$D,'Transform Data'!D1163)&gt;1,"Repeat","Single"))</f>
        <v>Repeat</v>
      </c>
      <c r="K1163" s="10" t="str">
        <f t="shared" si="18"/>
        <v>TRANS-1162</v>
      </c>
    </row>
    <row r="1164" spans="1:11" x14ac:dyDescent="0.35">
      <c r="A1164" s="5">
        <v>45507</v>
      </c>
      <c r="B1164" s="3">
        <v>0.89798611111111115</v>
      </c>
      <c r="C1164" t="s">
        <v>8</v>
      </c>
      <c r="D1164" t="s">
        <v>510</v>
      </c>
      <c r="E1164" s="4">
        <v>32.82</v>
      </c>
      <c r="F1164" t="s">
        <v>32</v>
      </c>
      <c r="G1164" s="10" t="str">
        <f>TEXT(Transform_Data[[#This Row],[Date]],"mmm yyyy")</f>
        <v>Aug 2024</v>
      </c>
      <c r="H1164" s="10">
        <f>HOUR(Transform_Data[[#This Row],[Time]])</f>
        <v>21</v>
      </c>
      <c r="I1164" s="10" t="str">
        <f>IF(COUNTIF('Transform Data'!$D:$D,'Transform Data'!D1164)&gt;1,"Repeat","Single")</f>
        <v>Repeat</v>
      </c>
      <c r="J1164" s="10" t="str">
        <f>IF('Transform Data'!D1164="Cash","Cash",IF(COUNTIF('Transform Data'!$D:$D,'Transform Data'!D1164)&gt;1,"Repeat","Single"))</f>
        <v>Repeat</v>
      </c>
      <c r="K1164" s="10" t="str">
        <f t="shared" si="18"/>
        <v>TRANS-1163</v>
      </c>
    </row>
    <row r="1165" spans="1:11" x14ac:dyDescent="0.35">
      <c r="A1165" s="5">
        <v>45508</v>
      </c>
      <c r="B1165" s="3">
        <v>0.3462615740740741</v>
      </c>
      <c r="C1165" t="s">
        <v>8</v>
      </c>
      <c r="D1165" t="s">
        <v>511</v>
      </c>
      <c r="E1165" s="4">
        <v>32.82</v>
      </c>
      <c r="F1165" t="s">
        <v>24</v>
      </c>
      <c r="G1165" s="10" t="str">
        <f>TEXT(Transform_Data[[#This Row],[Date]],"mmm yyyy")</f>
        <v>Aug 2024</v>
      </c>
      <c r="H1165" s="10">
        <f>HOUR(Transform_Data[[#This Row],[Time]])</f>
        <v>8</v>
      </c>
      <c r="I1165" s="10" t="str">
        <f>IF(COUNTIF('Transform Data'!$D:$D,'Transform Data'!D1165)&gt;1,"Repeat","Single")</f>
        <v>Single</v>
      </c>
      <c r="J1165" s="10" t="str">
        <f>IF('Transform Data'!D1165="Cash","Cash",IF(COUNTIF('Transform Data'!$D:$D,'Transform Data'!D1165)&gt;1,"Repeat","Single"))</f>
        <v>Single</v>
      </c>
      <c r="K1165" s="10" t="str">
        <f t="shared" si="18"/>
        <v>TRANS-1164</v>
      </c>
    </row>
    <row r="1166" spans="1:11" x14ac:dyDescent="0.35">
      <c r="A1166" s="5">
        <v>45508</v>
      </c>
      <c r="B1166" s="3">
        <v>0.44295138888888891</v>
      </c>
      <c r="C1166" t="s">
        <v>8</v>
      </c>
      <c r="D1166" t="s">
        <v>16</v>
      </c>
      <c r="E1166" s="4">
        <v>27.92</v>
      </c>
      <c r="F1166" t="s">
        <v>36</v>
      </c>
      <c r="G1166" s="10" t="str">
        <f>TEXT(Transform_Data[[#This Row],[Date]],"mmm yyyy")</f>
        <v>Aug 2024</v>
      </c>
      <c r="H1166" s="10">
        <f>HOUR(Transform_Data[[#This Row],[Time]])</f>
        <v>10</v>
      </c>
      <c r="I1166" s="10" t="str">
        <f>IF(COUNTIF('Transform Data'!$D:$D,'Transform Data'!D1166)&gt;1,"Repeat","Single")</f>
        <v>Repeat</v>
      </c>
      <c r="J1166" s="10" t="str">
        <f>IF('Transform Data'!D1166="Cash","Cash",IF(COUNTIF('Transform Data'!$D:$D,'Transform Data'!D1166)&gt;1,"Repeat","Single"))</f>
        <v>Repeat</v>
      </c>
      <c r="K1166" s="10" t="str">
        <f t="shared" si="18"/>
        <v>TRANS-1165</v>
      </c>
    </row>
    <row r="1167" spans="1:11" x14ac:dyDescent="0.35">
      <c r="A1167" s="5">
        <v>45508</v>
      </c>
      <c r="B1167" s="3">
        <v>0.49368055555555557</v>
      </c>
      <c r="C1167" t="s">
        <v>8</v>
      </c>
      <c r="D1167" t="s">
        <v>312</v>
      </c>
      <c r="E1167" s="4">
        <v>32.82</v>
      </c>
      <c r="F1167" t="s">
        <v>24</v>
      </c>
      <c r="G1167" s="10" t="str">
        <f>TEXT(Transform_Data[[#This Row],[Date]],"mmm yyyy")</f>
        <v>Aug 2024</v>
      </c>
      <c r="H1167" s="10">
        <f>HOUR(Transform_Data[[#This Row],[Time]])</f>
        <v>11</v>
      </c>
      <c r="I1167" s="10" t="str">
        <f>IF(COUNTIF('Transform Data'!$D:$D,'Transform Data'!D1167)&gt;1,"Repeat","Single")</f>
        <v>Repeat</v>
      </c>
      <c r="J1167" s="10" t="str">
        <f>IF('Transform Data'!D1167="Cash","Cash",IF(COUNTIF('Transform Data'!$D:$D,'Transform Data'!D1167)&gt;1,"Repeat","Single"))</f>
        <v>Repeat</v>
      </c>
      <c r="K1167" s="10" t="str">
        <f t="shared" si="18"/>
        <v>TRANS-1166</v>
      </c>
    </row>
    <row r="1168" spans="1:11" x14ac:dyDescent="0.35">
      <c r="A1168" s="5">
        <v>45508</v>
      </c>
      <c r="B1168" s="3">
        <v>0.49482638888888891</v>
      </c>
      <c r="C1168" t="s">
        <v>8</v>
      </c>
      <c r="D1168" t="s">
        <v>312</v>
      </c>
      <c r="E1168" s="4">
        <v>27.92</v>
      </c>
      <c r="F1168" t="s">
        <v>36</v>
      </c>
      <c r="G1168" s="10" t="str">
        <f>TEXT(Transform_Data[[#This Row],[Date]],"mmm yyyy")</f>
        <v>Aug 2024</v>
      </c>
      <c r="H1168" s="10">
        <f>HOUR(Transform_Data[[#This Row],[Time]])</f>
        <v>11</v>
      </c>
      <c r="I1168" s="10" t="str">
        <f>IF(COUNTIF('Transform Data'!$D:$D,'Transform Data'!D1168)&gt;1,"Repeat","Single")</f>
        <v>Repeat</v>
      </c>
      <c r="J1168" s="10" t="str">
        <f>IF('Transform Data'!D1168="Cash","Cash",IF(COUNTIF('Transform Data'!$D:$D,'Transform Data'!D1168)&gt;1,"Repeat","Single"))</f>
        <v>Repeat</v>
      </c>
      <c r="K1168" s="10" t="str">
        <f t="shared" si="18"/>
        <v>TRANS-1167</v>
      </c>
    </row>
    <row r="1169" spans="1:11" x14ac:dyDescent="0.35">
      <c r="A1169" s="5">
        <v>45508</v>
      </c>
      <c r="B1169" s="3">
        <v>0.64851851851851849</v>
      </c>
      <c r="C1169" t="s">
        <v>8</v>
      </c>
      <c r="D1169" t="s">
        <v>322</v>
      </c>
      <c r="E1169" s="4">
        <v>32.82</v>
      </c>
      <c r="F1169" t="s">
        <v>24</v>
      </c>
      <c r="G1169" s="10" t="str">
        <f>TEXT(Transform_Data[[#This Row],[Date]],"mmm yyyy")</f>
        <v>Aug 2024</v>
      </c>
      <c r="H1169" s="10">
        <f>HOUR(Transform_Data[[#This Row],[Time]])</f>
        <v>15</v>
      </c>
      <c r="I1169" s="10" t="str">
        <f>IF(COUNTIF('Transform Data'!$D:$D,'Transform Data'!D1169)&gt;1,"Repeat","Single")</f>
        <v>Repeat</v>
      </c>
      <c r="J1169" s="10" t="str">
        <f>IF('Transform Data'!D1169="Cash","Cash",IF(COUNTIF('Transform Data'!$D:$D,'Transform Data'!D1169)&gt;1,"Repeat","Single"))</f>
        <v>Repeat</v>
      </c>
      <c r="K1169" s="10" t="str">
        <f t="shared" si="18"/>
        <v>TRANS-1168</v>
      </c>
    </row>
    <row r="1170" spans="1:11" x14ac:dyDescent="0.35">
      <c r="A1170" s="5">
        <v>45508</v>
      </c>
      <c r="B1170" s="3">
        <v>0.64936342592592589</v>
      </c>
      <c r="C1170" t="s">
        <v>8</v>
      </c>
      <c r="D1170" t="s">
        <v>322</v>
      </c>
      <c r="E1170" s="4">
        <v>32.82</v>
      </c>
      <c r="F1170" t="s">
        <v>24</v>
      </c>
      <c r="G1170" s="10" t="str">
        <f>TEXT(Transform_Data[[#This Row],[Date]],"mmm yyyy")</f>
        <v>Aug 2024</v>
      </c>
      <c r="H1170" s="10">
        <f>HOUR(Transform_Data[[#This Row],[Time]])</f>
        <v>15</v>
      </c>
      <c r="I1170" s="10" t="str">
        <f>IF(COUNTIF('Transform Data'!$D:$D,'Transform Data'!D1170)&gt;1,"Repeat","Single")</f>
        <v>Repeat</v>
      </c>
      <c r="J1170" s="10" t="str">
        <f>IF('Transform Data'!D1170="Cash","Cash",IF(COUNTIF('Transform Data'!$D:$D,'Transform Data'!D1170)&gt;1,"Repeat","Single"))</f>
        <v>Repeat</v>
      </c>
      <c r="K1170" s="10" t="str">
        <f t="shared" si="18"/>
        <v>TRANS-1169</v>
      </c>
    </row>
    <row r="1171" spans="1:11" x14ac:dyDescent="0.35">
      <c r="A1171" s="5">
        <v>45509</v>
      </c>
      <c r="B1171" s="3">
        <v>0.36811342592592594</v>
      </c>
      <c r="C1171" t="s">
        <v>8</v>
      </c>
      <c r="D1171" t="s">
        <v>512</v>
      </c>
      <c r="E1171" s="4">
        <v>23.02</v>
      </c>
      <c r="F1171" t="s">
        <v>20</v>
      </c>
      <c r="G1171" s="10" t="str">
        <f>TEXT(Transform_Data[[#This Row],[Date]],"mmm yyyy")</f>
        <v>Aug 2024</v>
      </c>
      <c r="H1171" s="10">
        <f>HOUR(Transform_Data[[#This Row],[Time]])</f>
        <v>8</v>
      </c>
      <c r="I1171" s="10" t="str">
        <f>IF(COUNTIF('Transform Data'!$D:$D,'Transform Data'!D1171)&gt;1,"Repeat","Single")</f>
        <v>Single</v>
      </c>
      <c r="J1171" s="10" t="str">
        <f>IF('Transform Data'!D1171="Cash","Cash",IF(COUNTIF('Transform Data'!$D:$D,'Transform Data'!D1171)&gt;1,"Repeat","Single"))</f>
        <v>Single</v>
      </c>
      <c r="K1171" s="10" t="str">
        <f t="shared" si="18"/>
        <v>TRANS-1170</v>
      </c>
    </row>
    <row r="1172" spans="1:11" x14ac:dyDescent="0.35">
      <c r="A1172" s="5">
        <v>45509</v>
      </c>
      <c r="B1172" s="3">
        <v>0.38841435185185186</v>
      </c>
      <c r="C1172" t="s">
        <v>8</v>
      </c>
      <c r="D1172" t="s">
        <v>11</v>
      </c>
      <c r="E1172" s="4">
        <v>27.92</v>
      </c>
      <c r="F1172" t="s">
        <v>36</v>
      </c>
      <c r="G1172" s="10" t="str">
        <f>TEXT(Transform_Data[[#This Row],[Date]],"mmm yyyy")</f>
        <v>Aug 2024</v>
      </c>
      <c r="H1172" s="10">
        <f>HOUR(Transform_Data[[#This Row],[Time]])</f>
        <v>9</v>
      </c>
      <c r="I1172" s="10" t="str">
        <f>IF(COUNTIF('Transform Data'!$D:$D,'Transform Data'!D1172)&gt;1,"Repeat","Single")</f>
        <v>Repeat</v>
      </c>
      <c r="J1172" s="10" t="str">
        <f>IF('Transform Data'!D1172="Cash","Cash",IF(COUNTIF('Transform Data'!$D:$D,'Transform Data'!D1172)&gt;1,"Repeat","Single"))</f>
        <v>Repeat</v>
      </c>
      <c r="K1172" s="10" t="str">
        <f t="shared" si="18"/>
        <v>TRANS-1171</v>
      </c>
    </row>
    <row r="1173" spans="1:11" x14ac:dyDescent="0.35">
      <c r="A1173" s="5">
        <v>45509</v>
      </c>
      <c r="B1173" s="3">
        <v>0.4727662037037037</v>
      </c>
      <c r="C1173" t="s">
        <v>8</v>
      </c>
      <c r="D1173" t="s">
        <v>428</v>
      </c>
      <c r="E1173" s="4">
        <v>23.02</v>
      </c>
      <c r="F1173" t="s">
        <v>20</v>
      </c>
      <c r="G1173" s="10" t="str">
        <f>TEXT(Transform_Data[[#This Row],[Date]],"mmm yyyy")</f>
        <v>Aug 2024</v>
      </c>
      <c r="H1173" s="10">
        <f>HOUR(Transform_Data[[#This Row],[Time]])</f>
        <v>11</v>
      </c>
      <c r="I1173" s="10" t="str">
        <f>IF(COUNTIF('Transform Data'!$D:$D,'Transform Data'!D1173)&gt;1,"Repeat","Single")</f>
        <v>Repeat</v>
      </c>
      <c r="J1173" s="10" t="str">
        <f>IF('Transform Data'!D1173="Cash","Cash",IF(COUNTIF('Transform Data'!$D:$D,'Transform Data'!D1173)&gt;1,"Repeat","Single"))</f>
        <v>Repeat</v>
      </c>
      <c r="K1173" s="10" t="str">
        <f t="shared" si="18"/>
        <v>TRANS-1172</v>
      </c>
    </row>
    <row r="1174" spans="1:11" x14ac:dyDescent="0.35">
      <c r="A1174" s="5">
        <v>45509</v>
      </c>
      <c r="B1174" s="3">
        <v>0.57317129629629626</v>
      </c>
      <c r="C1174" t="s">
        <v>8</v>
      </c>
      <c r="D1174" t="s">
        <v>513</v>
      </c>
      <c r="E1174" s="4">
        <v>32.82</v>
      </c>
      <c r="F1174" t="s">
        <v>24</v>
      </c>
      <c r="G1174" s="10" t="str">
        <f>TEXT(Transform_Data[[#This Row],[Date]],"mmm yyyy")</f>
        <v>Aug 2024</v>
      </c>
      <c r="H1174" s="10">
        <f>HOUR(Transform_Data[[#This Row],[Time]])</f>
        <v>13</v>
      </c>
      <c r="I1174" s="10" t="str">
        <f>IF(COUNTIF('Transform Data'!$D:$D,'Transform Data'!D1174)&gt;1,"Repeat","Single")</f>
        <v>Single</v>
      </c>
      <c r="J1174" s="10" t="str">
        <f>IF('Transform Data'!D1174="Cash","Cash",IF(COUNTIF('Transform Data'!$D:$D,'Transform Data'!D1174)&gt;1,"Repeat","Single"))</f>
        <v>Single</v>
      </c>
      <c r="K1174" s="10" t="str">
        <f t="shared" si="18"/>
        <v>TRANS-1173</v>
      </c>
    </row>
    <row r="1175" spans="1:11" x14ac:dyDescent="0.35">
      <c r="A1175" s="5">
        <v>45509</v>
      </c>
      <c r="B1175" s="3">
        <v>0.67079861111111116</v>
      </c>
      <c r="C1175" t="s">
        <v>8</v>
      </c>
      <c r="D1175" t="s">
        <v>514</v>
      </c>
      <c r="E1175" s="4">
        <v>32.82</v>
      </c>
      <c r="F1175" t="s">
        <v>32</v>
      </c>
      <c r="G1175" s="10" t="str">
        <f>TEXT(Transform_Data[[#This Row],[Date]],"mmm yyyy")</f>
        <v>Aug 2024</v>
      </c>
      <c r="H1175" s="10">
        <f>HOUR(Transform_Data[[#This Row],[Time]])</f>
        <v>16</v>
      </c>
      <c r="I1175" s="10" t="str">
        <f>IF(COUNTIF('Transform Data'!$D:$D,'Transform Data'!D1175)&gt;1,"Repeat","Single")</f>
        <v>Repeat</v>
      </c>
      <c r="J1175" s="10" t="str">
        <f>IF('Transform Data'!D1175="Cash","Cash",IF(COUNTIF('Transform Data'!$D:$D,'Transform Data'!D1175)&gt;1,"Repeat","Single"))</f>
        <v>Repeat</v>
      </c>
      <c r="K1175" s="10" t="str">
        <f t="shared" si="18"/>
        <v>TRANS-1174</v>
      </c>
    </row>
    <row r="1176" spans="1:11" x14ac:dyDescent="0.35">
      <c r="A1176" s="5">
        <v>45509</v>
      </c>
      <c r="B1176" s="3">
        <v>0.67173611111111109</v>
      </c>
      <c r="C1176" t="s">
        <v>8</v>
      </c>
      <c r="D1176" t="s">
        <v>514</v>
      </c>
      <c r="E1176" s="4">
        <v>32.82</v>
      </c>
      <c r="F1176" t="s">
        <v>32</v>
      </c>
      <c r="G1176" s="10" t="str">
        <f>TEXT(Transform_Data[[#This Row],[Date]],"mmm yyyy")</f>
        <v>Aug 2024</v>
      </c>
      <c r="H1176" s="10">
        <f>HOUR(Transform_Data[[#This Row],[Time]])</f>
        <v>16</v>
      </c>
      <c r="I1176" s="10" t="str">
        <f>IF(COUNTIF('Transform Data'!$D:$D,'Transform Data'!D1176)&gt;1,"Repeat","Single")</f>
        <v>Repeat</v>
      </c>
      <c r="J1176" s="10" t="str">
        <f>IF('Transform Data'!D1176="Cash","Cash",IF(COUNTIF('Transform Data'!$D:$D,'Transform Data'!D1176)&gt;1,"Repeat","Single"))</f>
        <v>Repeat</v>
      </c>
      <c r="K1176" s="10" t="str">
        <f t="shared" si="18"/>
        <v>TRANS-1175</v>
      </c>
    </row>
    <row r="1177" spans="1:11" x14ac:dyDescent="0.35">
      <c r="A1177" s="5">
        <v>45509</v>
      </c>
      <c r="B1177" s="3">
        <v>0.73916666666666664</v>
      </c>
      <c r="C1177" t="s">
        <v>8</v>
      </c>
      <c r="D1177" t="s">
        <v>515</v>
      </c>
      <c r="E1177" s="4">
        <v>32.82</v>
      </c>
      <c r="F1177" t="s">
        <v>32</v>
      </c>
      <c r="G1177" s="10" t="str">
        <f>TEXT(Transform_Data[[#This Row],[Date]],"mmm yyyy")</f>
        <v>Aug 2024</v>
      </c>
      <c r="H1177" s="10">
        <f>HOUR(Transform_Data[[#This Row],[Time]])</f>
        <v>17</v>
      </c>
      <c r="I1177" s="10" t="str">
        <f>IF(COUNTIF('Transform Data'!$D:$D,'Transform Data'!D1177)&gt;1,"Repeat","Single")</f>
        <v>Repeat</v>
      </c>
      <c r="J1177" s="10" t="str">
        <f>IF('Transform Data'!D1177="Cash","Cash",IF(COUNTIF('Transform Data'!$D:$D,'Transform Data'!D1177)&gt;1,"Repeat","Single"))</f>
        <v>Repeat</v>
      </c>
      <c r="K1177" s="10" t="str">
        <f t="shared" si="18"/>
        <v>TRANS-1176</v>
      </c>
    </row>
    <row r="1178" spans="1:11" x14ac:dyDescent="0.35">
      <c r="A1178" s="5">
        <v>45509</v>
      </c>
      <c r="B1178" s="3">
        <v>0.73995370370370372</v>
      </c>
      <c r="C1178" t="s">
        <v>8</v>
      </c>
      <c r="D1178" t="s">
        <v>515</v>
      </c>
      <c r="E1178" s="4">
        <v>27.92</v>
      </c>
      <c r="F1178" t="s">
        <v>36</v>
      </c>
      <c r="G1178" s="10" t="str">
        <f>TEXT(Transform_Data[[#This Row],[Date]],"mmm yyyy")</f>
        <v>Aug 2024</v>
      </c>
      <c r="H1178" s="10">
        <f>HOUR(Transform_Data[[#This Row],[Time]])</f>
        <v>17</v>
      </c>
      <c r="I1178" s="10" t="str">
        <f>IF(COUNTIF('Transform Data'!$D:$D,'Transform Data'!D1178)&gt;1,"Repeat","Single")</f>
        <v>Repeat</v>
      </c>
      <c r="J1178" s="10" t="str">
        <f>IF('Transform Data'!D1178="Cash","Cash",IF(COUNTIF('Transform Data'!$D:$D,'Transform Data'!D1178)&gt;1,"Repeat","Single"))</f>
        <v>Repeat</v>
      </c>
      <c r="K1178" s="10" t="str">
        <f t="shared" si="18"/>
        <v>TRANS-1177</v>
      </c>
    </row>
    <row r="1179" spans="1:11" x14ac:dyDescent="0.35">
      <c r="A1179" s="5">
        <v>45509</v>
      </c>
      <c r="B1179" s="3">
        <v>0.80557870370370366</v>
      </c>
      <c r="C1179" t="s">
        <v>8</v>
      </c>
      <c r="D1179" t="s">
        <v>76</v>
      </c>
      <c r="E1179" s="4">
        <v>32.82</v>
      </c>
      <c r="F1179" t="s">
        <v>32</v>
      </c>
      <c r="G1179" s="10" t="str">
        <f>TEXT(Transform_Data[[#This Row],[Date]],"mmm yyyy")</f>
        <v>Aug 2024</v>
      </c>
      <c r="H1179" s="10">
        <f>HOUR(Transform_Data[[#This Row],[Time]])</f>
        <v>19</v>
      </c>
      <c r="I1179" s="10" t="str">
        <f>IF(COUNTIF('Transform Data'!$D:$D,'Transform Data'!D1179)&gt;1,"Repeat","Single")</f>
        <v>Repeat</v>
      </c>
      <c r="J1179" s="10" t="str">
        <f>IF('Transform Data'!D1179="Cash","Cash",IF(COUNTIF('Transform Data'!$D:$D,'Transform Data'!D1179)&gt;1,"Repeat","Single"))</f>
        <v>Repeat</v>
      </c>
      <c r="K1179" s="10" t="str">
        <f t="shared" si="18"/>
        <v>TRANS-1178</v>
      </c>
    </row>
    <row r="1180" spans="1:11" x14ac:dyDescent="0.35">
      <c r="A1180" s="5">
        <v>45509</v>
      </c>
      <c r="B1180" s="3">
        <v>0.81586805555555553</v>
      </c>
      <c r="C1180" t="s">
        <v>8</v>
      </c>
      <c r="D1180" t="s">
        <v>25</v>
      </c>
      <c r="E1180" s="4">
        <v>32.82</v>
      </c>
      <c r="F1180" t="s">
        <v>32</v>
      </c>
      <c r="G1180" s="10" t="str">
        <f>TEXT(Transform_Data[[#This Row],[Date]],"mmm yyyy")</f>
        <v>Aug 2024</v>
      </c>
      <c r="H1180" s="10">
        <f>HOUR(Transform_Data[[#This Row],[Time]])</f>
        <v>19</v>
      </c>
      <c r="I1180" s="10" t="str">
        <f>IF(COUNTIF('Transform Data'!$D:$D,'Transform Data'!D1180)&gt;1,"Repeat","Single")</f>
        <v>Repeat</v>
      </c>
      <c r="J1180" s="10" t="str">
        <f>IF('Transform Data'!D1180="Cash","Cash",IF(COUNTIF('Transform Data'!$D:$D,'Transform Data'!D1180)&gt;1,"Repeat","Single"))</f>
        <v>Repeat</v>
      </c>
      <c r="K1180" s="10" t="str">
        <f t="shared" si="18"/>
        <v>TRANS-1179</v>
      </c>
    </row>
    <row r="1181" spans="1:11" x14ac:dyDescent="0.35">
      <c r="A1181" s="5">
        <v>45509</v>
      </c>
      <c r="B1181" s="3">
        <v>0.8677083333333333</v>
      </c>
      <c r="C1181" t="s">
        <v>8</v>
      </c>
      <c r="D1181" t="s">
        <v>516</v>
      </c>
      <c r="E1181" s="4">
        <v>32.82</v>
      </c>
      <c r="F1181" t="s">
        <v>10</v>
      </c>
      <c r="G1181" s="10" t="str">
        <f>TEXT(Transform_Data[[#This Row],[Date]],"mmm yyyy")</f>
        <v>Aug 2024</v>
      </c>
      <c r="H1181" s="10">
        <f>HOUR(Transform_Data[[#This Row],[Time]])</f>
        <v>20</v>
      </c>
      <c r="I1181" s="10" t="str">
        <f>IF(COUNTIF('Transform Data'!$D:$D,'Transform Data'!D1181)&gt;1,"Repeat","Single")</f>
        <v>Repeat</v>
      </c>
      <c r="J1181" s="10" t="str">
        <f>IF('Transform Data'!D1181="Cash","Cash",IF(COUNTIF('Transform Data'!$D:$D,'Transform Data'!D1181)&gt;1,"Repeat","Single"))</f>
        <v>Repeat</v>
      </c>
      <c r="K1181" s="10" t="str">
        <f t="shared" si="18"/>
        <v>TRANS-1180</v>
      </c>
    </row>
    <row r="1182" spans="1:11" x14ac:dyDescent="0.35">
      <c r="A1182" s="5">
        <v>45509</v>
      </c>
      <c r="B1182" s="3">
        <v>0.86829861111111106</v>
      </c>
      <c r="C1182" t="s">
        <v>8</v>
      </c>
      <c r="D1182" t="s">
        <v>516</v>
      </c>
      <c r="E1182" s="4">
        <v>32.82</v>
      </c>
      <c r="F1182" t="s">
        <v>10</v>
      </c>
      <c r="G1182" s="10" t="str">
        <f>TEXT(Transform_Data[[#This Row],[Date]],"mmm yyyy")</f>
        <v>Aug 2024</v>
      </c>
      <c r="H1182" s="10">
        <f>HOUR(Transform_Data[[#This Row],[Time]])</f>
        <v>20</v>
      </c>
      <c r="I1182" s="10" t="str">
        <f>IF(COUNTIF('Transform Data'!$D:$D,'Transform Data'!D1182)&gt;1,"Repeat","Single")</f>
        <v>Repeat</v>
      </c>
      <c r="J1182" s="10" t="str">
        <f>IF('Transform Data'!D1182="Cash","Cash",IF(COUNTIF('Transform Data'!$D:$D,'Transform Data'!D1182)&gt;1,"Repeat","Single"))</f>
        <v>Repeat</v>
      </c>
      <c r="K1182" s="10" t="str">
        <f t="shared" si="18"/>
        <v>TRANS-1181</v>
      </c>
    </row>
    <row r="1183" spans="1:11" x14ac:dyDescent="0.35">
      <c r="A1183" s="5">
        <v>45509</v>
      </c>
      <c r="B1183" s="3">
        <v>0.94708333333333339</v>
      </c>
      <c r="C1183" t="s">
        <v>8</v>
      </c>
      <c r="D1183" t="s">
        <v>517</v>
      </c>
      <c r="E1183" s="4">
        <v>27.92</v>
      </c>
      <c r="F1183" t="s">
        <v>36</v>
      </c>
      <c r="G1183" s="10" t="str">
        <f>TEXT(Transform_Data[[#This Row],[Date]],"mmm yyyy")</f>
        <v>Aug 2024</v>
      </c>
      <c r="H1183" s="10">
        <f>HOUR(Transform_Data[[#This Row],[Time]])</f>
        <v>22</v>
      </c>
      <c r="I1183" s="10" t="str">
        <f>IF(COUNTIF('Transform Data'!$D:$D,'Transform Data'!D1183)&gt;1,"Repeat","Single")</f>
        <v>Single</v>
      </c>
      <c r="J1183" s="10" t="str">
        <f>IF('Transform Data'!D1183="Cash","Cash",IF(COUNTIF('Transform Data'!$D:$D,'Transform Data'!D1183)&gt;1,"Repeat","Single"))</f>
        <v>Single</v>
      </c>
      <c r="K1183" s="10" t="str">
        <f t="shared" si="18"/>
        <v>TRANS-1182</v>
      </c>
    </row>
    <row r="1184" spans="1:11" x14ac:dyDescent="0.35">
      <c r="A1184" s="5">
        <v>45510</v>
      </c>
      <c r="B1184" s="3">
        <v>0.43128472222222225</v>
      </c>
      <c r="C1184" t="s">
        <v>8</v>
      </c>
      <c r="D1184" t="s">
        <v>428</v>
      </c>
      <c r="E1184" s="4">
        <v>23.02</v>
      </c>
      <c r="F1184" t="s">
        <v>20</v>
      </c>
      <c r="G1184" s="10" t="str">
        <f>TEXT(Transform_Data[[#This Row],[Date]],"mmm yyyy")</f>
        <v>Aug 2024</v>
      </c>
      <c r="H1184" s="10">
        <f>HOUR(Transform_Data[[#This Row],[Time]])</f>
        <v>10</v>
      </c>
      <c r="I1184" s="10" t="str">
        <f>IF(COUNTIF('Transform Data'!$D:$D,'Transform Data'!D1184)&gt;1,"Repeat","Single")</f>
        <v>Repeat</v>
      </c>
      <c r="J1184" s="10" t="str">
        <f>IF('Transform Data'!D1184="Cash","Cash",IF(COUNTIF('Transform Data'!$D:$D,'Transform Data'!D1184)&gt;1,"Repeat","Single"))</f>
        <v>Repeat</v>
      </c>
      <c r="K1184" s="10" t="str">
        <f t="shared" si="18"/>
        <v>TRANS-1183</v>
      </c>
    </row>
    <row r="1185" spans="1:11" x14ac:dyDescent="0.35">
      <c r="A1185" s="5">
        <v>45510</v>
      </c>
      <c r="B1185" s="3">
        <v>0.43925925925925924</v>
      </c>
      <c r="C1185" t="s">
        <v>8</v>
      </c>
      <c r="D1185" t="s">
        <v>518</v>
      </c>
      <c r="E1185" s="4">
        <v>32.82</v>
      </c>
      <c r="F1185" t="s">
        <v>15</v>
      </c>
      <c r="G1185" s="10" t="str">
        <f>TEXT(Transform_Data[[#This Row],[Date]],"mmm yyyy")</f>
        <v>Aug 2024</v>
      </c>
      <c r="H1185" s="10">
        <f>HOUR(Transform_Data[[#This Row],[Time]])</f>
        <v>10</v>
      </c>
      <c r="I1185" s="10" t="str">
        <f>IF(COUNTIF('Transform Data'!$D:$D,'Transform Data'!D1185)&gt;1,"Repeat","Single")</f>
        <v>Single</v>
      </c>
      <c r="J1185" s="10" t="str">
        <f>IF('Transform Data'!D1185="Cash","Cash",IF(COUNTIF('Transform Data'!$D:$D,'Transform Data'!D1185)&gt;1,"Repeat","Single"))</f>
        <v>Single</v>
      </c>
      <c r="K1185" s="10" t="str">
        <f t="shared" si="18"/>
        <v>TRANS-1184</v>
      </c>
    </row>
    <row r="1186" spans="1:11" x14ac:dyDescent="0.35">
      <c r="A1186" s="5">
        <v>45510</v>
      </c>
      <c r="B1186" s="3">
        <v>0.73667824074074073</v>
      </c>
      <c r="C1186" t="s">
        <v>8</v>
      </c>
      <c r="D1186" t="s">
        <v>519</v>
      </c>
      <c r="E1186" s="4">
        <v>32.82</v>
      </c>
      <c r="F1186" t="s">
        <v>24</v>
      </c>
      <c r="G1186" s="10" t="str">
        <f>TEXT(Transform_Data[[#This Row],[Date]],"mmm yyyy")</f>
        <v>Aug 2024</v>
      </c>
      <c r="H1186" s="10">
        <f>HOUR(Transform_Data[[#This Row],[Time]])</f>
        <v>17</v>
      </c>
      <c r="I1186" s="10" t="str">
        <f>IF(COUNTIF('Transform Data'!$D:$D,'Transform Data'!D1186)&gt;1,"Repeat","Single")</f>
        <v>Repeat</v>
      </c>
      <c r="J1186" s="10" t="str">
        <f>IF('Transform Data'!D1186="Cash","Cash",IF(COUNTIF('Transform Data'!$D:$D,'Transform Data'!D1186)&gt;1,"Repeat","Single"))</f>
        <v>Repeat</v>
      </c>
      <c r="K1186" s="10" t="str">
        <f t="shared" si="18"/>
        <v>TRANS-1185</v>
      </c>
    </row>
    <row r="1187" spans="1:11" x14ac:dyDescent="0.35">
      <c r="A1187" s="5">
        <v>45510</v>
      </c>
      <c r="B1187" s="3">
        <v>0.73810185185185184</v>
      </c>
      <c r="C1187" t="s">
        <v>8</v>
      </c>
      <c r="D1187" t="s">
        <v>519</v>
      </c>
      <c r="E1187" s="4">
        <v>32.82</v>
      </c>
      <c r="F1187" t="s">
        <v>32</v>
      </c>
      <c r="G1187" s="10" t="str">
        <f>TEXT(Transform_Data[[#This Row],[Date]],"mmm yyyy")</f>
        <v>Aug 2024</v>
      </c>
      <c r="H1187" s="10">
        <f>HOUR(Transform_Data[[#This Row],[Time]])</f>
        <v>17</v>
      </c>
      <c r="I1187" s="10" t="str">
        <f>IF(COUNTIF('Transform Data'!$D:$D,'Transform Data'!D1187)&gt;1,"Repeat","Single")</f>
        <v>Repeat</v>
      </c>
      <c r="J1187" s="10" t="str">
        <f>IF('Transform Data'!D1187="Cash","Cash",IF(COUNTIF('Transform Data'!$D:$D,'Transform Data'!D1187)&gt;1,"Repeat","Single"))</f>
        <v>Repeat</v>
      </c>
      <c r="K1187" s="10" t="str">
        <f t="shared" si="18"/>
        <v>TRANS-1186</v>
      </c>
    </row>
    <row r="1188" spans="1:11" x14ac:dyDescent="0.35">
      <c r="A1188" s="5">
        <v>45510</v>
      </c>
      <c r="B1188" s="3">
        <v>0.73894675925925923</v>
      </c>
      <c r="C1188" t="s">
        <v>8</v>
      </c>
      <c r="D1188" t="s">
        <v>519</v>
      </c>
      <c r="E1188" s="4">
        <v>32.82</v>
      </c>
      <c r="F1188" t="s">
        <v>10</v>
      </c>
      <c r="G1188" s="10" t="str">
        <f>TEXT(Transform_Data[[#This Row],[Date]],"mmm yyyy")</f>
        <v>Aug 2024</v>
      </c>
      <c r="H1188" s="10">
        <f>HOUR(Transform_Data[[#This Row],[Time]])</f>
        <v>17</v>
      </c>
      <c r="I1188" s="10" t="str">
        <f>IF(COUNTIF('Transform Data'!$D:$D,'Transform Data'!D1188)&gt;1,"Repeat","Single")</f>
        <v>Repeat</v>
      </c>
      <c r="J1188" s="10" t="str">
        <f>IF('Transform Data'!D1188="Cash","Cash",IF(COUNTIF('Transform Data'!$D:$D,'Transform Data'!D1188)&gt;1,"Repeat","Single"))</f>
        <v>Repeat</v>
      </c>
      <c r="K1188" s="10" t="str">
        <f t="shared" si="18"/>
        <v>TRANS-1187</v>
      </c>
    </row>
    <row r="1189" spans="1:11" x14ac:dyDescent="0.35">
      <c r="A1189" s="5">
        <v>45510</v>
      </c>
      <c r="B1189" s="3">
        <v>0.79449074074074078</v>
      </c>
      <c r="C1189" t="s">
        <v>8</v>
      </c>
      <c r="D1189" t="s">
        <v>76</v>
      </c>
      <c r="E1189" s="4">
        <v>32.82</v>
      </c>
      <c r="F1189" t="s">
        <v>32</v>
      </c>
      <c r="G1189" s="10" t="str">
        <f>TEXT(Transform_Data[[#This Row],[Date]],"mmm yyyy")</f>
        <v>Aug 2024</v>
      </c>
      <c r="H1189" s="10">
        <f>HOUR(Transform_Data[[#This Row],[Time]])</f>
        <v>19</v>
      </c>
      <c r="I1189" s="10" t="str">
        <f>IF(COUNTIF('Transform Data'!$D:$D,'Transform Data'!D1189)&gt;1,"Repeat","Single")</f>
        <v>Repeat</v>
      </c>
      <c r="J1189" s="10" t="str">
        <f>IF('Transform Data'!D1189="Cash","Cash",IF(COUNTIF('Transform Data'!$D:$D,'Transform Data'!D1189)&gt;1,"Repeat","Single"))</f>
        <v>Repeat</v>
      </c>
      <c r="K1189" s="10" t="str">
        <f t="shared" si="18"/>
        <v>TRANS-1188</v>
      </c>
    </row>
    <row r="1190" spans="1:11" x14ac:dyDescent="0.35">
      <c r="A1190" s="5">
        <v>45510</v>
      </c>
      <c r="B1190" s="3">
        <v>0.79540509259259262</v>
      </c>
      <c r="C1190" t="s">
        <v>8</v>
      </c>
      <c r="D1190" t="s">
        <v>520</v>
      </c>
      <c r="E1190" s="4">
        <v>27.92</v>
      </c>
      <c r="F1190" t="s">
        <v>36</v>
      </c>
      <c r="G1190" s="10" t="str">
        <f>TEXT(Transform_Data[[#This Row],[Date]],"mmm yyyy")</f>
        <v>Aug 2024</v>
      </c>
      <c r="H1190" s="10">
        <f>HOUR(Transform_Data[[#This Row],[Time]])</f>
        <v>19</v>
      </c>
      <c r="I1190" s="10" t="str">
        <f>IF(COUNTIF('Transform Data'!$D:$D,'Transform Data'!D1190)&gt;1,"Repeat","Single")</f>
        <v>Repeat</v>
      </c>
      <c r="J1190" s="10" t="str">
        <f>IF('Transform Data'!D1190="Cash","Cash",IF(COUNTIF('Transform Data'!$D:$D,'Transform Data'!D1190)&gt;1,"Repeat","Single"))</f>
        <v>Repeat</v>
      </c>
      <c r="K1190" s="10" t="str">
        <f t="shared" si="18"/>
        <v>TRANS-1189</v>
      </c>
    </row>
    <row r="1191" spans="1:11" x14ac:dyDescent="0.35">
      <c r="A1191" s="5">
        <v>45510</v>
      </c>
      <c r="B1191" s="3">
        <v>0.83642361111111108</v>
      </c>
      <c r="C1191" t="s">
        <v>8</v>
      </c>
      <c r="D1191" t="s">
        <v>521</v>
      </c>
      <c r="E1191" s="4">
        <v>32.82</v>
      </c>
      <c r="F1191" t="s">
        <v>32</v>
      </c>
      <c r="G1191" s="10" t="str">
        <f>TEXT(Transform_Data[[#This Row],[Date]],"mmm yyyy")</f>
        <v>Aug 2024</v>
      </c>
      <c r="H1191" s="10">
        <f>HOUR(Transform_Data[[#This Row],[Time]])</f>
        <v>20</v>
      </c>
      <c r="I1191" s="10" t="str">
        <f>IF(COUNTIF('Transform Data'!$D:$D,'Transform Data'!D1191)&gt;1,"Repeat","Single")</f>
        <v>Single</v>
      </c>
      <c r="J1191" s="10" t="str">
        <f>IF('Transform Data'!D1191="Cash","Cash",IF(COUNTIF('Transform Data'!$D:$D,'Transform Data'!D1191)&gt;1,"Repeat","Single"))</f>
        <v>Single</v>
      </c>
      <c r="K1191" s="10" t="str">
        <f t="shared" si="18"/>
        <v>TRANS-1190</v>
      </c>
    </row>
    <row r="1192" spans="1:11" x14ac:dyDescent="0.35">
      <c r="A1192" s="5">
        <v>45511</v>
      </c>
      <c r="B1192" s="3">
        <v>0.37208333333333332</v>
      </c>
      <c r="C1192" t="s">
        <v>8</v>
      </c>
      <c r="D1192" t="s">
        <v>506</v>
      </c>
      <c r="E1192" s="4">
        <v>27.92</v>
      </c>
      <c r="F1192" t="s">
        <v>36</v>
      </c>
      <c r="G1192" s="10" t="str">
        <f>TEXT(Transform_Data[[#This Row],[Date]],"mmm yyyy")</f>
        <v>Aug 2024</v>
      </c>
      <c r="H1192" s="10">
        <f>HOUR(Transform_Data[[#This Row],[Time]])</f>
        <v>8</v>
      </c>
      <c r="I1192" s="10" t="str">
        <f>IF(COUNTIF('Transform Data'!$D:$D,'Transform Data'!D1192)&gt;1,"Repeat","Single")</f>
        <v>Repeat</v>
      </c>
      <c r="J1192" s="10" t="str">
        <f>IF('Transform Data'!D1192="Cash","Cash",IF(COUNTIF('Transform Data'!$D:$D,'Transform Data'!D1192)&gt;1,"Repeat","Single"))</f>
        <v>Repeat</v>
      </c>
      <c r="K1192" s="10" t="str">
        <f t="shared" si="18"/>
        <v>TRANS-1191</v>
      </c>
    </row>
    <row r="1193" spans="1:11" x14ac:dyDescent="0.35">
      <c r="A1193" s="5">
        <v>45511</v>
      </c>
      <c r="B1193" s="3">
        <v>0.50863425925925931</v>
      </c>
      <c r="C1193" t="s">
        <v>8</v>
      </c>
      <c r="D1193" t="s">
        <v>62</v>
      </c>
      <c r="E1193" s="4">
        <v>23.02</v>
      </c>
      <c r="F1193" t="s">
        <v>28</v>
      </c>
      <c r="G1193" s="10" t="str">
        <f>TEXT(Transform_Data[[#This Row],[Date]],"mmm yyyy")</f>
        <v>Aug 2024</v>
      </c>
      <c r="H1193" s="10">
        <f>HOUR(Transform_Data[[#This Row],[Time]])</f>
        <v>12</v>
      </c>
      <c r="I1193" s="10" t="str">
        <f>IF(COUNTIF('Transform Data'!$D:$D,'Transform Data'!D1193)&gt;1,"Repeat","Single")</f>
        <v>Repeat</v>
      </c>
      <c r="J1193" s="10" t="str">
        <f>IF('Transform Data'!D1193="Cash","Cash",IF(COUNTIF('Transform Data'!$D:$D,'Transform Data'!D1193)&gt;1,"Repeat","Single"))</f>
        <v>Repeat</v>
      </c>
      <c r="K1193" s="10" t="str">
        <f t="shared" si="18"/>
        <v>TRANS-1192</v>
      </c>
    </row>
    <row r="1194" spans="1:11" x14ac:dyDescent="0.35">
      <c r="A1194" s="5">
        <v>45511</v>
      </c>
      <c r="B1194" s="3">
        <v>0.50949074074074074</v>
      </c>
      <c r="C1194" t="s">
        <v>8</v>
      </c>
      <c r="D1194" t="s">
        <v>62</v>
      </c>
      <c r="E1194" s="4">
        <v>23.02</v>
      </c>
      <c r="F1194" t="s">
        <v>28</v>
      </c>
      <c r="G1194" s="10" t="str">
        <f>TEXT(Transform_Data[[#This Row],[Date]],"mmm yyyy")</f>
        <v>Aug 2024</v>
      </c>
      <c r="H1194" s="10">
        <f>HOUR(Transform_Data[[#This Row],[Time]])</f>
        <v>12</v>
      </c>
      <c r="I1194" s="10" t="str">
        <f>IF(COUNTIF('Transform Data'!$D:$D,'Transform Data'!D1194)&gt;1,"Repeat","Single")</f>
        <v>Repeat</v>
      </c>
      <c r="J1194" s="10" t="str">
        <f>IF('Transform Data'!D1194="Cash","Cash",IF(COUNTIF('Transform Data'!$D:$D,'Transform Data'!D1194)&gt;1,"Repeat","Single"))</f>
        <v>Repeat</v>
      </c>
      <c r="K1194" s="10" t="str">
        <f t="shared" si="18"/>
        <v>TRANS-1193</v>
      </c>
    </row>
    <row r="1195" spans="1:11" x14ac:dyDescent="0.35">
      <c r="A1195" s="5">
        <v>45511</v>
      </c>
      <c r="B1195" s="3">
        <v>0.54949074074074078</v>
      </c>
      <c r="C1195" t="s">
        <v>8</v>
      </c>
      <c r="D1195" t="s">
        <v>522</v>
      </c>
      <c r="E1195" s="4">
        <v>18.12</v>
      </c>
      <c r="F1195" t="s">
        <v>5</v>
      </c>
      <c r="G1195" s="10" t="str">
        <f>TEXT(Transform_Data[[#This Row],[Date]],"mmm yyyy")</f>
        <v>Aug 2024</v>
      </c>
      <c r="H1195" s="10">
        <f>HOUR(Transform_Data[[#This Row],[Time]])</f>
        <v>13</v>
      </c>
      <c r="I1195" s="10" t="str">
        <f>IF(COUNTIF('Transform Data'!$D:$D,'Transform Data'!D1195)&gt;1,"Repeat","Single")</f>
        <v>Single</v>
      </c>
      <c r="J1195" s="10" t="str">
        <f>IF('Transform Data'!D1195="Cash","Cash",IF(COUNTIF('Transform Data'!$D:$D,'Transform Data'!D1195)&gt;1,"Repeat","Single"))</f>
        <v>Single</v>
      </c>
      <c r="K1195" s="10" t="str">
        <f t="shared" si="18"/>
        <v>TRANS-1194</v>
      </c>
    </row>
    <row r="1196" spans="1:11" x14ac:dyDescent="0.35">
      <c r="A1196" s="5">
        <v>45511</v>
      </c>
      <c r="B1196" s="3">
        <v>0.67987268518518518</v>
      </c>
      <c r="C1196" t="s">
        <v>8</v>
      </c>
      <c r="D1196" t="s">
        <v>523</v>
      </c>
      <c r="E1196" s="4">
        <v>23.02</v>
      </c>
      <c r="F1196" t="s">
        <v>28</v>
      </c>
      <c r="G1196" s="10" t="str">
        <f>TEXT(Transform_Data[[#This Row],[Date]],"mmm yyyy")</f>
        <v>Aug 2024</v>
      </c>
      <c r="H1196" s="10">
        <f>HOUR(Transform_Data[[#This Row],[Time]])</f>
        <v>16</v>
      </c>
      <c r="I1196" s="10" t="str">
        <f>IF(COUNTIF('Transform Data'!$D:$D,'Transform Data'!D1196)&gt;1,"Repeat","Single")</f>
        <v>Single</v>
      </c>
      <c r="J1196" s="10" t="str">
        <f>IF('Transform Data'!D1196="Cash","Cash",IF(COUNTIF('Transform Data'!$D:$D,'Transform Data'!D1196)&gt;1,"Repeat","Single"))</f>
        <v>Single</v>
      </c>
      <c r="K1196" s="10" t="str">
        <f t="shared" si="18"/>
        <v>TRANS-1195</v>
      </c>
    </row>
    <row r="1197" spans="1:11" x14ac:dyDescent="0.35">
      <c r="A1197" s="5">
        <v>45511</v>
      </c>
      <c r="B1197" s="3">
        <v>0.81692129629629628</v>
      </c>
      <c r="C1197" t="s">
        <v>8</v>
      </c>
      <c r="D1197" t="s">
        <v>25</v>
      </c>
      <c r="E1197" s="4">
        <v>32.82</v>
      </c>
      <c r="F1197" t="s">
        <v>32</v>
      </c>
      <c r="G1197" s="10" t="str">
        <f>TEXT(Transform_Data[[#This Row],[Date]],"mmm yyyy")</f>
        <v>Aug 2024</v>
      </c>
      <c r="H1197" s="10">
        <f>HOUR(Transform_Data[[#This Row],[Time]])</f>
        <v>19</v>
      </c>
      <c r="I1197" s="10" t="str">
        <f>IF(COUNTIF('Transform Data'!$D:$D,'Transform Data'!D1197)&gt;1,"Repeat","Single")</f>
        <v>Repeat</v>
      </c>
      <c r="J1197" s="10" t="str">
        <f>IF('Transform Data'!D1197="Cash","Cash",IF(COUNTIF('Transform Data'!$D:$D,'Transform Data'!D1197)&gt;1,"Repeat","Single"))</f>
        <v>Repeat</v>
      </c>
      <c r="K1197" s="10" t="str">
        <f t="shared" si="18"/>
        <v>TRANS-1196</v>
      </c>
    </row>
    <row r="1198" spans="1:11" x14ac:dyDescent="0.35">
      <c r="A1198" s="5">
        <v>45511</v>
      </c>
      <c r="B1198" s="3">
        <v>0.86121527777777773</v>
      </c>
      <c r="C1198" t="s">
        <v>8</v>
      </c>
      <c r="D1198" t="s">
        <v>495</v>
      </c>
      <c r="E1198" s="4">
        <v>32.82</v>
      </c>
      <c r="F1198" t="s">
        <v>10</v>
      </c>
      <c r="G1198" s="10" t="str">
        <f>TEXT(Transform_Data[[#This Row],[Date]],"mmm yyyy")</f>
        <v>Aug 2024</v>
      </c>
      <c r="H1198" s="10">
        <f>HOUR(Transform_Data[[#This Row],[Time]])</f>
        <v>20</v>
      </c>
      <c r="I1198" s="10" t="str">
        <f>IF(COUNTIF('Transform Data'!$D:$D,'Transform Data'!D1198)&gt;1,"Repeat","Single")</f>
        <v>Repeat</v>
      </c>
      <c r="J1198" s="10" t="str">
        <f>IF('Transform Data'!D1198="Cash","Cash",IF(COUNTIF('Transform Data'!$D:$D,'Transform Data'!D1198)&gt;1,"Repeat","Single"))</f>
        <v>Repeat</v>
      </c>
      <c r="K1198" s="10" t="str">
        <f t="shared" si="18"/>
        <v>TRANS-1197</v>
      </c>
    </row>
    <row r="1199" spans="1:11" x14ac:dyDescent="0.35">
      <c r="A1199" s="5">
        <v>45511</v>
      </c>
      <c r="B1199" s="3">
        <v>0.88762731481481483</v>
      </c>
      <c r="C1199" t="s">
        <v>8</v>
      </c>
      <c r="D1199" t="s">
        <v>381</v>
      </c>
      <c r="E1199" s="4">
        <v>32.82</v>
      </c>
      <c r="F1199" t="s">
        <v>24</v>
      </c>
      <c r="G1199" s="10" t="str">
        <f>TEXT(Transform_Data[[#This Row],[Date]],"mmm yyyy")</f>
        <v>Aug 2024</v>
      </c>
      <c r="H1199" s="10">
        <f>HOUR(Transform_Data[[#This Row],[Time]])</f>
        <v>21</v>
      </c>
      <c r="I1199" s="10" t="str">
        <f>IF(COUNTIF('Transform Data'!$D:$D,'Transform Data'!D1199)&gt;1,"Repeat","Single")</f>
        <v>Repeat</v>
      </c>
      <c r="J1199" s="10" t="str">
        <f>IF('Transform Data'!D1199="Cash","Cash",IF(COUNTIF('Transform Data'!$D:$D,'Transform Data'!D1199)&gt;1,"Repeat","Single"))</f>
        <v>Repeat</v>
      </c>
      <c r="K1199" s="10" t="str">
        <f t="shared" si="18"/>
        <v>TRANS-1198</v>
      </c>
    </row>
    <row r="1200" spans="1:11" x14ac:dyDescent="0.35">
      <c r="A1200" s="5">
        <v>45511</v>
      </c>
      <c r="B1200" s="3">
        <v>0.93675925925925929</v>
      </c>
      <c r="C1200" t="s">
        <v>8</v>
      </c>
      <c r="D1200" t="s">
        <v>524</v>
      </c>
      <c r="E1200" s="4">
        <v>32.82</v>
      </c>
      <c r="F1200" t="s">
        <v>32</v>
      </c>
      <c r="G1200" s="10" t="str">
        <f>TEXT(Transform_Data[[#This Row],[Date]],"mmm yyyy")</f>
        <v>Aug 2024</v>
      </c>
      <c r="H1200" s="10">
        <f>HOUR(Transform_Data[[#This Row],[Time]])</f>
        <v>22</v>
      </c>
      <c r="I1200" s="10" t="str">
        <f>IF(COUNTIF('Transform Data'!$D:$D,'Transform Data'!D1200)&gt;1,"Repeat","Single")</f>
        <v>Single</v>
      </c>
      <c r="J1200" s="10" t="str">
        <f>IF('Transform Data'!D1200="Cash","Cash",IF(COUNTIF('Transform Data'!$D:$D,'Transform Data'!D1200)&gt;1,"Repeat","Single"))</f>
        <v>Single</v>
      </c>
      <c r="K1200" s="10" t="str">
        <f t="shared" si="18"/>
        <v>TRANS-1199</v>
      </c>
    </row>
    <row r="1201" spans="1:11" x14ac:dyDescent="0.35">
      <c r="A1201" s="5">
        <v>45511</v>
      </c>
      <c r="B1201" s="3">
        <v>0.93906250000000002</v>
      </c>
      <c r="C1201" t="s">
        <v>8</v>
      </c>
      <c r="D1201" t="s">
        <v>525</v>
      </c>
      <c r="E1201" s="4">
        <v>32.82</v>
      </c>
      <c r="F1201" t="s">
        <v>32</v>
      </c>
      <c r="G1201" s="10" t="str">
        <f>TEXT(Transform_Data[[#This Row],[Date]],"mmm yyyy")</f>
        <v>Aug 2024</v>
      </c>
      <c r="H1201" s="10">
        <f>HOUR(Transform_Data[[#This Row],[Time]])</f>
        <v>22</v>
      </c>
      <c r="I1201" s="10" t="str">
        <f>IF(COUNTIF('Transform Data'!$D:$D,'Transform Data'!D1201)&gt;1,"Repeat","Single")</f>
        <v>Repeat</v>
      </c>
      <c r="J1201" s="10" t="str">
        <f>IF('Transform Data'!D1201="Cash","Cash",IF(COUNTIF('Transform Data'!$D:$D,'Transform Data'!D1201)&gt;1,"Repeat","Single"))</f>
        <v>Repeat</v>
      </c>
      <c r="K1201" s="10" t="str">
        <f t="shared" si="18"/>
        <v>TRANS-1200</v>
      </c>
    </row>
    <row r="1202" spans="1:11" x14ac:dyDescent="0.35">
      <c r="A1202" s="5">
        <v>45512</v>
      </c>
      <c r="B1202" s="3">
        <v>0.36569444444444443</v>
      </c>
      <c r="C1202" t="s">
        <v>8</v>
      </c>
      <c r="D1202" t="s">
        <v>40</v>
      </c>
      <c r="E1202" s="4">
        <v>18.12</v>
      </c>
      <c r="F1202" t="s">
        <v>5</v>
      </c>
      <c r="G1202" s="10" t="str">
        <f>TEXT(Transform_Data[[#This Row],[Date]],"mmm yyyy")</f>
        <v>Aug 2024</v>
      </c>
      <c r="H1202" s="10">
        <f>HOUR(Transform_Data[[#This Row],[Time]])</f>
        <v>8</v>
      </c>
      <c r="I1202" s="10" t="str">
        <f>IF(COUNTIF('Transform Data'!$D:$D,'Transform Data'!D1202)&gt;1,"Repeat","Single")</f>
        <v>Repeat</v>
      </c>
      <c r="J1202" s="10" t="str">
        <f>IF('Transform Data'!D1202="Cash","Cash",IF(COUNTIF('Transform Data'!$D:$D,'Transform Data'!D1202)&gt;1,"Repeat","Single"))</f>
        <v>Repeat</v>
      </c>
      <c r="K1202" s="10" t="str">
        <f t="shared" si="18"/>
        <v>TRANS-1201</v>
      </c>
    </row>
    <row r="1203" spans="1:11" x14ac:dyDescent="0.35">
      <c r="A1203" s="5">
        <v>45512</v>
      </c>
      <c r="B1203" s="3">
        <v>0.36629629629629629</v>
      </c>
      <c r="C1203" t="s">
        <v>8</v>
      </c>
      <c r="D1203" t="s">
        <v>40</v>
      </c>
      <c r="E1203" s="4">
        <v>23.02</v>
      </c>
      <c r="F1203" t="s">
        <v>20</v>
      </c>
      <c r="G1203" s="10" t="str">
        <f>TEXT(Transform_Data[[#This Row],[Date]],"mmm yyyy")</f>
        <v>Aug 2024</v>
      </c>
      <c r="H1203" s="10">
        <f>HOUR(Transform_Data[[#This Row],[Time]])</f>
        <v>8</v>
      </c>
      <c r="I1203" s="10" t="str">
        <f>IF(COUNTIF('Transform Data'!$D:$D,'Transform Data'!D1203)&gt;1,"Repeat","Single")</f>
        <v>Repeat</v>
      </c>
      <c r="J1203" s="10" t="str">
        <f>IF('Transform Data'!D1203="Cash","Cash",IF(COUNTIF('Transform Data'!$D:$D,'Transform Data'!D1203)&gt;1,"Repeat","Single"))</f>
        <v>Repeat</v>
      </c>
      <c r="K1203" s="10" t="str">
        <f t="shared" si="18"/>
        <v>TRANS-1202</v>
      </c>
    </row>
    <row r="1204" spans="1:11" x14ac:dyDescent="0.35">
      <c r="A1204" s="5">
        <v>45512</v>
      </c>
      <c r="B1204" s="3">
        <v>0.51880787037037035</v>
      </c>
      <c r="C1204" t="s">
        <v>8</v>
      </c>
      <c r="D1204" t="s">
        <v>473</v>
      </c>
      <c r="E1204" s="4">
        <v>27.92</v>
      </c>
      <c r="F1204" t="s">
        <v>36</v>
      </c>
      <c r="G1204" s="10" t="str">
        <f>TEXT(Transform_Data[[#This Row],[Date]],"mmm yyyy")</f>
        <v>Aug 2024</v>
      </c>
      <c r="H1204" s="10">
        <f>HOUR(Transform_Data[[#This Row],[Time]])</f>
        <v>12</v>
      </c>
      <c r="I1204" s="10" t="str">
        <f>IF(COUNTIF('Transform Data'!$D:$D,'Transform Data'!D1204)&gt;1,"Repeat","Single")</f>
        <v>Repeat</v>
      </c>
      <c r="J1204" s="10" t="str">
        <f>IF('Transform Data'!D1204="Cash","Cash",IF(COUNTIF('Transform Data'!$D:$D,'Transform Data'!D1204)&gt;1,"Repeat","Single"))</f>
        <v>Repeat</v>
      </c>
      <c r="K1204" s="10" t="str">
        <f t="shared" si="18"/>
        <v>TRANS-1203</v>
      </c>
    </row>
    <row r="1205" spans="1:11" x14ac:dyDescent="0.35">
      <c r="A1205" s="5">
        <v>45512</v>
      </c>
      <c r="B1205" s="3">
        <v>0.53008101851851852</v>
      </c>
      <c r="C1205" t="s">
        <v>8</v>
      </c>
      <c r="D1205" t="s">
        <v>40</v>
      </c>
      <c r="E1205" s="4">
        <v>23.02</v>
      </c>
      <c r="F1205" t="s">
        <v>20</v>
      </c>
      <c r="G1205" s="10" t="str">
        <f>TEXT(Transform_Data[[#This Row],[Date]],"mmm yyyy")</f>
        <v>Aug 2024</v>
      </c>
      <c r="H1205" s="10">
        <f>HOUR(Transform_Data[[#This Row],[Time]])</f>
        <v>12</v>
      </c>
      <c r="I1205" s="10" t="str">
        <f>IF(COUNTIF('Transform Data'!$D:$D,'Transform Data'!D1205)&gt;1,"Repeat","Single")</f>
        <v>Repeat</v>
      </c>
      <c r="J1205" s="10" t="str">
        <f>IF('Transform Data'!D1205="Cash","Cash",IF(COUNTIF('Transform Data'!$D:$D,'Transform Data'!D1205)&gt;1,"Repeat","Single"))</f>
        <v>Repeat</v>
      </c>
      <c r="K1205" s="10" t="str">
        <f t="shared" si="18"/>
        <v>TRANS-1204</v>
      </c>
    </row>
    <row r="1206" spans="1:11" x14ac:dyDescent="0.35">
      <c r="A1206" s="5">
        <v>45512</v>
      </c>
      <c r="B1206" s="3">
        <v>0.53071759259259255</v>
      </c>
      <c r="C1206" t="s">
        <v>8</v>
      </c>
      <c r="D1206" t="s">
        <v>40</v>
      </c>
      <c r="E1206" s="4">
        <v>23.02</v>
      </c>
      <c r="F1206" t="s">
        <v>20</v>
      </c>
      <c r="G1206" s="10" t="str">
        <f>TEXT(Transform_Data[[#This Row],[Date]],"mmm yyyy")</f>
        <v>Aug 2024</v>
      </c>
      <c r="H1206" s="10">
        <f>HOUR(Transform_Data[[#This Row],[Time]])</f>
        <v>12</v>
      </c>
      <c r="I1206" s="10" t="str">
        <f>IF(COUNTIF('Transform Data'!$D:$D,'Transform Data'!D1206)&gt;1,"Repeat","Single")</f>
        <v>Repeat</v>
      </c>
      <c r="J1206" s="10" t="str">
        <f>IF('Transform Data'!D1206="Cash","Cash",IF(COUNTIF('Transform Data'!$D:$D,'Transform Data'!D1206)&gt;1,"Repeat","Single"))</f>
        <v>Repeat</v>
      </c>
      <c r="K1206" s="10" t="str">
        <f t="shared" si="18"/>
        <v>TRANS-1205</v>
      </c>
    </row>
    <row r="1207" spans="1:11" x14ac:dyDescent="0.35">
      <c r="A1207" s="5">
        <v>45512</v>
      </c>
      <c r="B1207" s="3">
        <v>0.70686342592592588</v>
      </c>
      <c r="C1207" t="s">
        <v>8</v>
      </c>
      <c r="D1207" t="s">
        <v>526</v>
      </c>
      <c r="E1207" s="4">
        <v>32.82</v>
      </c>
      <c r="F1207" t="s">
        <v>24</v>
      </c>
      <c r="G1207" s="10" t="str">
        <f>TEXT(Transform_Data[[#This Row],[Date]],"mmm yyyy")</f>
        <v>Aug 2024</v>
      </c>
      <c r="H1207" s="10">
        <f>HOUR(Transform_Data[[#This Row],[Time]])</f>
        <v>16</v>
      </c>
      <c r="I1207" s="10" t="str">
        <f>IF(COUNTIF('Transform Data'!$D:$D,'Transform Data'!D1207)&gt;1,"Repeat","Single")</f>
        <v>Single</v>
      </c>
      <c r="J1207" s="10" t="str">
        <f>IF('Transform Data'!D1207="Cash","Cash",IF(COUNTIF('Transform Data'!$D:$D,'Transform Data'!D1207)&gt;1,"Repeat","Single"))</f>
        <v>Single</v>
      </c>
      <c r="K1207" s="10" t="str">
        <f t="shared" si="18"/>
        <v>TRANS-1206</v>
      </c>
    </row>
    <row r="1208" spans="1:11" x14ac:dyDescent="0.35">
      <c r="A1208" s="5">
        <v>45512</v>
      </c>
      <c r="B1208" s="3">
        <v>0.72072916666666664</v>
      </c>
      <c r="C1208" t="s">
        <v>8</v>
      </c>
      <c r="D1208" t="s">
        <v>527</v>
      </c>
      <c r="E1208" s="4">
        <v>32.82</v>
      </c>
      <c r="F1208" t="s">
        <v>24</v>
      </c>
      <c r="G1208" s="10" t="str">
        <f>TEXT(Transform_Data[[#This Row],[Date]],"mmm yyyy")</f>
        <v>Aug 2024</v>
      </c>
      <c r="H1208" s="10">
        <f>HOUR(Transform_Data[[#This Row],[Time]])</f>
        <v>17</v>
      </c>
      <c r="I1208" s="10" t="str">
        <f>IF(COUNTIF('Transform Data'!$D:$D,'Transform Data'!D1208)&gt;1,"Repeat","Single")</f>
        <v>Single</v>
      </c>
      <c r="J1208" s="10" t="str">
        <f>IF('Transform Data'!D1208="Cash","Cash",IF(COUNTIF('Transform Data'!$D:$D,'Transform Data'!D1208)&gt;1,"Repeat","Single"))</f>
        <v>Single</v>
      </c>
      <c r="K1208" s="10" t="str">
        <f t="shared" si="18"/>
        <v>TRANS-1207</v>
      </c>
    </row>
    <row r="1209" spans="1:11" x14ac:dyDescent="0.35">
      <c r="A1209" s="5">
        <v>45512</v>
      </c>
      <c r="B1209" s="3">
        <v>0.89304398148148145</v>
      </c>
      <c r="C1209" t="s">
        <v>8</v>
      </c>
      <c r="D1209" t="s">
        <v>364</v>
      </c>
      <c r="E1209" s="4">
        <v>27.92</v>
      </c>
      <c r="F1209" t="s">
        <v>36</v>
      </c>
      <c r="G1209" s="10" t="str">
        <f>TEXT(Transform_Data[[#This Row],[Date]],"mmm yyyy")</f>
        <v>Aug 2024</v>
      </c>
      <c r="H1209" s="10">
        <f>HOUR(Transform_Data[[#This Row],[Time]])</f>
        <v>21</v>
      </c>
      <c r="I1209" s="10" t="str">
        <f>IF(COUNTIF('Transform Data'!$D:$D,'Transform Data'!D1209)&gt;1,"Repeat","Single")</f>
        <v>Repeat</v>
      </c>
      <c r="J1209" s="10" t="str">
        <f>IF('Transform Data'!D1209="Cash","Cash",IF(COUNTIF('Transform Data'!$D:$D,'Transform Data'!D1209)&gt;1,"Repeat","Single"))</f>
        <v>Repeat</v>
      </c>
      <c r="K1209" s="10" t="str">
        <f t="shared" si="18"/>
        <v>TRANS-1208</v>
      </c>
    </row>
    <row r="1210" spans="1:11" x14ac:dyDescent="0.35">
      <c r="A1210" s="5">
        <v>45513</v>
      </c>
      <c r="B1210" s="3">
        <v>0.31622685185185184</v>
      </c>
      <c r="C1210" t="s">
        <v>8</v>
      </c>
      <c r="D1210" t="s">
        <v>528</v>
      </c>
      <c r="E1210" s="4">
        <v>32.82</v>
      </c>
      <c r="F1210" t="s">
        <v>32</v>
      </c>
      <c r="G1210" s="10" t="str">
        <f>TEXT(Transform_Data[[#This Row],[Date]],"mmm yyyy")</f>
        <v>Aug 2024</v>
      </c>
      <c r="H1210" s="10">
        <f>HOUR(Transform_Data[[#This Row],[Time]])</f>
        <v>7</v>
      </c>
      <c r="I1210" s="10" t="str">
        <f>IF(COUNTIF('Transform Data'!$D:$D,'Transform Data'!D1210)&gt;1,"Repeat","Single")</f>
        <v>Repeat</v>
      </c>
      <c r="J1210" s="10" t="str">
        <f>IF('Transform Data'!D1210="Cash","Cash",IF(COUNTIF('Transform Data'!$D:$D,'Transform Data'!D1210)&gt;1,"Repeat","Single"))</f>
        <v>Repeat</v>
      </c>
      <c r="K1210" s="10" t="str">
        <f t="shared" si="18"/>
        <v>TRANS-1209</v>
      </c>
    </row>
    <row r="1211" spans="1:11" x14ac:dyDescent="0.35">
      <c r="A1211" s="5">
        <v>45513</v>
      </c>
      <c r="B1211" s="3">
        <v>0.41219907407407408</v>
      </c>
      <c r="C1211" t="s">
        <v>8</v>
      </c>
      <c r="D1211" t="s">
        <v>529</v>
      </c>
      <c r="E1211" s="4">
        <v>23.02</v>
      </c>
      <c r="F1211" t="s">
        <v>28</v>
      </c>
      <c r="G1211" s="10" t="str">
        <f>TEXT(Transform_Data[[#This Row],[Date]],"mmm yyyy")</f>
        <v>Aug 2024</v>
      </c>
      <c r="H1211" s="10">
        <f>HOUR(Transform_Data[[#This Row],[Time]])</f>
        <v>9</v>
      </c>
      <c r="I1211" s="10" t="str">
        <f>IF(COUNTIF('Transform Data'!$D:$D,'Transform Data'!D1211)&gt;1,"Repeat","Single")</f>
        <v>Single</v>
      </c>
      <c r="J1211" s="10" t="str">
        <f>IF('Transform Data'!D1211="Cash","Cash",IF(COUNTIF('Transform Data'!$D:$D,'Transform Data'!D1211)&gt;1,"Repeat","Single"))</f>
        <v>Single</v>
      </c>
      <c r="K1211" s="10" t="str">
        <f t="shared" si="18"/>
        <v>TRANS-1210</v>
      </c>
    </row>
    <row r="1212" spans="1:11" x14ac:dyDescent="0.35">
      <c r="A1212" s="5">
        <v>45513</v>
      </c>
      <c r="B1212" s="3">
        <v>0.42577546296296298</v>
      </c>
      <c r="C1212" t="s">
        <v>8</v>
      </c>
      <c r="D1212" t="s">
        <v>40</v>
      </c>
      <c r="E1212" s="4">
        <v>23.02</v>
      </c>
      <c r="F1212" t="s">
        <v>20</v>
      </c>
      <c r="G1212" s="10" t="str">
        <f>TEXT(Transform_Data[[#This Row],[Date]],"mmm yyyy")</f>
        <v>Aug 2024</v>
      </c>
      <c r="H1212" s="10">
        <f>HOUR(Transform_Data[[#This Row],[Time]])</f>
        <v>10</v>
      </c>
      <c r="I1212" s="10" t="str">
        <f>IF(COUNTIF('Transform Data'!$D:$D,'Transform Data'!D1212)&gt;1,"Repeat","Single")</f>
        <v>Repeat</v>
      </c>
      <c r="J1212" s="10" t="str">
        <f>IF('Transform Data'!D1212="Cash","Cash",IF(COUNTIF('Transform Data'!$D:$D,'Transform Data'!D1212)&gt;1,"Repeat","Single"))</f>
        <v>Repeat</v>
      </c>
      <c r="K1212" s="10" t="str">
        <f t="shared" si="18"/>
        <v>TRANS-1211</v>
      </c>
    </row>
    <row r="1213" spans="1:11" x14ac:dyDescent="0.35">
      <c r="A1213" s="5">
        <v>45513</v>
      </c>
      <c r="B1213" s="3">
        <v>0.43526620370370372</v>
      </c>
      <c r="C1213" t="s">
        <v>8</v>
      </c>
      <c r="D1213" t="s">
        <v>364</v>
      </c>
      <c r="E1213" s="4">
        <v>27.92</v>
      </c>
      <c r="F1213" t="s">
        <v>36</v>
      </c>
      <c r="G1213" s="10" t="str">
        <f>TEXT(Transform_Data[[#This Row],[Date]],"mmm yyyy")</f>
        <v>Aug 2024</v>
      </c>
      <c r="H1213" s="10">
        <f>HOUR(Transform_Data[[#This Row],[Time]])</f>
        <v>10</v>
      </c>
      <c r="I1213" s="10" t="str">
        <f>IF(COUNTIF('Transform Data'!$D:$D,'Transform Data'!D1213)&gt;1,"Repeat","Single")</f>
        <v>Repeat</v>
      </c>
      <c r="J1213" s="10" t="str">
        <f>IF('Transform Data'!D1213="Cash","Cash",IF(COUNTIF('Transform Data'!$D:$D,'Transform Data'!D1213)&gt;1,"Repeat","Single"))</f>
        <v>Repeat</v>
      </c>
      <c r="K1213" s="10" t="str">
        <f t="shared" si="18"/>
        <v>TRANS-1212</v>
      </c>
    </row>
    <row r="1214" spans="1:11" x14ac:dyDescent="0.35">
      <c r="A1214" s="5">
        <v>45513</v>
      </c>
      <c r="B1214" s="3">
        <v>0.47787037037037039</v>
      </c>
      <c r="C1214" t="s">
        <v>8</v>
      </c>
      <c r="D1214" t="s">
        <v>528</v>
      </c>
      <c r="E1214" s="4">
        <v>32.82</v>
      </c>
      <c r="F1214" t="s">
        <v>32</v>
      </c>
      <c r="G1214" s="10" t="str">
        <f>TEXT(Transform_Data[[#This Row],[Date]],"mmm yyyy")</f>
        <v>Aug 2024</v>
      </c>
      <c r="H1214" s="10">
        <f>HOUR(Transform_Data[[#This Row],[Time]])</f>
        <v>11</v>
      </c>
      <c r="I1214" s="10" t="str">
        <f>IF(COUNTIF('Transform Data'!$D:$D,'Transform Data'!D1214)&gt;1,"Repeat","Single")</f>
        <v>Repeat</v>
      </c>
      <c r="J1214" s="10" t="str">
        <f>IF('Transform Data'!D1214="Cash","Cash",IF(COUNTIF('Transform Data'!$D:$D,'Transform Data'!D1214)&gt;1,"Repeat","Single"))</f>
        <v>Repeat</v>
      </c>
      <c r="K1214" s="10" t="str">
        <f t="shared" si="18"/>
        <v>TRANS-1213</v>
      </c>
    </row>
    <row r="1215" spans="1:11" x14ac:dyDescent="0.35">
      <c r="A1215" s="5">
        <v>45513</v>
      </c>
      <c r="B1215" s="3">
        <v>0.47902777777777777</v>
      </c>
      <c r="C1215" t="s">
        <v>8</v>
      </c>
      <c r="D1215" t="s">
        <v>530</v>
      </c>
      <c r="E1215" s="4">
        <v>23.02</v>
      </c>
      <c r="F1215" t="s">
        <v>28</v>
      </c>
      <c r="G1215" s="10" t="str">
        <f>TEXT(Transform_Data[[#This Row],[Date]],"mmm yyyy")</f>
        <v>Aug 2024</v>
      </c>
      <c r="H1215" s="10">
        <f>HOUR(Transform_Data[[#This Row],[Time]])</f>
        <v>11</v>
      </c>
      <c r="I1215" s="10" t="str">
        <f>IF(COUNTIF('Transform Data'!$D:$D,'Transform Data'!D1215)&gt;1,"Repeat","Single")</f>
        <v>Single</v>
      </c>
      <c r="J1215" s="10" t="str">
        <f>IF('Transform Data'!D1215="Cash","Cash",IF(COUNTIF('Transform Data'!$D:$D,'Transform Data'!D1215)&gt;1,"Repeat","Single"))</f>
        <v>Single</v>
      </c>
      <c r="K1215" s="10" t="str">
        <f t="shared" si="18"/>
        <v>TRANS-1214</v>
      </c>
    </row>
    <row r="1216" spans="1:11" x14ac:dyDescent="0.35">
      <c r="A1216" s="5">
        <v>45513</v>
      </c>
      <c r="B1216" s="3">
        <v>0.78920138888888891</v>
      </c>
      <c r="C1216" t="s">
        <v>8</v>
      </c>
      <c r="D1216" t="s">
        <v>531</v>
      </c>
      <c r="E1216" s="4">
        <v>23.02</v>
      </c>
      <c r="F1216" t="s">
        <v>28</v>
      </c>
      <c r="G1216" s="10" t="str">
        <f>TEXT(Transform_Data[[#This Row],[Date]],"mmm yyyy")</f>
        <v>Aug 2024</v>
      </c>
      <c r="H1216" s="10">
        <f>HOUR(Transform_Data[[#This Row],[Time]])</f>
        <v>18</v>
      </c>
      <c r="I1216" s="10" t="str">
        <f>IF(COUNTIF('Transform Data'!$D:$D,'Transform Data'!D1216)&gt;1,"Repeat","Single")</f>
        <v>Single</v>
      </c>
      <c r="J1216" s="10" t="str">
        <f>IF('Transform Data'!D1216="Cash","Cash",IF(COUNTIF('Transform Data'!$D:$D,'Transform Data'!D1216)&gt;1,"Repeat","Single"))</f>
        <v>Single</v>
      </c>
      <c r="K1216" s="10" t="str">
        <f t="shared" si="18"/>
        <v>TRANS-1215</v>
      </c>
    </row>
    <row r="1217" spans="1:11" x14ac:dyDescent="0.35">
      <c r="A1217" s="5">
        <v>45513</v>
      </c>
      <c r="B1217" s="3">
        <v>0.79381944444444441</v>
      </c>
      <c r="C1217" t="s">
        <v>8</v>
      </c>
      <c r="D1217" t="s">
        <v>532</v>
      </c>
      <c r="E1217" s="4">
        <v>32.82</v>
      </c>
      <c r="F1217" t="s">
        <v>15</v>
      </c>
      <c r="G1217" s="10" t="str">
        <f>TEXT(Transform_Data[[#This Row],[Date]],"mmm yyyy")</f>
        <v>Aug 2024</v>
      </c>
      <c r="H1217" s="10">
        <f>HOUR(Transform_Data[[#This Row],[Time]])</f>
        <v>19</v>
      </c>
      <c r="I1217" s="10" t="str">
        <f>IF(COUNTIF('Transform Data'!$D:$D,'Transform Data'!D1217)&gt;1,"Repeat","Single")</f>
        <v>Single</v>
      </c>
      <c r="J1217" s="10" t="str">
        <f>IF('Transform Data'!D1217="Cash","Cash",IF(COUNTIF('Transform Data'!$D:$D,'Transform Data'!D1217)&gt;1,"Repeat","Single"))</f>
        <v>Single</v>
      </c>
      <c r="K1217" s="10" t="str">
        <f t="shared" si="18"/>
        <v>TRANS-1216</v>
      </c>
    </row>
    <row r="1218" spans="1:11" x14ac:dyDescent="0.35">
      <c r="A1218" s="5">
        <v>45514</v>
      </c>
      <c r="B1218" s="3">
        <v>0.3588425925925926</v>
      </c>
      <c r="C1218" t="s">
        <v>8</v>
      </c>
      <c r="D1218" t="s">
        <v>533</v>
      </c>
      <c r="E1218" s="4">
        <v>32.82</v>
      </c>
      <c r="F1218" t="s">
        <v>24</v>
      </c>
      <c r="G1218" s="10" t="str">
        <f>TEXT(Transform_Data[[#This Row],[Date]],"mmm yyyy")</f>
        <v>Aug 2024</v>
      </c>
      <c r="H1218" s="10">
        <f>HOUR(Transform_Data[[#This Row],[Time]])</f>
        <v>8</v>
      </c>
      <c r="I1218" s="10" t="str">
        <f>IF(COUNTIF('Transform Data'!$D:$D,'Transform Data'!D1218)&gt;1,"Repeat","Single")</f>
        <v>Repeat</v>
      </c>
      <c r="J1218" s="10" t="str">
        <f>IF('Transform Data'!D1218="Cash","Cash",IF(COUNTIF('Transform Data'!$D:$D,'Transform Data'!D1218)&gt;1,"Repeat","Single"))</f>
        <v>Repeat</v>
      </c>
      <c r="K1218" s="10" t="str">
        <f t="shared" ref="K1218:K1281" si="19">"TRANS-"&amp;TEXT(ROW(A1217),"0000")</f>
        <v>TRANS-1217</v>
      </c>
    </row>
    <row r="1219" spans="1:11" x14ac:dyDescent="0.35">
      <c r="A1219" s="5">
        <v>45514</v>
      </c>
      <c r="B1219" s="3">
        <v>0.35968749999999999</v>
      </c>
      <c r="C1219" t="s">
        <v>8</v>
      </c>
      <c r="D1219" t="s">
        <v>533</v>
      </c>
      <c r="E1219" s="4">
        <v>27.92</v>
      </c>
      <c r="F1219" t="s">
        <v>36</v>
      </c>
      <c r="G1219" s="10" t="str">
        <f>TEXT(Transform_Data[[#This Row],[Date]],"mmm yyyy")</f>
        <v>Aug 2024</v>
      </c>
      <c r="H1219" s="10">
        <f>HOUR(Transform_Data[[#This Row],[Time]])</f>
        <v>8</v>
      </c>
      <c r="I1219" s="10" t="str">
        <f>IF(COUNTIF('Transform Data'!$D:$D,'Transform Data'!D1219)&gt;1,"Repeat","Single")</f>
        <v>Repeat</v>
      </c>
      <c r="J1219" s="10" t="str">
        <f>IF('Transform Data'!D1219="Cash","Cash",IF(COUNTIF('Transform Data'!$D:$D,'Transform Data'!D1219)&gt;1,"Repeat","Single"))</f>
        <v>Repeat</v>
      </c>
      <c r="K1219" s="10" t="str">
        <f t="shared" si="19"/>
        <v>TRANS-1218</v>
      </c>
    </row>
    <row r="1220" spans="1:11" x14ac:dyDescent="0.35">
      <c r="A1220" s="5">
        <v>45514</v>
      </c>
      <c r="B1220" s="3">
        <v>0.3646875</v>
      </c>
      <c r="C1220" t="s">
        <v>8</v>
      </c>
      <c r="D1220" t="s">
        <v>40</v>
      </c>
      <c r="E1220" s="4">
        <v>23.02</v>
      </c>
      <c r="F1220" t="s">
        <v>20</v>
      </c>
      <c r="G1220" s="10" t="str">
        <f>TEXT(Transform_Data[[#This Row],[Date]],"mmm yyyy")</f>
        <v>Aug 2024</v>
      </c>
      <c r="H1220" s="10">
        <f>HOUR(Transform_Data[[#This Row],[Time]])</f>
        <v>8</v>
      </c>
      <c r="I1220" s="10" t="str">
        <f>IF(COUNTIF('Transform Data'!$D:$D,'Transform Data'!D1220)&gt;1,"Repeat","Single")</f>
        <v>Repeat</v>
      </c>
      <c r="J1220" s="10" t="str">
        <f>IF('Transform Data'!D1220="Cash","Cash",IF(COUNTIF('Transform Data'!$D:$D,'Transform Data'!D1220)&gt;1,"Repeat","Single"))</f>
        <v>Repeat</v>
      </c>
      <c r="K1220" s="10" t="str">
        <f t="shared" si="19"/>
        <v>TRANS-1219</v>
      </c>
    </row>
    <row r="1221" spans="1:11" x14ac:dyDescent="0.35">
      <c r="A1221" s="5">
        <v>45514</v>
      </c>
      <c r="B1221" s="3">
        <v>0.49482638888888891</v>
      </c>
      <c r="C1221" t="s">
        <v>8</v>
      </c>
      <c r="D1221" t="s">
        <v>43</v>
      </c>
      <c r="E1221" s="4">
        <v>23.02</v>
      </c>
      <c r="F1221" t="s">
        <v>20</v>
      </c>
      <c r="G1221" s="10" t="str">
        <f>TEXT(Transform_Data[[#This Row],[Date]],"mmm yyyy")</f>
        <v>Aug 2024</v>
      </c>
      <c r="H1221" s="10">
        <f>HOUR(Transform_Data[[#This Row],[Time]])</f>
        <v>11</v>
      </c>
      <c r="I1221" s="10" t="str">
        <f>IF(COUNTIF('Transform Data'!$D:$D,'Transform Data'!D1221)&gt;1,"Repeat","Single")</f>
        <v>Repeat</v>
      </c>
      <c r="J1221" s="10" t="str">
        <f>IF('Transform Data'!D1221="Cash","Cash",IF(COUNTIF('Transform Data'!$D:$D,'Transform Data'!D1221)&gt;1,"Repeat","Single"))</f>
        <v>Repeat</v>
      </c>
      <c r="K1221" s="10" t="str">
        <f t="shared" si="19"/>
        <v>TRANS-1220</v>
      </c>
    </row>
    <row r="1222" spans="1:11" x14ac:dyDescent="0.35">
      <c r="A1222" s="5">
        <v>45514</v>
      </c>
      <c r="B1222" s="3">
        <v>0.49609953703703702</v>
      </c>
      <c r="C1222" t="s">
        <v>8</v>
      </c>
      <c r="D1222" t="s">
        <v>43</v>
      </c>
      <c r="E1222" s="4">
        <v>23.02</v>
      </c>
      <c r="F1222" t="s">
        <v>28</v>
      </c>
      <c r="G1222" s="10" t="str">
        <f>TEXT(Transform_Data[[#This Row],[Date]],"mmm yyyy")</f>
        <v>Aug 2024</v>
      </c>
      <c r="H1222" s="10">
        <f>HOUR(Transform_Data[[#This Row],[Time]])</f>
        <v>11</v>
      </c>
      <c r="I1222" s="10" t="str">
        <f>IF(COUNTIF('Transform Data'!$D:$D,'Transform Data'!D1222)&gt;1,"Repeat","Single")</f>
        <v>Repeat</v>
      </c>
      <c r="J1222" s="10" t="str">
        <f>IF('Transform Data'!D1222="Cash","Cash",IF(COUNTIF('Transform Data'!$D:$D,'Transform Data'!D1222)&gt;1,"Repeat","Single"))</f>
        <v>Repeat</v>
      </c>
      <c r="K1222" s="10" t="str">
        <f t="shared" si="19"/>
        <v>TRANS-1221</v>
      </c>
    </row>
    <row r="1223" spans="1:11" x14ac:dyDescent="0.35">
      <c r="A1223" s="5">
        <v>45514</v>
      </c>
      <c r="B1223" s="3">
        <v>0.51053240740740746</v>
      </c>
      <c r="C1223" t="s">
        <v>8</v>
      </c>
      <c r="D1223" t="s">
        <v>534</v>
      </c>
      <c r="E1223" s="4">
        <v>32.82</v>
      </c>
      <c r="F1223" t="s">
        <v>32</v>
      </c>
      <c r="G1223" s="10" t="str">
        <f>TEXT(Transform_Data[[#This Row],[Date]],"mmm yyyy")</f>
        <v>Aug 2024</v>
      </c>
      <c r="H1223" s="10">
        <f>HOUR(Transform_Data[[#This Row],[Time]])</f>
        <v>12</v>
      </c>
      <c r="I1223" s="10" t="str">
        <f>IF(COUNTIF('Transform Data'!$D:$D,'Transform Data'!D1223)&gt;1,"Repeat","Single")</f>
        <v>Single</v>
      </c>
      <c r="J1223" s="10" t="str">
        <f>IF('Transform Data'!D1223="Cash","Cash",IF(COUNTIF('Transform Data'!$D:$D,'Transform Data'!D1223)&gt;1,"Repeat","Single"))</f>
        <v>Single</v>
      </c>
      <c r="K1223" s="10" t="str">
        <f t="shared" si="19"/>
        <v>TRANS-1222</v>
      </c>
    </row>
    <row r="1224" spans="1:11" x14ac:dyDescent="0.35">
      <c r="A1224" s="5">
        <v>45514</v>
      </c>
      <c r="B1224" s="3">
        <v>0.52305555555555561</v>
      </c>
      <c r="C1224" t="s">
        <v>8</v>
      </c>
      <c r="D1224" t="s">
        <v>516</v>
      </c>
      <c r="E1224" s="4">
        <v>27.92</v>
      </c>
      <c r="F1224" t="s">
        <v>36</v>
      </c>
      <c r="G1224" s="10" t="str">
        <f>TEXT(Transform_Data[[#This Row],[Date]],"mmm yyyy")</f>
        <v>Aug 2024</v>
      </c>
      <c r="H1224" s="10">
        <f>HOUR(Transform_Data[[#This Row],[Time]])</f>
        <v>12</v>
      </c>
      <c r="I1224" s="10" t="str">
        <f>IF(COUNTIF('Transform Data'!$D:$D,'Transform Data'!D1224)&gt;1,"Repeat","Single")</f>
        <v>Repeat</v>
      </c>
      <c r="J1224" s="10" t="str">
        <f>IF('Transform Data'!D1224="Cash","Cash",IF(COUNTIF('Transform Data'!$D:$D,'Transform Data'!D1224)&gt;1,"Repeat","Single"))</f>
        <v>Repeat</v>
      </c>
      <c r="K1224" s="10" t="str">
        <f t="shared" si="19"/>
        <v>TRANS-1223</v>
      </c>
    </row>
    <row r="1225" spans="1:11" x14ac:dyDescent="0.35">
      <c r="A1225" s="5">
        <v>45514</v>
      </c>
      <c r="B1225" s="3">
        <v>0.67097222222222219</v>
      </c>
      <c r="C1225" t="s">
        <v>8</v>
      </c>
      <c r="D1225" t="s">
        <v>25</v>
      </c>
      <c r="E1225" s="4">
        <v>32.82</v>
      </c>
      <c r="F1225" t="s">
        <v>32</v>
      </c>
      <c r="G1225" s="10" t="str">
        <f>TEXT(Transform_Data[[#This Row],[Date]],"mmm yyyy")</f>
        <v>Aug 2024</v>
      </c>
      <c r="H1225" s="10">
        <f>HOUR(Transform_Data[[#This Row],[Time]])</f>
        <v>16</v>
      </c>
      <c r="I1225" s="10" t="str">
        <f>IF(COUNTIF('Transform Data'!$D:$D,'Transform Data'!D1225)&gt;1,"Repeat","Single")</f>
        <v>Repeat</v>
      </c>
      <c r="J1225" s="10" t="str">
        <f>IF('Transform Data'!D1225="Cash","Cash",IF(COUNTIF('Transform Data'!$D:$D,'Transform Data'!D1225)&gt;1,"Repeat","Single"))</f>
        <v>Repeat</v>
      </c>
      <c r="K1225" s="10" t="str">
        <f t="shared" si="19"/>
        <v>TRANS-1224</v>
      </c>
    </row>
    <row r="1226" spans="1:11" x14ac:dyDescent="0.35">
      <c r="A1226" s="5">
        <v>45514</v>
      </c>
      <c r="B1226" s="3">
        <v>0.88666666666666671</v>
      </c>
      <c r="C1226" t="s">
        <v>8</v>
      </c>
      <c r="D1226" t="s">
        <v>535</v>
      </c>
      <c r="E1226" s="4">
        <v>32.82</v>
      </c>
      <c r="F1226" t="s">
        <v>10</v>
      </c>
      <c r="G1226" s="10" t="str">
        <f>TEXT(Transform_Data[[#This Row],[Date]],"mmm yyyy")</f>
        <v>Aug 2024</v>
      </c>
      <c r="H1226" s="10">
        <f>HOUR(Transform_Data[[#This Row],[Time]])</f>
        <v>21</v>
      </c>
      <c r="I1226" s="10" t="str">
        <f>IF(COUNTIF('Transform Data'!$D:$D,'Transform Data'!D1226)&gt;1,"Repeat","Single")</f>
        <v>Repeat</v>
      </c>
      <c r="J1226" s="10" t="str">
        <f>IF('Transform Data'!D1226="Cash","Cash",IF(COUNTIF('Transform Data'!$D:$D,'Transform Data'!D1226)&gt;1,"Repeat","Single"))</f>
        <v>Repeat</v>
      </c>
      <c r="K1226" s="10" t="str">
        <f t="shared" si="19"/>
        <v>TRANS-1225</v>
      </c>
    </row>
    <row r="1227" spans="1:11" x14ac:dyDescent="0.35">
      <c r="A1227" s="5">
        <v>45514</v>
      </c>
      <c r="B1227" s="3">
        <v>0.88728009259259255</v>
      </c>
      <c r="C1227" t="s">
        <v>8</v>
      </c>
      <c r="D1227" t="s">
        <v>535</v>
      </c>
      <c r="E1227" s="4">
        <v>32.82</v>
      </c>
      <c r="F1227" t="s">
        <v>10</v>
      </c>
      <c r="G1227" s="10" t="str">
        <f>TEXT(Transform_Data[[#This Row],[Date]],"mmm yyyy")</f>
        <v>Aug 2024</v>
      </c>
      <c r="H1227" s="10">
        <f>HOUR(Transform_Data[[#This Row],[Time]])</f>
        <v>21</v>
      </c>
      <c r="I1227" s="10" t="str">
        <f>IF(COUNTIF('Transform Data'!$D:$D,'Transform Data'!D1227)&gt;1,"Repeat","Single")</f>
        <v>Repeat</v>
      </c>
      <c r="J1227" s="10" t="str">
        <f>IF('Transform Data'!D1227="Cash","Cash",IF(COUNTIF('Transform Data'!$D:$D,'Transform Data'!D1227)&gt;1,"Repeat","Single"))</f>
        <v>Repeat</v>
      </c>
      <c r="K1227" s="10" t="str">
        <f t="shared" si="19"/>
        <v>TRANS-1226</v>
      </c>
    </row>
    <row r="1228" spans="1:11" x14ac:dyDescent="0.35">
      <c r="A1228" s="5">
        <v>45514</v>
      </c>
      <c r="B1228" s="3">
        <v>0.9011689814814815</v>
      </c>
      <c r="C1228" t="s">
        <v>8</v>
      </c>
      <c r="D1228" t="s">
        <v>495</v>
      </c>
      <c r="E1228" s="4">
        <v>32.82</v>
      </c>
      <c r="F1228" t="s">
        <v>10</v>
      </c>
      <c r="G1228" s="10" t="str">
        <f>TEXT(Transform_Data[[#This Row],[Date]],"mmm yyyy")</f>
        <v>Aug 2024</v>
      </c>
      <c r="H1228" s="10">
        <f>HOUR(Transform_Data[[#This Row],[Time]])</f>
        <v>21</v>
      </c>
      <c r="I1228" s="10" t="str">
        <f>IF(COUNTIF('Transform Data'!$D:$D,'Transform Data'!D1228)&gt;1,"Repeat","Single")</f>
        <v>Repeat</v>
      </c>
      <c r="J1228" s="10" t="str">
        <f>IF('Transform Data'!D1228="Cash","Cash",IF(COUNTIF('Transform Data'!$D:$D,'Transform Data'!D1228)&gt;1,"Repeat","Single"))</f>
        <v>Repeat</v>
      </c>
      <c r="K1228" s="10" t="str">
        <f t="shared" si="19"/>
        <v>TRANS-1227</v>
      </c>
    </row>
    <row r="1229" spans="1:11" x14ac:dyDescent="0.35">
      <c r="A1229" s="5">
        <v>45515</v>
      </c>
      <c r="B1229" s="3">
        <v>0.41152777777777777</v>
      </c>
      <c r="C1229" t="s">
        <v>8</v>
      </c>
      <c r="D1229" t="s">
        <v>493</v>
      </c>
      <c r="E1229" s="4">
        <v>32.82</v>
      </c>
      <c r="F1229" t="s">
        <v>32</v>
      </c>
      <c r="G1229" s="10" t="str">
        <f>TEXT(Transform_Data[[#This Row],[Date]],"mmm yyyy")</f>
        <v>Aug 2024</v>
      </c>
      <c r="H1229" s="10">
        <f>HOUR(Transform_Data[[#This Row],[Time]])</f>
        <v>9</v>
      </c>
      <c r="I1229" s="10" t="str">
        <f>IF(COUNTIF('Transform Data'!$D:$D,'Transform Data'!D1229)&gt;1,"Repeat","Single")</f>
        <v>Repeat</v>
      </c>
      <c r="J1229" s="10" t="str">
        <f>IF('Transform Data'!D1229="Cash","Cash",IF(COUNTIF('Transform Data'!$D:$D,'Transform Data'!D1229)&gt;1,"Repeat","Single"))</f>
        <v>Repeat</v>
      </c>
      <c r="K1229" s="10" t="str">
        <f t="shared" si="19"/>
        <v>TRANS-1228</v>
      </c>
    </row>
    <row r="1230" spans="1:11" x14ac:dyDescent="0.35">
      <c r="A1230" s="5">
        <v>45515</v>
      </c>
      <c r="B1230" s="3">
        <v>0.41230324074074076</v>
      </c>
      <c r="C1230" t="s">
        <v>8</v>
      </c>
      <c r="D1230" t="s">
        <v>493</v>
      </c>
      <c r="E1230" s="4">
        <v>32.82</v>
      </c>
      <c r="F1230" t="s">
        <v>32</v>
      </c>
      <c r="G1230" s="10" t="str">
        <f>TEXT(Transform_Data[[#This Row],[Date]],"mmm yyyy")</f>
        <v>Aug 2024</v>
      </c>
      <c r="H1230" s="10">
        <f>HOUR(Transform_Data[[#This Row],[Time]])</f>
        <v>9</v>
      </c>
      <c r="I1230" s="10" t="str">
        <f>IF(COUNTIF('Transform Data'!$D:$D,'Transform Data'!D1230)&gt;1,"Repeat","Single")</f>
        <v>Repeat</v>
      </c>
      <c r="J1230" s="10" t="str">
        <f>IF('Transform Data'!D1230="Cash","Cash",IF(COUNTIF('Transform Data'!$D:$D,'Transform Data'!D1230)&gt;1,"Repeat","Single"))</f>
        <v>Repeat</v>
      </c>
      <c r="K1230" s="10" t="str">
        <f t="shared" si="19"/>
        <v>TRANS-1229</v>
      </c>
    </row>
    <row r="1231" spans="1:11" x14ac:dyDescent="0.35">
      <c r="A1231" s="5">
        <v>45515</v>
      </c>
      <c r="B1231" s="3">
        <v>0.42873842592592593</v>
      </c>
      <c r="C1231" t="s">
        <v>8</v>
      </c>
      <c r="D1231" t="s">
        <v>400</v>
      </c>
      <c r="E1231" s="4">
        <v>27.92</v>
      </c>
      <c r="F1231" t="s">
        <v>36</v>
      </c>
      <c r="G1231" s="10" t="str">
        <f>TEXT(Transform_Data[[#This Row],[Date]],"mmm yyyy")</f>
        <v>Aug 2024</v>
      </c>
      <c r="H1231" s="10">
        <f>HOUR(Transform_Data[[#This Row],[Time]])</f>
        <v>10</v>
      </c>
      <c r="I1231" s="10" t="str">
        <f>IF(COUNTIF('Transform Data'!$D:$D,'Transform Data'!D1231)&gt;1,"Repeat","Single")</f>
        <v>Repeat</v>
      </c>
      <c r="J1231" s="10" t="str">
        <f>IF('Transform Data'!D1231="Cash","Cash",IF(COUNTIF('Transform Data'!$D:$D,'Transform Data'!D1231)&gt;1,"Repeat","Single"))</f>
        <v>Repeat</v>
      </c>
      <c r="K1231" s="10" t="str">
        <f t="shared" si="19"/>
        <v>TRANS-1230</v>
      </c>
    </row>
    <row r="1232" spans="1:11" x14ac:dyDescent="0.35">
      <c r="A1232" s="5">
        <v>45515</v>
      </c>
      <c r="B1232" s="3">
        <v>0.49769675925925927</v>
      </c>
      <c r="C1232" t="s">
        <v>8</v>
      </c>
      <c r="D1232" t="s">
        <v>533</v>
      </c>
      <c r="E1232" s="4">
        <v>32.82</v>
      </c>
      <c r="F1232" t="s">
        <v>24</v>
      </c>
      <c r="G1232" s="10" t="str">
        <f>TEXT(Transform_Data[[#This Row],[Date]],"mmm yyyy")</f>
        <v>Aug 2024</v>
      </c>
      <c r="H1232" s="10">
        <f>HOUR(Transform_Data[[#This Row],[Time]])</f>
        <v>11</v>
      </c>
      <c r="I1232" s="10" t="str">
        <f>IF(COUNTIF('Transform Data'!$D:$D,'Transform Data'!D1232)&gt;1,"Repeat","Single")</f>
        <v>Repeat</v>
      </c>
      <c r="J1232" s="10" t="str">
        <f>IF('Transform Data'!D1232="Cash","Cash",IF(COUNTIF('Transform Data'!$D:$D,'Transform Data'!D1232)&gt;1,"Repeat","Single"))</f>
        <v>Repeat</v>
      </c>
      <c r="K1232" s="10" t="str">
        <f t="shared" si="19"/>
        <v>TRANS-1231</v>
      </c>
    </row>
    <row r="1233" spans="1:11" x14ac:dyDescent="0.35">
      <c r="A1233" s="5">
        <v>45515</v>
      </c>
      <c r="B1233" s="3">
        <v>0.49839120370370371</v>
      </c>
      <c r="C1233" t="s">
        <v>8</v>
      </c>
      <c r="D1233" t="s">
        <v>533</v>
      </c>
      <c r="E1233" s="4">
        <v>27.92</v>
      </c>
      <c r="F1233" t="s">
        <v>36</v>
      </c>
      <c r="G1233" s="10" t="str">
        <f>TEXT(Transform_Data[[#This Row],[Date]],"mmm yyyy")</f>
        <v>Aug 2024</v>
      </c>
      <c r="H1233" s="10">
        <f>HOUR(Transform_Data[[#This Row],[Time]])</f>
        <v>11</v>
      </c>
      <c r="I1233" s="10" t="str">
        <f>IF(COUNTIF('Transform Data'!$D:$D,'Transform Data'!D1233)&gt;1,"Repeat","Single")</f>
        <v>Repeat</v>
      </c>
      <c r="J1233" s="10" t="str">
        <f>IF('Transform Data'!D1233="Cash","Cash",IF(COUNTIF('Transform Data'!$D:$D,'Transform Data'!D1233)&gt;1,"Repeat","Single"))</f>
        <v>Repeat</v>
      </c>
      <c r="K1233" s="10" t="str">
        <f t="shared" si="19"/>
        <v>TRANS-1232</v>
      </c>
    </row>
    <row r="1234" spans="1:11" x14ac:dyDescent="0.35">
      <c r="A1234" s="5">
        <v>45515</v>
      </c>
      <c r="B1234" s="3">
        <v>0.51410879629629624</v>
      </c>
      <c r="C1234" t="s">
        <v>8</v>
      </c>
      <c r="D1234" t="s">
        <v>40</v>
      </c>
      <c r="E1234" s="4">
        <v>23.02</v>
      </c>
      <c r="F1234" t="s">
        <v>20</v>
      </c>
      <c r="G1234" s="10" t="str">
        <f>TEXT(Transform_Data[[#This Row],[Date]],"mmm yyyy")</f>
        <v>Aug 2024</v>
      </c>
      <c r="H1234" s="10">
        <f>HOUR(Transform_Data[[#This Row],[Time]])</f>
        <v>12</v>
      </c>
      <c r="I1234" s="10" t="str">
        <f>IF(COUNTIF('Transform Data'!$D:$D,'Transform Data'!D1234)&gt;1,"Repeat","Single")</f>
        <v>Repeat</v>
      </c>
      <c r="J1234" s="10" t="str">
        <f>IF('Transform Data'!D1234="Cash","Cash",IF(COUNTIF('Transform Data'!$D:$D,'Transform Data'!D1234)&gt;1,"Repeat","Single"))</f>
        <v>Repeat</v>
      </c>
      <c r="K1234" s="10" t="str">
        <f t="shared" si="19"/>
        <v>TRANS-1233</v>
      </c>
    </row>
    <row r="1235" spans="1:11" x14ac:dyDescent="0.35">
      <c r="A1235" s="5">
        <v>45515</v>
      </c>
      <c r="B1235" s="3">
        <v>0.66239583333333329</v>
      </c>
      <c r="C1235" t="s">
        <v>8</v>
      </c>
      <c r="D1235" t="s">
        <v>536</v>
      </c>
      <c r="E1235" s="4">
        <v>32.82</v>
      </c>
      <c r="F1235" t="s">
        <v>32</v>
      </c>
      <c r="G1235" s="10" t="str">
        <f>TEXT(Transform_Data[[#This Row],[Date]],"mmm yyyy")</f>
        <v>Aug 2024</v>
      </c>
      <c r="H1235" s="10">
        <f>HOUR(Transform_Data[[#This Row],[Time]])</f>
        <v>15</v>
      </c>
      <c r="I1235" s="10" t="str">
        <f>IF(COUNTIF('Transform Data'!$D:$D,'Transform Data'!D1235)&gt;1,"Repeat","Single")</f>
        <v>Single</v>
      </c>
      <c r="J1235" s="10" t="str">
        <f>IF('Transform Data'!D1235="Cash","Cash",IF(COUNTIF('Transform Data'!$D:$D,'Transform Data'!D1235)&gt;1,"Repeat","Single"))</f>
        <v>Single</v>
      </c>
      <c r="K1235" s="10" t="str">
        <f t="shared" si="19"/>
        <v>TRANS-1234</v>
      </c>
    </row>
    <row r="1236" spans="1:11" x14ac:dyDescent="0.35">
      <c r="A1236" s="5">
        <v>45515</v>
      </c>
      <c r="B1236" s="3">
        <v>0.66335648148148152</v>
      </c>
      <c r="C1236" t="s">
        <v>8</v>
      </c>
      <c r="D1236" t="s">
        <v>537</v>
      </c>
      <c r="E1236" s="4">
        <v>27.92</v>
      </c>
      <c r="F1236" t="s">
        <v>36</v>
      </c>
      <c r="G1236" s="10" t="str">
        <f>TEXT(Transform_Data[[#This Row],[Date]],"mmm yyyy")</f>
        <v>Aug 2024</v>
      </c>
      <c r="H1236" s="10">
        <f>HOUR(Transform_Data[[#This Row],[Time]])</f>
        <v>15</v>
      </c>
      <c r="I1236" s="10" t="str">
        <f>IF(COUNTIF('Transform Data'!$D:$D,'Transform Data'!D1236)&gt;1,"Repeat","Single")</f>
        <v>Repeat</v>
      </c>
      <c r="J1236" s="10" t="str">
        <f>IF('Transform Data'!D1236="Cash","Cash",IF(COUNTIF('Transform Data'!$D:$D,'Transform Data'!D1236)&gt;1,"Repeat","Single"))</f>
        <v>Repeat</v>
      </c>
      <c r="K1236" s="10" t="str">
        <f t="shared" si="19"/>
        <v>TRANS-1235</v>
      </c>
    </row>
    <row r="1237" spans="1:11" x14ac:dyDescent="0.35">
      <c r="A1237" s="5">
        <v>45515</v>
      </c>
      <c r="B1237" s="3">
        <v>0.66420138888888891</v>
      </c>
      <c r="C1237" t="s">
        <v>8</v>
      </c>
      <c r="D1237" t="s">
        <v>537</v>
      </c>
      <c r="E1237" s="4">
        <v>32.82</v>
      </c>
      <c r="F1237" t="s">
        <v>10</v>
      </c>
      <c r="G1237" s="10" t="str">
        <f>TEXT(Transform_Data[[#This Row],[Date]],"mmm yyyy")</f>
        <v>Aug 2024</v>
      </c>
      <c r="H1237" s="10">
        <f>HOUR(Transform_Data[[#This Row],[Time]])</f>
        <v>15</v>
      </c>
      <c r="I1237" s="10" t="str">
        <f>IF(COUNTIF('Transform Data'!$D:$D,'Transform Data'!D1237)&gt;1,"Repeat","Single")</f>
        <v>Repeat</v>
      </c>
      <c r="J1237" s="10" t="str">
        <f>IF('Transform Data'!D1237="Cash","Cash",IF(COUNTIF('Transform Data'!$D:$D,'Transform Data'!D1237)&gt;1,"Repeat","Single"))</f>
        <v>Repeat</v>
      </c>
      <c r="K1237" s="10" t="str">
        <f t="shared" si="19"/>
        <v>TRANS-1236</v>
      </c>
    </row>
    <row r="1238" spans="1:11" x14ac:dyDescent="0.35">
      <c r="A1238" s="5">
        <v>45515</v>
      </c>
      <c r="B1238" s="3">
        <v>0.68582175925925926</v>
      </c>
      <c r="C1238" t="s">
        <v>8</v>
      </c>
      <c r="D1238" t="s">
        <v>467</v>
      </c>
      <c r="E1238" s="4">
        <v>32.82</v>
      </c>
      <c r="F1238" t="s">
        <v>24</v>
      </c>
      <c r="G1238" s="10" t="str">
        <f>TEXT(Transform_Data[[#This Row],[Date]],"mmm yyyy")</f>
        <v>Aug 2024</v>
      </c>
      <c r="H1238" s="10">
        <f>HOUR(Transform_Data[[#This Row],[Time]])</f>
        <v>16</v>
      </c>
      <c r="I1238" s="10" t="str">
        <f>IF(COUNTIF('Transform Data'!$D:$D,'Transform Data'!D1238)&gt;1,"Repeat","Single")</f>
        <v>Repeat</v>
      </c>
      <c r="J1238" s="10" t="str">
        <f>IF('Transform Data'!D1238="Cash","Cash",IF(COUNTIF('Transform Data'!$D:$D,'Transform Data'!D1238)&gt;1,"Repeat","Single"))</f>
        <v>Repeat</v>
      </c>
      <c r="K1238" s="10" t="str">
        <f t="shared" si="19"/>
        <v>TRANS-1237</v>
      </c>
    </row>
    <row r="1239" spans="1:11" x14ac:dyDescent="0.35">
      <c r="A1239" s="5">
        <v>45515</v>
      </c>
      <c r="B1239" s="3">
        <v>0.68655092592592593</v>
      </c>
      <c r="C1239" t="s">
        <v>8</v>
      </c>
      <c r="D1239" t="s">
        <v>538</v>
      </c>
      <c r="E1239" s="4">
        <v>18.12</v>
      </c>
      <c r="F1239" t="s">
        <v>5</v>
      </c>
      <c r="G1239" s="10" t="str">
        <f>TEXT(Transform_Data[[#This Row],[Date]],"mmm yyyy")</f>
        <v>Aug 2024</v>
      </c>
      <c r="H1239" s="10">
        <f>HOUR(Transform_Data[[#This Row],[Time]])</f>
        <v>16</v>
      </c>
      <c r="I1239" s="10" t="str">
        <f>IF(COUNTIF('Transform Data'!$D:$D,'Transform Data'!D1239)&gt;1,"Repeat","Single")</f>
        <v>Single</v>
      </c>
      <c r="J1239" s="10" t="str">
        <f>IF('Transform Data'!D1239="Cash","Cash",IF(COUNTIF('Transform Data'!$D:$D,'Transform Data'!D1239)&gt;1,"Repeat","Single"))</f>
        <v>Single</v>
      </c>
      <c r="K1239" s="10" t="str">
        <f t="shared" si="19"/>
        <v>TRANS-1238</v>
      </c>
    </row>
    <row r="1240" spans="1:11" x14ac:dyDescent="0.35">
      <c r="A1240" s="5">
        <v>45515</v>
      </c>
      <c r="B1240" s="3">
        <v>0.89620370370370372</v>
      </c>
      <c r="C1240" t="s">
        <v>8</v>
      </c>
      <c r="D1240" t="s">
        <v>539</v>
      </c>
      <c r="E1240" s="4">
        <v>23.02</v>
      </c>
      <c r="F1240" t="s">
        <v>20</v>
      </c>
      <c r="G1240" s="10" t="str">
        <f>TEXT(Transform_Data[[#This Row],[Date]],"mmm yyyy")</f>
        <v>Aug 2024</v>
      </c>
      <c r="H1240" s="10">
        <f>HOUR(Transform_Data[[#This Row],[Time]])</f>
        <v>21</v>
      </c>
      <c r="I1240" s="10" t="str">
        <f>IF(COUNTIF('Transform Data'!$D:$D,'Transform Data'!D1240)&gt;1,"Repeat","Single")</f>
        <v>Repeat</v>
      </c>
      <c r="J1240" s="10" t="str">
        <f>IF('Transform Data'!D1240="Cash","Cash",IF(COUNTIF('Transform Data'!$D:$D,'Transform Data'!D1240)&gt;1,"Repeat","Single"))</f>
        <v>Repeat</v>
      </c>
      <c r="K1240" s="10" t="str">
        <f t="shared" si="19"/>
        <v>TRANS-1239</v>
      </c>
    </row>
    <row r="1241" spans="1:11" x14ac:dyDescent="0.35">
      <c r="A1241" s="5">
        <v>45515</v>
      </c>
      <c r="B1241" s="3">
        <v>0.90357638888888892</v>
      </c>
      <c r="C1241" t="s">
        <v>8</v>
      </c>
      <c r="D1241" t="s">
        <v>528</v>
      </c>
      <c r="E1241" s="4">
        <v>32.82</v>
      </c>
      <c r="F1241" t="s">
        <v>32</v>
      </c>
      <c r="G1241" s="10" t="str">
        <f>TEXT(Transform_Data[[#This Row],[Date]],"mmm yyyy")</f>
        <v>Aug 2024</v>
      </c>
      <c r="H1241" s="10">
        <f>HOUR(Transform_Data[[#This Row],[Time]])</f>
        <v>21</v>
      </c>
      <c r="I1241" s="10" t="str">
        <f>IF(COUNTIF('Transform Data'!$D:$D,'Transform Data'!D1241)&gt;1,"Repeat","Single")</f>
        <v>Repeat</v>
      </c>
      <c r="J1241" s="10" t="str">
        <f>IF('Transform Data'!D1241="Cash","Cash",IF(COUNTIF('Transform Data'!$D:$D,'Transform Data'!D1241)&gt;1,"Repeat","Single"))</f>
        <v>Repeat</v>
      </c>
      <c r="K1241" s="10" t="str">
        <f t="shared" si="19"/>
        <v>TRANS-1240</v>
      </c>
    </row>
    <row r="1242" spans="1:11" x14ac:dyDescent="0.35">
      <c r="A1242" s="5">
        <v>45515</v>
      </c>
      <c r="B1242" s="3">
        <v>0.90497685185185184</v>
      </c>
      <c r="C1242" t="s">
        <v>8</v>
      </c>
      <c r="D1242" t="s">
        <v>540</v>
      </c>
      <c r="E1242" s="4">
        <v>32.82</v>
      </c>
      <c r="F1242" t="s">
        <v>32</v>
      </c>
      <c r="G1242" s="10" t="str">
        <f>TEXT(Transform_Data[[#This Row],[Date]],"mmm yyyy")</f>
        <v>Aug 2024</v>
      </c>
      <c r="H1242" s="10">
        <f>HOUR(Transform_Data[[#This Row],[Time]])</f>
        <v>21</v>
      </c>
      <c r="I1242" s="10" t="str">
        <f>IF(COUNTIF('Transform Data'!$D:$D,'Transform Data'!D1242)&gt;1,"Repeat","Single")</f>
        <v>Single</v>
      </c>
      <c r="J1242" s="10" t="str">
        <f>IF('Transform Data'!D1242="Cash","Cash",IF(COUNTIF('Transform Data'!$D:$D,'Transform Data'!D1242)&gt;1,"Repeat","Single"))</f>
        <v>Single</v>
      </c>
      <c r="K1242" s="10" t="str">
        <f t="shared" si="19"/>
        <v>TRANS-1241</v>
      </c>
    </row>
    <row r="1243" spans="1:11" x14ac:dyDescent="0.35">
      <c r="A1243" s="5">
        <v>45515</v>
      </c>
      <c r="B1243" s="3">
        <v>0.9440856481481481</v>
      </c>
      <c r="C1243" t="s">
        <v>8</v>
      </c>
      <c r="D1243" t="s">
        <v>541</v>
      </c>
      <c r="E1243" s="4">
        <v>32.82</v>
      </c>
      <c r="F1243" t="s">
        <v>24</v>
      </c>
      <c r="G1243" s="10" t="str">
        <f>TEXT(Transform_Data[[#This Row],[Date]],"mmm yyyy")</f>
        <v>Aug 2024</v>
      </c>
      <c r="H1243" s="10">
        <f>HOUR(Transform_Data[[#This Row],[Time]])</f>
        <v>22</v>
      </c>
      <c r="I1243" s="10" t="str">
        <f>IF(COUNTIF('Transform Data'!$D:$D,'Transform Data'!D1243)&gt;1,"Repeat","Single")</f>
        <v>Single</v>
      </c>
      <c r="J1243" s="10" t="str">
        <f>IF('Transform Data'!D1243="Cash","Cash",IF(COUNTIF('Transform Data'!$D:$D,'Transform Data'!D1243)&gt;1,"Repeat","Single"))</f>
        <v>Single</v>
      </c>
      <c r="K1243" s="10" t="str">
        <f t="shared" si="19"/>
        <v>TRANS-1242</v>
      </c>
    </row>
    <row r="1244" spans="1:11" x14ac:dyDescent="0.35">
      <c r="A1244" s="5">
        <v>45516</v>
      </c>
      <c r="B1244" s="3">
        <v>0.35160879629629632</v>
      </c>
      <c r="C1244" t="s">
        <v>8</v>
      </c>
      <c r="D1244" t="s">
        <v>420</v>
      </c>
      <c r="E1244" s="4">
        <v>32.82</v>
      </c>
      <c r="F1244" t="s">
        <v>15</v>
      </c>
      <c r="G1244" s="10" t="str">
        <f>TEXT(Transform_Data[[#This Row],[Date]],"mmm yyyy")</f>
        <v>Aug 2024</v>
      </c>
      <c r="H1244" s="10">
        <f>HOUR(Transform_Data[[#This Row],[Time]])</f>
        <v>8</v>
      </c>
      <c r="I1244" s="10" t="str">
        <f>IF(COUNTIF('Transform Data'!$D:$D,'Transform Data'!D1244)&gt;1,"Repeat","Single")</f>
        <v>Repeat</v>
      </c>
      <c r="J1244" s="10" t="str">
        <f>IF('Transform Data'!D1244="Cash","Cash",IF(COUNTIF('Transform Data'!$D:$D,'Transform Data'!D1244)&gt;1,"Repeat","Single"))</f>
        <v>Repeat</v>
      </c>
      <c r="K1244" s="10" t="str">
        <f t="shared" si="19"/>
        <v>TRANS-1243</v>
      </c>
    </row>
    <row r="1245" spans="1:11" x14ac:dyDescent="0.35">
      <c r="A1245" s="5">
        <v>45516</v>
      </c>
      <c r="B1245" s="3">
        <v>0.46879629629629632</v>
      </c>
      <c r="C1245" t="s">
        <v>8</v>
      </c>
      <c r="D1245" t="s">
        <v>542</v>
      </c>
      <c r="E1245" s="4">
        <v>27.92</v>
      </c>
      <c r="F1245" t="s">
        <v>36</v>
      </c>
      <c r="G1245" s="10" t="str">
        <f>TEXT(Transform_Data[[#This Row],[Date]],"mmm yyyy")</f>
        <v>Aug 2024</v>
      </c>
      <c r="H1245" s="10">
        <f>HOUR(Transform_Data[[#This Row],[Time]])</f>
        <v>11</v>
      </c>
      <c r="I1245" s="10" t="str">
        <f>IF(COUNTIF('Transform Data'!$D:$D,'Transform Data'!D1245)&gt;1,"Repeat","Single")</f>
        <v>Single</v>
      </c>
      <c r="J1245" s="10" t="str">
        <f>IF('Transform Data'!D1245="Cash","Cash",IF(COUNTIF('Transform Data'!$D:$D,'Transform Data'!D1245)&gt;1,"Repeat","Single"))</f>
        <v>Single</v>
      </c>
      <c r="K1245" s="10" t="str">
        <f t="shared" si="19"/>
        <v>TRANS-1244</v>
      </c>
    </row>
    <row r="1246" spans="1:11" x14ac:dyDescent="0.35">
      <c r="A1246" s="5">
        <v>45516</v>
      </c>
      <c r="B1246" s="3">
        <v>0.47186342592592595</v>
      </c>
      <c r="C1246" t="s">
        <v>8</v>
      </c>
      <c r="D1246" t="s">
        <v>543</v>
      </c>
      <c r="E1246" s="4">
        <v>23.02</v>
      </c>
      <c r="F1246" t="s">
        <v>28</v>
      </c>
      <c r="G1246" s="10" t="str">
        <f>TEXT(Transform_Data[[#This Row],[Date]],"mmm yyyy")</f>
        <v>Aug 2024</v>
      </c>
      <c r="H1246" s="10">
        <f>HOUR(Transform_Data[[#This Row],[Time]])</f>
        <v>11</v>
      </c>
      <c r="I1246" s="10" t="str">
        <f>IF(COUNTIF('Transform Data'!$D:$D,'Transform Data'!D1246)&gt;1,"Repeat","Single")</f>
        <v>Repeat</v>
      </c>
      <c r="J1246" s="10" t="str">
        <f>IF('Transform Data'!D1246="Cash","Cash",IF(COUNTIF('Transform Data'!$D:$D,'Transform Data'!D1246)&gt;1,"Repeat","Single"))</f>
        <v>Repeat</v>
      </c>
      <c r="K1246" s="10" t="str">
        <f t="shared" si="19"/>
        <v>TRANS-1245</v>
      </c>
    </row>
    <row r="1247" spans="1:11" x14ac:dyDescent="0.35">
      <c r="A1247" s="5">
        <v>45516</v>
      </c>
      <c r="B1247" s="3">
        <v>0.47248842592592594</v>
      </c>
      <c r="C1247" t="s">
        <v>8</v>
      </c>
      <c r="D1247" t="s">
        <v>543</v>
      </c>
      <c r="E1247" s="4">
        <v>32.82</v>
      </c>
      <c r="F1247" t="s">
        <v>32</v>
      </c>
      <c r="G1247" s="10" t="str">
        <f>TEXT(Transform_Data[[#This Row],[Date]],"mmm yyyy")</f>
        <v>Aug 2024</v>
      </c>
      <c r="H1247" s="10">
        <f>HOUR(Transform_Data[[#This Row],[Time]])</f>
        <v>11</v>
      </c>
      <c r="I1247" s="10" t="str">
        <f>IF(COUNTIF('Transform Data'!$D:$D,'Transform Data'!D1247)&gt;1,"Repeat","Single")</f>
        <v>Repeat</v>
      </c>
      <c r="J1247" s="10" t="str">
        <f>IF('Transform Data'!D1247="Cash","Cash",IF(COUNTIF('Transform Data'!$D:$D,'Transform Data'!D1247)&gt;1,"Repeat","Single"))</f>
        <v>Repeat</v>
      </c>
      <c r="K1247" s="10" t="str">
        <f t="shared" si="19"/>
        <v>TRANS-1246</v>
      </c>
    </row>
    <row r="1248" spans="1:11" x14ac:dyDescent="0.35">
      <c r="A1248" s="5">
        <v>45516</v>
      </c>
      <c r="B1248" s="3">
        <v>0.48921296296296296</v>
      </c>
      <c r="C1248" t="s">
        <v>8</v>
      </c>
      <c r="D1248" t="s">
        <v>544</v>
      </c>
      <c r="E1248" s="4">
        <v>32.82</v>
      </c>
      <c r="F1248" t="s">
        <v>32</v>
      </c>
      <c r="G1248" s="10" t="str">
        <f>TEXT(Transform_Data[[#This Row],[Date]],"mmm yyyy")</f>
        <v>Aug 2024</v>
      </c>
      <c r="H1248" s="10">
        <f>HOUR(Transform_Data[[#This Row],[Time]])</f>
        <v>11</v>
      </c>
      <c r="I1248" s="10" t="str">
        <f>IF(COUNTIF('Transform Data'!$D:$D,'Transform Data'!D1248)&gt;1,"Repeat","Single")</f>
        <v>Repeat</v>
      </c>
      <c r="J1248" s="10" t="str">
        <f>IF('Transform Data'!D1248="Cash","Cash",IF(COUNTIF('Transform Data'!$D:$D,'Transform Data'!D1248)&gt;1,"Repeat","Single"))</f>
        <v>Repeat</v>
      </c>
      <c r="K1248" s="10" t="str">
        <f t="shared" si="19"/>
        <v>TRANS-1247</v>
      </c>
    </row>
    <row r="1249" spans="1:11" x14ac:dyDescent="0.35">
      <c r="A1249" s="5">
        <v>45516</v>
      </c>
      <c r="B1249" s="3">
        <v>0.58614583333333337</v>
      </c>
      <c r="C1249" t="s">
        <v>8</v>
      </c>
      <c r="D1249" t="s">
        <v>545</v>
      </c>
      <c r="E1249" s="4">
        <v>18.12</v>
      </c>
      <c r="F1249" t="s">
        <v>5</v>
      </c>
      <c r="G1249" s="10" t="str">
        <f>TEXT(Transform_Data[[#This Row],[Date]],"mmm yyyy")</f>
        <v>Aug 2024</v>
      </c>
      <c r="H1249" s="10">
        <f>HOUR(Transform_Data[[#This Row],[Time]])</f>
        <v>14</v>
      </c>
      <c r="I1249" s="10" t="str">
        <f>IF(COUNTIF('Transform Data'!$D:$D,'Transform Data'!D1249)&gt;1,"Repeat","Single")</f>
        <v>Repeat</v>
      </c>
      <c r="J1249" s="10" t="str">
        <f>IF('Transform Data'!D1249="Cash","Cash",IF(COUNTIF('Transform Data'!$D:$D,'Transform Data'!D1249)&gt;1,"Repeat","Single"))</f>
        <v>Repeat</v>
      </c>
      <c r="K1249" s="10" t="str">
        <f t="shared" si="19"/>
        <v>TRANS-1248</v>
      </c>
    </row>
    <row r="1250" spans="1:11" x14ac:dyDescent="0.35">
      <c r="A1250" s="5">
        <v>45516</v>
      </c>
      <c r="B1250" s="3">
        <v>0.58687500000000004</v>
      </c>
      <c r="C1250" t="s">
        <v>8</v>
      </c>
      <c r="D1250" t="s">
        <v>545</v>
      </c>
      <c r="E1250" s="4">
        <v>27.92</v>
      </c>
      <c r="F1250" t="s">
        <v>36</v>
      </c>
      <c r="G1250" s="10" t="str">
        <f>TEXT(Transform_Data[[#This Row],[Date]],"mmm yyyy")</f>
        <v>Aug 2024</v>
      </c>
      <c r="H1250" s="10">
        <f>HOUR(Transform_Data[[#This Row],[Time]])</f>
        <v>14</v>
      </c>
      <c r="I1250" s="10" t="str">
        <f>IF(COUNTIF('Transform Data'!$D:$D,'Transform Data'!D1250)&gt;1,"Repeat","Single")</f>
        <v>Repeat</v>
      </c>
      <c r="J1250" s="10" t="str">
        <f>IF('Transform Data'!D1250="Cash","Cash",IF(COUNTIF('Transform Data'!$D:$D,'Transform Data'!D1250)&gt;1,"Repeat","Single"))</f>
        <v>Repeat</v>
      </c>
      <c r="K1250" s="10" t="str">
        <f t="shared" si="19"/>
        <v>TRANS-1249</v>
      </c>
    </row>
    <row r="1251" spans="1:11" x14ac:dyDescent="0.35">
      <c r="A1251" s="5">
        <v>45516</v>
      </c>
      <c r="B1251" s="3">
        <v>0.64829861111111109</v>
      </c>
      <c r="C1251" t="s">
        <v>8</v>
      </c>
      <c r="D1251" t="s">
        <v>546</v>
      </c>
      <c r="E1251" s="4">
        <v>27.92</v>
      </c>
      <c r="F1251" t="s">
        <v>36</v>
      </c>
      <c r="G1251" s="10" t="str">
        <f>TEXT(Transform_Data[[#This Row],[Date]],"mmm yyyy")</f>
        <v>Aug 2024</v>
      </c>
      <c r="H1251" s="10">
        <f>HOUR(Transform_Data[[#This Row],[Time]])</f>
        <v>15</v>
      </c>
      <c r="I1251" s="10" t="str">
        <f>IF(COUNTIF('Transform Data'!$D:$D,'Transform Data'!D1251)&gt;1,"Repeat","Single")</f>
        <v>Single</v>
      </c>
      <c r="J1251" s="10" t="str">
        <f>IF('Transform Data'!D1251="Cash","Cash",IF(COUNTIF('Transform Data'!$D:$D,'Transform Data'!D1251)&gt;1,"Repeat","Single"))</f>
        <v>Single</v>
      </c>
      <c r="K1251" s="10" t="str">
        <f t="shared" si="19"/>
        <v>TRANS-1250</v>
      </c>
    </row>
    <row r="1252" spans="1:11" x14ac:dyDescent="0.35">
      <c r="A1252" s="5">
        <v>45516</v>
      </c>
      <c r="B1252" s="3">
        <v>0.75351851851851848</v>
      </c>
      <c r="C1252" t="s">
        <v>8</v>
      </c>
      <c r="D1252" t="s">
        <v>11</v>
      </c>
      <c r="E1252" s="4">
        <v>27.92</v>
      </c>
      <c r="F1252" t="s">
        <v>36</v>
      </c>
      <c r="G1252" s="10" t="str">
        <f>TEXT(Transform_Data[[#This Row],[Date]],"mmm yyyy")</f>
        <v>Aug 2024</v>
      </c>
      <c r="H1252" s="10">
        <f>HOUR(Transform_Data[[#This Row],[Time]])</f>
        <v>18</v>
      </c>
      <c r="I1252" s="10" t="str">
        <f>IF(COUNTIF('Transform Data'!$D:$D,'Transform Data'!D1252)&gt;1,"Repeat","Single")</f>
        <v>Repeat</v>
      </c>
      <c r="J1252" s="10" t="str">
        <f>IF('Transform Data'!D1252="Cash","Cash",IF(COUNTIF('Transform Data'!$D:$D,'Transform Data'!D1252)&gt;1,"Repeat","Single"))</f>
        <v>Repeat</v>
      </c>
      <c r="K1252" s="10" t="str">
        <f t="shared" si="19"/>
        <v>TRANS-1251</v>
      </c>
    </row>
    <row r="1253" spans="1:11" x14ac:dyDescent="0.35">
      <c r="A1253" s="5">
        <v>45516</v>
      </c>
      <c r="B1253" s="3">
        <v>0.89292824074074073</v>
      </c>
      <c r="C1253" t="s">
        <v>8</v>
      </c>
      <c r="D1253" t="s">
        <v>11</v>
      </c>
      <c r="E1253" s="4">
        <v>27.92</v>
      </c>
      <c r="F1253" t="s">
        <v>36</v>
      </c>
      <c r="G1253" s="10" t="str">
        <f>TEXT(Transform_Data[[#This Row],[Date]],"mmm yyyy")</f>
        <v>Aug 2024</v>
      </c>
      <c r="H1253" s="10">
        <f>HOUR(Transform_Data[[#This Row],[Time]])</f>
        <v>21</v>
      </c>
      <c r="I1253" s="10" t="str">
        <f>IF(COUNTIF('Transform Data'!$D:$D,'Transform Data'!D1253)&gt;1,"Repeat","Single")</f>
        <v>Repeat</v>
      </c>
      <c r="J1253" s="10" t="str">
        <f>IF('Transform Data'!D1253="Cash","Cash",IF(COUNTIF('Transform Data'!$D:$D,'Transform Data'!D1253)&gt;1,"Repeat","Single"))</f>
        <v>Repeat</v>
      </c>
      <c r="K1253" s="10" t="str">
        <f t="shared" si="19"/>
        <v>TRANS-1252</v>
      </c>
    </row>
    <row r="1254" spans="1:11" x14ac:dyDescent="0.35">
      <c r="A1254" s="5">
        <v>45516</v>
      </c>
      <c r="B1254" s="3">
        <v>0.90113425925925927</v>
      </c>
      <c r="C1254" t="s">
        <v>8</v>
      </c>
      <c r="D1254" t="s">
        <v>547</v>
      </c>
      <c r="E1254" s="4">
        <v>32.82</v>
      </c>
      <c r="F1254" t="s">
        <v>32</v>
      </c>
      <c r="G1254" s="10" t="str">
        <f>TEXT(Transform_Data[[#This Row],[Date]],"mmm yyyy")</f>
        <v>Aug 2024</v>
      </c>
      <c r="H1254" s="10">
        <f>HOUR(Transform_Data[[#This Row],[Time]])</f>
        <v>21</v>
      </c>
      <c r="I1254" s="10" t="str">
        <f>IF(COUNTIF('Transform Data'!$D:$D,'Transform Data'!D1254)&gt;1,"Repeat","Single")</f>
        <v>Repeat</v>
      </c>
      <c r="J1254" s="10" t="str">
        <f>IF('Transform Data'!D1254="Cash","Cash",IF(COUNTIF('Transform Data'!$D:$D,'Transform Data'!D1254)&gt;1,"Repeat","Single"))</f>
        <v>Repeat</v>
      </c>
      <c r="K1254" s="10" t="str">
        <f t="shared" si="19"/>
        <v>TRANS-1253</v>
      </c>
    </row>
    <row r="1255" spans="1:11" x14ac:dyDescent="0.35">
      <c r="A1255" s="5">
        <v>45516</v>
      </c>
      <c r="B1255" s="3">
        <v>0.95717592592592593</v>
      </c>
      <c r="C1255" t="s">
        <v>8</v>
      </c>
      <c r="D1255" t="s">
        <v>189</v>
      </c>
      <c r="E1255" s="4">
        <v>32.82</v>
      </c>
      <c r="F1255" t="s">
        <v>24</v>
      </c>
      <c r="G1255" s="10" t="str">
        <f>TEXT(Transform_Data[[#This Row],[Date]],"mmm yyyy")</f>
        <v>Aug 2024</v>
      </c>
      <c r="H1255" s="10">
        <f>HOUR(Transform_Data[[#This Row],[Time]])</f>
        <v>22</v>
      </c>
      <c r="I1255" s="10" t="str">
        <f>IF(COUNTIF('Transform Data'!$D:$D,'Transform Data'!D1255)&gt;1,"Repeat","Single")</f>
        <v>Repeat</v>
      </c>
      <c r="J1255" s="10" t="str">
        <f>IF('Transform Data'!D1255="Cash","Cash",IF(COUNTIF('Transform Data'!$D:$D,'Transform Data'!D1255)&gt;1,"Repeat","Single"))</f>
        <v>Repeat</v>
      </c>
      <c r="K1255" s="10" t="str">
        <f t="shared" si="19"/>
        <v>TRANS-1254</v>
      </c>
    </row>
    <row r="1256" spans="1:11" x14ac:dyDescent="0.35">
      <c r="A1256" s="5">
        <v>45516</v>
      </c>
      <c r="B1256" s="3">
        <v>0.95784722222222218</v>
      </c>
      <c r="C1256" t="s">
        <v>8</v>
      </c>
      <c r="D1256" t="s">
        <v>189</v>
      </c>
      <c r="E1256" s="4">
        <v>32.82</v>
      </c>
      <c r="F1256" t="s">
        <v>24</v>
      </c>
      <c r="G1256" s="10" t="str">
        <f>TEXT(Transform_Data[[#This Row],[Date]],"mmm yyyy")</f>
        <v>Aug 2024</v>
      </c>
      <c r="H1256" s="10">
        <f>HOUR(Transform_Data[[#This Row],[Time]])</f>
        <v>22</v>
      </c>
      <c r="I1256" s="10" t="str">
        <f>IF(COUNTIF('Transform Data'!$D:$D,'Transform Data'!D1256)&gt;1,"Repeat","Single")</f>
        <v>Repeat</v>
      </c>
      <c r="J1256" s="10" t="str">
        <f>IF('Transform Data'!D1256="Cash","Cash",IF(COUNTIF('Transform Data'!$D:$D,'Transform Data'!D1256)&gt;1,"Repeat","Single"))</f>
        <v>Repeat</v>
      </c>
      <c r="K1256" s="10" t="str">
        <f t="shared" si="19"/>
        <v>TRANS-1255</v>
      </c>
    </row>
    <row r="1257" spans="1:11" x14ac:dyDescent="0.35">
      <c r="A1257" s="5">
        <v>45517</v>
      </c>
      <c r="B1257" s="3">
        <v>0.36423611111111109</v>
      </c>
      <c r="C1257" t="s">
        <v>8</v>
      </c>
      <c r="D1257" t="s">
        <v>548</v>
      </c>
      <c r="E1257" s="4">
        <v>27.92</v>
      </c>
      <c r="F1257" t="s">
        <v>36</v>
      </c>
      <c r="G1257" s="10" t="str">
        <f>TEXT(Transform_Data[[#This Row],[Date]],"mmm yyyy")</f>
        <v>Aug 2024</v>
      </c>
      <c r="H1257" s="10">
        <f>HOUR(Transform_Data[[#This Row],[Time]])</f>
        <v>8</v>
      </c>
      <c r="I1257" s="10" t="str">
        <f>IF(COUNTIF('Transform Data'!$D:$D,'Transform Data'!D1257)&gt;1,"Repeat","Single")</f>
        <v>Single</v>
      </c>
      <c r="J1257" s="10" t="str">
        <f>IF('Transform Data'!D1257="Cash","Cash",IF(COUNTIF('Transform Data'!$D:$D,'Transform Data'!D1257)&gt;1,"Repeat","Single"))</f>
        <v>Single</v>
      </c>
      <c r="K1257" s="10" t="str">
        <f t="shared" si="19"/>
        <v>TRANS-1256</v>
      </c>
    </row>
    <row r="1258" spans="1:11" x14ac:dyDescent="0.35">
      <c r="A1258" s="5">
        <v>45517</v>
      </c>
      <c r="B1258" s="3">
        <v>0.38496527777777778</v>
      </c>
      <c r="C1258" t="s">
        <v>8</v>
      </c>
      <c r="D1258" t="s">
        <v>11</v>
      </c>
      <c r="E1258" s="4">
        <v>27.92</v>
      </c>
      <c r="F1258" t="s">
        <v>36</v>
      </c>
      <c r="G1258" s="10" t="str">
        <f>TEXT(Transform_Data[[#This Row],[Date]],"mmm yyyy")</f>
        <v>Aug 2024</v>
      </c>
      <c r="H1258" s="10">
        <f>HOUR(Transform_Data[[#This Row],[Time]])</f>
        <v>9</v>
      </c>
      <c r="I1258" s="10" t="str">
        <f>IF(COUNTIF('Transform Data'!$D:$D,'Transform Data'!D1258)&gt;1,"Repeat","Single")</f>
        <v>Repeat</v>
      </c>
      <c r="J1258" s="10" t="str">
        <f>IF('Transform Data'!D1258="Cash","Cash",IF(COUNTIF('Transform Data'!$D:$D,'Transform Data'!D1258)&gt;1,"Repeat","Single"))</f>
        <v>Repeat</v>
      </c>
      <c r="K1258" s="10" t="str">
        <f t="shared" si="19"/>
        <v>TRANS-1257</v>
      </c>
    </row>
    <row r="1259" spans="1:11" x14ac:dyDescent="0.35">
      <c r="A1259" s="5">
        <v>45517</v>
      </c>
      <c r="B1259" s="3">
        <v>0.40689814814814818</v>
      </c>
      <c r="C1259" t="s">
        <v>8</v>
      </c>
      <c r="D1259" t="s">
        <v>438</v>
      </c>
      <c r="E1259" s="4">
        <v>27.92</v>
      </c>
      <c r="F1259" t="s">
        <v>36</v>
      </c>
      <c r="G1259" s="10" t="str">
        <f>TEXT(Transform_Data[[#This Row],[Date]],"mmm yyyy")</f>
        <v>Aug 2024</v>
      </c>
      <c r="H1259" s="10">
        <f>HOUR(Transform_Data[[#This Row],[Time]])</f>
        <v>9</v>
      </c>
      <c r="I1259" s="10" t="str">
        <f>IF(COUNTIF('Transform Data'!$D:$D,'Transform Data'!D1259)&gt;1,"Repeat","Single")</f>
        <v>Repeat</v>
      </c>
      <c r="J1259" s="10" t="str">
        <f>IF('Transform Data'!D1259="Cash","Cash",IF(COUNTIF('Transform Data'!$D:$D,'Transform Data'!D1259)&gt;1,"Repeat","Single"))</f>
        <v>Repeat</v>
      </c>
      <c r="K1259" s="10" t="str">
        <f t="shared" si="19"/>
        <v>TRANS-1258</v>
      </c>
    </row>
    <row r="1260" spans="1:11" x14ac:dyDescent="0.35">
      <c r="A1260" s="5">
        <v>45517</v>
      </c>
      <c r="B1260" s="3">
        <v>0.44592592592592595</v>
      </c>
      <c r="C1260" t="s">
        <v>8</v>
      </c>
      <c r="D1260" t="s">
        <v>40</v>
      </c>
      <c r="E1260" s="4">
        <v>23.02</v>
      </c>
      <c r="F1260" t="s">
        <v>20</v>
      </c>
      <c r="G1260" s="10" t="str">
        <f>TEXT(Transform_Data[[#This Row],[Date]],"mmm yyyy")</f>
        <v>Aug 2024</v>
      </c>
      <c r="H1260" s="10">
        <f>HOUR(Transform_Data[[#This Row],[Time]])</f>
        <v>10</v>
      </c>
      <c r="I1260" s="10" t="str">
        <f>IF(COUNTIF('Transform Data'!$D:$D,'Transform Data'!D1260)&gt;1,"Repeat","Single")</f>
        <v>Repeat</v>
      </c>
      <c r="J1260" s="10" t="str">
        <f>IF('Transform Data'!D1260="Cash","Cash",IF(COUNTIF('Transform Data'!$D:$D,'Transform Data'!D1260)&gt;1,"Repeat","Single"))</f>
        <v>Repeat</v>
      </c>
      <c r="K1260" s="10" t="str">
        <f t="shared" si="19"/>
        <v>TRANS-1259</v>
      </c>
    </row>
    <row r="1261" spans="1:11" x14ac:dyDescent="0.35">
      <c r="A1261" s="5">
        <v>45517</v>
      </c>
      <c r="B1261" s="3">
        <v>0.49984953703703705</v>
      </c>
      <c r="C1261" t="s">
        <v>8</v>
      </c>
      <c r="D1261" t="s">
        <v>549</v>
      </c>
      <c r="E1261" s="4">
        <v>32.82</v>
      </c>
      <c r="F1261" t="s">
        <v>32</v>
      </c>
      <c r="G1261" s="10" t="str">
        <f>TEXT(Transform_Data[[#This Row],[Date]],"mmm yyyy")</f>
        <v>Aug 2024</v>
      </c>
      <c r="H1261" s="10">
        <f>HOUR(Transform_Data[[#This Row],[Time]])</f>
        <v>11</v>
      </c>
      <c r="I1261" s="10" t="str">
        <f>IF(COUNTIF('Transform Data'!$D:$D,'Transform Data'!D1261)&gt;1,"Repeat","Single")</f>
        <v>Single</v>
      </c>
      <c r="J1261" s="10" t="str">
        <f>IF('Transform Data'!D1261="Cash","Cash",IF(COUNTIF('Transform Data'!$D:$D,'Transform Data'!D1261)&gt;1,"Repeat","Single"))</f>
        <v>Single</v>
      </c>
      <c r="K1261" s="10" t="str">
        <f t="shared" si="19"/>
        <v>TRANS-1260</v>
      </c>
    </row>
    <row r="1262" spans="1:11" x14ac:dyDescent="0.35">
      <c r="A1262" s="5">
        <v>45517</v>
      </c>
      <c r="B1262" s="3">
        <v>0.54283564814814811</v>
      </c>
      <c r="C1262" t="s">
        <v>8</v>
      </c>
      <c r="D1262" t="s">
        <v>550</v>
      </c>
      <c r="E1262" s="4">
        <v>27.92</v>
      </c>
      <c r="F1262" t="s">
        <v>36</v>
      </c>
      <c r="G1262" s="10" t="str">
        <f>TEXT(Transform_Data[[#This Row],[Date]],"mmm yyyy")</f>
        <v>Aug 2024</v>
      </c>
      <c r="H1262" s="10">
        <f>HOUR(Transform_Data[[#This Row],[Time]])</f>
        <v>13</v>
      </c>
      <c r="I1262" s="10" t="str">
        <f>IF(COUNTIF('Transform Data'!$D:$D,'Transform Data'!D1262)&gt;1,"Repeat","Single")</f>
        <v>Single</v>
      </c>
      <c r="J1262" s="10" t="str">
        <f>IF('Transform Data'!D1262="Cash","Cash",IF(COUNTIF('Transform Data'!$D:$D,'Transform Data'!D1262)&gt;1,"Repeat","Single"))</f>
        <v>Single</v>
      </c>
      <c r="K1262" s="10" t="str">
        <f t="shared" si="19"/>
        <v>TRANS-1261</v>
      </c>
    </row>
    <row r="1263" spans="1:11" x14ac:dyDescent="0.35">
      <c r="A1263" s="5">
        <v>45517</v>
      </c>
      <c r="B1263" s="3">
        <v>0.61503472222222222</v>
      </c>
      <c r="C1263" t="s">
        <v>8</v>
      </c>
      <c r="D1263" t="s">
        <v>547</v>
      </c>
      <c r="E1263" s="4">
        <v>32.82</v>
      </c>
      <c r="F1263" t="s">
        <v>32</v>
      </c>
      <c r="G1263" s="10" t="str">
        <f>TEXT(Transform_Data[[#This Row],[Date]],"mmm yyyy")</f>
        <v>Aug 2024</v>
      </c>
      <c r="H1263" s="10">
        <f>HOUR(Transform_Data[[#This Row],[Time]])</f>
        <v>14</v>
      </c>
      <c r="I1263" s="10" t="str">
        <f>IF(COUNTIF('Transform Data'!$D:$D,'Transform Data'!D1263)&gt;1,"Repeat","Single")</f>
        <v>Repeat</v>
      </c>
      <c r="J1263" s="10" t="str">
        <f>IF('Transform Data'!D1263="Cash","Cash",IF(COUNTIF('Transform Data'!$D:$D,'Transform Data'!D1263)&gt;1,"Repeat","Single"))</f>
        <v>Repeat</v>
      </c>
      <c r="K1263" s="10" t="str">
        <f t="shared" si="19"/>
        <v>TRANS-1262</v>
      </c>
    </row>
    <row r="1264" spans="1:11" x14ac:dyDescent="0.35">
      <c r="A1264" s="5">
        <v>45517</v>
      </c>
      <c r="B1264" s="3">
        <v>0.65828703703703706</v>
      </c>
      <c r="C1264" t="s">
        <v>8</v>
      </c>
      <c r="D1264" t="s">
        <v>551</v>
      </c>
      <c r="E1264" s="4">
        <v>32.82</v>
      </c>
      <c r="F1264" t="s">
        <v>24</v>
      </c>
      <c r="G1264" s="10" t="str">
        <f>TEXT(Transform_Data[[#This Row],[Date]],"mmm yyyy")</f>
        <v>Aug 2024</v>
      </c>
      <c r="H1264" s="10">
        <f>HOUR(Transform_Data[[#This Row],[Time]])</f>
        <v>15</v>
      </c>
      <c r="I1264" s="10" t="str">
        <f>IF(COUNTIF('Transform Data'!$D:$D,'Transform Data'!D1264)&gt;1,"Repeat","Single")</f>
        <v>Single</v>
      </c>
      <c r="J1264" s="10" t="str">
        <f>IF('Transform Data'!D1264="Cash","Cash",IF(COUNTIF('Transform Data'!$D:$D,'Transform Data'!D1264)&gt;1,"Repeat","Single"))</f>
        <v>Single</v>
      </c>
      <c r="K1264" s="10" t="str">
        <f t="shared" si="19"/>
        <v>TRANS-1263</v>
      </c>
    </row>
    <row r="1265" spans="1:11" x14ac:dyDescent="0.35">
      <c r="A1265" s="5">
        <v>45517</v>
      </c>
      <c r="B1265" s="3">
        <v>0.66353009259259255</v>
      </c>
      <c r="C1265" t="s">
        <v>8</v>
      </c>
      <c r="D1265" t="s">
        <v>11</v>
      </c>
      <c r="E1265" s="4">
        <v>27.92</v>
      </c>
      <c r="F1265" t="s">
        <v>36</v>
      </c>
      <c r="G1265" s="10" t="str">
        <f>TEXT(Transform_Data[[#This Row],[Date]],"mmm yyyy")</f>
        <v>Aug 2024</v>
      </c>
      <c r="H1265" s="10">
        <f>HOUR(Transform_Data[[#This Row],[Time]])</f>
        <v>15</v>
      </c>
      <c r="I1265" s="10" t="str">
        <f>IF(COUNTIF('Transform Data'!$D:$D,'Transform Data'!D1265)&gt;1,"Repeat","Single")</f>
        <v>Repeat</v>
      </c>
      <c r="J1265" s="10" t="str">
        <f>IF('Transform Data'!D1265="Cash","Cash",IF(COUNTIF('Transform Data'!$D:$D,'Transform Data'!D1265)&gt;1,"Repeat","Single"))</f>
        <v>Repeat</v>
      </c>
      <c r="K1265" s="10" t="str">
        <f t="shared" si="19"/>
        <v>TRANS-1264</v>
      </c>
    </row>
    <row r="1266" spans="1:11" x14ac:dyDescent="0.35">
      <c r="A1266" s="5">
        <v>45517</v>
      </c>
      <c r="B1266" s="3">
        <v>0.85386574074074073</v>
      </c>
      <c r="C1266" t="s">
        <v>8</v>
      </c>
      <c r="D1266" t="s">
        <v>552</v>
      </c>
      <c r="E1266" s="4">
        <v>32.82</v>
      </c>
      <c r="F1266" t="s">
        <v>32</v>
      </c>
      <c r="G1266" s="10" t="str">
        <f>TEXT(Transform_Data[[#This Row],[Date]],"mmm yyyy")</f>
        <v>Aug 2024</v>
      </c>
      <c r="H1266" s="10">
        <f>HOUR(Transform_Data[[#This Row],[Time]])</f>
        <v>20</v>
      </c>
      <c r="I1266" s="10" t="str">
        <f>IF(COUNTIF('Transform Data'!$D:$D,'Transform Data'!D1266)&gt;1,"Repeat","Single")</f>
        <v>Repeat</v>
      </c>
      <c r="J1266" s="10" t="str">
        <f>IF('Transform Data'!D1266="Cash","Cash",IF(COUNTIF('Transform Data'!$D:$D,'Transform Data'!D1266)&gt;1,"Repeat","Single"))</f>
        <v>Repeat</v>
      </c>
      <c r="K1266" s="10" t="str">
        <f t="shared" si="19"/>
        <v>TRANS-1265</v>
      </c>
    </row>
    <row r="1267" spans="1:11" x14ac:dyDescent="0.35">
      <c r="A1267" s="5">
        <v>45517</v>
      </c>
      <c r="B1267" s="3">
        <v>0.8545949074074074</v>
      </c>
      <c r="C1267" t="s">
        <v>8</v>
      </c>
      <c r="D1267" t="s">
        <v>552</v>
      </c>
      <c r="E1267" s="4">
        <v>32.82</v>
      </c>
      <c r="F1267" t="s">
        <v>10</v>
      </c>
      <c r="G1267" s="10" t="str">
        <f>TEXT(Transform_Data[[#This Row],[Date]],"mmm yyyy")</f>
        <v>Aug 2024</v>
      </c>
      <c r="H1267" s="10">
        <f>HOUR(Transform_Data[[#This Row],[Time]])</f>
        <v>20</v>
      </c>
      <c r="I1267" s="10" t="str">
        <f>IF(COUNTIF('Transform Data'!$D:$D,'Transform Data'!D1267)&gt;1,"Repeat","Single")</f>
        <v>Repeat</v>
      </c>
      <c r="J1267" s="10" t="str">
        <f>IF('Transform Data'!D1267="Cash","Cash",IF(COUNTIF('Transform Data'!$D:$D,'Transform Data'!D1267)&gt;1,"Repeat","Single"))</f>
        <v>Repeat</v>
      </c>
      <c r="K1267" s="10" t="str">
        <f t="shared" si="19"/>
        <v>TRANS-1266</v>
      </c>
    </row>
    <row r="1268" spans="1:11" x14ac:dyDescent="0.35">
      <c r="A1268" s="5">
        <v>45517</v>
      </c>
      <c r="B1268" s="3">
        <v>0.86414351851851856</v>
      </c>
      <c r="C1268" t="s">
        <v>8</v>
      </c>
      <c r="D1268" t="s">
        <v>553</v>
      </c>
      <c r="E1268" s="4">
        <v>32.82</v>
      </c>
      <c r="F1268" t="s">
        <v>24</v>
      </c>
      <c r="G1268" s="10" t="str">
        <f>TEXT(Transform_Data[[#This Row],[Date]],"mmm yyyy")</f>
        <v>Aug 2024</v>
      </c>
      <c r="H1268" s="10">
        <f>HOUR(Transform_Data[[#This Row],[Time]])</f>
        <v>20</v>
      </c>
      <c r="I1268" s="10" t="str">
        <f>IF(COUNTIF('Transform Data'!$D:$D,'Transform Data'!D1268)&gt;1,"Repeat","Single")</f>
        <v>Single</v>
      </c>
      <c r="J1268" s="10" t="str">
        <f>IF('Transform Data'!D1268="Cash","Cash",IF(COUNTIF('Transform Data'!$D:$D,'Transform Data'!D1268)&gt;1,"Repeat","Single"))</f>
        <v>Single</v>
      </c>
      <c r="K1268" s="10" t="str">
        <f t="shared" si="19"/>
        <v>TRANS-1267</v>
      </c>
    </row>
    <row r="1269" spans="1:11" x14ac:dyDescent="0.35">
      <c r="A1269" s="5">
        <v>45517</v>
      </c>
      <c r="B1269" s="3">
        <v>0.87550925925925926</v>
      </c>
      <c r="C1269" t="s">
        <v>8</v>
      </c>
      <c r="D1269" t="s">
        <v>554</v>
      </c>
      <c r="E1269" s="4">
        <v>23.02</v>
      </c>
      <c r="F1269" t="s">
        <v>20</v>
      </c>
      <c r="G1269" s="10" t="str">
        <f>TEXT(Transform_Data[[#This Row],[Date]],"mmm yyyy")</f>
        <v>Aug 2024</v>
      </c>
      <c r="H1269" s="10">
        <f>HOUR(Transform_Data[[#This Row],[Time]])</f>
        <v>21</v>
      </c>
      <c r="I1269" s="10" t="str">
        <f>IF(COUNTIF('Transform Data'!$D:$D,'Transform Data'!D1269)&gt;1,"Repeat","Single")</f>
        <v>Single</v>
      </c>
      <c r="J1269" s="10" t="str">
        <f>IF('Transform Data'!D1269="Cash","Cash",IF(COUNTIF('Transform Data'!$D:$D,'Transform Data'!D1269)&gt;1,"Repeat","Single"))</f>
        <v>Single</v>
      </c>
      <c r="K1269" s="10" t="str">
        <f t="shared" si="19"/>
        <v>TRANS-1268</v>
      </c>
    </row>
    <row r="1270" spans="1:11" x14ac:dyDescent="0.35">
      <c r="A1270" s="5">
        <v>45518</v>
      </c>
      <c r="B1270" s="3">
        <v>0.3165277777777778</v>
      </c>
      <c r="C1270" t="s">
        <v>8</v>
      </c>
      <c r="D1270" t="s">
        <v>528</v>
      </c>
      <c r="E1270" s="4">
        <v>32.82</v>
      </c>
      <c r="F1270" t="s">
        <v>32</v>
      </c>
      <c r="G1270" s="10" t="str">
        <f>TEXT(Transform_Data[[#This Row],[Date]],"mmm yyyy")</f>
        <v>Aug 2024</v>
      </c>
      <c r="H1270" s="10">
        <f>HOUR(Transform_Data[[#This Row],[Time]])</f>
        <v>7</v>
      </c>
      <c r="I1270" s="10" t="str">
        <f>IF(COUNTIF('Transform Data'!$D:$D,'Transform Data'!D1270)&gt;1,"Repeat","Single")</f>
        <v>Repeat</v>
      </c>
      <c r="J1270" s="10" t="str">
        <f>IF('Transform Data'!D1270="Cash","Cash",IF(COUNTIF('Transform Data'!$D:$D,'Transform Data'!D1270)&gt;1,"Repeat","Single"))</f>
        <v>Repeat</v>
      </c>
      <c r="K1270" s="10" t="str">
        <f t="shared" si="19"/>
        <v>TRANS-1269</v>
      </c>
    </row>
    <row r="1271" spans="1:11" x14ac:dyDescent="0.35">
      <c r="A1271" s="5">
        <v>45518</v>
      </c>
      <c r="B1271" s="3">
        <v>0.31730324074074073</v>
      </c>
      <c r="C1271" t="s">
        <v>8</v>
      </c>
      <c r="D1271" t="s">
        <v>525</v>
      </c>
      <c r="E1271" s="4">
        <v>32.82</v>
      </c>
      <c r="F1271" t="s">
        <v>24</v>
      </c>
      <c r="G1271" s="10" t="str">
        <f>TEXT(Transform_Data[[#This Row],[Date]],"mmm yyyy")</f>
        <v>Aug 2024</v>
      </c>
      <c r="H1271" s="10">
        <f>HOUR(Transform_Data[[#This Row],[Time]])</f>
        <v>7</v>
      </c>
      <c r="I1271" s="10" t="str">
        <f>IF(COUNTIF('Transform Data'!$D:$D,'Transform Data'!D1271)&gt;1,"Repeat","Single")</f>
        <v>Repeat</v>
      </c>
      <c r="J1271" s="10" t="str">
        <f>IF('Transform Data'!D1271="Cash","Cash",IF(COUNTIF('Transform Data'!$D:$D,'Transform Data'!D1271)&gt;1,"Repeat","Single"))</f>
        <v>Repeat</v>
      </c>
      <c r="K1271" s="10" t="str">
        <f t="shared" si="19"/>
        <v>TRANS-1270</v>
      </c>
    </row>
    <row r="1272" spans="1:11" x14ac:dyDescent="0.35">
      <c r="A1272" s="5">
        <v>45518</v>
      </c>
      <c r="B1272" s="3">
        <v>0.42325231481481479</v>
      </c>
      <c r="C1272" t="s">
        <v>8</v>
      </c>
      <c r="D1272" t="s">
        <v>40</v>
      </c>
      <c r="E1272" s="4">
        <v>23.02</v>
      </c>
      <c r="F1272" t="s">
        <v>20</v>
      </c>
      <c r="G1272" s="10" t="str">
        <f>TEXT(Transform_Data[[#This Row],[Date]],"mmm yyyy")</f>
        <v>Aug 2024</v>
      </c>
      <c r="H1272" s="10">
        <f>HOUR(Transform_Data[[#This Row],[Time]])</f>
        <v>10</v>
      </c>
      <c r="I1272" s="10" t="str">
        <f>IF(COUNTIF('Transform Data'!$D:$D,'Transform Data'!D1272)&gt;1,"Repeat","Single")</f>
        <v>Repeat</v>
      </c>
      <c r="J1272" s="10" t="str">
        <f>IF('Transform Data'!D1272="Cash","Cash",IF(COUNTIF('Transform Data'!$D:$D,'Transform Data'!D1272)&gt;1,"Repeat","Single"))</f>
        <v>Repeat</v>
      </c>
      <c r="K1272" s="10" t="str">
        <f t="shared" si="19"/>
        <v>TRANS-1271</v>
      </c>
    </row>
    <row r="1273" spans="1:11" x14ac:dyDescent="0.35">
      <c r="A1273" s="5">
        <v>45518</v>
      </c>
      <c r="B1273" s="3">
        <v>0.48549768518518521</v>
      </c>
      <c r="C1273" t="s">
        <v>8</v>
      </c>
      <c r="D1273" t="s">
        <v>151</v>
      </c>
      <c r="E1273" s="4">
        <v>18.12</v>
      </c>
      <c r="F1273" t="s">
        <v>5</v>
      </c>
      <c r="G1273" s="10" t="str">
        <f>TEXT(Transform_Data[[#This Row],[Date]],"mmm yyyy")</f>
        <v>Aug 2024</v>
      </c>
      <c r="H1273" s="10">
        <f>HOUR(Transform_Data[[#This Row],[Time]])</f>
        <v>11</v>
      </c>
      <c r="I1273" s="10" t="str">
        <f>IF(COUNTIF('Transform Data'!$D:$D,'Transform Data'!D1273)&gt;1,"Repeat","Single")</f>
        <v>Repeat</v>
      </c>
      <c r="J1273" s="10" t="str">
        <f>IF('Transform Data'!D1273="Cash","Cash",IF(COUNTIF('Transform Data'!$D:$D,'Transform Data'!D1273)&gt;1,"Repeat","Single"))</f>
        <v>Repeat</v>
      </c>
      <c r="K1273" s="10" t="str">
        <f t="shared" si="19"/>
        <v>TRANS-1272</v>
      </c>
    </row>
    <row r="1274" spans="1:11" x14ac:dyDescent="0.35">
      <c r="A1274" s="5">
        <v>45518</v>
      </c>
      <c r="B1274" s="3">
        <v>0.53421296296296295</v>
      </c>
      <c r="C1274" t="s">
        <v>8</v>
      </c>
      <c r="D1274" t="s">
        <v>555</v>
      </c>
      <c r="E1274" s="4">
        <v>23.02</v>
      </c>
      <c r="F1274" t="s">
        <v>28</v>
      </c>
      <c r="G1274" s="10" t="str">
        <f>TEXT(Transform_Data[[#This Row],[Date]],"mmm yyyy")</f>
        <v>Aug 2024</v>
      </c>
      <c r="H1274" s="10">
        <f>HOUR(Transform_Data[[#This Row],[Time]])</f>
        <v>12</v>
      </c>
      <c r="I1274" s="10" t="str">
        <f>IF(COUNTIF('Transform Data'!$D:$D,'Transform Data'!D1274)&gt;1,"Repeat","Single")</f>
        <v>Single</v>
      </c>
      <c r="J1274" s="10" t="str">
        <f>IF('Transform Data'!D1274="Cash","Cash",IF(COUNTIF('Transform Data'!$D:$D,'Transform Data'!D1274)&gt;1,"Repeat","Single"))</f>
        <v>Single</v>
      </c>
      <c r="K1274" s="10" t="str">
        <f t="shared" si="19"/>
        <v>TRANS-1273</v>
      </c>
    </row>
    <row r="1275" spans="1:11" x14ac:dyDescent="0.35">
      <c r="A1275" s="5">
        <v>45518</v>
      </c>
      <c r="B1275" s="3">
        <v>0.53546296296296292</v>
      </c>
      <c r="C1275" t="s">
        <v>8</v>
      </c>
      <c r="D1275" t="s">
        <v>503</v>
      </c>
      <c r="E1275" s="4">
        <v>23.02</v>
      </c>
      <c r="F1275" t="s">
        <v>28</v>
      </c>
      <c r="G1275" s="10" t="str">
        <f>TEXT(Transform_Data[[#This Row],[Date]],"mmm yyyy")</f>
        <v>Aug 2024</v>
      </c>
      <c r="H1275" s="10">
        <f>HOUR(Transform_Data[[#This Row],[Time]])</f>
        <v>12</v>
      </c>
      <c r="I1275" s="10" t="str">
        <f>IF(COUNTIF('Transform Data'!$D:$D,'Transform Data'!D1275)&gt;1,"Repeat","Single")</f>
        <v>Repeat</v>
      </c>
      <c r="J1275" s="10" t="str">
        <f>IF('Transform Data'!D1275="Cash","Cash",IF(COUNTIF('Transform Data'!$D:$D,'Transform Data'!D1275)&gt;1,"Repeat","Single"))</f>
        <v>Repeat</v>
      </c>
      <c r="K1275" s="10" t="str">
        <f t="shared" si="19"/>
        <v>TRANS-1274</v>
      </c>
    </row>
    <row r="1276" spans="1:11" x14ac:dyDescent="0.35">
      <c r="A1276" s="5">
        <v>45518</v>
      </c>
      <c r="B1276" s="3">
        <v>0.63989583333333333</v>
      </c>
      <c r="C1276" t="s">
        <v>8</v>
      </c>
      <c r="D1276" t="s">
        <v>556</v>
      </c>
      <c r="E1276" s="4">
        <v>32.82</v>
      </c>
      <c r="F1276" t="s">
        <v>32</v>
      </c>
      <c r="G1276" s="10" t="str">
        <f>TEXT(Transform_Data[[#This Row],[Date]],"mmm yyyy")</f>
        <v>Aug 2024</v>
      </c>
      <c r="H1276" s="10">
        <f>HOUR(Transform_Data[[#This Row],[Time]])</f>
        <v>15</v>
      </c>
      <c r="I1276" s="10" t="str">
        <f>IF(COUNTIF('Transform Data'!$D:$D,'Transform Data'!D1276)&gt;1,"Repeat","Single")</f>
        <v>Single</v>
      </c>
      <c r="J1276" s="10" t="str">
        <f>IF('Transform Data'!D1276="Cash","Cash",IF(COUNTIF('Transform Data'!$D:$D,'Transform Data'!D1276)&gt;1,"Repeat","Single"))</f>
        <v>Single</v>
      </c>
      <c r="K1276" s="10" t="str">
        <f t="shared" si="19"/>
        <v>TRANS-1275</v>
      </c>
    </row>
    <row r="1277" spans="1:11" x14ac:dyDescent="0.35">
      <c r="A1277" s="5">
        <v>45518</v>
      </c>
      <c r="B1277" s="3">
        <v>0.72525462962962961</v>
      </c>
      <c r="C1277" t="s">
        <v>8</v>
      </c>
      <c r="D1277" t="s">
        <v>557</v>
      </c>
      <c r="E1277" s="4">
        <v>23.02</v>
      </c>
      <c r="F1277" t="s">
        <v>28</v>
      </c>
      <c r="G1277" s="10" t="str">
        <f>TEXT(Transform_Data[[#This Row],[Date]],"mmm yyyy")</f>
        <v>Aug 2024</v>
      </c>
      <c r="H1277" s="10">
        <f>HOUR(Transform_Data[[#This Row],[Time]])</f>
        <v>17</v>
      </c>
      <c r="I1277" s="10" t="str">
        <f>IF(COUNTIF('Transform Data'!$D:$D,'Transform Data'!D1277)&gt;1,"Repeat","Single")</f>
        <v>Single</v>
      </c>
      <c r="J1277" s="10" t="str">
        <f>IF('Transform Data'!D1277="Cash","Cash",IF(COUNTIF('Transform Data'!$D:$D,'Transform Data'!D1277)&gt;1,"Repeat","Single"))</f>
        <v>Single</v>
      </c>
      <c r="K1277" s="10" t="str">
        <f t="shared" si="19"/>
        <v>TRANS-1276</v>
      </c>
    </row>
    <row r="1278" spans="1:11" x14ac:dyDescent="0.35">
      <c r="A1278" s="5">
        <v>45518</v>
      </c>
      <c r="B1278" s="3">
        <v>0.75697916666666665</v>
      </c>
      <c r="C1278" t="s">
        <v>8</v>
      </c>
      <c r="D1278" t="s">
        <v>558</v>
      </c>
      <c r="E1278" s="4">
        <v>23.02</v>
      </c>
      <c r="F1278" t="s">
        <v>20</v>
      </c>
      <c r="G1278" s="10" t="str">
        <f>TEXT(Transform_Data[[#This Row],[Date]],"mmm yyyy")</f>
        <v>Aug 2024</v>
      </c>
      <c r="H1278" s="10">
        <f>HOUR(Transform_Data[[#This Row],[Time]])</f>
        <v>18</v>
      </c>
      <c r="I1278" s="10" t="str">
        <f>IF(COUNTIF('Transform Data'!$D:$D,'Transform Data'!D1278)&gt;1,"Repeat","Single")</f>
        <v>Single</v>
      </c>
      <c r="J1278" s="10" t="str">
        <f>IF('Transform Data'!D1278="Cash","Cash",IF(COUNTIF('Transform Data'!$D:$D,'Transform Data'!D1278)&gt;1,"Repeat","Single"))</f>
        <v>Single</v>
      </c>
      <c r="K1278" s="10" t="str">
        <f t="shared" si="19"/>
        <v>TRANS-1277</v>
      </c>
    </row>
    <row r="1279" spans="1:11" x14ac:dyDescent="0.35">
      <c r="A1279" s="5">
        <v>45518</v>
      </c>
      <c r="B1279" s="3">
        <v>0.79118055555555555</v>
      </c>
      <c r="C1279" t="s">
        <v>8</v>
      </c>
      <c r="D1279" t="s">
        <v>559</v>
      </c>
      <c r="E1279" s="4">
        <v>27.92</v>
      </c>
      <c r="F1279" t="s">
        <v>36</v>
      </c>
      <c r="G1279" s="10" t="str">
        <f>TEXT(Transform_Data[[#This Row],[Date]],"mmm yyyy")</f>
        <v>Aug 2024</v>
      </c>
      <c r="H1279" s="10">
        <f>HOUR(Transform_Data[[#This Row],[Time]])</f>
        <v>18</v>
      </c>
      <c r="I1279" s="10" t="str">
        <f>IF(COUNTIF('Transform Data'!$D:$D,'Transform Data'!D1279)&gt;1,"Repeat","Single")</f>
        <v>Single</v>
      </c>
      <c r="J1279" s="10" t="str">
        <f>IF('Transform Data'!D1279="Cash","Cash",IF(COUNTIF('Transform Data'!$D:$D,'Transform Data'!D1279)&gt;1,"Repeat","Single"))</f>
        <v>Single</v>
      </c>
      <c r="K1279" s="10" t="str">
        <f t="shared" si="19"/>
        <v>TRANS-1278</v>
      </c>
    </row>
    <row r="1280" spans="1:11" x14ac:dyDescent="0.35">
      <c r="A1280" s="5">
        <v>45518</v>
      </c>
      <c r="B1280" s="3">
        <v>0.81586805555555553</v>
      </c>
      <c r="C1280" t="s">
        <v>8</v>
      </c>
      <c r="D1280" t="s">
        <v>43</v>
      </c>
      <c r="E1280" s="4">
        <v>32.82</v>
      </c>
      <c r="F1280" t="s">
        <v>32</v>
      </c>
      <c r="G1280" s="10" t="str">
        <f>TEXT(Transform_Data[[#This Row],[Date]],"mmm yyyy")</f>
        <v>Aug 2024</v>
      </c>
      <c r="H1280" s="10">
        <f>HOUR(Transform_Data[[#This Row],[Time]])</f>
        <v>19</v>
      </c>
      <c r="I1280" s="10" t="str">
        <f>IF(COUNTIF('Transform Data'!$D:$D,'Transform Data'!D1280)&gt;1,"Repeat","Single")</f>
        <v>Repeat</v>
      </c>
      <c r="J1280" s="10" t="str">
        <f>IF('Transform Data'!D1280="Cash","Cash",IF(COUNTIF('Transform Data'!$D:$D,'Transform Data'!D1280)&gt;1,"Repeat","Single"))</f>
        <v>Repeat</v>
      </c>
      <c r="K1280" s="10" t="str">
        <f t="shared" si="19"/>
        <v>TRANS-1279</v>
      </c>
    </row>
    <row r="1281" spans="1:11" x14ac:dyDescent="0.35">
      <c r="A1281" s="5">
        <v>45518</v>
      </c>
      <c r="B1281" s="3">
        <v>0.81652777777777774</v>
      </c>
      <c r="C1281" t="s">
        <v>8</v>
      </c>
      <c r="D1281" t="s">
        <v>43</v>
      </c>
      <c r="E1281" s="4">
        <v>23.02</v>
      </c>
      <c r="F1281" t="s">
        <v>20</v>
      </c>
      <c r="G1281" s="10" t="str">
        <f>TEXT(Transform_Data[[#This Row],[Date]],"mmm yyyy")</f>
        <v>Aug 2024</v>
      </c>
      <c r="H1281" s="10">
        <f>HOUR(Transform_Data[[#This Row],[Time]])</f>
        <v>19</v>
      </c>
      <c r="I1281" s="10" t="str">
        <f>IF(COUNTIF('Transform Data'!$D:$D,'Transform Data'!D1281)&gt;1,"Repeat","Single")</f>
        <v>Repeat</v>
      </c>
      <c r="J1281" s="10" t="str">
        <f>IF('Transform Data'!D1281="Cash","Cash",IF(COUNTIF('Transform Data'!$D:$D,'Transform Data'!D1281)&gt;1,"Repeat","Single"))</f>
        <v>Repeat</v>
      </c>
      <c r="K1281" s="10" t="str">
        <f t="shared" si="19"/>
        <v>TRANS-1280</v>
      </c>
    </row>
    <row r="1282" spans="1:11" x14ac:dyDescent="0.35">
      <c r="A1282" s="5">
        <v>45518</v>
      </c>
      <c r="B1282" s="3">
        <v>0.90385416666666663</v>
      </c>
      <c r="C1282" t="s">
        <v>8</v>
      </c>
      <c r="D1282" t="s">
        <v>21</v>
      </c>
      <c r="E1282" s="4">
        <v>32.82</v>
      </c>
      <c r="F1282" t="s">
        <v>32</v>
      </c>
      <c r="G1282" s="10" t="str">
        <f>TEXT(Transform_Data[[#This Row],[Date]],"mmm yyyy")</f>
        <v>Aug 2024</v>
      </c>
      <c r="H1282" s="10">
        <f>HOUR(Transform_Data[[#This Row],[Time]])</f>
        <v>21</v>
      </c>
      <c r="I1282" s="10" t="str">
        <f>IF(COUNTIF('Transform Data'!$D:$D,'Transform Data'!D1282)&gt;1,"Repeat","Single")</f>
        <v>Repeat</v>
      </c>
      <c r="J1282" s="10" t="str">
        <f>IF('Transform Data'!D1282="Cash","Cash",IF(COUNTIF('Transform Data'!$D:$D,'Transform Data'!D1282)&gt;1,"Repeat","Single"))</f>
        <v>Repeat</v>
      </c>
      <c r="K1282" s="10" t="str">
        <f t="shared" ref="K1282:K1345" si="20">"TRANS-"&amp;TEXT(ROW(A1281),"0000")</f>
        <v>TRANS-1281</v>
      </c>
    </row>
    <row r="1283" spans="1:11" x14ac:dyDescent="0.35">
      <c r="A1283" s="5">
        <v>45519</v>
      </c>
      <c r="B1283" s="3">
        <v>0.40012731481481484</v>
      </c>
      <c r="C1283" t="s">
        <v>8</v>
      </c>
      <c r="D1283" t="s">
        <v>40</v>
      </c>
      <c r="E1283" s="4">
        <v>23.02</v>
      </c>
      <c r="F1283" t="s">
        <v>20</v>
      </c>
      <c r="G1283" s="10" t="str">
        <f>TEXT(Transform_Data[[#This Row],[Date]],"mmm yyyy")</f>
        <v>Aug 2024</v>
      </c>
      <c r="H1283" s="10">
        <f>HOUR(Transform_Data[[#This Row],[Time]])</f>
        <v>9</v>
      </c>
      <c r="I1283" s="10" t="str">
        <f>IF(COUNTIF('Transform Data'!$D:$D,'Transform Data'!D1283)&gt;1,"Repeat","Single")</f>
        <v>Repeat</v>
      </c>
      <c r="J1283" s="10" t="str">
        <f>IF('Transform Data'!D1283="Cash","Cash",IF(COUNTIF('Transform Data'!$D:$D,'Transform Data'!D1283)&gt;1,"Repeat","Single"))</f>
        <v>Repeat</v>
      </c>
      <c r="K1283" s="10" t="str">
        <f t="shared" si="20"/>
        <v>TRANS-1282</v>
      </c>
    </row>
    <row r="1284" spans="1:11" x14ac:dyDescent="0.35">
      <c r="A1284" s="5">
        <v>45519</v>
      </c>
      <c r="B1284" s="3">
        <v>0.4007175925925926</v>
      </c>
      <c r="C1284" t="s">
        <v>8</v>
      </c>
      <c r="D1284" t="s">
        <v>560</v>
      </c>
      <c r="E1284" s="4">
        <v>32.82</v>
      </c>
      <c r="F1284" t="s">
        <v>24</v>
      </c>
      <c r="G1284" s="10" t="str">
        <f>TEXT(Transform_Data[[#This Row],[Date]],"mmm yyyy")</f>
        <v>Aug 2024</v>
      </c>
      <c r="H1284" s="10">
        <f>HOUR(Transform_Data[[#This Row],[Time]])</f>
        <v>9</v>
      </c>
      <c r="I1284" s="10" t="str">
        <f>IF(COUNTIF('Transform Data'!$D:$D,'Transform Data'!D1284)&gt;1,"Repeat","Single")</f>
        <v>Single</v>
      </c>
      <c r="J1284" s="10" t="str">
        <f>IF('Transform Data'!D1284="Cash","Cash",IF(COUNTIF('Transform Data'!$D:$D,'Transform Data'!D1284)&gt;1,"Repeat","Single"))</f>
        <v>Single</v>
      </c>
      <c r="K1284" s="10" t="str">
        <f t="shared" si="20"/>
        <v>TRANS-1283</v>
      </c>
    </row>
    <row r="1285" spans="1:11" x14ac:dyDescent="0.35">
      <c r="A1285" s="5">
        <v>45519</v>
      </c>
      <c r="B1285" s="3">
        <v>0.40143518518518517</v>
      </c>
      <c r="C1285" t="s">
        <v>8</v>
      </c>
      <c r="D1285" t="s">
        <v>561</v>
      </c>
      <c r="E1285" s="4">
        <v>32.82</v>
      </c>
      <c r="F1285" t="s">
        <v>15</v>
      </c>
      <c r="G1285" s="10" t="str">
        <f>TEXT(Transform_Data[[#This Row],[Date]],"mmm yyyy")</f>
        <v>Aug 2024</v>
      </c>
      <c r="H1285" s="10">
        <f>HOUR(Transform_Data[[#This Row],[Time]])</f>
        <v>9</v>
      </c>
      <c r="I1285" s="10" t="str">
        <f>IF(COUNTIF('Transform Data'!$D:$D,'Transform Data'!D1285)&gt;1,"Repeat","Single")</f>
        <v>Repeat</v>
      </c>
      <c r="J1285" s="10" t="str">
        <f>IF('Transform Data'!D1285="Cash","Cash",IF(COUNTIF('Transform Data'!$D:$D,'Transform Data'!D1285)&gt;1,"Repeat","Single"))</f>
        <v>Repeat</v>
      </c>
      <c r="K1285" s="10" t="str">
        <f t="shared" si="20"/>
        <v>TRANS-1284</v>
      </c>
    </row>
    <row r="1286" spans="1:11" x14ac:dyDescent="0.35">
      <c r="A1286" s="5">
        <v>45519</v>
      </c>
      <c r="B1286" s="3">
        <v>0.40195601851851853</v>
      </c>
      <c r="C1286" t="s">
        <v>8</v>
      </c>
      <c r="D1286" t="s">
        <v>561</v>
      </c>
      <c r="E1286" s="4">
        <v>32.82</v>
      </c>
      <c r="F1286" t="s">
        <v>32</v>
      </c>
      <c r="G1286" s="10" t="str">
        <f>TEXT(Transform_Data[[#This Row],[Date]],"mmm yyyy")</f>
        <v>Aug 2024</v>
      </c>
      <c r="H1286" s="10">
        <f>HOUR(Transform_Data[[#This Row],[Time]])</f>
        <v>9</v>
      </c>
      <c r="I1286" s="10" t="str">
        <f>IF(COUNTIF('Transform Data'!$D:$D,'Transform Data'!D1286)&gt;1,"Repeat","Single")</f>
        <v>Repeat</v>
      </c>
      <c r="J1286" s="10" t="str">
        <f>IF('Transform Data'!D1286="Cash","Cash",IF(COUNTIF('Transform Data'!$D:$D,'Transform Data'!D1286)&gt;1,"Repeat","Single"))</f>
        <v>Repeat</v>
      </c>
      <c r="K1286" s="10" t="str">
        <f t="shared" si="20"/>
        <v>TRANS-1285</v>
      </c>
    </row>
    <row r="1287" spans="1:11" x14ac:dyDescent="0.35">
      <c r="A1287" s="5">
        <v>45519</v>
      </c>
      <c r="B1287" s="3">
        <v>0.52681712962962968</v>
      </c>
      <c r="C1287" t="s">
        <v>8</v>
      </c>
      <c r="D1287" t="s">
        <v>286</v>
      </c>
      <c r="E1287" s="4">
        <v>32.82</v>
      </c>
      <c r="F1287" t="s">
        <v>32</v>
      </c>
      <c r="G1287" s="10" t="str">
        <f>TEXT(Transform_Data[[#This Row],[Date]],"mmm yyyy")</f>
        <v>Aug 2024</v>
      </c>
      <c r="H1287" s="10">
        <f>HOUR(Transform_Data[[#This Row],[Time]])</f>
        <v>12</v>
      </c>
      <c r="I1287" s="10" t="str">
        <f>IF(COUNTIF('Transform Data'!$D:$D,'Transform Data'!D1287)&gt;1,"Repeat","Single")</f>
        <v>Repeat</v>
      </c>
      <c r="J1287" s="10" t="str">
        <f>IF('Transform Data'!D1287="Cash","Cash",IF(COUNTIF('Transform Data'!$D:$D,'Transform Data'!D1287)&gt;1,"Repeat","Single"))</f>
        <v>Repeat</v>
      </c>
      <c r="K1287" s="10" t="str">
        <f t="shared" si="20"/>
        <v>TRANS-1286</v>
      </c>
    </row>
    <row r="1288" spans="1:11" x14ac:dyDescent="0.35">
      <c r="A1288" s="5">
        <v>45519</v>
      </c>
      <c r="B1288" s="3">
        <v>0.57515046296296302</v>
      </c>
      <c r="C1288" t="s">
        <v>8</v>
      </c>
      <c r="D1288" t="s">
        <v>562</v>
      </c>
      <c r="E1288" s="4">
        <v>32.82</v>
      </c>
      <c r="F1288" t="s">
        <v>32</v>
      </c>
      <c r="G1288" s="10" t="str">
        <f>TEXT(Transform_Data[[#This Row],[Date]],"mmm yyyy")</f>
        <v>Aug 2024</v>
      </c>
      <c r="H1288" s="10">
        <f>HOUR(Transform_Data[[#This Row],[Time]])</f>
        <v>13</v>
      </c>
      <c r="I1288" s="10" t="str">
        <f>IF(COUNTIF('Transform Data'!$D:$D,'Transform Data'!D1288)&gt;1,"Repeat","Single")</f>
        <v>Repeat</v>
      </c>
      <c r="J1288" s="10" t="str">
        <f>IF('Transform Data'!D1288="Cash","Cash",IF(COUNTIF('Transform Data'!$D:$D,'Transform Data'!D1288)&gt;1,"Repeat","Single"))</f>
        <v>Repeat</v>
      </c>
      <c r="K1288" s="10" t="str">
        <f t="shared" si="20"/>
        <v>TRANS-1287</v>
      </c>
    </row>
    <row r="1289" spans="1:11" x14ac:dyDescent="0.35">
      <c r="A1289" s="5">
        <v>45519</v>
      </c>
      <c r="B1289" s="3">
        <v>0.59569444444444442</v>
      </c>
      <c r="C1289" t="s">
        <v>8</v>
      </c>
      <c r="D1289" t="s">
        <v>43</v>
      </c>
      <c r="E1289" s="4">
        <v>23.02</v>
      </c>
      <c r="F1289" t="s">
        <v>28</v>
      </c>
      <c r="G1289" s="10" t="str">
        <f>TEXT(Transform_Data[[#This Row],[Date]],"mmm yyyy")</f>
        <v>Aug 2024</v>
      </c>
      <c r="H1289" s="10">
        <f>HOUR(Transform_Data[[#This Row],[Time]])</f>
        <v>14</v>
      </c>
      <c r="I1289" s="10" t="str">
        <f>IF(COUNTIF('Transform Data'!$D:$D,'Transform Data'!D1289)&gt;1,"Repeat","Single")</f>
        <v>Repeat</v>
      </c>
      <c r="J1289" s="10" t="str">
        <f>IF('Transform Data'!D1289="Cash","Cash",IF(COUNTIF('Transform Data'!$D:$D,'Transform Data'!D1289)&gt;1,"Repeat","Single"))</f>
        <v>Repeat</v>
      </c>
      <c r="K1289" s="10" t="str">
        <f t="shared" si="20"/>
        <v>TRANS-1288</v>
      </c>
    </row>
    <row r="1290" spans="1:11" x14ac:dyDescent="0.35">
      <c r="A1290" s="5">
        <v>45519</v>
      </c>
      <c r="B1290" s="3">
        <v>0.59641203703703705</v>
      </c>
      <c r="C1290" t="s">
        <v>8</v>
      </c>
      <c r="D1290" t="s">
        <v>43</v>
      </c>
      <c r="E1290" s="4">
        <v>18.12</v>
      </c>
      <c r="F1290" t="s">
        <v>5</v>
      </c>
      <c r="G1290" s="10" t="str">
        <f>TEXT(Transform_Data[[#This Row],[Date]],"mmm yyyy")</f>
        <v>Aug 2024</v>
      </c>
      <c r="H1290" s="10">
        <f>HOUR(Transform_Data[[#This Row],[Time]])</f>
        <v>14</v>
      </c>
      <c r="I1290" s="10" t="str">
        <f>IF(COUNTIF('Transform Data'!$D:$D,'Transform Data'!D1290)&gt;1,"Repeat","Single")</f>
        <v>Repeat</v>
      </c>
      <c r="J1290" s="10" t="str">
        <f>IF('Transform Data'!D1290="Cash","Cash",IF(COUNTIF('Transform Data'!$D:$D,'Transform Data'!D1290)&gt;1,"Repeat","Single"))</f>
        <v>Repeat</v>
      </c>
      <c r="K1290" s="10" t="str">
        <f t="shared" si="20"/>
        <v>TRANS-1289</v>
      </c>
    </row>
    <row r="1291" spans="1:11" x14ac:dyDescent="0.35">
      <c r="A1291" s="5">
        <v>45519</v>
      </c>
      <c r="B1291" s="3">
        <v>0.7457407407407407</v>
      </c>
      <c r="C1291" t="s">
        <v>8</v>
      </c>
      <c r="D1291" t="s">
        <v>563</v>
      </c>
      <c r="E1291" s="4">
        <v>27.92</v>
      </c>
      <c r="F1291" t="s">
        <v>36</v>
      </c>
      <c r="G1291" s="10" t="str">
        <f>TEXT(Transform_Data[[#This Row],[Date]],"mmm yyyy")</f>
        <v>Aug 2024</v>
      </c>
      <c r="H1291" s="10">
        <f>HOUR(Transform_Data[[#This Row],[Time]])</f>
        <v>17</v>
      </c>
      <c r="I1291" s="10" t="str">
        <f>IF(COUNTIF('Transform Data'!$D:$D,'Transform Data'!D1291)&gt;1,"Repeat","Single")</f>
        <v>Single</v>
      </c>
      <c r="J1291" s="10" t="str">
        <f>IF('Transform Data'!D1291="Cash","Cash",IF(COUNTIF('Transform Data'!$D:$D,'Transform Data'!D1291)&gt;1,"Repeat","Single"))</f>
        <v>Single</v>
      </c>
      <c r="K1291" s="10" t="str">
        <f t="shared" si="20"/>
        <v>TRANS-1290</v>
      </c>
    </row>
    <row r="1292" spans="1:11" x14ac:dyDescent="0.35">
      <c r="A1292" s="5">
        <v>45519</v>
      </c>
      <c r="B1292" s="3">
        <v>0.79928240740740741</v>
      </c>
      <c r="C1292" t="s">
        <v>8</v>
      </c>
      <c r="D1292" t="s">
        <v>564</v>
      </c>
      <c r="E1292" s="4">
        <v>32.82</v>
      </c>
      <c r="F1292" t="s">
        <v>15</v>
      </c>
      <c r="G1292" s="10" t="str">
        <f>TEXT(Transform_Data[[#This Row],[Date]],"mmm yyyy")</f>
        <v>Aug 2024</v>
      </c>
      <c r="H1292" s="10">
        <f>HOUR(Transform_Data[[#This Row],[Time]])</f>
        <v>19</v>
      </c>
      <c r="I1292" s="10" t="str">
        <f>IF(COUNTIF('Transform Data'!$D:$D,'Transform Data'!D1292)&gt;1,"Repeat","Single")</f>
        <v>Repeat</v>
      </c>
      <c r="J1292" s="10" t="str">
        <f>IF('Transform Data'!D1292="Cash","Cash",IF(COUNTIF('Transform Data'!$D:$D,'Transform Data'!D1292)&gt;1,"Repeat","Single"))</f>
        <v>Repeat</v>
      </c>
      <c r="K1292" s="10" t="str">
        <f t="shared" si="20"/>
        <v>TRANS-1291</v>
      </c>
    </row>
    <row r="1293" spans="1:11" x14ac:dyDescent="0.35">
      <c r="A1293" s="5">
        <v>45519</v>
      </c>
      <c r="B1293" s="3">
        <v>0.79993055555555559</v>
      </c>
      <c r="C1293" t="s">
        <v>8</v>
      </c>
      <c r="D1293" t="s">
        <v>564</v>
      </c>
      <c r="E1293" s="4">
        <v>27.92</v>
      </c>
      <c r="F1293" t="s">
        <v>36</v>
      </c>
      <c r="G1293" s="10" t="str">
        <f>TEXT(Transform_Data[[#This Row],[Date]],"mmm yyyy")</f>
        <v>Aug 2024</v>
      </c>
      <c r="H1293" s="10">
        <f>HOUR(Transform_Data[[#This Row],[Time]])</f>
        <v>19</v>
      </c>
      <c r="I1293" s="10" t="str">
        <f>IF(COUNTIF('Transform Data'!$D:$D,'Transform Data'!D1293)&gt;1,"Repeat","Single")</f>
        <v>Repeat</v>
      </c>
      <c r="J1293" s="10" t="str">
        <f>IF('Transform Data'!D1293="Cash","Cash",IF(COUNTIF('Transform Data'!$D:$D,'Transform Data'!D1293)&gt;1,"Repeat","Single"))</f>
        <v>Repeat</v>
      </c>
      <c r="K1293" s="10" t="str">
        <f t="shared" si="20"/>
        <v>TRANS-1292</v>
      </c>
    </row>
    <row r="1294" spans="1:11" x14ac:dyDescent="0.35">
      <c r="A1294" s="5">
        <v>45519</v>
      </c>
      <c r="B1294" s="3">
        <v>0.82048611111111114</v>
      </c>
      <c r="C1294" t="s">
        <v>8</v>
      </c>
      <c r="D1294" t="s">
        <v>565</v>
      </c>
      <c r="E1294" s="4">
        <v>27.92</v>
      </c>
      <c r="F1294" t="s">
        <v>36</v>
      </c>
      <c r="G1294" s="10" t="str">
        <f>TEXT(Transform_Data[[#This Row],[Date]],"mmm yyyy")</f>
        <v>Aug 2024</v>
      </c>
      <c r="H1294" s="10">
        <f>HOUR(Transform_Data[[#This Row],[Time]])</f>
        <v>19</v>
      </c>
      <c r="I1294" s="10" t="str">
        <f>IF(COUNTIF('Transform Data'!$D:$D,'Transform Data'!D1294)&gt;1,"Repeat","Single")</f>
        <v>Repeat</v>
      </c>
      <c r="J1294" s="10" t="str">
        <f>IF('Transform Data'!D1294="Cash","Cash",IF(COUNTIF('Transform Data'!$D:$D,'Transform Data'!D1294)&gt;1,"Repeat","Single"))</f>
        <v>Repeat</v>
      </c>
      <c r="K1294" s="10" t="str">
        <f t="shared" si="20"/>
        <v>TRANS-1293</v>
      </c>
    </row>
    <row r="1295" spans="1:11" x14ac:dyDescent="0.35">
      <c r="A1295" s="5">
        <v>45519</v>
      </c>
      <c r="B1295" s="3">
        <v>0.82126157407407407</v>
      </c>
      <c r="C1295" t="s">
        <v>8</v>
      </c>
      <c r="D1295" t="s">
        <v>565</v>
      </c>
      <c r="E1295" s="4">
        <v>23.02</v>
      </c>
      <c r="F1295" t="s">
        <v>28</v>
      </c>
      <c r="G1295" s="10" t="str">
        <f>TEXT(Transform_Data[[#This Row],[Date]],"mmm yyyy")</f>
        <v>Aug 2024</v>
      </c>
      <c r="H1295" s="10">
        <f>HOUR(Transform_Data[[#This Row],[Time]])</f>
        <v>19</v>
      </c>
      <c r="I1295" s="10" t="str">
        <f>IF(COUNTIF('Transform Data'!$D:$D,'Transform Data'!D1295)&gt;1,"Repeat","Single")</f>
        <v>Repeat</v>
      </c>
      <c r="J1295" s="10" t="str">
        <f>IF('Transform Data'!D1295="Cash","Cash",IF(COUNTIF('Transform Data'!$D:$D,'Transform Data'!D1295)&gt;1,"Repeat","Single"))</f>
        <v>Repeat</v>
      </c>
      <c r="K1295" s="10" t="str">
        <f t="shared" si="20"/>
        <v>TRANS-1294</v>
      </c>
    </row>
    <row r="1296" spans="1:11" x14ac:dyDescent="0.35">
      <c r="A1296" s="5">
        <v>45519</v>
      </c>
      <c r="B1296" s="3">
        <v>0.8615856481481482</v>
      </c>
      <c r="C1296" t="s">
        <v>8</v>
      </c>
      <c r="D1296" t="s">
        <v>566</v>
      </c>
      <c r="E1296" s="4">
        <v>32.82</v>
      </c>
      <c r="F1296" t="s">
        <v>24</v>
      </c>
      <c r="G1296" s="10" t="str">
        <f>TEXT(Transform_Data[[#This Row],[Date]],"mmm yyyy")</f>
        <v>Aug 2024</v>
      </c>
      <c r="H1296" s="10">
        <f>HOUR(Transform_Data[[#This Row],[Time]])</f>
        <v>20</v>
      </c>
      <c r="I1296" s="10" t="str">
        <f>IF(COUNTIF('Transform Data'!$D:$D,'Transform Data'!D1296)&gt;1,"Repeat","Single")</f>
        <v>Single</v>
      </c>
      <c r="J1296" s="10" t="str">
        <f>IF('Transform Data'!D1296="Cash","Cash",IF(COUNTIF('Transform Data'!$D:$D,'Transform Data'!D1296)&gt;1,"Repeat","Single"))</f>
        <v>Single</v>
      </c>
      <c r="K1296" s="10" t="str">
        <f t="shared" si="20"/>
        <v>TRANS-1295</v>
      </c>
    </row>
    <row r="1297" spans="1:11" x14ac:dyDescent="0.35">
      <c r="A1297" s="5">
        <v>45519</v>
      </c>
      <c r="B1297" s="3">
        <v>0.89953703703703702</v>
      </c>
      <c r="C1297" t="s">
        <v>8</v>
      </c>
      <c r="D1297" t="s">
        <v>16</v>
      </c>
      <c r="E1297" s="4">
        <v>18.12</v>
      </c>
      <c r="F1297" t="s">
        <v>5</v>
      </c>
      <c r="G1297" s="10" t="str">
        <f>TEXT(Transform_Data[[#This Row],[Date]],"mmm yyyy")</f>
        <v>Aug 2024</v>
      </c>
      <c r="H1297" s="10">
        <f>HOUR(Transform_Data[[#This Row],[Time]])</f>
        <v>21</v>
      </c>
      <c r="I1297" s="10" t="str">
        <f>IF(COUNTIF('Transform Data'!$D:$D,'Transform Data'!D1297)&gt;1,"Repeat","Single")</f>
        <v>Repeat</v>
      </c>
      <c r="J1297" s="10" t="str">
        <f>IF('Transform Data'!D1297="Cash","Cash",IF(COUNTIF('Transform Data'!$D:$D,'Transform Data'!D1297)&gt;1,"Repeat","Single"))</f>
        <v>Repeat</v>
      </c>
      <c r="K1297" s="10" t="str">
        <f t="shared" si="20"/>
        <v>TRANS-1296</v>
      </c>
    </row>
    <row r="1298" spans="1:11" x14ac:dyDescent="0.35">
      <c r="A1298" s="5">
        <v>45519</v>
      </c>
      <c r="B1298" s="3">
        <v>0.90012731481481478</v>
      </c>
      <c r="C1298" t="s">
        <v>8</v>
      </c>
      <c r="D1298" t="s">
        <v>16</v>
      </c>
      <c r="E1298" s="4">
        <v>27.92</v>
      </c>
      <c r="F1298" t="s">
        <v>36</v>
      </c>
      <c r="G1298" s="10" t="str">
        <f>TEXT(Transform_Data[[#This Row],[Date]],"mmm yyyy")</f>
        <v>Aug 2024</v>
      </c>
      <c r="H1298" s="10">
        <f>HOUR(Transform_Data[[#This Row],[Time]])</f>
        <v>21</v>
      </c>
      <c r="I1298" s="10" t="str">
        <f>IF(COUNTIF('Transform Data'!$D:$D,'Transform Data'!D1298)&gt;1,"Repeat","Single")</f>
        <v>Repeat</v>
      </c>
      <c r="J1298" s="10" t="str">
        <f>IF('Transform Data'!D1298="Cash","Cash",IF(COUNTIF('Transform Data'!$D:$D,'Transform Data'!D1298)&gt;1,"Repeat","Single"))</f>
        <v>Repeat</v>
      </c>
      <c r="K1298" s="10" t="str">
        <f t="shared" si="20"/>
        <v>TRANS-1297</v>
      </c>
    </row>
    <row r="1299" spans="1:11" x14ac:dyDescent="0.35">
      <c r="A1299" s="5">
        <v>45520</v>
      </c>
      <c r="B1299" s="3">
        <v>0.52032407407407411</v>
      </c>
      <c r="C1299" t="s">
        <v>8</v>
      </c>
      <c r="D1299" t="s">
        <v>565</v>
      </c>
      <c r="E1299" s="4">
        <v>32.82</v>
      </c>
      <c r="F1299" t="s">
        <v>32</v>
      </c>
      <c r="G1299" s="10" t="str">
        <f>TEXT(Transform_Data[[#This Row],[Date]],"mmm yyyy")</f>
        <v>Aug 2024</v>
      </c>
      <c r="H1299" s="10">
        <f>HOUR(Transform_Data[[#This Row],[Time]])</f>
        <v>12</v>
      </c>
      <c r="I1299" s="10" t="str">
        <f>IF(COUNTIF('Transform Data'!$D:$D,'Transform Data'!D1299)&gt;1,"Repeat","Single")</f>
        <v>Repeat</v>
      </c>
      <c r="J1299" s="10" t="str">
        <f>IF('Transform Data'!D1299="Cash","Cash",IF(COUNTIF('Transform Data'!$D:$D,'Transform Data'!D1299)&gt;1,"Repeat","Single"))</f>
        <v>Repeat</v>
      </c>
      <c r="K1299" s="10" t="str">
        <f t="shared" si="20"/>
        <v>TRANS-1298</v>
      </c>
    </row>
    <row r="1300" spans="1:11" x14ac:dyDescent="0.35">
      <c r="A1300" s="5">
        <v>45520</v>
      </c>
      <c r="B1300" s="3">
        <v>0.5376967592592593</v>
      </c>
      <c r="C1300" t="s">
        <v>8</v>
      </c>
      <c r="D1300" t="s">
        <v>567</v>
      </c>
      <c r="E1300" s="4">
        <v>23.02</v>
      </c>
      <c r="F1300" t="s">
        <v>28</v>
      </c>
      <c r="G1300" s="10" t="str">
        <f>TEXT(Transform_Data[[#This Row],[Date]],"mmm yyyy")</f>
        <v>Aug 2024</v>
      </c>
      <c r="H1300" s="10">
        <f>HOUR(Transform_Data[[#This Row],[Time]])</f>
        <v>12</v>
      </c>
      <c r="I1300" s="10" t="str">
        <f>IF(COUNTIF('Transform Data'!$D:$D,'Transform Data'!D1300)&gt;1,"Repeat","Single")</f>
        <v>Single</v>
      </c>
      <c r="J1300" s="10" t="str">
        <f>IF('Transform Data'!D1300="Cash","Cash",IF(COUNTIF('Transform Data'!$D:$D,'Transform Data'!D1300)&gt;1,"Repeat","Single"))</f>
        <v>Single</v>
      </c>
      <c r="K1300" s="10" t="str">
        <f t="shared" si="20"/>
        <v>TRANS-1299</v>
      </c>
    </row>
    <row r="1301" spans="1:11" x14ac:dyDescent="0.35">
      <c r="A1301" s="5">
        <v>45520</v>
      </c>
      <c r="B1301" s="3">
        <v>0.56680555555555556</v>
      </c>
      <c r="C1301" t="s">
        <v>8</v>
      </c>
      <c r="D1301" t="s">
        <v>482</v>
      </c>
      <c r="E1301" s="4">
        <v>27.92</v>
      </c>
      <c r="F1301" t="s">
        <v>36</v>
      </c>
      <c r="G1301" s="10" t="str">
        <f>TEXT(Transform_Data[[#This Row],[Date]],"mmm yyyy")</f>
        <v>Aug 2024</v>
      </c>
      <c r="H1301" s="10">
        <f>HOUR(Transform_Data[[#This Row],[Time]])</f>
        <v>13</v>
      </c>
      <c r="I1301" s="10" t="str">
        <f>IF(COUNTIF('Transform Data'!$D:$D,'Transform Data'!D1301)&gt;1,"Repeat","Single")</f>
        <v>Repeat</v>
      </c>
      <c r="J1301" s="10" t="str">
        <f>IF('Transform Data'!D1301="Cash","Cash",IF(COUNTIF('Transform Data'!$D:$D,'Transform Data'!D1301)&gt;1,"Repeat","Single"))</f>
        <v>Repeat</v>
      </c>
      <c r="K1301" s="10" t="str">
        <f t="shared" si="20"/>
        <v>TRANS-1300</v>
      </c>
    </row>
    <row r="1302" spans="1:11" x14ac:dyDescent="0.35">
      <c r="A1302" s="5">
        <v>45520</v>
      </c>
      <c r="B1302" s="3">
        <v>0.63809027777777783</v>
      </c>
      <c r="C1302" t="s">
        <v>8</v>
      </c>
      <c r="D1302" t="s">
        <v>43</v>
      </c>
      <c r="E1302" s="4">
        <v>18.12</v>
      </c>
      <c r="F1302" t="s">
        <v>5</v>
      </c>
      <c r="G1302" s="10" t="str">
        <f>TEXT(Transform_Data[[#This Row],[Date]],"mmm yyyy")</f>
        <v>Aug 2024</v>
      </c>
      <c r="H1302" s="10">
        <f>HOUR(Transform_Data[[#This Row],[Time]])</f>
        <v>15</v>
      </c>
      <c r="I1302" s="10" t="str">
        <f>IF(COUNTIF('Transform Data'!$D:$D,'Transform Data'!D1302)&gt;1,"Repeat","Single")</f>
        <v>Repeat</v>
      </c>
      <c r="J1302" s="10" t="str">
        <f>IF('Transform Data'!D1302="Cash","Cash",IF(COUNTIF('Transform Data'!$D:$D,'Transform Data'!D1302)&gt;1,"Repeat","Single"))</f>
        <v>Repeat</v>
      </c>
      <c r="K1302" s="10" t="str">
        <f t="shared" si="20"/>
        <v>TRANS-1301</v>
      </c>
    </row>
    <row r="1303" spans="1:11" x14ac:dyDescent="0.35">
      <c r="A1303" s="5">
        <v>45520</v>
      </c>
      <c r="B1303" s="3">
        <v>0.63864583333333336</v>
      </c>
      <c r="C1303" t="s">
        <v>8</v>
      </c>
      <c r="D1303" t="s">
        <v>43</v>
      </c>
      <c r="E1303" s="4">
        <v>18.12</v>
      </c>
      <c r="F1303" t="s">
        <v>5</v>
      </c>
      <c r="G1303" s="10" t="str">
        <f>TEXT(Transform_Data[[#This Row],[Date]],"mmm yyyy")</f>
        <v>Aug 2024</v>
      </c>
      <c r="H1303" s="10">
        <f>HOUR(Transform_Data[[#This Row],[Time]])</f>
        <v>15</v>
      </c>
      <c r="I1303" s="10" t="str">
        <f>IF(COUNTIF('Transform Data'!$D:$D,'Transform Data'!D1303)&gt;1,"Repeat","Single")</f>
        <v>Repeat</v>
      </c>
      <c r="J1303" s="10" t="str">
        <f>IF('Transform Data'!D1303="Cash","Cash",IF(COUNTIF('Transform Data'!$D:$D,'Transform Data'!D1303)&gt;1,"Repeat","Single"))</f>
        <v>Repeat</v>
      </c>
      <c r="K1303" s="10" t="str">
        <f t="shared" si="20"/>
        <v>TRANS-1302</v>
      </c>
    </row>
    <row r="1304" spans="1:11" x14ac:dyDescent="0.35">
      <c r="A1304" s="5">
        <v>45521</v>
      </c>
      <c r="B1304" s="3">
        <v>0.38672453703703702</v>
      </c>
      <c r="C1304" t="s">
        <v>8</v>
      </c>
      <c r="D1304" t="s">
        <v>11</v>
      </c>
      <c r="E1304" s="4">
        <v>27.92</v>
      </c>
      <c r="F1304" t="s">
        <v>36</v>
      </c>
      <c r="G1304" s="10" t="str">
        <f>TEXT(Transform_Data[[#This Row],[Date]],"mmm yyyy")</f>
        <v>Aug 2024</v>
      </c>
      <c r="H1304" s="10">
        <f>HOUR(Transform_Data[[#This Row],[Time]])</f>
        <v>9</v>
      </c>
      <c r="I1304" s="10" t="str">
        <f>IF(COUNTIF('Transform Data'!$D:$D,'Transform Data'!D1304)&gt;1,"Repeat","Single")</f>
        <v>Repeat</v>
      </c>
      <c r="J1304" s="10" t="str">
        <f>IF('Transform Data'!D1304="Cash","Cash",IF(COUNTIF('Transform Data'!$D:$D,'Transform Data'!D1304)&gt;1,"Repeat","Single"))</f>
        <v>Repeat</v>
      </c>
      <c r="K1304" s="10" t="str">
        <f t="shared" si="20"/>
        <v>TRANS-1303</v>
      </c>
    </row>
    <row r="1305" spans="1:11" x14ac:dyDescent="0.35">
      <c r="A1305" s="5">
        <v>45521</v>
      </c>
      <c r="B1305" s="3">
        <v>0.3875925925925926</v>
      </c>
      <c r="C1305" t="s">
        <v>8</v>
      </c>
      <c r="D1305" t="s">
        <v>568</v>
      </c>
      <c r="E1305" s="4">
        <v>32.82</v>
      </c>
      <c r="F1305" t="s">
        <v>24</v>
      </c>
      <c r="G1305" s="10" t="str">
        <f>TEXT(Transform_Data[[#This Row],[Date]],"mmm yyyy")</f>
        <v>Aug 2024</v>
      </c>
      <c r="H1305" s="10">
        <f>HOUR(Transform_Data[[#This Row],[Time]])</f>
        <v>9</v>
      </c>
      <c r="I1305" s="10" t="str">
        <f>IF(COUNTIF('Transform Data'!$D:$D,'Transform Data'!D1305)&gt;1,"Repeat","Single")</f>
        <v>Single</v>
      </c>
      <c r="J1305" s="10" t="str">
        <f>IF('Transform Data'!D1305="Cash","Cash",IF(COUNTIF('Transform Data'!$D:$D,'Transform Data'!D1305)&gt;1,"Repeat","Single"))</f>
        <v>Single</v>
      </c>
      <c r="K1305" s="10" t="str">
        <f t="shared" si="20"/>
        <v>TRANS-1304</v>
      </c>
    </row>
    <row r="1306" spans="1:11" x14ac:dyDescent="0.35">
      <c r="A1306" s="5">
        <v>45521</v>
      </c>
      <c r="B1306" s="3">
        <v>0.45394675925925926</v>
      </c>
      <c r="C1306" t="s">
        <v>8</v>
      </c>
      <c r="D1306" t="s">
        <v>569</v>
      </c>
      <c r="E1306" s="4">
        <v>27.92</v>
      </c>
      <c r="F1306" t="s">
        <v>36</v>
      </c>
      <c r="G1306" s="10" t="str">
        <f>TEXT(Transform_Data[[#This Row],[Date]],"mmm yyyy")</f>
        <v>Aug 2024</v>
      </c>
      <c r="H1306" s="10">
        <f>HOUR(Transform_Data[[#This Row],[Time]])</f>
        <v>10</v>
      </c>
      <c r="I1306" s="10" t="str">
        <f>IF(COUNTIF('Transform Data'!$D:$D,'Transform Data'!D1306)&gt;1,"Repeat","Single")</f>
        <v>Single</v>
      </c>
      <c r="J1306" s="10" t="str">
        <f>IF('Transform Data'!D1306="Cash","Cash",IF(COUNTIF('Transform Data'!$D:$D,'Transform Data'!D1306)&gt;1,"Repeat","Single"))</f>
        <v>Single</v>
      </c>
      <c r="K1306" s="10" t="str">
        <f t="shared" si="20"/>
        <v>TRANS-1305</v>
      </c>
    </row>
    <row r="1307" spans="1:11" x14ac:dyDescent="0.35">
      <c r="A1307" s="5">
        <v>45521</v>
      </c>
      <c r="B1307" s="3">
        <v>0.49908564814814815</v>
      </c>
      <c r="C1307" t="s">
        <v>8</v>
      </c>
      <c r="D1307" t="s">
        <v>40</v>
      </c>
      <c r="E1307" s="4">
        <v>23.02</v>
      </c>
      <c r="F1307" t="s">
        <v>20</v>
      </c>
      <c r="G1307" s="10" t="str">
        <f>TEXT(Transform_Data[[#This Row],[Date]],"mmm yyyy")</f>
        <v>Aug 2024</v>
      </c>
      <c r="H1307" s="10">
        <f>HOUR(Transform_Data[[#This Row],[Time]])</f>
        <v>11</v>
      </c>
      <c r="I1307" s="10" t="str">
        <f>IF(COUNTIF('Transform Data'!$D:$D,'Transform Data'!D1307)&gt;1,"Repeat","Single")</f>
        <v>Repeat</v>
      </c>
      <c r="J1307" s="10" t="str">
        <f>IF('Transform Data'!D1307="Cash","Cash",IF(COUNTIF('Transform Data'!$D:$D,'Transform Data'!D1307)&gt;1,"Repeat","Single"))</f>
        <v>Repeat</v>
      </c>
      <c r="K1307" s="10" t="str">
        <f t="shared" si="20"/>
        <v>TRANS-1306</v>
      </c>
    </row>
    <row r="1308" spans="1:11" x14ac:dyDescent="0.35">
      <c r="A1308" s="5">
        <v>45521</v>
      </c>
      <c r="B1308" s="3">
        <v>0.49962962962962965</v>
      </c>
      <c r="C1308" t="s">
        <v>8</v>
      </c>
      <c r="D1308" t="s">
        <v>40</v>
      </c>
      <c r="E1308" s="4">
        <v>23.02</v>
      </c>
      <c r="F1308" t="s">
        <v>20</v>
      </c>
      <c r="G1308" s="10" t="str">
        <f>TEXT(Transform_Data[[#This Row],[Date]],"mmm yyyy")</f>
        <v>Aug 2024</v>
      </c>
      <c r="H1308" s="10">
        <f>HOUR(Transform_Data[[#This Row],[Time]])</f>
        <v>11</v>
      </c>
      <c r="I1308" s="10" t="str">
        <f>IF(COUNTIF('Transform Data'!$D:$D,'Transform Data'!D1308)&gt;1,"Repeat","Single")</f>
        <v>Repeat</v>
      </c>
      <c r="J1308" s="10" t="str">
        <f>IF('Transform Data'!D1308="Cash","Cash",IF(COUNTIF('Transform Data'!$D:$D,'Transform Data'!D1308)&gt;1,"Repeat","Single"))</f>
        <v>Repeat</v>
      </c>
      <c r="K1308" s="10" t="str">
        <f t="shared" si="20"/>
        <v>TRANS-1307</v>
      </c>
    </row>
    <row r="1309" spans="1:11" x14ac:dyDescent="0.35">
      <c r="A1309" s="5">
        <v>45521</v>
      </c>
      <c r="B1309" s="3">
        <v>0.55462962962962958</v>
      </c>
      <c r="C1309" t="s">
        <v>8</v>
      </c>
      <c r="D1309" t="s">
        <v>570</v>
      </c>
      <c r="E1309" s="4">
        <v>27.92</v>
      </c>
      <c r="F1309" t="s">
        <v>36</v>
      </c>
      <c r="G1309" s="10" t="str">
        <f>TEXT(Transform_Data[[#This Row],[Date]],"mmm yyyy")</f>
        <v>Aug 2024</v>
      </c>
      <c r="H1309" s="10">
        <f>HOUR(Transform_Data[[#This Row],[Time]])</f>
        <v>13</v>
      </c>
      <c r="I1309" s="10" t="str">
        <f>IF(COUNTIF('Transform Data'!$D:$D,'Transform Data'!D1309)&gt;1,"Repeat","Single")</f>
        <v>Repeat</v>
      </c>
      <c r="J1309" s="10" t="str">
        <f>IF('Transform Data'!D1309="Cash","Cash",IF(COUNTIF('Transform Data'!$D:$D,'Transform Data'!D1309)&gt;1,"Repeat","Single"))</f>
        <v>Repeat</v>
      </c>
      <c r="K1309" s="10" t="str">
        <f t="shared" si="20"/>
        <v>TRANS-1308</v>
      </c>
    </row>
    <row r="1310" spans="1:11" x14ac:dyDescent="0.35">
      <c r="A1310" s="5">
        <v>45521</v>
      </c>
      <c r="B1310" s="3">
        <v>0.68881944444444443</v>
      </c>
      <c r="C1310" t="s">
        <v>8</v>
      </c>
      <c r="D1310" t="s">
        <v>330</v>
      </c>
      <c r="E1310" s="4">
        <v>23.02</v>
      </c>
      <c r="F1310" t="s">
        <v>20</v>
      </c>
      <c r="G1310" s="10" t="str">
        <f>TEXT(Transform_Data[[#This Row],[Date]],"mmm yyyy")</f>
        <v>Aug 2024</v>
      </c>
      <c r="H1310" s="10">
        <f>HOUR(Transform_Data[[#This Row],[Time]])</f>
        <v>16</v>
      </c>
      <c r="I1310" s="10" t="str">
        <f>IF(COUNTIF('Transform Data'!$D:$D,'Transform Data'!D1310)&gt;1,"Repeat","Single")</f>
        <v>Repeat</v>
      </c>
      <c r="J1310" s="10" t="str">
        <f>IF('Transform Data'!D1310="Cash","Cash",IF(COUNTIF('Transform Data'!$D:$D,'Transform Data'!D1310)&gt;1,"Repeat","Single"))</f>
        <v>Repeat</v>
      </c>
      <c r="K1310" s="10" t="str">
        <f t="shared" si="20"/>
        <v>TRANS-1309</v>
      </c>
    </row>
    <row r="1311" spans="1:11" x14ac:dyDescent="0.35">
      <c r="A1311" s="5">
        <v>45521</v>
      </c>
      <c r="B1311" s="3">
        <v>0.69013888888888886</v>
      </c>
      <c r="C1311" t="s">
        <v>8</v>
      </c>
      <c r="D1311" t="s">
        <v>246</v>
      </c>
      <c r="E1311" s="4">
        <v>32.82</v>
      </c>
      <c r="F1311" t="s">
        <v>32</v>
      </c>
      <c r="G1311" s="10" t="str">
        <f>TEXT(Transform_Data[[#This Row],[Date]],"mmm yyyy")</f>
        <v>Aug 2024</v>
      </c>
      <c r="H1311" s="10">
        <f>HOUR(Transform_Data[[#This Row],[Time]])</f>
        <v>16</v>
      </c>
      <c r="I1311" s="10" t="str">
        <f>IF(COUNTIF('Transform Data'!$D:$D,'Transform Data'!D1311)&gt;1,"Repeat","Single")</f>
        <v>Repeat</v>
      </c>
      <c r="J1311" s="10" t="str">
        <f>IF('Transform Data'!D1311="Cash","Cash",IF(COUNTIF('Transform Data'!$D:$D,'Transform Data'!D1311)&gt;1,"Repeat","Single"))</f>
        <v>Repeat</v>
      </c>
      <c r="K1311" s="10" t="str">
        <f t="shared" si="20"/>
        <v>TRANS-1310</v>
      </c>
    </row>
    <row r="1312" spans="1:11" x14ac:dyDescent="0.35">
      <c r="A1312" s="5">
        <v>45521</v>
      </c>
      <c r="B1312" s="3">
        <v>0.78400462962962958</v>
      </c>
      <c r="C1312" t="s">
        <v>8</v>
      </c>
      <c r="D1312" t="s">
        <v>509</v>
      </c>
      <c r="E1312" s="4">
        <v>32.82</v>
      </c>
      <c r="F1312" t="s">
        <v>24</v>
      </c>
      <c r="G1312" s="10" t="str">
        <f>TEXT(Transform_Data[[#This Row],[Date]],"mmm yyyy")</f>
        <v>Aug 2024</v>
      </c>
      <c r="H1312" s="10">
        <f>HOUR(Transform_Data[[#This Row],[Time]])</f>
        <v>18</v>
      </c>
      <c r="I1312" s="10" t="str">
        <f>IF(COUNTIF('Transform Data'!$D:$D,'Transform Data'!D1312)&gt;1,"Repeat","Single")</f>
        <v>Repeat</v>
      </c>
      <c r="J1312" s="10" t="str">
        <f>IF('Transform Data'!D1312="Cash","Cash",IF(COUNTIF('Transform Data'!$D:$D,'Transform Data'!D1312)&gt;1,"Repeat","Single"))</f>
        <v>Repeat</v>
      </c>
      <c r="K1312" s="10" t="str">
        <f t="shared" si="20"/>
        <v>TRANS-1311</v>
      </c>
    </row>
    <row r="1313" spans="1:11" x14ac:dyDescent="0.35">
      <c r="A1313" s="5">
        <v>45521</v>
      </c>
      <c r="B1313" s="3">
        <v>0.88814814814814813</v>
      </c>
      <c r="C1313" t="s">
        <v>8</v>
      </c>
      <c r="D1313" t="s">
        <v>16</v>
      </c>
      <c r="E1313" s="4">
        <v>27.92</v>
      </c>
      <c r="F1313" t="s">
        <v>36</v>
      </c>
      <c r="G1313" s="10" t="str">
        <f>TEXT(Transform_Data[[#This Row],[Date]],"mmm yyyy")</f>
        <v>Aug 2024</v>
      </c>
      <c r="H1313" s="10">
        <f>HOUR(Transform_Data[[#This Row],[Time]])</f>
        <v>21</v>
      </c>
      <c r="I1313" s="10" t="str">
        <f>IF(COUNTIF('Transform Data'!$D:$D,'Transform Data'!D1313)&gt;1,"Repeat","Single")</f>
        <v>Repeat</v>
      </c>
      <c r="J1313" s="10" t="str">
        <f>IF('Transform Data'!D1313="Cash","Cash",IF(COUNTIF('Transform Data'!$D:$D,'Transform Data'!D1313)&gt;1,"Repeat","Single"))</f>
        <v>Repeat</v>
      </c>
      <c r="K1313" s="10" t="str">
        <f t="shared" si="20"/>
        <v>TRANS-1312</v>
      </c>
    </row>
    <row r="1314" spans="1:11" x14ac:dyDescent="0.35">
      <c r="A1314" s="5">
        <v>45521</v>
      </c>
      <c r="B1314" s="3">
        <v>0.94628472222222226</v>
      </c>
      <c r="C1314" t="s">
        <v>8</v>
      </c>
      <c r="D1314" t="s">
        <v>571</v>
      </c>
      <c r="E1314" s="4">
        <v>32.82</v>
      </c>
      <c r="F1314" t="s">
        <v>32</v>
      </c>
      <c r="G1314" s="10" t="str">
        <f>TEXT(Transform_Data[[#This Row],[Date]],"mmm yyyy")</f>
        <v>Aug 2024</v>
      </c>
      <c r="H1314" s="10">
        <f>HOUR(Transform_Data[[#This Row],[Time]])</f>
        <v>22</v>
      </c>
      <c r="I1314" s="10" t="str">
        <f>IF(COUNTIF('Transform Data'!$D:$D,'Transform Data'!D1314)&gt;1,"Repeat","Single")</f>
        <v>Single</v>
      </c>
      <c r="J1314" s="10" t="str">
        <f>IF('Transform Data'!D1314="Cash","Cash",IF(COUNTIF('Transform Data'!$D:$D,'Transform Data'!D1314)&gt;1,"Repeat","Single"))</f>
        <v>Single</v>
      </c>
      <c r="K1314" s="10" t="str">
        <f t="shared" si="20"/>
        <v>TRANS-1313</v>
      </c>
    </row>
    <row r="1315" spans="1:11" x14ac:dyDescent="0.35">
      <c r="A1315" s="5">
        <v>45522</v>
      </c>
      <c r="B1315" s="3">
        <v>0.34006944444444442</v>
      </c>
      <c r="C1315" t="s">
        <v>8</v>
      </c>
      <c r="D1315" t="s">
        <v>572</v>
      </c>
      <c r="E1315" s="4">
        <v>32.82</v>
      </c>
      <c r="F1315" t="s">
        <v>24</v>
      </c>
      <c r="G1315" s="10" t="str">
        <f>TEXT(Transform_Data[[#This Row],[Date]],"mmm yyyy")</f>
        <v>Aug 2024</v>
      </c>
      <c r="H1315" s="10">
        <f>HOUR(Transform_Data[[#This Row],[Time]])</f>
        <v>8</v>
      </c>
      <c r="I1315" s="10" t="str">
        <f>IF(COUNTIF('Transform Data'!$D:$D,'Transform Data'!D1315)&gt;1,"Repeat","Single")</f>
        <v>Single</v>
      </c>
      <c r="J1315" s="10" t="str">
        <f>IF('Transform Data'!D1315="Cash","Cash",IF(COUNTIF('Transform Data'!$D:$D,'Transform Data'!D1315)&gt;1,"Repeat","Single"))</f>
        <v>Single</v>
      </c>
      <c r="K1315" s="10" t="str">
        <f t="shared" si="20"/>
        <v>TRANS-1314</v>
      </c>
    </row>
    <row r="1316" spans="1:11" x14ac:dyDescent="0.35">
      <c r="A1316" s="5">
        <v>45522</v>
      </c>
      <c r="B1316" s="3">
        <v>0.35561342592592593</v>
      </c>
      <c r="C1316" t="s">
        <v>8</v>
      </c>
      <c r="D1316" t="s">
        <v>573</v>
      </c>
      <c r="E1316" s="4">
        <v>32.82</v>
      </c>
      <c r="F1316" t="s">
        <v>24</v>
      </c>
      <c r="G1316" s="10" t="str">
        <f>TEXT(Transform_Data[[#This Row],[Date]],"mmm yyyy")</f>
        <v>Aug 2024</v>
      </c>
      <c r="H1316" s="10">
        <f>HOUR(Transform_Data[[#This Row],[Time]])</f>
        <v>8</v>
      </c>
      <c r="I1316" s="10" t="str">
        <f>IF(COUNTIF('Transform Data'!$D:$D,'Transform Data'!D1316)&gt;1,"Repeat","Single")</f>
        <v>Single</v>
      </c>
      <c r="J1316" s="10" t="str">
        <f>IF('Transform Data'!D1316="Cash","Cash",IF(COUNTIF('Transform Data'!$D:$D,'Transform Data'!D1316)&gt;1,"Repeat","Single"))</f>
        <v>Single</v>
      </c>
      <c r="K1316" s="10" t="str">
        <f t="shared" si="20"/>
        <v>TRANS-1315</v>
      </c>
    </row>
    <row r="1317" spans="1:11" x14ac:dyDescent="0.35">
      <c r="A1317" s="5">
        <v>45522</v>
      </c>
      <c r="B1317" s="3">
        <v>0.361875</v>
      </c>
      <c r="C1317" t="s">
        <v>8</v>
      </c>
      <c r="D1317" t="s">
        <v>40</v>
      </c>
      <c r="E1317" s="4">
        <v>23.02</v>
      </c>
      <c r="F1317" t="s">
        <v>20</v>
      </c>
      <c r="G1317" s="10" t="str">
        <f>TEXT(Transform_Data[[#This Row],[Date]],"mmm yyyy")</f>
        <v>Aug 2024</v>
      </c>
      <c r="H1317" s="10">
        <f>HOUR(Transform_Data[[#This Row],[Time]])</f>
        <v>8</v>
      </c>
      <c r="I1317" s="10" t="str">
        <f>IF(COUNTIF('Transform Data'!$D:$D,'Transform Data'!D1317)&gt;1,"Repeat","Single")</f>
        <v>Repeat</v>
      </c>
      <c r="J1317" s="10" t="str">
        <f>IF('Transform Data'!D1317="Cash","Cash",IF(COUNTIF('Transform Data'!$D:$D,'Transform Data'!D1317)&gt;1,"Repeat","Single"))</f>
        <v>Repeat</v>
      </c>
      <c r="K1317" s="10" t="str">
        <f t="shared" si="20"/>
        <v>TRANS-1316</v>
      </c>
    </row>
    <row r="1318" spans="1:11" x14ac:dyDescent="0.35">
      <c r="A1318" s="5">
        <v>45522</v>
      </c>
      <c r="B1318" s="3">
        <v>0.37223379629629627</v>
      </c>
      <c r="C1318" t="s">
        <v>8</v>
      </c>
      <c r="D1318" t="s">
        <v>574</v>
      </c>
      <c r="E1318" s="4">
        <v>27.92</v>
      </c>
      <c r="F1318" t="s">
        <v>36</v>
      </c>
      <c r="G1318" s="10" t="str">
        <f>TEXT(Transform_Data[[#This Row],[Date]],"mmm yyyy")</f>
        <v>Aug 2024</v>
      </c>
      <c r="H1318" s="10">
        <f>HOUR(Transform_Data[[#This Row],[Time]])</f>
        <v>8</v>
      </c>
      <c r="I1318" s="10" t="str">
        <f>IF(COUNTIF('Transform Data'!$D:$D,'Transform Data'!D1318)&gt;1,"Repeat","Single")</f>
        <v>Single</v>
      </c>
      <c r="J1318" s="10" t="str">
        <f>IF('Transform Data'!D1318="Cash","Cash",IF(COUNTIF('Transform Data'!$D:$D,'Transform Data'!D1318)&gt;1,"Repeat","Single"))</f>
        <v>Single</v>
      </c>
      <c r="K1318" s="10" t="str">
        <f t="shared" si="20"/>
        <v>TRANS-1317</v>
      </c>
    </row>
    <row r="1319" spans="1:11" x14ac:dyDescent="0.35">
      <c r="A1319" s="5">
        <v>45522</v>
      </c>
      <c r="B1319" s="3">
        <v>0.5219907407407407</v>
      </c>
      <c r="C1319" t="s">
        <v>8</v>
      </c>
      <c r="D1319" t="s">
        <v>516</v>
      </c>
      <c r="E1319" s="4">
        <v>32.82</v>
      </c>
      <c r="F1319" t="s">
        <v>24</v>
      </c>
      <c r="G1319" s="10" t="str">
        <f>TEXT(Transform_Data[[#This Row],[Date]],"mmm yyyy")</f>
        <v>Aug 2024</v>
      </c>
      <c r="H1319" s="10">
        <f>HOUR(Transform_Data[[#This Row],[Time]])</f>
        <v>12</v>
      </c>
      <c r="I1319" s="10" t="str">
        <f>IF(COUNTIF('Transform Data'!$D:$D,'Transform Data'!D1319)&gt;1,"Repeat","Single")</f>
        <v>Repeat</v>
      </c>
      <c r="J1319" s="10" t="str">
        <f>IF('Transform Data'!D1319="Cash","Cash",IF(COUNTIF('Transform Data'!$D:$D,'Transform Data'!D1319)&gt;1,"Repeat","Single"))</f>
        <v>Repeat</v>
      </c>
      <c r="K1319" s="10" t="str">
        <f t="shared" si="20"/>
        <v>TRANS-1318</v>
      </c>
    </row>
    <row r="1320" spans="1:11" x14ac:dyDescent="0.35">
      <c r="A1320" s="5">
        <v>45522</v>
      </c>
      <c r="B1320" s="3">
        <v>0.60440972222222222</v>
      </c>
      <c r="C1320" t="s">
        <v>8</v>
      </c>
      <c r="D1320" t="s">
        <v>16</v>
      </c>
      <c r="E1320" s="4">
        <v>27.92</v>
      </c>
      <c r="F1320" t="s">
        <v>36</v>
      </c>
      <c r="G1320" s="10" t="str">
        <f>TEXT(Transform_Data[[#This Row],[Date]],"mmm yyyy")</f>
        <v>Aug 2024</v>
      </c>
      <c r="H1320" s="10">
        <f>HOUR(Transform_Data[[#This Row],[Time]])</f>
        <v>14</v>
      </c>
      <c r="I1320" s="10" t="str">
        <f>IF(COUNTIF('Transform Data'!$D:$D,'Transform Data'!D1320)&gt;1,"Repeat","Single")</f>
        <v>Repeat</v>
      </c>
      <c r="J1320" s="10" t="str">
        <f>IF('Transform Data'!D1320="Cash","Cash",IF(COUNTIF('Transform Data'!$D:$D,'Transform Data'!D1320)&gt;1,"Repeat","Single"))</f>
        <v>Repeat</v>
      </c>
      <c r="K1320" s="10" t="str">
        <f t="shared" si="20"/>
        <v>TRANS-1319</v>
      </c>
    </row>
    <row r="1321" spans="1:11" x14ac:dyDescent="0.35">
      <c r="A1321" s="5">
        <v>45522</v>
      </c>
      <c r="B1321" s="3">
        <v>0.76678240740740744</v>
      </c>
      <c r="C1321" t="s">
        <v>8</v>
      </c>
      <c r="D1321" t="s">
        <v>575</v>
      </c>
      <c r="E1321" s="4">
        <v>27.92</v>
      </c>
      <c r="F1321" t="s">
        <v>36</v>
      </c>
      <c r="G1321" s="10" t="str">
        <f>TEXT(Transform_Data[[#This Row],[Date]],"mmm yyyy")</f>
        <v>Aug 2024</v>
      </c>
      <c r="H1321" s="10">
        <f>HOUR(Transform_Data[[#This Row],[Time]])</f>
        <v>18</v>
      </c>
      <c r="I1321" s="10" t="str">
        <f>IF(COUNTIF('Transform Data'!$D:$D,'Transform Data'!D1321)&gt;1,"Repeat","Single")</f>
        <v>Repeat</v>
      </c>
      <c r="J1321" s="10" t="str">
        <f>IF('Transform Data'!D1321="Cash","Cash",IF(COUNTIF('Transform Data'!$D:$D,'Transform Data'!D1321)&gt;1,"Repeat","Single"))</f>
        <v>Repeat</v>
      </c>
      <c r="K1321" s="10" t="str">
        <f t="shared" si="20"/>
        <v>TRANS-1320</v>
      </c>
    </row>
    <row r="1322" spans="1:11" x14ac:dyDescent="0.35">
      <c r="A1322" s="5">
        <v>45522</v>
      </c>
      <c r="B1322" s="3">
        <v>0.76809027777777783</v>
      </c>
      <c r="C1322" t="s">
        <v>8</v>
      </c>
      <c r="D1322" t="s">
        <v>575</v>
      </c>
      <c r="E1322" s="4">
        <v>27.92</v>
      </c>
      <c r="F1322" t="s">
        <v>36</v>
      </c>
      <c r="G1322" s="10" t="str">
        <f>TEXT(Transform_Data[[#This Row],[Date]],"mmm yyyy")</f>
        <v>Aug 2024</v>
      </c>
      <c r="H1322" s="10">
        <f>HOUR(Transform_Data[[#This Row],[Time]])</f>
        <v>18</v>
      </c>
      <c r="I1322" s="10" t="str">
        <f>IF(COUNTIF('Transform Data'!$D:$D,'Transform Data'!D1322)&gt;1,"Repeat","Single")</f>
        <v>Repeat</v>
      </c>
      <c r="J1322" s="10" t="str">
        <f>IF('Transform Data'!D1322="Cash","Cash",IF(COUNTIF('Transform Data'!$D:$D,'Transform Data'!D1322)&gt;1,"Repeat","Single"))</f>
        <v>Repeat</v>
      </c>
      <c r="K1322" s="10" t="str">
        <f t="shared" si="20"/>
        <v>TRANS-1321</v>
      </c>
    </row>
    <row r="1323" spans="1:11" x14ac:dyDescent="0.35">
      <c r="A1323" s="5">
        <v>45522</v>
      </c>
      <c r="B1323" s="3">
        <v>0.76894675925925926</v>
      </c>
      <c r="C1323" t="s">
        <v>8</v>
      </c>
      <c r="D1323" t="s">
        <v>575</v>
      </c>
      <c r="E1323" s="4">
        <v>23.02</v>
      </c>
      <c r="F1323" t="s">
        <v>28</v>
      </c>
      <c r="G1323" s="10" t="str">
        <f>TEXT(Transform_Data[[#This Row],[Date]],"mmm yyyy")</f>
        <v>Aug 2024</v>
      </c>
      <c r="H1323" s="10">
        <f>HOUR(Transform_Data[[#This Row],[Time]])</f>
        <v>18</v>
      </c>
      <c r="I1323" s="10" t="str">
        <f>IF(COUNTIF('Transform Data'!$D:$D,'Transform Data'!D1323)&gt;1,"Repeat","Single")</f>
        <v>Repeat</v>
      </c>
      <c r="J1323" s="10" t="str">
        <f>IF('Transform Data'!D1323="Cash","Cash",IF(COUNTIF('Transform Data'!$D:$D,'Transform Data'!D1323)&gt;1,"Repeat","Single"))</f>
        <v>Repeat</v>
      </c>
      <c r="K1323" s="10" t="str">
        <f t="shared" si="20"/>
        <v>TRANS-1322</v>
      </c>
    </row>
    <row r="1324" spans="1:11" x14ac:dyDescent="0.35">
      <c r="A1324" s="5">
        <v>45522</v>
      </c>
      <c r="B1324" s="3">
        <v>0.76959490740740744</v>
      </c>
      <c r="C1324" t="s">
        <v>8</v>
      </c>
      <c r="D1324" t="s">
        <v>575</v>
      </c>
      <c r="E1324" s="4">
        <v>23.02</v>
      </c>
      <c r="F1324" t="s">
        <v>28</v>
      </c>
      <c r="G1324" s="10" t="str">
        <f>TEXT(Transform_Data[[#This Row],[Date]],"mmm yyyy")</f>
        <v>Aug 2024</v>
      </c>
      <c r="H1324" s="10">
        <f>HOUR(Transform_Data[[#This Row],[Time]])</f>
        <v>18</v>
      </c>
      <c r="I1324" s="10" t="str">
        <f>IF(COUNTIF('Transform Data'!$D:$D,'Transform Data'!D1324)&gt;1,"Repeat","Single")</f>
        <v>Repeat</v>
      </c>
      <c r="J1324" s="10" t="str">
        <f>IF('Transform Data'!D1324="Cash","Cash",IF(COUNTIF('Transform Data'!$D:$D,'Transform Data'!D1324)&gt;1,"Repeat","Single"))</f>
        <v>Repeat</v>
      </c>
      <c r="K1324" s="10" t="str">
        <f t="shared" si="20"/>
        <v>TRANS-1323</v>
      </c>
    </row>
    <row r="1325" spans="1:11" x14ac:dyDescent="0.35">
      <c r="A1325" s="5">
        <v>45523</v>
      </c>
      <c r="B1325" s="3">
        <v>0.63180555555555551</v>
      </c>
      <c r="C1325" t="s">
        <v>8</v>
      </c>
      <c r="D1325" t="s">
        <v>576</v>
      </c>
      <c r="E1325" s="4">
        <v>27.92</v>
      </c>
      <c r="F1325" t="s">
        <v>36</v>
      </c>
      <c r="G1325" s="10" t="str">
        <f>TEXT(Transform_Data[[#This Row],[Date]],"mmm yyyy")</f>
        <v>Aug 2024</v>
      </c>
      <c r="H1325" s="10">
        <f>HOUR(Transform_Data[[#This Row],[Time]])</f>
        <v>15</v>
      </c>
      <c r="I1325" s="10" t="str">
        <f>IF(COUNTIF('Transform Data'!$D:$D,'Transform Data'!D1325)&gt;1,"Repeat","Single")</f>
        <v>Repeat</v>
      </c>
      <c r="J1325" s="10" t="str">
        <f>IF('Transform Data'!D1325="Cash","Cash",IF(COUNTIF('Transform Data'!$D:$D,'Transform Data'!D1325)&gt;1,"Repeat","Single"))</f>
        <v>Repeat</v>
      </c>
      <c r="K1325" s="10" t="str">
        <f t="shared" si="20"/>
        <v>TRANS-1324</v>
      </c>
    </row>
    <row r="1326" spans="1:11" x14ac:dyDescent="0.35">
      <c r="A1326" s="5">
        <v>45523</v>
      </c>
      <c r="B1326" s="3">
        <v>0.63253472222222218</v>
      </c>
      <c r="C1326" t="s">
        <v>8</v>
      </c>
      <c r="D1326" t="s">
        <v>576</v>
      </c>
      <c r="E1326" s="4">
        <v>27.92</v>
      </c>
      <c r="F1326" t="s">
        <v>36</v>
      </c>
      <c r="G1326" s="10" t="str">
        <f>TEXT(Transform_Data[[#This Row],[Date]],"mmm yyyy")</f>
        <v>Aug 2024</v>
      </c>
      <c r="H1326" s="10">
        <f>HOUR(Transform_Data[[#This Row],[Time]])</f>
        <v>15</v>
      </c>
      <c r="I1326" s="10" t="str">
        <f>IF(COUNTIF('Transform Data'!$D:$D,'Transform Data'!D1326)&gt;1,"Repeat","Single")</f>
        <v>Repeat</v>
      </c>
      <c r="J1326" s="10" t="str">
        <f>IF('Transform Data'!D1326="Cash","Cash",IF(COUNTIF('Transform Data'!$D:$D,'Transform Data'!D1326)&gt;1,"Repeat","Single"))</f>
        <v>Repeat</v>
      </c>
      <c r="K1326" s="10" t="str">
        <f t="shared" si="20"/>
        <v>TRANS-1325</v>
      </c>
    </row>
    <row r="1327" spans="1:11" x14ac:dyDescent="0.35">
      <c r="A1327" s="5">
        <v>45523</v>
      </c>
      <c r="B1327" s="3">
        <v>0.88972222222222219</v>
      </c>
      <c r="C1327" t="s">
        <v>8</v>
      </c>
      <c r="D1327" t="s">
        <v>21</v>
      </c>
      <c r="E1327" s="4">
        <v>32.82</v>
      </c>
      <c r="F1327" t="s">
        <v>32</v>
      </c>
      <c r="G1327" s="10" t="str">
        <f>TEXT(Transform_Data[[#This Row],[Date]],"mmm yyyy")</f>
        <v>Aug 2024</v>
      </c>
      <c r="H1327" s="10">
        <f>HOUR(Transform_Data[[#This Row],[Time]])</f>
        <v>21</v>
      </c>
      <c r="I1327" s="10" t="str">
        <f>IF(COUNTIF('Transform Data'!$D:$D,'Transform Data'!D1327)&gt;1,"Repeat","Single")</f>
        <v>Repeat</v>
      </c>
      <c r="J1327" s="10" t="str">
        <f>IF('Transform Data'!D1327="Cash","Cash",IF(COUNTIF('Transform Data'!$D:$D,'Transform Data'!D1327)&gt;1,"Repeat","Single"))</f>
        <v>Repeat</v>
      </c>
      <c r="K1327" s="10" t="str">
        <f t="shared" si="20"/>
        <v>TRANS-1326</v>
      </c>
    </row>
    <row r="1328" spans="1:11" x14ac:dyDescent="0.35">
      <c r="A1328" s="5">
        <v>45523</v>
      </c>
      <c r="B1328" s="3">
        <v>0.89718750000000003</v>
      </c>
      <c r="C1328" t="s">
        <v>8</v>
      </c>
      <c r="D1328" t="s">
        <v>544</v>
      </c>
      <c r="E1328" s="4">
        <v>32.82</v>
      </c>
      <c r="F1328" t="s">
        <v>10</v>
      </c>
      <c r="G1328" s="10" t="str">
        <f>TEXT(Transform_Data[[#This Row],[Date]],"mmm yyyy")</f>
        <v>Aug 2024</v>
      </c>
      <c r="H1328" s="10">
        <f>HOUR(Transform_Data[[#This Row],[Time]])</f>
        <v>21</v>
      </c>
      <c r="I1328" s="10" t="str">
        <f>IF(COUNTIF('Transform Data'!$D:$D,'Transform Data'!D1328)&gt;1,"Repeat","Single")</f>
        <v>Repeat</v>
      </c>
      <c r="J1328" s="10" t="str">
        <f>IF('Transform Data'!D1328="Cash","Cash",IF(COUNTIF('Transform Data'!$D:$D,'Transform Data'!D1328)&gt;1,"Repeat","Single"))</f>
        <v>Repeat</v>
      </c>
      <c r="K1328" s="10" t="str">
        <f t="shared" si="20"/>
        <v>TRANS-1327</v>
      </c>
    </row>
    <row r="1329" spans="1:11" x14ac:dyDescent="0.35">
      <c r="A1329" s="5">
        <v>45524</v>
      </c>
      <c r="B1329" s="3">
        <v>0.35226851851851854</v>
      </c>
      <c r="C1329" t="s">
        <v>8</v>
      </c>
      <c r="D1329" t="s">
        <v>40</v>
      </c>
      <c r="E1329" s="4">
        <v>23.02</v>
      </c>
      <c r="F1329" t="s">
        <v>20</v>
      </c>
      <c r="G1329" s="10" t="str">
        <f>TEXT(Transform_Data[[#This Row],[Date]],"mmm yyyy")</f>
        <v>Aug 2024</v>
      </c>
      <c r="H1329" s="10">
        <f>HOUR(Transform_Data[[#This Row],[Time]])</f>
        <v>8</v>
      </c>
      <c r="I1329" s="10" t="str">
        <f>IF(COUNTIF('Transform Data'!$D:$D,'Transform Data'!D1329)&gt;1,"Repeat","Single")</f>
        <v>Repeat</v>
      </c>
      <c r="J1329" s="10" t="str">
        <f>IF('Transform Data'!D1329="Cash","Cash",IF(COUNTIF('Transform Data'!$D:$D,'Transform Data'!D1329)&gt;1,"Repeat","Single"))</f>
        <v>Repeat</v>
      </c>
      <c r="K1329" s="10" t="str">
        <f t="shared" si="20"/>
        <v>TRANS-1328</v>
      </c>
    </row>
    <row r="1330" spans="1:11" x14ac:dyDescent="0.35">
      <c r="A1330" s="5">
        <v>45524</v>
      </c>
      <c r="B1330" s="3">
        <v>0.35363425925925923</v>
      </c>
      <c r="C1330" t="s">
        <v>8</v>
      </c>
      <c r="D1330" t="s">
        <v>577</v>
      </c>
      <c r="E1330" s="4">
        <v>32.82</v>
      </c>
      <c r="F1330" t="s">
        <v>32</v>
      </c>
      <c r="G1330" s="10" t="str">
        <f>TEXT(Transform_Data[[#This Row],[Date]],"mmm yyyy")</f>
        <v>Aug 2024</v>
      </c>
      <c r="H1330" s="10">
        <f>HOUR(Transform_Data[[#This Row],[Time]])</f>
        <v>8</v>
      </c>
      <c r="I1330" s="10" t="str">
        <f>IF(COUNTIF('Transform Data'!$D:$D,'Transform Data'!D1330)&gt;1,"Repeat","Single")</f>
        <v>Repeat</v>
      </c>
      <c r="J1330" s="10" t="str">
        <f>IF('Transform Data'!D1330="Cash","Cash",IF(COUNTIF('Transform Data'!$D:$D,'Transform Data'!D1330)&gt;1,"Repeat","Single"))</f>
        <v>Repeat</v>
      </c>
      <c r="K1330" s="10" t="str">
        <f t="shared" si="20"/>
        <v>TRANS-1329</v>
      </c>
    </row>
    <row r="1331" spans="1:11" x14ac:dyDescent="0.35">
      <c r="A1331" s="5">
        <v>45524</v>
      </c>
      <c r="B1331" s="3">
        <v>0.36790509259259258</v>
      </c>
      <c r="C1331" t="s">
        <v>8</v>
      </c>
      <c r="D1331" t="s">
        <v>578</v>
      </c>
      <c r="E1331" s="4">
        <v>18.12</v>
      </c>
      <c r="F1331" t="s">
        <v>5</v>
      </c>
      <c r="G1331" s="10" t="str">
        <f>TEXT(Transform_Data[[#This Row],[Date]],"mmm yyyy")</f>
        <v>Aug 2024</v>
      </c>
      <c r="H1331" s="10">
        <f>HOUR(Transform_Data[[#This Row],[Time]])</f>
        <v>8</v>
      </c>
      <c r="I1331" s="10" t="str">
        <f>IF(COUNTIF('Transform Data'!$D:$D,'Transform Data'!D1331)&gt;1,"Repeat","Single")</f>
        <v>Repeat</v>
      </c>
      <c r="J1331" s="10" t="str">
        <f>IF('Transform Data'!D1331="Cash","Cash",IF(COUNTIF('Transform Data'!$D:$D,'Transform Data'!D1331)&gt;1,"Repeat","Single"))</f>
        <v>Repeat</v>
      </c>
      <c r="K1331" s="10" t="str">
        <f t="shared" si="20"/>
        <v>TRANS-1330</v>
      </c>
    </row>
    <row r="1332" spans="1:11" x14ac:dyDescent="0.35">
      <c r="A1332" s="5">
        <v>45524</v>
      </c>
      <c r="B1332" s="3">
        <v>0.3684722222222222</v>
      </c>
      <c r="C1332" t="s">
        <v>8</v>
      </c>
      <c r="D1332" t="s">
        <v>578</v>
      </c>
      <c r="E1332" s="4">
        <v>23.02</v>
      </c>
      <c r="F1332" t="s">
        <v>20</v>
      </c>
      <c r="G1332" s="10" t="str">
        <f>TEXT(Transform_Data[[#This Row],[Date]],"mmm yyyy")</f>
        <v>Aug 2024</v>
      </c>
      <c r="H1332" s="10">
        <f>HOUR(Transform_Data[[#This Row],[Time]])</f>
        <v>8</v>
      </c>
      <c r="I1332" s="10" t="str">
        <f>IF(COUNTIF('Transform Data'!$D:$D,'Transform Data'!D1332)&gt;1,"Repeat","Single")</f>
        <v>Repeat</v>
      </c>
      <c r="J1332" s="10" t="str">
        <f>IF('Transform Data'!D1332="Cash","Cash",IF(COUNTIF('Transform Data'!$D:$D,'Transform Data'!D1332)&gt;1,"Repeat","Single"))</f>
        <v>Repeat</v>
      </c>
      <c r="K1332" s="10" t="str">
        <f t="shared" si="20"/>
        <v>TRANS-1331</v>
      </c>
    </row>
    <row r="1333" spans="1:11" x14ac:dyDescent="0.35">
      <c r="A1333" s="5">
        <v>45524</v>
      </c>
      <c r="B1333" s="3">
        <v>0.38534722222222223</v>
      </c>
      <c r="C1333" t="s">
        <v>8</v>
      </c>
      <c r="D1333" t="s">
        <v>11</v>
      </c>
      <c r="E1333" s="4">
        <v>27.92</v>
      </c>
      <c r="F1333" t="s">
        <v>36</v>
      </c>
      <c r="G1333" s="10" t="str">
        <f>TEXT(Transform_Data[[#This Row],[Date]],"mmm yyyy")</f>
        <v>Aug 2024</v>
      </c>
      <c r="H1333" s="10">
        <f>HOUR(Transform_Data[[#This Row],[Time]])</f>
        <v>9</v>
      </c>
      <c r="I1333" s="10" t="str">
        <f>IF(COUNTIF('Transform Data'!$D:$D,'Transform Data'!D1333)&gt;1,"Repeat","Single")</f>
        <v>Repeat</v>
      </c>
      <c r="J1333" s="10" t="str">
        <f>IF('Transform Data'!D1333="Cash","Cash",IF(COUNTIF('Transform Data'!$D:$D,'Transform Data'!D1333)&gt;1,"Repeat","Single"))</f>
        <v>Repeat</v>
      </c>
      <c r="K1333" s="10" t="str">
        <f t="shared" si="20"/>
        <v>TRANS-1332</v>
      </c>
    </row>
    <row r="1334" spans="1:11" x14ac:dyDescent="0.35">
      <c r="A1334" s="5">
        <v>45524</v>
      </c>
      <c r="B1334" s="3">
        <v>0.46521990740740743</v>
      </c>
      <c r="C1334" t="s">
        <v>8</v>
      </c>
      <c r="D1334" t="s">
        <v>579</v>
      </c>
      <c r="E1334" s="4">
        <v>23.02</v>
      </c>
      <c r="F1334" t="s">
        <v>28</v>
      </c>
      <c r="G1334" s="10" t="str">
        <f>TEXT(Transform_Data[[#This Row],[Date]],"mmm yyyy")</f>
        <v>Aug 2024</v>
      </c>
      <c r="H1334" s="10">
        <f>HOUR(Transform_Data[[#This Row],[Time]])</f>
        <v>11</v>
      </c>
      <c r="I1334" s="10" t="str">
        <f>IF(COUNTIF('Transform Data'!$D:$D,'Transform Data'!D1334)&gt;1,"Repeat","Single")</f>
        <v>Single</v>
      </c>
      <c r="J1334" s="10" t="str">
        <f>IF('Transform Data'!D1334="Cash","Cash",IF(COUNTIF('Transform Data'!$D:$D,'Transform Data'!D1334)&gt;1,"Repeat","Single"))</f>
        <v>Single</v>
      </c>
      <c r="K1334" s="10" t="str">
        <f t="shared" si="20"/>
        <v>TRANS-1333</v>
      </c>
    </row>
    <row r="1335" spans="1:11" x14ac:dyDescent="0.35">
      <c r="A1335" s="5">
        <v>45524</v>
      </c>
      <c r="B1335" s="3">
        <v>0.46642361111111114</v>
      </c>
      <c r="C1335" t="s">
        <v>8</v>
      </c>
      <c r="D1335" t="s">
        <v>580</v>
      </c>
      <c r="E1335" s="4">
        <v>23.02</v>
      </c>
      <c r="F1335" t="s">
        <v>28</v>
      </c>
      <c r="G1335" s="10" t="str">
        <f>TEXT(Transform_Data[[#This Row],[Date]],"mmm yyyy")</f>
        <v>Aug 2024</v>
      </c>
      <c r="H1335" s="10">
        <f>HOUR(Transform_Data[[#This Row],[Time]])</f>
        <v>11</v>
      </c>
      <c r="I1335" s="10" t="str">
        <f>IF(COUNTIF('Transform Data'!$D:$D,'Transform Data'!D1335)&gt;1,"Repeat","Single")</f>
        <v>Single</v>
      </c>
      <c r="J1335" s="10" t="str">
        <f>IF('Transform Data'!D1335="Cash","Cash",IF(COUNTIF('Transform Data'!$D:$D,'Transform Data'!D1335)&gt;1,"Repeat","Single"))</f>
        <v>Single</v>
      </c>
      <c r="K1335" s="10" t="str">
        <f t="shared" si="20"/>
        <v>TRANS-1334</v>
      </c>
    </row>
    <row r="1336" spans="1:11" x14ac:dyDescent="0.35">
      <c r="A1336" s="5">
        <v>45524</v>
      </c>
      <c r="B1336" s="3">
        <v>0.46702546296296299</v>
      </c>
      <c r="C1336" t="s">
        <v>8</v>
      </c>
      <c r="D1336" t="s">
        <v>581</v>
      </c>
      <c r="E1336" s="4">
        <v>23.02</v>
      </c>
      <c r="F1336" t="s">
        <v>28</v>
      </c>
      <c r="G1336" s="10" t="str">
        <f>TEXT(Transform_Data[[#This Row],[Date]],"mmm yyyy")</f>
        <v>Aug 2024</v>
      </c>
      <c r="H1336" s="10">
        <f>HOUR(Transform_Data[[#This Row],[Time]])</f>
        <v>11</v>
      </c>
      <c r="I1336" s="10" t="str">
        <f>IF(COUNTIF('Transform Data'!$D:$D,'Transform Data'!D1336)&gt;1,"Repeat","Single")</f>
        <v>Single</v>
      </c>
      <c r="J1336" s="10" t="str">
        <f>IF('Transform Data'!D1336="Cash","Cash",IF(COUNTIF('Transform Data'!$D:$D,'Transform Data'!D1336)&gt;1,"Repeat","Single"))</f>
        <v>Single</v>
      </c>
      <c r="K1336" s="10" t="str">
        <f t="shared" si="20"/>
        <v>TRANS-1335</v>
      </c>
    </row>
    <row r="1337" spans="1:11" x14ac:dyDescent="0.35">
      <c r="A1337" s="5">
        <v>45524</v>
      </c>
      <c r="B1337" s="3">
        <v>0.48773148148148149</v>
      </c>
      <c r="C1337" t="s">
        <v>8</v>
      </c>
      <c r="D1337" t="s">
        <v>40</v>
      </c>
      <c r="E1337" s="4">
        <v>32.82</v>
      </c>
      <c r="F1337" t="s">
        <v>32</v>
      </c>
      <c r="G1337" s="10" t="str">
        <f>TEXT(Transform_Data[[#This Row],[Date]],"mmm yyyy")</f>
        <v>Aug 2024</v>
      </c>
      <c r="H1337" s="10">
        <f>HOUR(Transform_Data[[#This Row],[Time]])</f>
        <v>11</v>
      </c>
      <c r="I1337" s="10" t="str">
        <f>IF(COUNTIF('Transform Data'!$D:$D,'Transform Data'!D1337)&gt;1,"Repeat","Single")</f>
        <v>Repeat</v>
      </c>
      <c r="J1337" s="10" t="str">
        <f>IF('Transform Data'!D1337="Cash","Cash",IF(COUNTIF('Transform Data'!$D:$D,'Transform Data'!D1337)&gt;1,"Repeat","Single"))</f>
        <v>Repeat</v>
      </c>
      <c r="K1337" s="10" t="str">
        <f t="shared" si="20"/>
        <v>TRANS-1336</v>
      </c>
    </row>
    <row r="1338" spans="1:11" x14ac:dyDescent="0.35">
      <c r="A1338" s="5">
        <v>45524</v>
      </c>
      <c r="B1338" s="3">
        <v>0.86296296296296293</v>
      </c>
      <c r="C1338" t="s">
        <v>8</v>
      </c>
      <c r="D1338" t="s">
        <v>582</v>
      </c>
      <c r="E1338" s="4">
        <v>32.82</v>
      </c>
      <c r="F1338" t="s">
        <v>32</v>
      </c>
      <c r="G1338" s="10" t="str">
        <f>TEXT(Transform_Data[[#This Row],[Date]],"mmm yyyy")</f>
        <v>Aug 2024</v>
      </c>
      <c r="H1338" s="10">
        <f>HOUR(Transform_Data[[#This Row],[Time]])</f>
        <v>20</v>
      </c>
      <c r="I1338" s="10" t="str">
        <f>IF(COUNTIF('Transform Data'!$D:$D,'Transform Data'!D1338)&gt;1,"Repeat","Single")</f>
        <v>Single</v>
      </c>
      <c r="J1338" s="10" t="str">
        <f>IF('Transform Data'!D1338="Cash","Cash",IF(COUNTIF('Transform Data'!$D:$D,'Transform Data'!D1338)&gt;1,"Repeat","Single"))</f>
        <v>Single</v>
      </c>
      <c r="K1338" s="10" t="str">
        <f t="shared" si="20"/>
        <v>TRANS-1337</v>
      </c>
    </row>
    <row r="1339" spans="1:11" x14ac:dyDescent="0.35">
      <c r="A1339" s="5">
        <v>45524</v>
      </c>
      <c r="B1339" s="3">
        <v>0.86405092592592592</v>
      </c>
      <c r="C1339" t="s">
        <v>8</v>
      </c>
      <c r="D1339" t="s">
        <v>583</v>
      </c>
      <c r="E1339" s="4">
        <v>32.82</v>
      </c>
      <c r="F1339" t="s">
        <v>32</v>
      </c>
      <c r="G1339" s="10" t="str">
        <f>TEXT(Transform_Data[[#This Row],[Date]],"mmm yyyy")</f>
        <v>Aug 2024</v>
      </c>
      <c r="H1339" s="10">
        <f>HOUR(Transform_Data[[#This Row],[Time]])</f>
        <v>20</v>
      </c>
      <c r="I1339" s="10" t="str">
        <f>IF(COUNTIF('Transform Data'!$D:$D,'Transform Data'!D1339)&gt;1,"Repeat","Single")</f>
        <v>Repeat</v>
      </c>
      <c r="J1339" s="10" t="str">
        <f>IF('Transform Data'!D1339="Cash","Cash",IF(COUNTIF('Transform Data'!$D:$D,'Transform Data'!D1339)&gt;1,"Repeat","Single"))</f>
        <v>Repeat</v>
      </c>
      <c r="K1339" s="10" t="str">
        <f t="shared" si="20"/>
        <v>TRANS-1338</v>
      </c>
    </row>
    <row r="1340" spans="1:11" x14ac:dyDescent="0.35">
      <c r="A1340" s="5">
        <v>45524</v>
      </c>
      <c r="B1340" s="3">
        <v>0.86472222222222217</v>
      </c>
      <c r="C1340" t="s">
        <v>8</v>
      </c>
      <c r="D1340" t="s">
        <v>583</v>
      </c>
      <c r="E1340" s="4">
        <v>32.82</v>
      </c>
      <c r="F1340" t="s">
        <v>32</v>
      </c>
      <c r="G1340" s="10" t="str">
        <f>TEXT(Transform_Data[[#This Row],[Date]],"mmm yyyy")</f>
        <v>Aug 2024</v>
      </c>
      <c r="H1340" s="10">
        <f>HOUR(Transform_Data[[#This Row],[Time]])</f>
        <v>20</v>
      </c>
      <c r="I1340" s="10" t="str">
        <f>IF(COUNTIF('Transform Data'!$D:$D,'Transform Data'!D1340)&gt;1,"Repeat","Single")</f>
        <v>Repeat</v>
      </c>
      <c r="J1340" s="10" t="str">
        <f>IF('Transform Data'!D1340="Cash","Cash",IF(COUNTIF('Transform Data'!$D:$D,'Transform Data'!D1340)&gt;1,"Repeat","Single"))</f>
        <v>Repeat</v>
      </c>
      <c r="K1340" s="10" t="str">
        <f t="shared" si="20"/>
        <v>TRANS-1339</v>
      </c>
    </row>
    <row r="1341" spans="1:11" x14ac:dyDescent="0.35">
      <c r="A1341" s="5">
        <v>45524</v>
      </c>
      <c r="B1341" s="3">
        <v>0.86531250000000004</v>
      </c>
      <c r="C1341" t="s">
        <v>8</v>
      </c>
      <c r="D1341" t="s">
        <v>584</v>
      </c>
      <c r="E1341" s="4">
        <v>32.82</v>
      </c>
      <c r="F1341" t="s">
        <v>32</v>
      </c>
      <c r="G1341" s="10" t="str">
        <f>TEXT(Transform_Data[[#This Row],[Date]],"mmm yyyy")</f>
        <v>Aug 2024</v>
      </c>
      <c r="H1341" s="10">
        <f>HOUR(Transform_Data[[#This Row],[Time]])</f>
        <v>20</v>
      </c>
      <c r="I1341" s="10" t="str">
        <f>IF(COUNTIF('Transform Data'!$D:$D,'Transform Data'!D1341)&gt;1,"Repeat","Single")</f>
        <v>Single</v>
      </c>
      <c r="J1341" s="10" t="str">
        <f>IF('Transform Data'!D1341="Cash","Cash",IF(COUNTIF('Transform Data'!$D:$D,'Transform Data'!D1341)&gt;1,"Repeat","Single"))</f>
        <v>Single</v>
      </c>
      <c r="K1341" s="10" t="str">
        <f t="shared" si="20"/>
        <v>TRANS-1340</v>
      </c>
    </row>
    <row r="1342" spans="1:11" x14ac:dyDescent="0.35">
      <c r="A1342" s="5">
        <v>45525</v>
      </c>
      <c r="B1342" s="3">
        <v>0.33278935185185188</v>
      </c>
      <c r="C1342" t="s">
        <v>8</v>
      </c>
      <c r="D1342" t="s">
        <v>585</v>
      </c>
      <c r="E1342" s="4">
        <v>27.92</v>
      </c>
      <c r="F1342" t="s">
        <v>36</v>
      </c>
      <c r="G1342" s="10" t="str">
        <f>TEXT(Transform_Data[[#This Row],[Date]],"mmm yyyy")</f>
        <v>Aug 2024</v>
      </c>
      <c r="H1342" s="10">
        <f>HOUR(Transform_Data[[#This Row],[Time]])</f>
        <v>7</v>
      </c>
      <c r="I1342" s="10" t="str">
        <f>IF(COUNTIF('Transform Data'!$D:$D,'Transform Data'!D1342)&gt;1,"Repeat","Single")</f>
        <v>Repeat</v>
      </c>
      <c r="J1342" s="10" t="str">
        <f>IF('Transform Data'!D1342="Cash","Cash",IF(COUNTIF('Transform Data'!$D:$D,'Transform Data'!D1342)&gt;1,"Repeat","Single"))</f>
        <v>Repeat</v>
      </c>
      <c r="K1342" s="10" t="str">
        <f t="shared" si="20"/>
        <v>TRANS-1341</v>
      </c>
    </row>
    <row r="1343" spans="1:11" x14ac:dyDescent="0.35">
      <c r="A1343" s="5">
        <v>45525</v>
      </c>
      <c r="B1343" s="3">
        <v>0.3614236111111111</v>
      </c>
      <c r="C1343" t="s">
        <v>8</v>
      </c>
      <c r="D1343" t="s">
        <v>40</v>
      </c>
      <c r="E1343" s="4">
        <v>23.02</v>
      </c>
      <c r="F1343" t="s">
        <v>20</v>
      </c>
      <c r="G1343" s="10" t="str">
        <f>TEXT(Transform_Data[[#This Row],[Date]],"mmm yyyy")</f>
        <v>Aug 2024</v>
      </c>
      <c r="H1343" s="10">
        <f>HOUR(Transform_Data[[#This Row],[Time]])</f>
        <v>8</v>
      </c>
      <c r="I1343" s="10" t="str">
        <f>IF(COUNTIF('Transform Data'!$D:$D,'Transform Data'!D1343)&gt;1,"Repeat","Single")</f>
        <v>Repeat</v>
      </c>
      <c r="J1343" s="10" t="str">
        <f>IF('Transform Data'!D1343="Cash","Cash",IF(COUNTIF('Transform Data'!$D:$D,'Transform Data'!D1343)&gt;1,"Repeat","Single"))</f>
        <v>Repeat</v>
      </c>
      <c r="K1343" s="10" t="str">
        <f t="shared" si="20"/>
        <v>TRANS-1342</v>
      </c>
    </row>
    <row r="1344" spans="1:11" x14ac:dyDescent="0.35">
      <c r="A1344" s="5">
        <v>45525</v>
      </c>
      <c r="B1344" s="3">
        <v>0.42606481481481484</v>
      </c>
      <c r="C1344" t="s">
        <v>8</v>
      </c>
      <c r="D1344" t="s">
        <v>428</v>
      </c>
      <c r="E1344" s="4">
        <v>23.02</v>
      </c>
      <c r="F1344" t="s">
        <v>28</v>
      </c>
      <c r="G1344" s="10" t="str">
        <f>TEXT(Transform_Data[[#This Row],[Date]],"mmm yyyy")</f>
        <v>Aug 2024</v>
      </c>
      <c r="H1344" s="10">
        <f>HOUR(Transform_Data[[#This Row],[Time]])</f>
        <v>10</v>
      </c>
      <c r="I1344" s="10" t="str">
        <f>IF(COUNTIF('Transform Data'!$D:$D,'Transform Data'!D1344)&gt;1,"Repeat","Single")</f>
        <v>Repeat</v>
      </c>
      <c r="J1344" s="10" t="str">
        <f>IF('Transform Data'!D1344="Cash","Cash",IF(COUNTIF('Transform Data'!$D:$D,'Transform Data'!D1344)&gt;1,"Repeat","Single"))</f>
        <v>Repeat</v>
      </c>
      <c r="K1344" s="10" t="str">
        <f t="shared" si="20"/>
        <v>TRANS-1343</v>
      </c>
    </row>
    <row r="1345" spans="1:11" x14ac:dyDescent="0.35">
      <c r="A1345" s="5">
        <v>45525</v>
      </c>
      <c r="B1345" s="3">
        <v>0.4435648148148148</v>
      </c>
      <c r="C1345" t="s">
        <v>8</v>
      </c>
      <c r="D1345" t="s">
        <v>29</v>
      </c>
      <c r="E1345" s="4">
        <v>27.92</v>
      </c>
      <c r="F1345" t="s">
        <v>36</v>
      </c>
      <c r="G1345" s="10" t="str">
        <f>TEXT(Transform_Data[[#This Row],[Date]],"mmm yyyy")</f>
        <v>Aug 2024</v>
      </c>
      <c r="H1345" s="10">
        <f>HOUR(Transform_Data[[#This Row],[Time]])</f>
        <v>10</v>
      </c>
      <c r="I1345" s="10" t="str">
        <f>IF(COUNTIF('Transform Data'!$D:$D,'Transform Data'!D1345)&gt;1,"Repeat","Single")</f>
        <v>Repeat</v>
      </c>
      <c r="J1345" s="10" t="str">
        <f>IF('Transform Data'!D1345="Cash","Cash",IF(COUNTIF('Transform Data'!$D:$D,'Transform Data'!D1345)&gt;1,"Repeat","Single"))</f>
        <v>Repeat</v>
      </c>
      <c r="K1345" s="10" t="str">
        <f t="shared" si="20"/>
        <v>TRANS-1344</v>
      </c>
    </row>
    <row r="1346" spans="1:11" x14ac:dyDescent="0.35">
      <c r="A1346" s="5">
        <v>45525</v>
      </c>
      <c r="B1346" s="3">
        <v>0.49422453703703706</v>
      </c>
      <c r="C1346" t="s">
        <v>8</v>
      </c>
      <c r="D1346" t="s">
        <v>40</v>
      </c>
      <c r="E1346" s="4">
        <v>23.02</v>
      </c>
      <c r="F1346" t="s">
        <v>20</v>
      </c>
      <c r="G1346" s="10" t="str">
        <f>TEXT(Transform_Data[[#This Row],[Date]],"mmm yyyy")</f>
        <v>Aug 2024</v>
      </c>
      <c r="H1346" s="10">
        <f>HOUR(Transform_Data[[#This Row],[Time]])</f>
        <v>11</v>
      </c>
      <c r="I1346" s="10" t="str">
        <f>IF(COUNTIF('Transform Data'!$D:$D,'Transform Data'!D1346)&gt;1,"Repeat","Single")</f>
        <v>Repeat</v>
      </c>
      <c r="J1346" s="10" t="str">
        <f>IF('Transform Data'!D1346="Cash","Cash",IF(COUNTIF('Transform Data'!$D:$D,'Transform Data'!D1346)&gt;1,"Repeat","Single"))</f>
        <v>Repeat</v>
      </c>
      <c r="K1346" s="10" t="str">
        <f t="shared" ref="K1346:K1409" si="21">"TRANS-"&amp;TEXT(ROW(A1345),"0000")</f>
        <v>TRANS-1345</v>
      </c>
    </row>
    <row r="1347" spans="1:11" x14ac:dyDescent="0.35">
      <c r="A1347" s="5">
        <v>45525</v>
      </c>
      <c r="B1347" s="3">
        <v>0.55358796296296298</v>
      </c>
      <c r="C1347" t="s">
        <v>8</v>
      </c>
      <c r="D1347" t="s">
        <v>586</v>
      </c>
      <c r="E1347" s="4">
        <v>32.82</v>
      </c>
      <c r="F1347" t="s">
        <v>32</v>
      </c>
      <c r="G1347" s="10" t="str">
        <f>TEXT(Transform_Data[[#This Row],[Date]],"mmm yyyy")</f>
        <v>Aug 2024</v>
      </c>
      <c r="H1347" s="10">
        <f>HOUR(Transform_Data[[#This Row],[Time]])</f>
        <v>13</v>
      </c>
      <c r="I1347" s="10" t="str">
        <f>IF(COUNTIF('Transform Data'!$D:$D,'Transform Data'!D1347)&gt;1,"Repeat","Single")</f>
        <v>Single</v>
      </c>
      <c r="J1347" s="10" t="str">
        <f>IF('Transform Data'!D1347="Cash","Cash",IF(COUNTIF('Transform Data'!$D:$D,'Transform Data'!D1347)&gt;1,"Repeat","Single"))</f>
        <v>Single</v>
      </c>
      <c r="K1347" s="10" t="str">
        <f t="shared" si="21"/>
        <v>TRANS-1346</v>
      </c>
    </row>
    <row r="1348" spans="1:11" x14ac:dyDescent="0.35">
      <c r="A1348" s="5">
        <v>45525</v>
      </c>
      <c r="B1348" s="3">
        <v>0.82086805555555553</v>
      </c>
      <c r="C1348" t="s">
        <v>8</v>
      </c>
      <c r="D1348" t="s">
        <v>21</v>
      </c>
      <c r="E1348" s="4">
        <v>32.82</v>
      </c>
      <c r="F1348" t="s">
        <v>32</v>
      </c>
      <c r="G1348" s="10" t="str">
        <f>TEXT(Transform_Data[[#This Row],[Date]],"mmm yyyy")</f>
        <v>Aug 2024</v>
      </c>
      <c r="H1348" s="10">
        <f>HOUR(Transform_Data[[#This Row],[Time]])</f>
        <v>19</v>
      </c>
      <c r="I1348" s="10" t="str">
        <f>IF(COUNTIF('Transform Data'!$D:$D,'Transform Data'!D1348)&gt;1,"Repeat","Single")</f>
        <v>Repeat</v>
      </c>
      <c r="J1348" s="10" t="str">
        <f>IF('Transform Data'!D1348="Cash","Cash",IF(COUNTIF('Transform Data'!$D:$D,'Transform Data'!D1348)&gt;1,"Repeat","Single"))</f>
        <v>Repeat</v>
      </c>
      <c r="K1348" s="10" t="str">
        <f t="shared" si="21"/>
        <v>TRANS-1347</v>
      </c>
    </row>
    <row r="1349" spans="1:11" x14ac:dyDescent="0.35">
      <c r="A1349" s="5">
        <v>45526</v>
      </c>
      <c r="B1349" s="3">
        <v>0.39057870370370368</v>
      </c>
      <c r="C1349" t="s">
        <v>8</v>
      </c>
      <c r="D1349" t="s">
        <v>40</v>
      </c>
      <c r="E1349" s="4">
        <v>23.02</v>
      </c>
      <c r="F1349" t="s">
        <v>20</v>
      </c>
      <c r="G1349" s="10" t="str">
        <f>TEXT(Transform_Data[[#This Row],[Date]],"mmm yyyy")</f>
        <v>Aug 2024</v>
      </c>
      <c r="H1349" s="10">
        <f>HOUR(Transform_Data[[#This Row],[Time]])</f>
        <v>9</v>
      </c>
      <c r="I1349" s="10" t="str">
        <f>IF(COUNTIF('Transform Data'!$D:$D,'Transform Data'!D1349)&gt;1,"Repeat","Single")</f>
        <v>Repeat</v>
      </c>
      <c r="J1349" s="10" t="str">
        <f>IF('Transform Data'!D1349="Cash","Cash",IF(COUNTIF('Transform Data'!$D:$D,'Transform Data'!D1349)&gt;1,"Repeat","Single"))</f>
        <v>Repeat</v>
      </c>
      <c r="K1349" s="10" t="str">
        <f t="shared" si="21"/>
        <v>TRANS-1348</v>
      </c>
    </row>
    <row r="1350" spans="1:11" x14ac:dyDescent="0.35">
      <c r="A1350" s="5">
        <v>45526</v>
      </c>
      <c r="B1350" s="3">
        <v>0.42318287037037039</v>
      </c>
      <c r="C1350" t="s">
        <v>8</v>
      </c>
      <c r="D1350" t="s">
        <v>472</v>
      </c>
      <c r="E1350" s="4">
        <v>27.92</v>
      </c>
      <c r="F1350" t="s">
        <v>36</v>
      </c>
      <c r="G1350" s="10" t="str">
        <f>TEXT(Transform_Data[[#This Row],[Date]],"mmm yyyy")</f>
        <v>Aug 2024</v>
      </c>
      <c r="H1350" s="10">
        <f>HOUR(Transform_Data[[#This Row],[Time]])</f>
        <v>10</v>
      </c>
      <c r="I1350" s="10" t="str">
        <f>IF(COUNTIF('Transform Data'!$D:$D,'Transform Data'!D1350)&gt;1,"Repeat","Single")</f>
        <v>Repeat</v>
      </c>
      <c r="J1350" s="10" t="str">
        <f>IF('Transform Data'!D1350="Cash","Cash",IF(COUNTIF('Transform Data'!$D:$D,'Transform Data'!D1350)&gt;1,"Repeat","Single"))</f>
        <v>Repeat</v>
      </c>
      <c r="K1350" s="10" t="str">
        <f t="shared" si="21"/>
        <v>TRANS-1349</v>
      </c>
    </row>
    <row r="1351" spans="1:11" x14ac:dyDescent="0.35">
      <c r="A1351" s="5">
        <v>45526</v>
      </c>
      <c r="B1351" s="3">
        <v>0.44998842592592592</v>
      </c>
      <c r="C1351" t="s">
        <v>8</v>
      </c>
      <c r="D1351" t="s">
        <v>587</v>
      </c>
      <c r="E1351" s="4">
        <v>27.92</v>
      </c>
      <c r="F1351" t="s">
        <v>36</v>
      </c>
      <c r="G1351" s="10" t="str">
        <f>TEXT(Transform_Data[[#This Row],[Date]],"mmm yyyy")</f>
        <v>Aug 2024</v>
      </c>
      <c r="H1351" s="10">
        <f>HOUR(Transform_Data[[#This Row],[Time]])</f>
        <v>10</v>
      </c>
      <c r="I1351" s="10" t="str">
        <f>IF(COUNTIF('Transform Data'!$D:$D,'Transform Data'!D1351)&gt;1,"Repeat","Single")</f>
        <v>Single</v>
      </c>
      <c r="J1351" s="10" t="str">
        <f>IF('Transform Data'!D1351="Cash","Cash",IF(COUNTIF('Transform Data'!$D:$D,'Transform Data'!D1351)&gt;1,"Repeat","Single"))</f>
        <v>Single</v>
      </c>
      <c r="K1351" s="10" t="str">
        <f t="shared" si="21"/>
        <v>TRANS-1350</v>
      </c>
    </row>
    <row r="1352" spans="1:11" x14ac:dyDescent="0.35">
      <c r="A1352" s="5">
        <v>45526</v>
      </c>
      <c r="B1352" s="3">
        <v>0.59458333333333335</v>
      </c>
      <c r="C1352" t="s">
        <v>8</v>
      </c>
      <c r="D1352" t="s">
        <v>562</v>
      </c>
      <c r="E1352" s="4">
        <v>32.82</v>
      </c>
      <c r="F1352" t="s">
        <v>32</v>
      </c>
      <c r="G1352" s="10" t="str">
        <f>TEXT(Transform_Data[[#This Row],[Date]],"mmm yyyy")</f>
        <v>Aug 2024</v>
      </c>
      <c r="H1352" s="10">
        <f>HOUR(Transform_Data[[#This Row],[Time]])</f>
        <v>14</v>
      </c>
      <c r="I1352" s="10" t="str">
        <f>IF(COUNTIF('Transform Data'!$D:$D,'Transform Data'!D1352)&gt;1,"Repeat","Single")</f>
        <v>Repeat</v>
      </c>
      <c r="J1352" s="10" t="str">
        <f>IF('Transform Data'!D1352="Cash","Cash",IF(COUNTIF('Transform Data'!$D:$D,'Transform Data'!D1352)&gt;1,"Repeat","Single"))</f>
        <v>Repeat</v>
      </c>
      <c r="K1352" s="10" t="str">
        <f t="shared" si="21"/>
        <v>TRANS-1351</v>
      </c>
    </row>
    <row r="1353" spans="1:11" x14ac:dyDescent="0.35">
      <c r="A1353" s="5">
        <v>45526</v>
      </c>
      <c r="B1353" s="3">
        <v>0.60206018518518523</v>
      </c>
      <c r="C1353" t="s">
        <v>8</v>
      </c>
      <c r="D1353" t="s">
        <v>588</v>
      </c>
      <c r="E1353" s="4">
        <v>32.82</v>
      </c>
      <c r="F1353" t="s">
        <v>32</v>
      </c>
      <c r="G1353" s="10" t="str">
        <f>TEXT(Transform_Data[[#This Row],[Date]],"mmm yyyy")</f>
        <v>Aug 2024</v>
      </c>
      <c r="H1353" s="10">
        <f>HOUR(Transform_Data[[#This Row],[Time]])</f>
        <v>14</v>
      </c>
      <c r="I1353" s="10" t="str">
        <f>IF(COUNTIF('Transform Data'!$D:$D,'Transform Data'!D1353)&gt;1,"Repeat","Single")</f>
        <v>Single</v>
      </c>
      <c r="J1353" s="10" t="str">
        <f>IF('Transform Data'!D1353="Cash","Cash",IF(COUNTIF('Transform Data'!$D:$D,'Transform Data'!D1353)&gt;1,"Repeat","Single"))</f>
        <v>Single</v>
      </c>
      <c r="K1353" s="10" t="str">
        <f t="shared" si="21"/>
        <v>TRANS-1352</v>
      </c>
    </row>
    <row r="1354" spans="1:11" x14ac:dyDescent="0.35">
      <c r="A1354" s="5">
        <v>45526</v>
      </c>
      <c r="B1354" s="3">
        <v>0.62994212962962959</v>
      </c>
      <c r="C1354" t="s">
        <v>8</v>
      </c>
      <c r="D1354" t="s">
        <v>589</v>
      </c>
      <c r="E1354" s="4">
        <v>32.82</v>
      </c>
      <c r="F1354" t="s">
        <v>24</v>
      </c>
      <c r="G1354" s="10" t="str">
        <f>TEXT(Transform_Data[[#This Row],[Date]],"mmm yyyy")</f>
        <v>Aug 2024</v>
      </c>
      <c r="H1354" s="10">
        <f>HOUR(Transform_Data[[#This Row],[Time]])</f>
        <v>15</v>
      </c>
      <c r="I1354" s="10" t="str">
        <f>IF(COUNTIF('Transform Data'!$D:$D,'Transform Data'!D1354)&gt;1,"Repeat","Single")</f>
        <v>Single</v>
      </c>
      <c r="J1354" s="10" t="str">
        <f>IF('Transform Data'!D1354="Cash","Cash",IF(COUNTIF('Transform Data'!$D:$D,'Transform Data'!D1354)&gt;1,"Repeat","Single"))</f>
        <v>Single</v>
      </c>
      <c r="K1354" s="10" t="str">
        <f t="shared" si="21"/>
        <v>TRANS-1353</v>
      </c>
    </row>
    <row r="1355" spans="1:11" x14ac:dyDescent="0.35">
      <c r="A1355" s="5">
        <v>45526</v>
      </c>
      <c r="B1355" s="3">
        <v>0.64406249999999998</v>
      </c>
      <c r="C1355" t="s">
        <v>8</v>
      </c>
      <c r="D1355" t="s">
        <v>590</v>
      </c>
      <c r="E1355" s="4">
        <v>23.02</v>
      </c>
      <c r="F1355" t="s">
        <v>28</v>
      </c>
      <c r="G1355" s="10" t="str">
        <f>TEXT(Transform_Data[[#This Row],[Date]],"mmm yyyy")</f>
        <v>Aug 2024</v>
      </c>
      <c r="H1355" s="10">
        <f>HOUR(Transform_Data[[#This Row],[Time]])</f>
        <v>15</v>
      </c>
      <c r="I1355" s="10" t="str">
        <f>IF(COUNTIF('Transform Data'!$D:$D,'Transform Data'!D1355)&gt;1,"Repeat","Single")</f>
        <v>Single</v>
      </c>
      <c r="J1355" s="10" t="str">
        <f>IF('Transform Data'!D1355="Cash","Cash",IF(COUNTIF('Transform Data'!$D:$D,'Transform Data'!D1355)&gt;1,"Repeat","Single"))</f>
        <v>Single</v>
      </c>
      <c r="K1355" s="10" t="str">
        <f t="shared" si="21"/>
        <v>TRANS-1354</v>
      </c>
    </row>
    <row r="1356" spans="1:11" x14ac:dyDescent="0.35">
      <c r="A1356" s="5">
        <v>45527</v>
      </c>
      <c r="B1356" s="3">
        <v>0.32171296296296298</v>
      </c>
      <c r="C1356" t="s">
        <v>8</v>
      </c>
      <c r="D1356" t="s">
        <v>528</v>
      </c>
      <c r="E1356" s="4">
        <v>32.82</v>
      </c>
      <c r="F1356" t="s">
        <v>32</v>
      </c>
      <c r="G1356" s="10" t="str">
        <f>TEXT(Transform_Data[[#This Row],[Date]],"mmm yyyy")</f>
        <v>Aug 2024</v>
      </c>
      <c r="H1356" s="10">
        <f>HOUR(Transform_Data[[#This Row],[Time]])</f>
        <v>7</v>
      </c>
      <c r="I1356" s="10" t="str">
        <f>IF(COUNTIF('Transform Data'!$D:$D,'Transform Data'!D1356)&gt;1,"Repeat","Single")</f>
        <v>Repeat</v>
      </c>
      <c r="J1356" s="10" t="str">
        <f>IF('Transform Data'!D1356="Cash","Cash",IF(COUNTIF('Transform Data'!$D:$D,'Transform Data'!D1356)&gt;1,"Repeat","Single"))</f>
        <v>Repeat</v>
      </c>
      <c r="K1356" s="10" t="str">
        <f t="shared" si="21"/>
        <v>TRANS-1355</v>
      </c>
    </row>
    <row r="1357" spans="1:11" x14ac:dyDescent="0.35">
      <c r="A1357" s="5">
        <v>45527</v>
      </c>
      <c r="B1357" s="3">
        <v>0.34847222222222224</v>
      </c>
      <c r="C1357" t="s">
        <v>8</v>
      </c>
      <c r="D1357" t="s">
        <v>40</v>
      </c>
      <c r="E1357" s="4">
        <v>23.02</v>
      </c>
      <c r="F1357" t="s">
        <v>20</v>
      </c>
      <c r="G1357" s="10" t="str">
        <f>TEXT(Transform_Data[[#This Row],[Date]],"mmm yyyy")</f>
        <v>Aug 2024</v>
      </c>
      <c r="H1357" s="10">
        <f>HOUR(Transform_Data[[#This Row],[Time]])</f>
        <v>8</v>
      </c>
      <c r="I1357" s="10" t="str">
        <f>IF(COUNTIF('Transform Data'!$D:$D,'Transform Data'!D1357)&gt;1,"Repeat","Single")</f>
        <v>Repeat</v>
      </c>
      <c r="J1357" s="10" t="str">
        <f>IF('Transform Data'!D1357="Cash","Cash",IF(COUNTIF('Transform Data'!$D:$D,'Transform Data'!D1357)&gt;1,"Repeat","Single"))</f>
        <v>Repeat</v>
      </c>
      <c r="K1357" s="10" t="str">
        <f t="shared" si="21"/>
        <v>TRANS-1356</v>
      </c>
    </row>
    <row r="1358" spans="1:11" x14ac:dyDescent="0.35">
      <c r="A1358" s="5">
        <v>45527</v>
      </c>
      <c r="B1358" s="3">
        <v>0.34925925925925927</v>
      </c>
      <c r="C1358" t="s">
        <v>8</v>
      </c>
      <c r="D1358" t="s">
        <v>478</v>
      </c>
      <c r="E1358" s="4">
        <v>32.82</v>
      </c>
      <c r="F1358" t="s">
        <v>32</v>
      </c>
      <c r="G1358" s="10" t="str">
        <f>TEXT(Transform_Data[[#This Row],[Date]],"mmm yyyy")</f>
        <v>Aug 2024</v>
      </c>
      <c r="H1358" s="10">
        <f>HOUR(Transform_Data[[#This Row],[Time]])</f>
        <v>8</v>
      </c>
      <c r="I1358" s="10" t="str">
        <f>IF(COUNTIF('Transform Data'!$D:$D,'Transform Data'!D1358)&gt;1,"Repeat","Single")</f>
        <v>Repeat</v>
      </c>
      <c r="J1358" s="10" t="str">
        <f>IF('Transform Data'!D1358="Cash","Cash",IF(COUNTIF('Transform Data'!$D:$D,'Transform Data'!D1358)&gt;1,"Repeat","Single"))</f>
        <v>Repeat</v>
      </c>
      <c r="K1358" s="10" t="str">
        <f t="shared" si="21"/>
        <v>TRANS-1357</v>
      </c>
    </row>
    <row r="1359" spans="1:11" x14ac:dyDescent="0.35">
      <c r="A1359" s="5">
        <v>45527</v>
      </c>
      <c r="B1359" s="3">
        <v>0.35668981481481482</v>
      </c>
      <c r="C1359" t="s">
        <v>8</v>
      </c>
      <c r="D1359" t="s">
        <v>279</v>
      </c>
      <c r="E1359" s="4">
        <v>23.02</v>
      </c>
      <c r="F1359" t="s">
        <v>28</v>
      </c>
      <c r="G1359" s="10" t="str">
        <f>TEXT(Transform_Data[[#This Row],[Date]],"mmm yyyy")</f>
        <v>Aug 2024</v>
      </c>
      <c r="H1359" s="10">
        <f>HOUR(Transform_Data[[#This Row],[Time]])</f>
        <v>8</v>
      </c>
      <c r="I1359" s="10" t="str">
        <f>IF(COUNTIF('Transform Data'!$D:$D,'Transform Data'!D1359)&gt;1,"Repeat","Single")</f>
        <v>Repeat</v>
      </c>
      <c r="J1359" s="10" t="str">
        <f>IF('Transform Data'!D1359="Cash","Cash",IF(COUNTIF('Transform Data'!$D:$D,'Transform Data'!D1359)&gt;1,"Repeat","Single"))</f>
        <v>Repeat</v>
      </c>
      <c r="K1359" s="10" t="str">
        <f t="shared" si="21"/>
        <v>TRANS-1358</v>
      </c>
    </row>
    <row r="1360" spans="1:11" x14ac:dyDescent="0.35">
      <c r="A1360" s="5">
        <v>45527</v>
      </c>
      <c r="B1360" s="3">
        <v>0.35734953703703703</v>
      </c>
      <c r="C1360" t="s">
        <v>8</v>
      </c>
      <c r="D1360" t="s">
        <v>279</v>
      </c>
      <c r="E1360" s="4">
        <v>23.02</v>
      </c>
      <c r="F1360" t="s">
        <v>28</v>
      </c>
      <c r="G1360" s="10" t="str">
        <f>TEXT(Transform_Data[[#This Row],[Date]],"mmm yyyy")</f>
        <v>Aug 2024</v>
      </c>
      <c r="H1360" s="10">
        <f>HOUR(Transform_Data[[#This Row],[Time]])</f>
        <v>8</v>
      </c>
      <c r="I1360" s="10" t="str">
        <f>IF(COUNTIF('Transform Data'!$D:$D,'Transform Data'!D1360)&gt;1,"Repeat","Single")</f>
        <v>Repeat</v>
      </c>
      <c r="J1360" s="10" t="str">
        <f>IF('Transform Data'!D1360="Cash","Cash",IF(COUNTIF('Transform Data'!$D:$D,'Transform Data'!D1360)&gt;1,"Repeat","Single"))</f>
        <v>Repeat</v>
      </c>
      <c r="K1360" s="10" t="str">
        <f t="shared" si="21"/>
        <v>TRANS-1359</v>
      </c>
    </row>
    <row r="1361" spans="1:11" x14ac:dyDescent="0.35">
      <c r="A1361" s="5">
        <v>45527</v>
      </c>
      <c r="B1361" s="3">
        <v>0.3853240740740741</v>
      </c>
      <c r="C1361" t="s">
        <v>8</v>
      </c>
      <c r="D1361" t="s">
        <v>472</v>
      </c>
      <c r="E1361" s="4">
        <v>27.92</v>
      </c>
      <c r="F1361" t="s">
        <v>36</v>
      </c>
      <c r="G1361" s="10" t="str">
        <f>TEXT(Transform_Data[[#This Row],[Date]],"mmm yyyy")</f>
        <v>Aug 2024</v>
      </c>
      <c r="H1361" s="10">
        <f>HOUR(Transform_Data[[#This Row],[Time]])</f>
        <v>9</v>
      </c>
      <c r="I1361" s="10" t="str">
        <f>IF(COUNTIF('Transform Data'!$D:$D,'Transform Data'!D1361)&gt;1,"Repeat","Single")</f>
        <v>Repeat</v>
      </c>
      <c r="J1361" s="10" t="str">
        <f>IF('Transform Data'!D1361="Cash","Cash",IF(COUNTIF('Transform Data'!$D:$D,'Transform Data'!D1361)&gt;1,"Repeat","Single"))</f>
        <v>Repeat</v>
      </c>
      <c r="K1361" s="10" t="str">
        <f t="shared" si="21"/>
        <v>TRANS-1360</v>
      </c>
    </row>
    <row r="1362" spans="1:11" x14ac:dyDescent="0.35">
      <c r="A1362" s="5">
        <v>45527</v>
      </c>
      <c r="B1362" s="3">
        <v>0.42428240740740741</v>
      </c>
      <c r="C1362" t="s">
        <v>8</v>
      </c>
      <c r="D1362" t="s">
        <v>591</v>
      </c>
      <c r="E1362" s="4">
        <v>32.82</v>
      </c>
      <c r="F1362" t="s">
        <v>10</v>
      </c>
      <c r="G1362" s="10" t="str">
        <f>TEXT(Transform_Data[[#This Row],[Date]],"mmm yyyy")</f>
        <v>Aug 2024</v>
      </c>
      <c r="H1362" s="10">
        <f>HOUR(Transform_Data[[#This Row],[Time]])</f>
        <v>10</v>
      </c>
      <c r="I1362" s="10" t="str">
        <f>IF(COUNTIF('Transform Data'!$D:$D,'Transform Data'!D1362)&gt;1,"Repeat","Single")</f>
        <v>Repeat</v>
      </c>
      <c r="J1362" s="10" t="str">
        <f>IF('Transform Data'!D1362="Cash","Cash",IF(COUNTIF('Transform Data'!$D:$D,'Transform Data'!D1362)&gt;1,"Repeat","Single"))</f>
        <v>Repeat</v>
      </c>
      <c r="K1362" s="10" t="str">
        <f t="shared" si="21"/>
        <v>TRANS-1361</v>
      </c>
    </row>
    <row r="1363" spans="1:11" x14ac:dyDescent="0.35">
      <c r="A1363" s="5">
        <v>45527</v>
      </c>
      <c r="B1363" s="3">
        <v>0.42494212962962963</v>
      </c>
      <c r="C1363" t="s">
        <v>8</v>
      </c>
      <c r="D1363" t="s">
        <v>591</v>
      </c>
      <c r="E1363" s="4">
        <v>23.02</v>
      </c>
      <c r="F1363" t="s">
        <v>28</v>
      </c>
      <c r="G1363" s="10" t="str">
        <f>TEXT(Transform_Data[[#This Row],[Date]],"mmm yyyy")</f>
        <v>Aug 2024</v>
      </c>
      <c r="H1363" s="10">
        <f>HOUR(Transform_Data[[#This Row],[Time]])</f>
        <v>10</v>
      </c>
      <c r="I1363" s="10" t="str">
        <f>IF(COUNTIF('Transform Data'!$D:$D,'Transform Data'!D1363)&gt;1,"Repeat","Single")</f>
        <v>Repeat</v>
      </c>
      <c r="J1363" s="10" t="str">
        <f>IF('Transform Data'!D1363="Cash","Cash",IF(COUNTIF('Transform Data'!$D:$D,'Transform Data'!D1363)&gt;1,"Repeat","Single"))</f>
        <v>Repeat</v>
      </c>
      <c r="K1363" s="10" t="str">
        <f t="shared" si="21"/>
        <v>TRANS-1362</v>
      </c>
    </row>
    <row r="1364" spans="1:11" x14ac:dyDescent="0.35">
      <c r="A1364" s="5">
        <v>45527</v>
      </c>
      <c r="B1364" s="3">
        <v>0.44388888888888889</v>
      </c>
      <c r="C1364" t="s">
        <v>8</v>
      </c>
      <c r="D1364" t="s">
        <v>40</v>
      </c>
      <c r="E1364" s="4">
        <v>23.02</v>
      </c>
      <c r="F1364" t="s">
        <v>20</v>
      </c>
      <c r="G1364" s="10" t="str">
        <f>TEXT(Transform_Data[[#This Row],[Date]],"mmm yyyy")</f>
        <v>Aug 2024</v>
      </c>
      <c r="H1364" s="10">
        <f>HOUR(Transform_Data[[#This Row],[Time]])</f>
        <v>10</v>
      </c>
      <c r="I1364" s="10" t="str">
        <f>IF(COUNTIF('Transform Data'!$D:$D,'Transform Data'!D1364)&gt;1,"Repeat","Single")</f>
        <v>Repeat</v>
      </c>
      <c r="J1364" s="10" t="str">
        <f>IF('Transform Data'!D1364="Cash","Cash",IF(COUNTIF('Transform Data'!$D:$D,'Transform Data'!D1364)&gt;1,"Repeat","Single"))</f>
        <v>Repeat</v>
      </c>
      <c r="K1364" s="10" t="str">
        <f t="shared" si="21"/>
        <v>TRANS-1363</v>
      </c>
    </row>
    <row r="1365" spans="1:11" x14ac:dyDescent="0.35">
      <c r="A1365" s="5">
        <v>45527</v>
      </c>
      <c r="B1365" s="3">
        <v>0.46734953703703702</v>
      </c>
      <c r="C1365" t="s">
        <v>8</v>
      </c>
      <c r="D1365" t="s">
        <v>592</v>
      </c>
      <c r="E1365" s="4">
        <v>32.82</v>
      </c>
      <c r="F1365" t="s">
        <v>15</v>
      </c>
      <c r="G1365" s="10" t="str">
        <f>TEXT(Transform_Data[[#This Row],[Date]],"mmm yyyy")</f>
        <v>Aug 2024</v>
      </c>
      <c r="H1365" s="10">
        <f>HOUR(Transform_Data[[#This Row],[Time]])</f>
        <v>11</v>
      </c>
      <c r="I1365" s="10" t="str">
        <f>IF(COUNTIF('Transform Data'!$D:$D,'Transform Data'!D1365)&gt;1,"Repeat","Single")</f>
        <v>Single</v>
      </c>
      <c r="J1365" s="10" t="str">
        <f>IF('Transform Data'!D1365="Cash","Cash",IF(COUNTIF('Transform Data'!$D:$D,'Transform Data'!D1365)&gt;1,"Repeat","Single"))</f>
        <v>Single</v>
      </c>
      <c r="K1365" s="10" t="str">
        <f t="shared" si="21"/>
        <v>TRANS-1364</v>
      </c>
    </row>
    <row r="1366" spans="1:11" x14ac:dyDescent="0.35">
      <c r="A1366" s="5">
        <v>45527</v>
      </c>
      <c r="B1366" s="3">
        <v>0.55895833333333333</v>
      </c>
      <c r="C1366" t="s">
        <v>8</v>
      </c>
      <c r="D1366" t="s">
        <v>593</v>
      </c>
      <c r="E1366" s="4">
        <v>23.02</v>
      </c>
      <c r="F1366" t="s">
        <v>28</v>
      </c>
      <c r="G1366" s="10" t="str">
        <f>TEXT(Transform_Data[[#This Row],[Date]],"mmm yyyy")</f>
        <v>Aug 2024</v>
      </c>
      <c r="H1366" s="10">
        <f>HOUR(Transform_Data[[#This Row],[Time]])</f>
        <v>13</v>
      </c>
      <c r="I1366" s="10" t="str">
        <f>IF(COUNTIF('Transform Data'!$D:$D,'Transform Data'!D1366)&gt;1,"Repeat","Single")</f>
        <v>Single</v>
      </c>
      <c r="J1366" s="10" t="str">
        <f>IF('Transform Data'!D1366="Cash","Cash",IF(COUNTIF('Transform Data'!$D:$D,'Transform Data'!D1366)&gt;1,"Repeat","Single"))</f>
        <v>Single</v>
      </c>
      <c r="K1366" s="10" t="str">
        <f t="shared" si="21"/>
        <v>TRANS-1365</v>
      </c>
    </row>
    <row r="1367" spans="1:11" x14ac:dyDescent="0.35">
      <c r="A1367" s="5">
        <v>45527</v>
      </c>
      <c r="B1367" s="3">
        <v>0.64504629629629628</v>
      </c>
      <c r="C1367" t="s">
        <v>8</v>
      </c>
      <c r="D1367" t="s">
        <v>594</v>
      </c>
      <c r="E1367" s="4">
        <v>23.02</v>
      </c>
      <c r="F1367" t="s">
        <v>28</v>
      </c>
      <c r="G1367" s="10" t="str">
        <f>TEXT(Transform_Data[[#This Row],[Date]],"mmm yyyy")</f>
        <v>Aug 2024</v>
      </c>
      <c r="H1367" s="10">
        <f>HOUR(Transform_Data[[#This Row],[Time]])</f>
        <v>15</v>
      </c>
      <c r="I1367" s="10" t="str">
        <f>IF(COUNTIF('Transform Data'!$D:$D,'Transform Data'!D1367)&gt;1,"Repeat","Single")</f>
        <v>Single</v>
      </c>
      <c r="J1367" s="10" t="str">
        <f>IF('Transform Data'!D1367="Cash","Cash",IF(COUNTIF('Transform Data'!$D:$D,'Transform Data'!D1367)&gt;1,"Repeat","Single"))</f>
        <v>Single</v>
      </c>
      <c r="K1367" s="10" t="str">
        <f t="shared" si="21"/>
        <v>TRANS-1366</v>
      </c>
    </row>
    <row r="1368" spans="1:11" x14ac:dyDescent="0.35">
      <c r="A1368" s="5">
        <v>45527</v>
      </c>
      <c r="B1368" s="3">
        <v>0.82502314814814814</v>
      </c>
      <c r="C1368" t="s">
        <v>8</v>
      </c>
      <c r="D1368" t="s">
        <v>21</v>
      </c>
      <c r="E1368" s="4">
        <v>32.82</v>
      </c>
      <c r="F1368" t="s">
        <v>32</v>
      </c>
      <c r="G1368" s="10" t="str">
        <f>TEXT(Transform_Data[[#This Row],[Date]],"mmm yyyy")</f>
        <v>Aug 2024</v>
      </c>
      <c r="H1368" s="10">
        <f>HOUR(Transform_Data[[#This Row],[Time]])</f>
        <v>19</v>
      </c>
      <c r="I1368" s="10" t="str">
        <f>IF(COUNTIF('Transform Data'!$D:$D,'Transform Data'!D1368)&gt;1,"Repeat","Single")</f>
        <v>Repeat</v>
      </c>
      <c r="J1368" s="10" t="str">
        <f>IF('Transform Data'!D1368="Cash","Cash",IF(COUNTIF('Transform Data'!$D:$D,'Transform Data'!D1368)&gt;1,"Repeat","Single"))</f>
        <v>Repeat</v>
      </c>
      <c r="K1368" s="10" t="str">
        <f t="shared" si="21"/>
        <v>TRANS-1367</v>
      </c>
    </row>
    <row r="1369" spans="1:11" x14ac:dyDescent="0.35">
      <c r="A1369" s="5">
        <v>45528</v>
      </c>
      <c r="B1369" s="3">
        <v>0.34284722222222225</v>
      </c>
      <c r="C1369" t="s">
        <v>8</v>
      </c>
      <c r="D1369" t="s">
        <v>40</v>
      </c>
      <c r="E1369" s="4">
        <v>23.02</v>
      </c>
      <c r="F1369" t="s">
        <v>20</v>
      </c>
      <c r="G1369" s="10" t="str">
        <f>TEXT(Transform_Data[[#This Row],[Date]],"mmm yyyy")</f>
        <v>Aug 2024</v>
      </c>
      <c r="H1369" s="10">
        <f>HOUR(Transform_Data[[#This Row],[Time]])</f>
        <v>8</v>
      </c>
      <c r="I1369" s="10" t="str">
        <f>IF(COUNTIF('Transform Data'!$D:$D,'Transform Data'!D1369)&gt;1,"Repeat","Single")</f>
        <v>Repeat</v>
      </c>
      <c r="J1369" s="10" t="str">
        <f>IF('Transform Data'!D1369="Cash","Cash",IF(COUNTIF('Transform Data'!$D:$D,'Transform Data'!D1369)&gt;1,"Repeat","Single"))</f>
        <v>Repeat</v>
      </c>
      <c r="K1369" s="10" t="str">
        <f t="shared" si="21"/>
        <v>TRANS-1368</v>
      </c>
    </row>
    <row r="1370" spans="1:11" x14ac:dyDescent="0.35">
      <c r="A1370" s="5">
        <v>45528</v>
      </c>
      <c r="B1370" s="3">
        <v>0.34359953703703705</v>
      </c>
      <c r="C1370" t="s">
        <v>8</v>
      </c>
      <c r="D1370" t="s">
        <v>40</v>
      </c>
      <c r="E1370" s="4">
        <v>23.02</v>
      </c>
      <c r="F1370" t="s">
        <v>20</v>
      </c>
      <c r="G1370" s="10" t="str">
        <f>TEXT(Transform_Data[[#This Row],[Date]],"mmm yyyy")</f>
        <v>Aug 2024</v>
      </c>
      <c r="H1370" s="10">
        <f>HOUR(Transform_Data[[#This Row],[Time]])</f>
        <v>8</v>
      </c>
      <c r="I1370" s="10" t="str">
        <f>IF(COUNTIF('Transform Data'!$D:$D,'Transform Data'!D1370)&gt;1,"Repeat","Single")</f>
        <v>Repeat</v>
      </c>
      <c r="J1370" s="10" t="str">
        <f>IF('Transform Data'!D1370="Cash","Cash",IF(COUNTIF('Transform Data'!$D:$D,'Transform Data'!D1370)&gt;1,"Repeat","Single"))</f>
        <v>Repeat</v>
      </c>
      <c r="K1370" s="10" t="str">
        <f t="shared" si="21"/>
        <v>TRANS-1369</v>
      </c>
    </row>
    <row r="1371" spans="1:11" x14ac:dyDescent="0.35">
      <c r="A1371" s="5">
        <v>45528</v>
      </c>
      <c r="B1371" s="3">
        <v>0.36401620370370369</v>
      </c>
      <c r="C1371" t="s">
        <v>8</v>
      </c>
      <c r="D1371" t="s">
        <v>595</v>
      </c>
      <c r="E1371" s="4">
        <v>23.02</v>
      </c>
      <c r="F1371" t="s">
        <v>20</v>
      </c>
      <c r="G1371" s="10" t="str">
        <f>TEXT(Transform_Data[[#This Row],[Date]],"mmm yyyy")</f>
        <v>Aug 2024</v>
      </c>
      <c r="H1371" s="10">
        <f>HOUR(Transform_Data[[#This Row],[Time]])</f>
        <v>8</v>
      </c>
      <c r="I1371" s="10" t="str">
        <f>IF(COUNTIF('Transform Data'!$D:$D,'Transform Data'!D1371)&gt;1,"Repeat","Single")</f>
        <v>Repeat</v>
      </c>
      <c r="J1371" s="10" t="str">
        <f>IF('Transform Data'!D1371="Cash","Cash",IF(COUNTIF('Transform Data'!$D:$D,'Transform Data'!D1371)&gt;1,"Repeat","Single"))</f>
        <v>Repeat</v>
      </c>
      <c r="K1371" s="10" t="str">
        <f t="shared" si="21"/>
        <v>TRANS-1370</v>
      </c>
    </row>
    <row r="1372" spans="1:11" x14ac:dyDescent="0.35">
      <c r="A1372" s="5">
        <v>45528</v>
      </c>
      <c r="B1372" s="3">
        <v>0.42927083333333332</v>
      </c>
      <c r="C1372" t="s">
        <v>8</v>
      </c>
      <c r="D1372" t="s">
        <v>596</v>
      </c>
      <c r="E1372" s="4">
        <v>18.12</v>
      </c>
      <c r="F1372" t="s">
        <v>5</v>
      </c>
      <c r="G1372" s="10" t="str">
        <f>TEXT(Transform_Data[[#This Row],[Date]],"mmm yyyy")</f>
        <v>Aug 2024</v>
      </c>
      <c r="H1372" s="10">
        <f>HOUR(Transform_Data[[#This Row],[Time]])</f>
        <v>10</v>
      </c>
      <c r="I1372" s="10" t="str">
        <f>IF(COUNTIF('Transform Data'!$D:$D,'Transform Data'!D1372)&gt;1,"Repeat","Single")</f>
        <v>Repeat</v>
      </c>
      <c r="J1372" s="10" t="str">
        <f>IF('Transform Data'!D1372="Cash","Cash",IF(COUNTIF('Transform Data'!$D:$D,'Transform Data'!D1372)&gt;1,"Repeat","Single"))</f>
        <v>Repeat</v>
      </c>
      <c r="K1372" s="10" t="str">
        <f t="shared" si="21"/>
        <v>TRANS-1371</v>
      </c>
    </row>
    <row r="1373" spans="1:11" x14ac:dyDescent="0.35">
      <c r="A1373" s="5">
        <v>45528</v>
      </c>
      <c r="B1373" s="3">
        <v>0.42976851851851849</v>
      </c>
      <c r="C1373" t="s">
        <v>8</v>
      </c>
      <c r="D1373" t="s">
        <v>596</v>
      </c>
      <c r="E1373" s="4">
        <v>18.12</v>
      </c>
      <c r="F1373" t="s">
        <v>5</v>
      </c>
      <c r="G1373" s="10" t="str">
        <f>TEXT(Transform_Data[[#This Row],[Date]],"mmm yyyy")</f>
        <v>Aug 2024</v>
      </c>
      <c r="H1373" s="10">
        <f>HOUR(Transform_Data[[#This Row],[Time]])</f>
        <v>10</v>
      </c>
      <c r="I1373" s="10" t="str">
        <f>IF(COUNTIF('Transform Data'!$D:$D,'Transform Data'!D1373)&gt;1,"Repeat","Single")</f>
        <v>Repeat</v>
      </c>
      <c r="J1373" s="10" t="str">
        <f>IF('Transform Data'!D1373="Cash","Cash",IF(COUNTIF('Transform Data'!$D:$D,'Transform Data'!D1373)&gt;1,"Repeat","Single"))</f>
        <v>Repeat</v>
      </c>
      <c r="K1373" s="10" t="str">
        <f t="shared" si="21"/>
        <v>TRANS-1372</v>
      </c>
    </row>
    <row r="1374" spans="1:11" x14ac:dyDescent="0.35">
      <c r="A1374" s="5">
        <v>45528</v>
      </c>
      <c r="B1374" s="3">
        <v>0.43042824074074076</v>
      </c>
      <c r="C1374" t="s">
        <v>8</v>
      </c>
      <c r="D1374" t="s">
        <v>596</v>
      </c>
      <c r="E1374" s="4">
        <v>23.02</v>
      </c>
      <c r="F1374" t="s">
        <v>28</v>
      </c>
      <c r="G1374" s="10" t="str">
        <f>TEXT(Transform_Data[[#This Row],[Date]],"mmm yyyy")</f>
        <v>Aug 2024</v>
      </c>
      <c r="H1374" s="10">
        <f>HOUR(Transform_Data[[#This Row],[Time]])</f>
        <v>10</v>
      </c>
      <c r="I1374" s="10" t="str">
        <f>IF(COUNTIF('Transform Data'!$D:$D,'Transform Data'!D1374)&gt;1,"Repeat","Single")</f>
        <v>Repeat</v>
      </c>
      <c r="J1374" s="10" t="str">
        <f>IF('Transform Data'!D1374="Cash","Cash",IF(COUNTIF('Transform Data'!$D:$D,'Transform Data'!D1374)&gt;1,"Repeat","Single"))</f>
        <v>Repeat</v>
      </c>
      <c r="K1374" s="10" t="str">
        <f t="shared" si="21"/>
        <v>TRANS-1373</v>
      </c>
    </row>
    <row r="1375" spans="1:11" x14ac:dyDescent="0.35">
      <c r="A1375" s="5">
        <v>45529</v>
      </c>
      <c r="B1375" s="3">
        <v>0.34348379629629627</v>
      </c>
      <c r="C1375" t="s">
        <v>8</v>
      </c>
      <c r="D1375" t="s">
        <v>40</v>
      </c>
      <c r="E1375" s="4">
        <v>23.02</v>
      </c>
      <c r="F1375" t="s">
        <v>20</v>
      </c>
      <c r="G1375" s="10" t="str">
        <f>TEXT(Transform_Data[[#This Row],[Date]],"mmm yyyy")</f>
        <v>Aug 2024</v>
      </c>
      <c r="H1375" s="10">
        <f>HOUR(Transform_Data[[#This Row],[Time]])</f>
        <v>8</v>
      </c>
      <c r="I1375" s="10" t="str">
        <f>IF(COUNTIF('Transform Data'!$D:$D,'Transform Data'!D1375)&gt;1,"Repeat","Single")</f>
        <v>Repeat</v>
      </c>
      <c r="J1375" s="10" t="str">
        <f>IF('Transform Data'!D1375="Cash","Cash",IF(COUNTIF('Transform Data'!$D:$D,'Transform Data'!D1375)&gt;1,"Repeat","Single"))</f>
        <v>Repeat</v>
      </c>
      <c r="K1375" s="10" t="str">
        <f t="shared" si="21"/>
        <v>TRANS-1374</v>
      </c>
    </row>
    <row r="1376" spans="1:11" x14ac:dyDescent="0.35">
      <c r="A1376" s="5">
        <v>45529</v>
      </c>
      <c r="B1376" s="3">
        <v>0.35170138888888891</v>
      </c>
      <c r="C1376" t="s">
        <v>8</v>
      </c>
      <c r="D1376" t="s">
        <v>461</v>
      </c>
      <c r="E1376" s="4">
        <v>23.02</v>
      </c>
      <c r="F1376" t="s">
        <v>28</v>
      </c>
      <c r="G1376" s="10" t="str">
        <f>TEXT(Transform_Data[[#This Row],[Date]],"mmm yyyy")</f>
        <v>Aug 2024</v>
      </c>
      <c r="H1376" s="10">
        <f>HOUR(Transform_Data[[#This Row],[Time]])</f>
        <v>8</v>
      </c>
      <c r="I1376" s="10" t="str">
        <f>IF(COUNTIF('Transform Data'!$D:$D,'Transform Data'!D1376)&gt;1,"Repeat","Single")</f>
        <v>Repeat</v>
      </c>
      <c r="J1376" s="10" t="str">
        <f>IF('Transform Data'!D1376="Cash","Cash",IF(COUNTIF('Transform Data'!$D:$D,'Transform Data'!D1376)&gt;1,"Repeat","Single"))</f>
        <v>Repeat</v>
      </c>
      <c r="K1376" s="10" t="str">
        <f t="shared" si="21"/>
        <v>TRANS-1375</v>
      </c>
    </row>
    <row r="1377" spans="1:11" x14ac:dyDescent="0.35">
      <c r="A1377" s="5">
        <v>45529</v>
      </c>
      <c r="B1377" s="3">
        <v>0.35249999999999998</v>
      </c>
      <c r="C1377" t="s">
        <v>8</v>
      </c>
      <c r="D1377" t="s">
        <v>461</v>
      </c>
      <c r="E1377" s="4">
        <v>23.02</v>
      </c>
      <c r="F1377" t="s">
        <v>28</v>
      </c>
      <c r="G1377" s="10" t="str">
        <f>TEXT(Transform_Data[[#This Row],[Date]],"mmm yyyy")</f>
        <v>Aug 2024</v>
      </c>
      <c r="H1377" s="10">
        <f>HOUR(Transform_Data[[#This Row],[Time]])</f>
        <v>8</v>
      </c>
      <c r="I1377" s="10" t="str">
        <f>IF(COUNTIF('Transform Data'!$D:$D,'Transform Data'!D1377)&gt;1,"Repeat","Single")</f>
        <v>Repeat</v>
      </c>
      <c r="J1377" s="10" t="str">
        <f>IF('Transform Data'!D1377="Cash","Cash",IF(COUNTIF('Transform Data'!$D:$D,'Transform Data'!D1377)&gt;1,"Repeat","Single"))</f>
        <v>Repeat</v>
      </c>
      <c r="K1377" s="10" t="str">
        <f t="shared" si="21"/>
        <v>TRANS-1376</v>
      </c>
    </row>
    <row r="1378" spans="1:11" x14ac:dyDescent="0.35">
      <c r="A1378" s="5">
        <v>45529</v>
      </c>
      <c r="B1378" s="3">
        <v>0.3919212962962963</v>
      </c>
      <c r="C1378" t="s">
        <v>8</v>
      </c>
      <c r="D1378" t="s">
        <v>597</v>
      </c>
      <c r="E1378" s="4">
        <v>32.82</v>
      </c>
      <c r="F1378" t="s">
        <v>24</v>
      </c>
      <c r="G1378" s="10" t="str">
        <f>TEXT(Transform_Data[[#This Row],[Date]],"mmm yyyy")</f>
        <v>Aug 2024</v>
      </c>
      <c r="H1378" s="10">
        <f>HOUR(Transform_Data[[#This Row],[Time]])</f>
        <v>9</v>
      </c>
      <c r="I1378" s="10" t="str">
        <f>IF(COUNTIF('Transform Data'!$D:$D,'Transform Data'!D1378)&gt;1,"Repeat","Single")</f>
        <v>Single</v>
      </c>
      <c r="J1378" s="10" t="str">
        <f>IF('Transform Data'!D1378="Cash","Cash",IF(COUNTIF('Transform Data'!$D:$D,'Transform Data'!D1378)&gt;1,"Repeat","Single"))</f>
        <v>Single</v>
      </c>
      <c r="K1378" s="10" t="str">
        <f t="shared" si="21"/>
        <v>TRANS-1377</v>
      </c>
    </row>
    <row r="1379" spans="1:11" x14ac:dyDescent="0.35">
      <c r="A1379" s="5">
        <v>45529</v>
      </c>
      <c r="B1379" s="3">
        <v>0.52895833333333331</v>
      </c>
      <c r="C1379" t="s">
        <v>8</v>
      </c>
      <c r="D1379" t="s">
        <v>598</v>
      </c>
      <c r="E1379" s="4">
        <v>32.82</v>
      </c>
      <c r="F1379" t="s">
        <v>24</v>
      </c>
      <c r="G1379" s="10" t="str">
        <f>TEXT(Transform_Data[[#This Row],[Date]],"mmm yyyy")</f>
        <v>Aug 2024</v>
      </c>
      <c r="H1379" s="10">
        <f>HOUR(Transform_Data[[#This Row],[Time]])</f>
        <v>12</v>
      </c>
      <c r="I1379" s="10" t="str">
        <f>IF(COUNTIF('Transform Data'!$D:$D,'Transform Data'!D1379)&gt;1,"Repeat","Single")</f>
        <v>Single</v>
      </c>
      <c r="J1379" s="10" t="str">
        <f>IF('Transform Data'!D1379="Cash","Cash",IF(COUNTIF('Transform Data'!$D:$D,'Transform Data'!D1379)&gt;1,"Repeat","Single"))</f>
        <v>Single</v>
      </c>
      <c r="K1379" s="10" t="str">
        <f t="shared" si="21"/>
        <v>TRANS-1378</v>
      </c>
    </row>
    <row r="1380" spans="1:11" x14ac:dyDescent="0.35">
      <c r="A1380" s="5">
        <v>45529</v>
      </c>
      <c r="B1380" s="3">
        <v>0.62016203703703698</v>
      </c>
      <c r="C1380" t="s">
        <v>8</v>
      </c>
      <c r="D1380" t="s">
        <v>133</v>
      </c>
      <c r="E1380" s="4">
        <v>32.82</v>
      </c>
      <c r="F1380" t="s">
        <v>32</v>
      </c>
      <c r="G1380" s="10" t="str">
        <f>TEXT(Transform_Data[[#This Row],[Date]],"mmm yyyy")</f>
        <v>Aug 2024</v>
      </c>
      <c r="H1380" s="10">
        <f>HOUR(Transform_Data[[#This Row],[Time]])</f>
        <v>14</v>
      </c>
      <c r="I1380" s="10" t="str">
        <f>IF(COUNTIF('Transform Data'!$D:$D,'Transform Data'!D1380)&gt;1,"Repeat","Single")</f>
        <v>Repeat</v>
      </c>
      <c r="J1380" s="10" t="str">
        <f>IF('Transform Data'!D1380="Cash","Cash",IF(COUNTIF('Transform Data'!$D:$D,'Transform Data'!D1380)&gt;1,"Repeat","Single"))</f>
        <v>Repeat</v>
      </c>
      <c r="K1380" s="10" t="str">
        <f t="shared" si="21"/>
        <v>TRANS-1379</v>
      </c>
    </row>
    <row r="1381" spans="1:11" x14ac:dyDescent="0.35">
      <c r="A1381" s="5">
        <v>45530</v>
      </c>
      <c r="B1381" s="3">
        <v>0.34151620370370372</v>
      </c>
      <c r="C1381" t="s">
        <v>8</v>
      </c>
      <c r="D1381" t="s">
        <v>40</v>
      </c>
      <c r="E1381" s="4">
        <v>23.02</v>
      </c>
      <c r="F1381" t="s">
        <v>20</v>
      </c>
      <c r="G1381" s="10" t="str">
        <f>TEXT(Transform_Data[[#This Row],[Date]],"mmm yyyy")</f>
        <v>Aug 2024</v>
      </c>
      <c r="H1381" s="10">
        <f>HOUR(Transform_Data[[#This Row],[Time]])</f>
        <v>8</v>
      </c>
      <c r="I1381" s="10" t="str">
        <f>IF(COUNTIF('Transform Data'!$D:$D,'Transform Data'!D1381)&gt;1,"Repeat","Single")</f>
        <v>Repeat</v>
      </c>
      <c r="J1381" s="10" t="str">
        <f>IF('Transform Data'!D1381="Cash","Cash",IF(COUNTIF('Transform Data'!$D:$D,'Transform Data'!D1381)&gt;1,"Repeat","Single"))</f>
        <v>Repeat</v>
      </c>
      <c r="K1381" s="10" t="str">
        <f t="shared" si="21"/>
        <v>TRANS-1380</v>
      </c>
    </row>
    <row r="1382" spans="1:11" x14ac:dyDescent="0.35">
      <c r="A1382" s="5">
        <v>45530</v>
      </c>
      <c r="B1382" s="3">
        <v>0.34454861111111112</v>
      </c>
      <c r="C1382" t="s">
        <v>8</v>
      </c>
      <c r="D1382" t="s">
        <v>461</v>
      </c>
      <c r="E1382" s="4">
        <v>23.02</v>
      </c>
      <c r="F1382" t="s">
        <v>28</v>
      </c>
      <c r="G1382" s="10" t="str">
        <f>TEXT(Transform_Data[[#This Row],[Date]],"mmm yyyy")</f>
        <v>Aug 2024</v>
      </c>
      <c r="H1382" s="10">
        <f>HOUR(Transform_Data[[#This Row],[Time]])</f>
        <v>8</v>
      </c>
      <c r="I1382" s="10" t="str">
        <f>IF(COUNTIF('Transform Data'!$D:$D,'Transform Data'!D1382)&gt;1,"Repeat","Single")</f>
        <v>Repeat</v>
      </c>
      <c r="J1382" s="10" t="str">
        <f>IF('Transform Data'!D1382="Cash","Cash",IF(COUNTIF('Transform Data'!$D:$D,'Transform Data'!D1382)&gt;1,"Repeat","Single"))</f>
        <v>Repeat</v>
      </c>
      <c r="K1382" s="10" t="str">
        <f t="shared" si="21"/>
        <v>TRANS-1381</v>
      </c>
    </row>
    <row r="1383" spans="1:11" x14ac:dyDescent="0.35">
      <c r="A1383" s="5">
        <v>45530</v>
      </c>
      <c r="B1383" s="3">
        <v>0.34540509259259261</v>
      </c>
      <c r="C1383" t="s">
        <v>8</v>
      </c>
      <c r="D1383" t="s">
        <v>461</v>
      </c>
      <c r="E1383" s="4">
        <v>23.02</v>
      </c>
      <c r="F1383" t="s">
        <v>28</v>
      </c>
      <c r="G1383" s="10" t="str">
        <f>TEXT(Transform_Data[[#This Row],[Date]],"mmm yyyy")</f>
        <v>Aug 2024</v>
      </c>
      <c r="H1383" s="10">
        <f>HOUR(Transform_Data[[#This Row],[Time]])</f>
        <v>8</v>
      </c>
      <c r="I1383" s="10" t="str">
        <f>IF(COUNTIF('Transform Data'!$D:$D,'Transform Data'!D1383)&gt;1,"Repeat","Single")</f>
        <v>Repeat</v>
      </c>
      <c r="J1383" s="10" t="str">
        <f>IF('Transform Data'!D1383="Cash","Cash",IF(COUNTIF('Transform Data'!$D:$D,'Transform Data'!D1383)&gt;1,"Repeat","Single"))</f>
        <v>Repeat</v>
      </c>
      <c r="K1383" s="10" t="str">
        <f t="shared" si="21"/>
        <v>TRANS-1382</v>
      </c>
    </row>
    <row r="1384" spans="1:11" x14ac:dyDescent="0.35">
      <c r="A1384" s="5">
        <v>45530</v>
      </c>
      <c r="B1384" s="3">
        <v>0.39</v>
      </c>
      <c r="C1384" t="s">
        <v>8</v>
      </c>
      <c r="D1384" t="s">
        <v>11</v>
      </c>
      <c r="E1384" s="4">
        <v>27.92</v>
      </c>
      <c r="F1384" t="s">
        <v>36</v>
      </c>
      <c r="G1384" s="10" t="str">
        <f>TEXT(Transform_Data[[#This Row],[Date]],"mmm yyyy")</f>
        <v>Aug 2024</v>
      </c>
      <c r="H1384" s="10">
        <f>HOUR(Transform_Data[[#This Row],[Time]])</f>
        <v>9</v>
      </c>
      <c r="I1384" s="10" t="str">
        <f>IF(COUNTIF('Transform Data'!$D:$D,'Transform Data'!D1384)&gt;1,"Repeat","Single")</f>
        <v>Repeat</v>
      </c>
      <c r="J1384" s="10" t="str">
        <f>IF('Transform Data'!D1384="Cash","Cash",IF(COUNTIF('Transform Data'!$D:$D,'Transform Data'!D1384)&gt;1,"Repeat","Single"))</f>
        <v>Repeat</v>
      </c>
      <c r="K1384" s="10" t="str">
        <f t="shared" si="21"/>
        <v>TRANS-1383</v>
      </c>
    </row>
    <row r="1385" spans="1:11" x14ac:dyDescent="0.35">
      <c r="A1385" s="5">
        <v>45530</v>
      </c>
      <c r="B1385" s="3">
        <v>0.44287037037037036</v>
      </c>
      <c r="C1385" t="s">
        <v>8</v>
      </c>
      <c r="D1385" t="s">
        <v>599</v>
      </c>
      <c r="E1385" s="4">
        <v>32.82</v>
      </c>
      <c r="F1385" t="s">
        <v>32</v>
      </c>
      <c r="G1385" s="10" t="str">
        <f>TEXT(Transform_Data[[#This Row],[Date]],"mmm yyyy")</f>
        <v>Aug 2024</v>
      </c>
      <c r="H1385" s="10">
        <f>HOUR(Transform_Data[[#This Row],[Time]])</f>
        <v>10</v>
      </c>
      <c r="I1385" s="10" t="str">
        <f>IF(COUNTIF('Transform Data'!$D:$D,'Transform Data'!D1385)&gt;1,"Repeat","Single")</f>
        <v>Single</v>
      </c>
      <c r="J1385" s="10" t="str">
        <f>IF('Transform Data'!D1385="Cash","Cash",IF(COUNTIF('Transform Data'!$D:$D,'Transform Data'!D1385)&gt;1,"Repeat","Single"))</f>
        <v>Single</v>
      </c>
      <c r="K1385" s="10" t="str">
        <f t="shared" si="21"/>
        <v>TRANS-1384</v>
      </c>
    </row>
    <row r="1386" spans="1:11" x14ac:dyDescent="0.35">
      <c r="A1386" s="5">
        <v>45530</v>
      </c>
      <c r="B1386" s="3">
        <v>0.44362268518518516</v>
      </c>
      <c r="C1386" t="s">
        <v>8</v>
      </c>
      <c r="D1386" t="s">
        <v>600</v>
      </c>
      <c r="E1386" s="4">
        <v>32.82</v>
      </c>
      <c r="F1386" t="s">
        <v>24</v>
      </c>
      <c r="G1386" s="10" t="str">
        <f>TEXT(Transform_Data[[#This Row],[Date]],"mmm yyyy")</f>
        <v>Aug 2024</v>
      </c>
      <c r="H1386" s="10">
        <f>HOUR(Transform_Data[[#This Row],[Time]])</f>
        <v>10</v>
      </c>
      <c r="I1386" s="10" t="str">
        <f>IF(COUNTIF('Transform Data'!$D:$D,'Transform Data'!D1386)&gt;1,"Repeat","Single")</f>
        <v>Single</v>
      </c>
      <c r="J1386" s="10" t="str">
        <f>IF('Transform Data'!D1386="Cash","Cash",IF(COUNTIF('Transform Data'!$D:$D,'Transform Data'!D1386)&gt;1,"Repeat","Single"))</f>
        <v>Single</v>
      </c>
      <c r="K1386" s="10" t="str">
        <f t="shared" si="21"/>
        <v>TRANS-1385</v>
      </c>
    </row>
    <row r="1387" spans="1:11" x14ac:dyDescent="0.35">
      <c r="A1387" s="5">
        <v>45530</v>
      </c>
      <c r="B1387" s="3">
        <v>0.53140046296296295</v>
      </c>
      <c r="C1387" t="s">
        <v>8</v>
      </c>
      <c r="D1387" t="s">
        <v>62</v>
      </c>
      <c r="E1387" s="4">
        <v>23.02</v>
      </c>
      <c r="F1387" t="s">
        <v>28</v>
      </c>
      <c r="G1387" s="10" t="str">
        <f>TEXT(Transform_Data[[#This Row],[Date]],"mmm yyyy")</f>
        <v>Aug 2024</v>
      </c>
      <c r="H1387" s="10">
        <f>HOUR(Transform_Data[[#This Row],[Time]])</f>
        <v>12</v>
      </c>
      <c r="I1387" s="10" t="str">
        <f>IF(COUNTIF('Transform Data'!$D:$D,'Transform Data'!D1387)&gt;1,"Repeat","Single")</f>
        <v>Repeat</v>
      </c>
      <c r="J1387" s="10" t="str">
        <f>IF('Transform Data'!D1387="Cash","Cash",IF(COUNTIF('Transform Data'!$D:$D,'Transform Data'!D1387)&gt;1,"Repeat","Single"))</f>
        <v>Repeat</v>
      </c>
      <c r="K1387" s="10" t="str">
        <f t="shared" si="21"/>
        <v>TRANS-1386</v>
      </c>
    </row>
    <row r="1388" spans="1:11" x14ac:dyDescent="0.35">
      <c r="A1388" s="5">
        <v>45530</v>
      </c>
      <c r="B1388" s="3">
        <v>0.53221064814814811</v>
      </c>
      <c r="C1388" t="s">
        <v>8</v>
      </c>
      <c r="D1388" t="s">
        <v>62</v>
      </c>
      <c r="E1388" s="4">
        <v>23.02</v>
      </c>
      <c r="F1388" t="s">
        <v>28</v>
      </c>
      <c r="G1388" s="10" t="str">
        <f>TEXT(Transform_Data[[#This Row],[Date]],"mmm yyyy")</f>
        <v>Aug 2024</v>
      </c>
      <c r="H1388" s="10">
        <f>HOUR(Transform_Data[[#This Row],[Time]])</f>
        <v>12</v>
      </c>
      <c r="I1388" s="10" t="str">
        <f>IF(COUNTIF('Transform Data'!$D:$D,'Transform Data'!D1388)&gt;1,"Repeat","Single")</f>
        <v>Repeat</v>
      </c>
      <c r="J1388" s="10" t="str">
        <f>IF('Transform Data'!D1388="Cash","Cash",IF(COUNTIF('Transform Data'!$D:$D,'Transform Data'!D1388)&gt;1,"Repeat","Single"))</f>
        <v>Repeat</v>
      </c>
      <c r="K1388" s="10" t="str">
        <f t="shared" si="21"/>
        <v>TRANS-1387</v>
      </c>
    </row>
    <row r="1389" spans="1:11" x14ac:dyDescent="0.35">
      <c r="A1389" s="5">
        <v>45530</v>
      </c>
      <c r="B1389" s="3">
        <v>0.78711805555555558</v>
      </c>
      <c r="C1389" t="s">
        <v>8</v>
      </c>
      <c r="D1389" t="s">
        <v>601</v>
      </c>
      <c r="E1389" s="4">
        <v>27.92</v>
      </c>
      <c r="F1389" t="s">
        <v>36</v>
      </c>
      <c r="G1389" s="10" t="str">
        <f>TEXT(Transform_Data[[#This Row],[Date]],"mmm yyyy")</f>
        <v>Aug 2024</v>
      </c>
      <c r="H1389" s="10">
        <f>HOUR(Transform_Data[[#This Row],[Time]])</f>
        <v>18</v>
      </c>
      <c r="I1389" s="10" t="str">
        <f>IF(COUNTIF('Transform Data'!$D:$D,'Transform Data'!D1389)&gt;1,"Repeat","Single")</f>
        <v>Repeat</v>
      </c>
      <c r="J1389" s="10" t="str">
        <f>IF('Transform Data'!D1389="Cash","Cash",IF(COUNTIF('Transform Data'!$D:$D,'Transform Data'!D1389)&gt;1,"Repeat","Single"))</f>
        <v>Repeat</v>
      </c>
      <c r="K1389" s="10" t="str">
        <f t="shared" si="21"/>
        <v>TRANS-1388</v>
      </c>
    </row>
    <row r="1390" spans="1:11" x14ac:dyDescent="0.35">
      <c r="A1390" s="5">
        <v>45530</v>
      </c>
      <c r="B1390" s="3">
        <v>0.78785879629629629</v>
      </c>
      <c r="C1390" t="s">
        <v>8</v>
      </c>
      <c r="D1390" t="s">
        <v>601</v>
      </c>
      <c r="E1390" s="4">
        <v>32.82</v>
      </c>
      <c r="F1390" t="s">
        <v>32</v>
      </c>
      <c r="G1390" s="10" t="str">
        <f>TEXT(Transform_Data[[#This Row],[Date]],"mmm yyyy")</f>
        <v>Aug 2024</v>
      </c>
      <c r="H1390" s="10">
        <f>HOUR(Transform_Data[[#This Row],[Time]])</f>
        <v>18</v>
      </c>
      <c r="I1390" s="10" t="str">
        <f>IF(COUNTIF('Transform Data'!$D:$D,'Transform Data'!D1390)&gt;1,"Repeat","Single")</f>
        <v>Repeat</v>
      </c>
      <c r="J1390" s="10" t="str">
        <f>IF('Transform Data'!D1390="Cash","Cash",IF(COUNTIF('Transform Data'!$D:$D,'Transform Data'!D1390)&gt;1,"Repeat","Single"))</f>
        <v>Repeat</v>
      </c>
      <c r="K1390" s="10" t="str">
        <f t="shared" si="21"/>
        <v>TRANS-1389</v>
      </c>
    </row>
    <row r="1391" spans="1:11" x14ac:dyDescent="0.35">
      <c r="A1391" s="5">
        <v>45530</v>
      </c>
      <c r="B1391" s="3">
        <v>0.95531250000000001</v>
      </c>
      <c r="C1391" t="s">
        <v>8</v>
      </c>
      <c r="D1391" t="s">
        <v>602</v>
      </c>
      <c r="E1391" s="4">
        <v>27.92</v>
      </c>
      <c r="F1391" t="s">
        <v>36</v>
      </c>
      <c r="G1391" s="10" t="str">
        <f>TEXT(Transform_Data[[#This Row],[Date]],"mmm yyyy")</f>
        <v>Aug 2024</v>
      </c>
      <c r="H1391" s="10">
        <f>HOUR(Transform_Data[[#This Row],[Time]])</f>
        <v>22</v>
      </c>
      <c r="I1391" s="10" t="str">
        <f>IF(COUNTIF('Transform Data'!$D:$D,'Transform Data'!D1391)&gt;1,"Repeat","Single")</f>
        <v>Repeat</v>
      </c>
      <c r="J1391" s="10" t="str">
        <f>IF('Transform Data'!D1391="Cash","Cash",IF(COUNTIF('Transform Data'!$D:$D,'Transform Data'!D1391)&gt;1,"Repeat","Single"))</f>
        <v>Repeat</v>
      </c>
      <c r="K1391" s="10" t="str">
        <f t="shared" si="21"/>
        <v>TRANS-1390</v>
      </c>
    </row>
    <row r="1392" spans="1:11" x14ac:dyDescent="0.35">
      <c r="A1392" s="5">
        <v>45531</v>
      </c>
      <c r="B1392" s="3">
        <v>0.41949074074074072</v>
      </c>
      <c r="C1392" t="s">
        <v>8</v>
      </c>
      <c r="D1392" t="s">
        <v>428</v>
      </c>
      <c r="E1392" s="4">
        <v>32.82</v>
      </c>
      <c r="F1392" t="s">
        <v>32</v>
      </c>
      <c r="G1392" s="10" t="str">
        <f>TEXT(Transform_Data[[#This Row],[Date]],"mmm yyyy")</f>
        <v>Aug 2024</v>
      </c>
      <c r="H1392" s="10">
        <f>HOUR(Transform_Data[[#This Row],[Time]])</f>
        <v>10</v>
      </c>
      <c r="I1392" s="10" t="str">
        <f>IF(COUNTIF('Transform Data'!$D:$D,'Transform Data'!D1392)&gt;1,"Repeat","Single")</f>
        <v>Repeat</v>
      </c>
      <c r="J1392" s="10" t="str">
        <f>IF('Transform Data'!D1392="Cash","Cash",IF(COUNTIF('Transform Data'!$D:$D,'Transform Data'!D1392)&gt;1,"Repeat","Single"))</f>
        <v>Repeat</v>
      </c>
      <c r="K1392" s="10" t="str">
        <f t="shared" si="21"/>
        <v>TRANS-1391</v>
      </c>
    </row>
    <row r="1393" spans="1:11" x14ac:dyDescent="0.35">
      <c r="A1393" s="5">
        <v>45532</v>
      </c>
      <c r="B1393" s="3">
        <v>0.5057638888888889</v>
      </c>
      <c r="C1393" t="s">
        <v>8</v>
      </c>
      <c r="D1393" t="s">
        <v>603</v>
      </c>
      <c r="E1393" s="4">
        <v>27.92</v>
      </c>
      <c r="F1393" t="s">
        <v>36</v>
      </c>
      <c r="G1393" s="10" t="str">
        <f>TEXT(Transform_Data[[#This Row],[Date]],"mmm yyyy")</f>
        <v>Aug 2024</v>
      </c>
      <c r="H1393" s="10">
        <f>HOUR(Transform_Data[[#This Row],[Time]])</f>
        <v>12</v>
      </c>
      <c r="I1393" s="10" t="str">
        <f>IF(COUNTIF('Transform Data'!$D:$D,'Transform Data'!D1393)&gt;1,"Repeat","Single")</f>
        <v>Repeat</v>
      </c>
      <c r="J1393" s="10" t="str">
        <f>IF('Transform Data'!D1393="Cash","Cash",IF(COUNTIF('Transform Data'!$D:$D,'Transform Data'!D1393)&gt;1,"Repeat","Single"))</f>
        <v>Repeat</v>
      </c>
      <c r="K1393" s="10" t="str">
        <f t="shared" si="21"/>
        <v>TRANS-1392</v>
      </c>
    </row>
    <row r="1394" spans="1:11" x14ac:dyDescent="0.35">
      <c r="A1394" s="5">
        <v>45532</v>
      </c>
      <c r="B1394" s="3">
        <v>0.50699074074074069</v>
      </c>
      <c r="C1394" t="s">
        <v>8</v>
      </c>
      <c r="D1394" t="s">
        <v>603</v>
      </c>
      <c r="E1394" s="4">
        <v>32.82</v>
      </c>
      <c r="F1394" t="s">
        <v>24</v>
      </c>
      <c r="G1394" s="10" t="str">
        <f>TEXT(Transform_Data[[#This Row],[Date]],"mmm yyyy")</f>
        <v>Aug 2024</v>
      </c>
      <c r="H1394" s="10">
        <f>HOUR(Transform_Data[[#This Row],[Time]])</f>
        <v>12</v>
      </c>
      <c r="I1394" s="10" t="str">
        <f>IF(COUNTIF('Transform Data'!$D:$D,'Transform Data'!D1394)&gt;1,"Repeat","Single")</f>
        <v>Repeat</v>
      </c>
      <c r="J1394" s="10" t="str">
        <f>IF('Transform Data'!D1394="Cash","Cash",IF(COUNTIF('Transform Data'!$D:$D,'Transform Data'!D1394)&gt;1,"Repeat","Single"))</f>
        <v>Repeat</v>
      </c>
      <c r="K1394" s="10" t="str">
        <f t="shared" si="21"/>
        <v>TRANS-1393</v>
      </c>
    </row>
    <row r="1395" spans="1:11" x14ac:dyDescent="0.35">
      <c r="A1395" s="5">
        <v>45532</v>
      </c>
      <c r="B1395" s="3">
        <v>0.52437500000000004</v>
      </c>
      <c r="C1395" t="s">
        <v>8</v>
      </c>
      <c r="D1395" t="s">
        <v>428</v>
      </c>
      <c r="E1395" s="4">
        <v>23.02</v>
      </c>
      <c r="F1395" t="s">
        <v>28</v>
      </c>
      <c r="G1395" s="10" t="str">
        <f>TEXT(Transform_Data[[#This Row],[Date]],"mmm yyyy")</f>
        <v>Aug 2024</v>
      </c>
      <c r="H1395" s="10">
        <f>HOUR(Transform_Data[[#This Row],[Time]])</f>
        <v>12</v>
      </c>
      <c r="I1395" s="10" t="str">
        <f>IF(COUNTIF('Transform Data'!$D:$D,'Transform Data'!D1395)&gt;1,"Repeat","Single")</f>
        <v>Repeat</v>
      </c>
      <c r="J1395" s="10" t="str">
        <f>IF('Transform Data'!D1395="Cash","Cash",IF(COUNTIF('Transform Data'!$D:$D,'Transform Data'!D1395)&gt;1,"Repeat","Single"))</f>
        <v>Repeat</v>
      </c>
      <c r="K1395" s="10" t="str">
        <f t="shared" si="21"/>
        <v>TRANS-1394</v>
      </c>
    </row>
    <row r="1396" spans="1:11" x14ac:dyDescent="0.35">
      <c r="A1396" s="5">
        <v>45532</v>
      </c>
      <c r="B1396" s="3">
        <v>0.57540509259259254</v>
      </c>
      <c r="C1396" t="s">
        <v>8</v>
      </c>
      <c r="D1396" t="s">
        <v>604</v>
      </c>
      <c r="E1396" s="4">
        <v>27.92</v>
      </c>
      <c r="F1396" t="s">
        <v>36</v>
      </c>
      <c r="G1396" s="10" t="str">
        <f>TEXT(Transform_Data[[#This Row],[Date]],"mmm yyyy")</f>
        <v>Aug 2024</v>
      </c>
      <c r="H1396" s="10">
        <f>HOUR(Transform_Data[[#This Row],[Time]])</f>
        <v>13</v>
      </c>
      <c r="I1396" s="10" t="str">
        <f>IF(COUNTIF('Transform Data'!$D:$D,'Transform Data'!D1396)&gt;1,"Repeat","Single")</f>
        <v>Repeat</v>
      </c>
      <c r="J1396" s="10" t="str">
        <f>IF('Transform Data'!D1396="Cash","Cash",IF(COUNTIF('Transform Data'!$D:$D,'Transform Data'!D1396)&gt;1,"Repeat","Single"))</f>
        <v>Repeat</v>
      </c>
      <c r="K1396" s="10" t="str">
        <f t="shared" si="21"/>
        <v>TRANS-1395</v>
      </c>
    </row>
    <row r="1397" spans="1:11" x14ac:dyDescent="0.35">
      <c r="A1397" s="5">
        <v>45533</v>
      </c>
      <c r="B1397" s="3">
        <v>0.31215277777777778</v>
      </c>
      <c r="C1397" t="s">
        <v>8</v>
      </c>
      <c r="D1397" t="s">
        <v>605</v>
      </c>
      <c r="E1397" s="4">
        <v>23.02</v>
      </c>
      <c r="F1397" t="s">
        <v>28</v>
      </c>
      <c r="G1397" s="10" t="str">
        <f>TEXT(Transform_Data[[#This Row],[Date]],"mmm yyyy")</f>
        <v>Aug 2024</v>
      </c>
      <c r="H1397" s="10">
        <f>HOUR(Transform_Data[[#This Row],[Time]])</f>
        <v>7</v>
      </c>
      <c r="I1397" s="10" t="str">
        <f>IF(COUNTIF('Transform Data'!$D:$D,'Transform Data'!D1397)&gt;1,"Repeat","Single")</f>
        <v>Single</v>
      </c>
      <c r="J1397" s="10" t="str">
        <f>IF('Transform Data'!D1397="Cash","Cash",IF(COUNTIF('Transform Data'!$D:$D,'Transform Data'!D1397)&gt;1,"Repeat","Single"))</f>
        <v>Single</v>
      </c>
      <c r="K1397" s="10" t="str">
        <f t="shared" si="21"/>
        <v>TRANS-1396</v>
      </c>
    </row>
    <row r="1398" spans="1:11" x14ac:dyDescent="0.35">
      <c r="A1398" s="5">
        <v>45534</v>
      </c>
      <c r="B1398" s="3">
        <v>0.71770833333333328</v>
      </c>
      <c r="C1398" t="s">
        <v>8</v>
      </c>
      <c r="D1398" t="s">
        <v>606</v>
      </c>
      <c r="E1398" s="4">
        <v>32.82</v>
      </c>
      <c r="F1398" t="s">
        <v>32</v>
      </c>
      <c r="G1398" s="10" t="str">
        <f>TEXT(Transform_Data[[#This Row],[Date]],"mmm yyyy")</f>
        <v>Aug 2024</v>
      </c>
      <c r="H1398" s="10">
        <f>HOUR(Transform_Data[[#This Row],[Time]])</f>
        <v>17</v>
      </c>
      <c r="I1398" s="10" t="str">
        <f>IF(COUNTIF('Transform Data'!$D:$D,'Transform Data'!D1398)&gt;1,"Repeat","Single")</f>
        <v>Repeat</v>
      </c>
      <c r="J1398" s="10" t="str">
        <f>IF('Transform Data'!D1398="Cash","Cash",IF(COUNTIF('Transform Data'!$D:$D,'Transform Data'!D1398)&gt;1,"Repeat","Single"))</f>
        <v>Repeat</v>
      </c>
      <c r="K1398" s="10" t="str">
        <f t="shared" si="21"/>
        <v>TRANS-1397</v>
      </c>
    </row>
    <row r="1399" spans="1:11" x14ac:dyDescent="0.35">
      <c r="A1399" s="5">
        <v>45534</v>
      </c>
      <c r="B1399" s="3">
        <v>0.71842592592592591</v>
      </c>
      <c r="C1399" t="s">
        <v>8</v>
      </c>
      <c r="D1399" t="s">
        <v>606</v>
      </c>
      <c r="E1399" s="4">
        <v>27.92</v>
      </c>
      <c r="F1399" t="s">
        <v>36</v>
      </c>
      <c r="G1399" s="10" t="str">
        <f>TEXT(Transform_Data[[#This Row],[Date]],"mmm yyyy")</f>
        <v>Aug 2024</v>
      </c>
      <c r="H1399" s="10">
        <f>HOUR(Transform_Data[[#This Row],[Time]])</f>
        <v>17</v>
      </c>
      <c r="I1399" s="10" t="str">
        <f>IF(COUNTIF('Transform Data'!$D:$D,'Transform Data'!D1399)&gt;1,"Repeat","Single")</f>
        <v>Repeat</v>
      </c>
      <c r="J1399" s="10" t="str">
        <f>IF('Transform Data'!D1399="Cash","Cash",IF(COUNTIF('Transform Data'!$D:$D,'Transform Data'!D1399)&gt;1,"Repeat","Single"))</f>
        <v>Repeat</v>
      </c>
      <c r="K1399" s="10" t="str">
        <f t="shared" si="21"/>
        <v>TRANS-1398</v>
      </c>
    </row>
    <row r="1400" spans="1:11" x14ac:dyDescent="0.35">
      <c r="A1400" s="5">
        <v>45534</v>
      </c>
      <c r="B1400" s="3">
        <v>0.71915509259259258</v>
      </c>
      <c r="C1400" t="s">
        <v>8</v>
      </c>
      <c r="D1400" t="s">
        <v>606</v>
      </c>
      <c r="E1400" s="4">
        <v>27.92</v>
      </c>
      <c r="F1400" t="s">
        <v>36</v>
      </c>
      <c r="G1400" s="10" t="str">
        <f>TEXT(Transform_Data[[#This Row],[Date]],"mmm yyyy")</f>
        <v>Aug 2024</v>
      </c>
      <c r="H1400" s="10">
        <f>HOUR(Transform_Data[[#This Row],[Time]])</f>
        <v>17</v>
      </c>
      <c r="I1400" s="10" t="str">
        <f>IF(COUNTIF('Transform Data'!$D:$D,'Transform Data'!D1400)&gt;1,"Repeat","Single")</f>
        <v>Repeat</v>
      </c>
      <c r="J1400" s="10" t="str">
        <f>IF('Transform Data'!D1400="Cash","Cash",IF(COUNTIF('Transform Data'!$D:$D,'Transform Data'!D1400)&gt;1,"Repeat","Single"))</f>
        <v>Repeat</v>
      </c>
      <c r="K1400" s="10" t="str">
        <f t="shared" si="21"/>
        <v>TRANS-1399</v>
      </c>
    </row>
    <row r="1401" spans="1:11" x14ac:dyDescent="0.35">
      <c r="A1401" s="5">
        <v>45535</v>
      </c>
      <c r="B1401" s="3">
        <v>0.38092592592592595</v>
      </c>
      <c r="C1401" t="s">
        <v>8</v>
      </c>
      <c r="D1401" t="s">
        <v>424</v>
      </c>
      <c r="E1401" s="4">
        <v>23.02</v>
      </c>
      <c r="F1401" t="s">
        <v>20</v>
      </c>
      <c r="G1401" s="10" t="str">
        <f>TEXT(Transform_Data[[#This Row],[Date]],"mmm yyyy")</f>
        <v>Aug 2024</v>
      </c>
      <c r="H1401" s="10">
        <f>HOUR(Transform_Data[[#This Row],[Time]])</f>
        <v>9</v>
      </c>
      <c r="I1401" s="10" t="str">
        <f>IF(COUNTIF('Transform Data'!$D:$D,'Transform Data'!D1401)&gt;1,"Repeat","Single")</f>
        <v>Repeat</v>
      </c>
      <c r="J1401" s="10" t="str">
        <f>IF('Transform Data'!D1401="Cash","Cash",IF(COUNTIF('Transform Data'!$D:$D,'Transform Data'!D1401)&gt;1,"Repeat","Single"))</f>
        <v>Repeat</v>
      </c>
      <c r="K1401" s="10" t="str">
        <f t="shared" si="21"/>
        <v>TRANS-1400</v>
      </c>
    </row>
    <row r="1402" spans="1:11" x14ac:dyDescent="0.35">
      <c r="A1402" s="5">
        <v>45535</v>
      </c>
      <c r="B1402" s="3">
        <v>0.41814814814814816</v>
      </c>
      <c r="C1402" t="s">
        <v>8</v>
      </c>
      <c r="D1402" t="s">
        <v>607</v>
      </c>
      <c r="E1402" s="4">
        <v>27.92</v>
      </c>
      <c r="F1402" t="s">
        <v>36</v>
      </c>
      <c r="G1402" s="10" t="str">
        <f>TEXT(Transform_Data[[#This Row],[Date]],"mmm yyyy")</f>
        <v>Aug 2024</v>
      </c>
      <c r="H1402" s="10">
        <f>HOUR(Transform_Data[[#This Row],[Time]])</f>
        <v>10</v>
      </c>
      <c r="I1402" s="10" t="str">
        <f>IF(COUNTIF('Transform Data'!$D:$D,'Transform Data'!D1402)&gt;1,"Repeat","Single")</f>
        <v>Single</v>
      </c>
      <c r="J1402" s="10" t="str">
        <f>IF('Transform Data'!D1402="Cash","Cash",IF(COUNTIF('Transform Data'!$D:$D,'Transform Data'!D1402)&gt;1,"Repeat","Single"))</f>
        <v>Single</v>
      </c>
      <c r="K1402" s="10" t="str">
        <f t="shared" si="21"/>
        <v>TRANS-1401</v>
      </c>
    </row>
    <row r="1403" spans="1:11" x14ac:dyDescent="0.35">
      <c r="A1403" s="5">
        <v>45535</v>
      </c>
      <c r="B1403" s="3">
        <v>0.43224537037037036</v>
      </c>
      <c r="C1403" t="s">
        <v>8</v>
      </c>
      <c r="D1403" t="s">
        <v>608</v>
      </c>
      <c r="E1403" s="4">
        <v>18.12</v>
      </c>
      <c r="F1403" t="s">
        <v>5</v>
      </c>
      <c r="G1403" s="10" t="str">
        <f>TEXT(Transform_Data[[#This Row],[Date]],"mmm yyyy")</f>
        <v>Aug 2024</v>
      </c>
      <c r="H1403" s="10">
        <f>HOUR(Transform_Data[[#This Row],[Time]])</f>
        <v>10</v>
      </c>
      <c r="I1403" s="10" t="str">
        <f>IF(COUNTIF('Transform Data'!$D:$D,'Transform Data'!D1403)&gt;1,"Repeat","Single")</f>
        <v>Single</v>
      </c>
      <c r="J1403" s="10" t="str">
        <f>IF('Transform Data'!D1403="Cash","Cash",IF(COUNTIF('Transform Data'!$D:$D,'Transform Data'!D1403)&gt;1,"Repeat","Single"))</f>
        <v>Single</v>
      </c>
      <c r="K1403" s="10" t="str">
        <f t="shared" si="21"/>
        <v>TRANS-1402</v>
      </c>
    </row>
    <row r="1404" spans="1:11" x14ac:dyDescent="0.35">
      <c r="A1404" s="5">
        <v>45535</v>
      </c>
      <c r="B1404" s="3">
        <v>0.47909722222222223</v>
      </c>
      <c r="C1404" t="s">
        <v>8</v>
      </c>
      <c r="D1404" t="s">
        <v>609</v>
      </c>
      <c r="E1404" s="4">
        <v>27.92</v>
      </c>
      <c r="F1404" t="s">
        <v>36</v>
      </c>
      <c r="G1404" s="10" t="str">
        <f>TEXT(Transform_Data[[#This Row],[Date]],"mmm yyyy")</f>
        <v>Aug 2024</v>
      </c>
      <c r="H1404" s="10">
        <f>HOUR(Transform_Data[[#This Row],[Time]])</f>
        <v>11</v>
      </c>
      <c r="I1404" s="10" t="str">
        <f>IF(COUNTIF('Transform Data'!$D:$D,'Transform Data'!D1404)&gt;1,"Repeat","Single")</f>
        <v>Single</v>
      </c>
      <c r="J1404" s="10" t="str">
        <f>IF('Transform Data'!D1404="Cash","Cash",IF(COUNTIF('Transform Data'!$D:$D,'Transform Data'!D1404)&gt;1,"Repeat","Single"))</f>
        <v>Single</v>
      </c>
      <c r="K1404" s="10" t="str">
        <f t="shared" si="21"/>
        <v>TRANS-1403</v>
      </c>
    </row>
    <row r="1405" spans="1:11" x14ac:dyDescent="0.35">
      <c r="A1405" s="5">
        <v>45535</v>
      </c>
      <c r="B1405" s="3">
        <v>0.48170138888888892</v>
      </c>
      <c r="C1405" t="s">
        <v>8</v>
      </c>
      <c r="D1405" t="s">
        <v>40</v>
      </c>
      <c r="E1405" s="4">
        <v>23.02</v>
      </c>
      <c r="F1405" t="s">
        <v>20</v>
      </c>
      <c r="G1405" s="10" t="str">
        <f>TEXT(Transform_Data[[#This Row],[Date]],"mmm yyyy")</f>
        <v>Aug 2024</v>
      </c>
      <c r="H1405" s="10">
        <f>HOUR(Transform_Data[[#This Row],[Time]])</f>
        <v>11</v>
      </c>
      <c r="I1405" s="10" t="str">
        <f>IF(COUNTIF('Transform Data'!$D:$D,'Transform Data'!D1405)&gt;1,"Repeat","Single")</f>
        <v>Repeat</v>
      </c>
      <c r="J1405" s="10" t="str">
        <f>IF('Transform Data'!D1405="Cash","Cash",IF(COUNTIF('Transform Data'!$D:$D,'Transform Data'!D1405)&gt;1,"Repeat","Single"))</f>
        <v>Repeat</v>
      </c>
      <c r="K1405" s="10" t="str">
        <f t="shared" si="21"/>
        <v>TRANS-1404</v>
      </c>
    </row>
    <row r="1406" spans="1:11" x14ac:dyDescent="0.35">
      <c r="A1406" s="5">
        <v>45535</v>
      </c>
      <c r="B1406" s="3">
        <v>0.48231481481481481</v>
      </c>
      <c r="C1406" t="s">
        <v>8</v>
      </c>
      <c r="D1406" t="s">
        <v>40</v>
      </c>
      <c r="E1406" s="4">
        <v>23.02</v>
      </c>
      <c r="F1406" t="s">
        <v>20</v>
      </c>
      <c r="G1406" s="10" t="str">
        <f>TEXT(Transform_Data[[#This Row],[Date]],"mmm yyyy")</f>
        <v>Aug 2024</v>
      </c>
      <c r="H1406" s="10">
        <f>HOUR(Transform_Data[[#This Row],[Time]])</f>
        <v>11</v>
      </c>
      <c r="I1406" s="10" t="str">
        <f>IF(COUNTIF('Transform Data'!$D:$D,'Transform Data'!D1406)&gt;1,"Repeat","Single")</f>
        <v>Repeat</v>
      </c>
      <c r="J1406" s="10" t="str">
        <f>IF('Transform Data'!D1406="Cash","Cash",IF(COUNTIF('Transform Data'!$D:$D,'Transform Data'!D1406)&gt;1,"Repeat","Single"))</f>
        <v>Repeat</v>
      </c>
      <c r="K1406" s="10" t="str">
        <f t="shared" si="21"/>
        <v>TRANS-1405</v>
      </c>
    </row>
    <row r="1407" spans="1:11" x14ac:dyDescent="0.35">
      <c r="A1407" s="5">
        <v>45536</v>
      </c>
      <c r="B1407" s="3">
        <v>0.39878472222222222</v>
      </c>
      <c r="C1407" t="s">
        <v>8</v>
      </c>
      <c r="D1407" t="s">
        <v>40</v>
      </c>
      <c r="E1407" s="4">
        <v>23.02</v>
      </c>
      <c r="F1407" t="s">
        <v>20</v>
      </c>
      <c r="G1407" s="10" t="str">
        <f>TEXT(Transform_Data[[#This Row],[Date]],"mmm yyyy")</f>
        <v>Sep 2024</v>
      </c>
      <c r="H1407" s="10">
        <f>HOUR(Transform_Data[[#This Row],[Time]])</f>
        <v>9</v>
      </c>
      <c r="I1407" s="10" t="str">
        <f>IF(COUNTIF('Transform Data'!$D:$D,'Transform Data'!D1407)&gt;1,"Repeat","Single")</f>
        <v>Repeat</v>
      </c>
      <c r="J1407" s="10" t="str">
        <f>IF('Transform Data'!D1407="Cash","Cash",IF(COUNTIF('Transform Data'!$D:$D,'Transform Data'!D1407)&gt;1,"Repeat","Single"))</f>
        <v>Repeat</v>
      </c>
      <c r="K1407" s="10" t="str">
        <f t="shared" si="21"/>
        <v>TRANS-1406</v>
      </c>
    </row>
    <row r="1408" spans="1:11" x14ac:dyDescent="0.35">
      <c r="A1408" s="5">
        <v>45536</v>
      </c>
      <c r="B1408" s="3">
        <v>0.50791666666666668</v>
      </c>
      <c r="C1408" t="s">
        <v>8</v>
      </c>
      <c r="D1408" t="s">
        <v>610</v>
      </c>
      <c r="E1408" s="4">
        <v>32.82</v>
      </c>
      <c r="F1408" t="s">
        <v>24</v>
      </c>
      <c r="G1408" s="10" t="str">
        <f>TEXT(Transform_Data[[#This Row],[Date]],"mmm yyyy")</f>
        <v>Sep 2024</v>
      </c>
      <c r="H1408" s="10">
        <f>HOUR(Transform_Data[[#This Row],[Time]])</f>
        <v>12</v>
      </c>
      <c r="I1408" s="10" t="str">
        <f>IF(COUNTIF('Transform Data'!$D:$D,'Transform Data'!D1408)&gt;1,"Repeat","Single")</f>
        <v>Single</v>
      </c>
      <c r="J1408" s="10" t="str">
        <f>IF('Transform Data'!D1408="Cash","Cash",IF(COUNTIF('Transform Data'!$D:$D,'Transform Data'!D1408)&gt;1,"Repeat","Single"))</f>
        <v>Single</v>
      </c>
      <c r="K1408" s="10" t="str">
        <f t="shared" si="21"/>
        <v>TRANS-1407</v>
      </c>
    </row>
    <row r="1409" spans="1:11" x14ac:dyDescent="0.35">
      <c r="A1409" s="5">
        <v>45536</v>
      </c>
      <c r="B1409" s="3">
        <v>0.5209259259259259</v>
      </c>
      <c r="C1409" t="s">
        <v>8</v>
      </c>
      <c r="D1409" t="s">
        <v>235</v>
      </c>
      <c r="E1409" s="4">
        <v>27.92</v>
      </c>
      <c r="F1409" t="s">
        <v>36</v>
      </c>
      <c r="G1409" s="10" t="str">
        <f>TEXT(Transform_Data[[#This Row],[Date]],"mmm yyyy")</f>
        <v>Sep 2024</v>
      </c>
      <c r="H1409" s="10">
        <f>HOUR(Transform_Data[[#This Row],[Time]])</f>
        <v>12</v>
      </c>
      <c r="I1409" s="10" t="str">
        <f>IF(COUNTIF('Transform Data'!$D:$D,'Transform Data'!D1409)&gt;1,"Repeat","Single")</f>
        <v>Repeat</v>
      </c>
      <c r="J1409" s="10" t="str">
        <f>IF('Transform Data'!D1409="Cash","Cash",IF(COUNTIF('Transform Data'!$D:$D,'Transform Data'!D1409)&gt;1,"Repeat","Single"))</f>
        <v>Repeat</v>
      </c>
      <c r="K1409" s="10" t="str">
        <f t="shared" si="21"/>
        <v>TRANS-1408</v>
      </c>
    </row>
    <row r="1410" spans="1:11" x14ac:dyDescent="0.35">
      <c r="A1410" s="5">
        <v>45536</v>
      </c>
      <c r="B1410" s="3">
        <v>0.52247685185185189</v>
      </c>
      <c r="C1410" t="s">
        <v>8</v>
      </c>
      <c r="D1410" t="s">
        <v>235</v>
      </c>
      <c r="E1410" s="4">
        <v>23.02</v>
      </c>
      <c r="F1410" t="s">
        <v>28</v>
      </c>
      <c r="G1410" s="10" t="str">
        <f>TEXT(Transform_Data[[#This Row],[Date]],"mmm yyyy")</f>
        <v>Sep 2024</v>
      </c>
      <c r="H1410" s="10">
        <f>HOUR(Transform_Data[[#This Row],[Time]])</f>
        <v>12</v>
      </c>
      <c r="I1410" s="10" t="str">
        <f>IF(COUNTIF('Transform Data'!$D:$D,'Transform Data'!D1410)&gt;1,"Repeat","Single")</f>
        <v>Repeat</v>
      </c>
      <c r="J1410" s="10" t="str">
        <f>IF('Transform Data'!D1410="Cash","Cash",IF(COUNTIF('Transform Data'!$D:$D,'Transform Data'!D1410)&gt;1,"Repeat","Single"))</f>
        <v>Repeat</v>
      </c>
      <c r="K1410" s="10" t="str">
        <f t="shared" ref="K1410:K1473" si="22">"TRANS-"&amp;TEXT(ROW(A1409),"0000")</f>
        <v>TRANS-1409</v>
      </c>
    </row>
    <row r="1411" spans="1:11" x14ac:dyDescent="0.35">
      <c r="A1411" s="5">
        <v>45536</v>
      </c>
      <c r="B1411" s="3">
        <v>0.53491898148148154</v>
      </c>
      <c r="C1411" t="s">
        <v>8</v>
      </c>
      <c r="D1411" t="s">
        <v>611</v>
      </c>
      <c r="E1411" s="4">
        <v>27.92</v>
      </c>
      <c r="F1411" t="s">
        <v>36</v>
      </c>
      <c r="G1411" s="10" t="str">
        <f>TEXT(Transform_Data[[#This Row],[Date]],"mmm yyyy")</f>
        <v>Sep 2024</v>
      </c>
      <c r="H1411" s="10">
        <f>HOUR(Transform_Data[[#This Row],[Time]])</f>
        <v>12</v>
      </c>
      <c r="I1411" s="10" t="str">
        <f>IF(COUNTIF('Transform Data'!$D:$D,'Transform Data'!D1411)&gt;1,"Repeat","Single")</f>
        <v>Single</v>
      </c>
      <c r="J1411" s="10" t="str">
        <f>IF('Transform Data'!D1411="Cash","Cash",IF(COUNTIF('Transform Data'!$D:$D,'Transform Data'!D1411)&gt;1,"Repeat","Single"))</f>
        <v>Single</v>
      </c>
      <c r="K1411" s="10" t="str">
        <f t="shared" si="22"/>
        <v>TRANS-1410</v>
      </c>
    </row>
    <row r="1412" spans="1:11" x14ac:dyDescent="0.35">
      <c r="A1412" s="5">
        <v>45536</v>
      </c>
      <c r="B1412" s="3">
        <v>0.58163194444444444</v>
      </c>
      <c r="C1412" t="s">
        <v>8</v>
      </c>
      <c r="D1412" t="s">
        <v>612</v>
      </c>
      <c r="E1412" s="4">
        <v>32.82</v>
      </c>
      <c r="F1412" t="s">
        <v>32</v>
      </c>
      <c r="G1412" s="10" t="str">
        <f>TEXT(Transform_Data[[#This Row],[Date]],"mmm yyyy")</f>
        <v>Sep 2024</v>
      </c>
      <c r="H1412" s="10">
        <f>HOUR(Transform_Data[[#This Row],[Time]])</f>
        <v>13</v>
      </c>
      <c r="I1412" s="10" t="str">
        <f>IF(COUNTIF('Transform Data'!$D:$D,'Transform Data'!D1412)&gt;1,"Repeat","Single")</f>
        <v>Single</v>
      </c>
      <c r="J1412" s="10" t="str">
        <f>IF('Transform Data'!D1412="Cash","Cash",IF(COUNTIF('Transform Data'!$D:$D,'Transform Data'!D1412)&gt;1,"Repeat","Single"))</f>
        <v>Single</v>
      </c>
      <c r="K1412" s="10" t="str">
        <f t="shared" si="22"/>
        <v>TRANS-1411</v>
      </c>
    </row>
    <row r="1413" spans="1:11" x14ac:dyDescent="0.35">
      <c r="A1413" s="5">
        <v>45536</v>
      </c>
      <c r="B1413" s="3">
        <v>0.61393518518518519</v>
      </c>
      <c r="C1413" t="s">
        <v>8</v>
      </c>
      <c r="D1413" t="s">
        <v>438</v>
      </c>
      <c r="E1413" s="4">
        <v>27.92</v>
      </c>
      <c r="F1413" t="s">
        <v>36</v>
      </c>
      <c r="G1413" s="10" t="str">
        <f>TEXT(Transform_Data[[#This Row],[Date]],"mmm yyyy")</f>
        <v>Sep 2024</v>
      </c>
      <c r="H1413" s="10">
        <f>HOUR(Transform_Data[[#This Row],[Time]])</f>
        <v>14</v>
      </c>
      <c r="I1413" s="10" t="str">
        <f>IF(COUNTIF('Transform Data'!$D:$D,'Transform Data'!D1413)&gt;1,"Repeat","Single")</f>
        <v>Repeat</v>
      </c>
      <c r="J1413" s="10" t="str">
        <f>IF('Transform Data'!D1413="Cash","Cash",IF(COUNTIF('Transform Data'!$D:$D,'Transform Data'!D1413)&gt;1,"Repeat","Single"))</f>
        <v>Repeat</v>
      </c>
      <c r="K1413" s="10" t="str">
        <f t="shared" si="22"/>
        <v>TRANS-1412</v>
      </c>
    </row>
    <row r="1414" spans="1:11" x14ac:dyDescent="0.35">
      <c r="A1414" s="5">
        <v>45536</v>
      </c>
      <c r="B1414" s="3">
        <v>0.72275462962962966</v>
      </c>
      <c r="C1414" t="s">
        <v>8</v>
      </c>
      <c r="D1414" t="s">
        <v>613</v>
      </c>
      <c r="E1414" s="4">
        <v>32.82</v>
      </c>
      <c r="F1414" t="s">
        <v>32</v>
      </c>
      <c r="G1414" s="10" t="str">
        <f>TEXT(Transform_Data[[#This Row],[Date]],"mmm yyyy")</f>
        <v>Sep 2024</v>
      </c>
      <c r="H1414" s="10">
        <f>HOUR(Transform_Data[[#This Row],[Time]])</f>
        <v>17</v>
      </c>
      <c r="I1414" s="10" t="str">
        <f>IF(COUNTIF('Transform Data'!$D:$D,'Transform Data'!D1414)&gt;1,"Repeat","Single")</f>
        <v>Single</v>
      </c>
      <c r="J1414" s="10" t="str">
        <f>IF('Transform Data'!D1414="Cash","Cash",IF(COUNTIF('Transform Data'!$D:$D,'Transform Data'!D1414)&gt;1,"Repeat","Single"))</f>
        <v>Single</v>
      </c>
      <c r="K1414" s="10" t="str">
        <f t="shared" si="22"/>
        <v>TRANS-1413</v>
      </c>
    </row>
    <row r="1415" spans="1:11" x14ac:dyDescent="0.35">
      <c r="A1415" s="5">
        <v>45536</v>
      </c>
      <c r="B1415" s="3">
        <v>0.72445601851851849</v>
      </c>
      <c r="C1415" t="s">
        <v>8</v>
      </c>
      <c r="D1415" t="s">
        <v>614</v>
      </c>
      <c r="E1415" s="4">
        <v>32.82</v>
      </c>
      <c r="F1415" t="s">
        <v>32</v>
      </c>
      <c r="G1415" s="10" t="str">
        <f>TEXT(Transform_Data[[#This Row],[Date]],"mmm yyyy")</f>
        <v>Sep 2024</v>
      </c>
      <c r="H1415" s="10">
        <f>HOUR(Transform_Data[[#This Row],[Time]])</f>
        <v>17</v>
      </c>
      <c r="I1415" s="10" t="str">
        <f>IF(COUNTIF('Transform Data'!$D:$D,'Transform Data'!D1415)&gt;1,"Repeat","Single")</f>
        <v>Single</v>
      </c>
      <c r="J1415" s="10" t="str">
        <f>IF('Transform Data'!D1415="Cash","Cash",IF(COUNTIF('Transform Data'!$D:$D,'Transform Data'!D1415)&gt;1,"Repeat","Single"))</f>
        <v>Single</v>
      </c>
      <c r="K1415" s="10" t="str">
        <f t="shared" si="22"/>
        <v>TRANS-1414</v>
      </c>
    </row>
    <row r="1416" spans="1:11" x14ac:dyDescent="0.35">
      <c r="A1416" s="5">
        <v>45536</v>
      </c>
      <c r="B1416" s="3">
        <v>0.72556712962962966</v>
      </c>
      <c r="C1416" t="s">
        <v>8</v>
      </c>
      <c r="D1416" t="s">
        <v>615</v>
      </c>
      <c r="E1416" s="4">
        <v>32.82</v>
      </c>
      <c r="F1416" t="s">
        <v>32</v>
      </c>
      <c r="G1416" s="10" t="str">
        <f>TEXT(Transform_Data[[#This Row],[Date]],"mmm yyyy")</f>
        <v>Sep 2024</v>
      </c>
      <c r="H1416" s="10">
        <f>HOUR(Transform_Data[[#This Row],[Time]])</f>
        <v>17</v>
      </c>
      <c r="I1416" s="10" t="str">
        <f>IF(COUNTIF('Transform Data'!$D:$D,'Transform Data'!D1416)&gt;1,"Repeat","Single")</f>
        <v>Single</v>
      </c>
      <c r="J1416" s="10" t="str">
        <f>IF('Transform Data'!D1416="Cash","Cash",IF(COUNTIF('Transform Data'!$D:$D,'Transform Data'!D1416)&gt;1,"Repeat","Single"))</f>
        <v>Single</v>
      </c>
      <c r="K1416" s="10" t="str">
        <f t="shared" si="22"/>
        <v>TRANS-1415</v>
      </c>
    </row>
    <row r="1417" spans="1:11" x14ac:dyDescent="0.35">
      <c r="A1417" s="5">
        <v>45537</v>
      </c>
      <c r="B1417" s="3">
        <v>0.35045138888888888</v>
      </c>
      <c r="C1417" t="s">
        <v>8</v>
      </c>
      <c r="D1417" t="s">
        <v>478</v>
      </c>
      <c r="E1417" s="4">
        <v>32.82</v>
      </c>
      <c r="F1417" t="s">
        <v>32</v>
      </c>
      <c r="G1417" s="10" t="str">
        <f>TEXT(Transform_Data[[#This Row],[Date]],"mmm yyyy")</f>
        <v>Sep 2024</v>
      </c>
      <c r="H1417" s="10">
        <f>HOUR(Transform_Data[[#This Row],[Time]])</f>
        <v>8</v>
      </c>
      <c r="I1417" s="10" t="str">
        <f>IF(COUNTIF('Transform Data'!$D:$D,'Transform Data'!D1417)&gt;1,"Repeat","Single")</f>
        <v>Repeat</v>
      </c>
      <c r="J1417" s="10" t="str">
        <f>IF('Transform Data'!D1417="Cash","Cash",IF(COUNTIF('Transform Data'!$D:$D,'Transform Data'!D1417)&gt;1,"Repeat","Single"))</f>
        <v>Repeat</v>
      </c>
      <c r="K1417" s="10" t="str">
        <f t="shared" si="22"/>
        <v>TRANS-1416</v>
      </c>
    </row>
    <row r="1418" spans="1:11" x14ac:dyDescent="0.35">
      <c r="A1418" s="5">
        <v>45537</v>
      </c>
      <c r="B1418" s="3">
        <v>0.3682523148148148</v>
      </c>
      <c r="C1418" t="s">
        <v>8</v>
      </c>
      <c r="D1418" t="s">
        <v>616</v>
      </c>
      <c r="E1418" s="4">
        <v>27.92</v>
      </c>
      <c r="F1418" t="s">
        <v>36</v>
      </c>
      <c r="G1418" s="10" t="str">
        <f>TEXT(Transform_Data[[#This Row],[Date]],"mmm yyyy")</f>
        <v>Sep 2024</v>
      </c>
      <c r="H1418" s="10">
        <f>HOUR(Transform_Data[[#This Row],[Time]])</f>
        <v>8</v>
      </c>
      <c r="I1418" s="10" t="str">
        <f>IF(COUNTIF('Transform Data'!$D:$D,'Transform Data'!D1418)&gt;1,"Repeat","Single")</f>
        <v>Single</v>
      </c>
      <c r="J1418" s="10" t="str">
        <f>IF('Transform Data'!D1418="Cash","Cash",IF(COUNTIF('Transform Data'!$D:$D,'Transform Data'!D1418)&gt;1,"Repeat","Single"))</f>
        <v>Single</v>
      </c>
      <c r="K1418" s="10" t="str">
        <f t="shared" si="22"/>
        <v>TRANS-1417</v>
      </c>
    </row>
    <row r="1419" spans="1:11" x14ac:dyDescent="0.35">
      <c r="A1419" s="5">
        <v>45537</v>
      </c>
      <c r="B1419" s="3">
        <v>0.36913194444444447</v>
      </c>
      <c r="C1419" t="s">
        <v>8</v>
      </c>
      <c r="D1419" t="s">
        <v>617</v>
      </c>
      <c r="E1419" s="4">
        <v>32.82</v>
      </c>
      <c r="F1419" t="s">
        <v>32</v>
      </c>
      <c r="G1419" s="10" t="str">
        <f>TEXT(Transform_Data[[#This Row],[Date]],"mmm yyyy")</f>
        <v>Sep 2024</v>
      </c>
      <c r="H1419" s="10">
        <f>HOUR(Transform_Data[[#This Row],[Time]])</f>
        <v>8</v>
      </c>
      <c r="I1419" s="10" t="str">
        <f>IF(COUNTIF('Transform Data'!$D:$D,'Transform Data'!D1419)&gt;1,"Repeat","Single")</f>
        <v>Repeat</v>
      </c>
      <c r="J1419" s="10" t="str">
        <f>IF('Transform Data'!D1419="Cash","Cash",IF(COUNTIF('Transform Data'!$D:$D,'Transform Data'!D1419)&gt;1,"Repeat","Single"))</f>
        <v>Repeat</v>
      </c>
      <c r="K1419" s="10" t="str">
        <f t="shared" si="22"/>
        <v>TRANS-1418</v>
      </c>
    </row>
    <row r="1420" spans="1:11" x14ac:dyDescent="0.35">
      <c r="A1420" s="5">
        <v>45537</v>
      </c>
      <c r="B1420" s="3">
        <v>0.62415509259259261</v>
      </c>
      <c r="C1420" t="s">
        <v>8</v>
      </c>
      <c r="D1420" t="s">
        <v>618</v>
      </c>
      <c r="E1420" s="4">
        <v>27.92</v>
      </c>
      <c r="F1420" t="s">
        <v>36</v>
      </c>
      <c r="G1420" s="10" t="str">
        <f>TEXT(Transform_Data[[#This Row],[Date]],"mmm yyyy")</f>
        <v>Sep 2024</v>
      </c>
      <c r="H1420" s="10">
        <f>HOUR(Transform_Data[[#This Row],[Time]])</f>
        <v>14</v>
      </c>
      <c r="I1420" s="10" t="str">
        <f>IF(COUNTIF('Transform Data'!$D:$D,'Transform Data'!D1420)&gt;1,"Repeat","Single")</f>
        <v>Single</v>
      </c>
      <c r="J1420" s="10" t="str">
        <f>IF('Transform Data'!D1420="Cash","Cash",IF(COUNTIF('Transform Data'!$D:$D,'Transform Data'!D1420)&gt;1,"Repeat","Single"))</f>
        <v>Single</v>
      </c>
      <c r="K1420" s="10" t="str">
        <f t="shared" si="22"/>
        <v>TRANS-1419</v>
      </c>
    </row>
    <row r="1421" spans="1:11" x14ac:dyDescent="0.35">
      <c r="A1421" s="5">
        <v>45537</v>
      </c>
      <c r="B1421" s="3">
        <v>0.84008101851851846</v>
      </c>
      <c r="C1421" t="s">
        <v>8</v>
      </c>
      <c r="D1421" t="s">
        <v>619</v>
      </c>
      <c r="E1421" s="4">
        <v>32.82</v>
      </c>
      <c r="F1421" t="s">
        <v>24</v>
      </c>
      <c r="G1421" s="10" t="str">
        <f>TEXT(Transform_Data[[#This Row],[Date]],"mmm yyyy")</f>
        <v>Sep 2024</v>
      </c>
      <c r="H1421" s="10">
        <f>HOUR(Transform_Data[[#This Row],[Time]])</f>
        <v>20</v>
      </c>
      <c r="I1421" s="10" t="str">
        <f>IF(COUNTIF('Transform Data'!$D:$D,'Transform Data'!D1421)&gt;1,"Repeat","Single")</f>
        <v>Single</v>
      </c>
      <c r="J1421" s="10" t="str">
        <f>IF('Transform Data'!D1421="Cash","Cash",IF(COUNTIF('Transform Data'!$D:$D,'Transform Data'!D1421)&gt;1,"Repeat","Single"))</f>
        <v>Single</v>
      </c>
      <c r="K1421" s="10" t="str">
        <f t="shared" si="22"/>
        <v>TRANS-1420</v>
      </c>
    </row>
    <row r="1422" spans="1:11" x14ac:dyDescent="0.35">
      <c r="A1422" s="5">
        <v>45537</v>
      </c>
      <c r="B1422" s="3">
        <v>0.84116898148148145</v>
      </c>
      <c r="C1422" t="s">
        <v>8</v>
      </c>
      <c r="D1422" t="s">
        <v>233</v>
      </c>
      <c r="E1422" s="4">
        <v>32.82</v>
      </c>
      <c r="F1422" t="s">
        <v>10</v>
      </c>
      <c r="G1422" s="10" t="str">
        <f>TEXT(Transform_Data[[#This Row],[Date]],"mmm yyyy")</f>
        <v>Sep 2024</v>
      </c>
      <c r="H1422" s="10">
        <f>HOUR(Transform_Data[[#This Row],[Time]])</f>
        <v>20</v>
      </c>
      <c r="I1422" s="10" t="str">
        <f>IF(COUNTIF('Transform Data'!$D:$D,'Transform Data'!D1422)&gt;1,"Repeat","Single")</f>
        <v>Repeat</v>
      </c>
      <c r="J1422" s="10" t="str">
        <f>IF('Transform Data'!D1422="Cash","Cash",IF(COUNTIF('Transform Data'!$D:$D,'Transform Data'!D1422)&gt;1,"Repeat","Single"))</f>
        <v>Repeat</v>
      </c>
      <c r="K1422" s="10" t="str">
        <f t="shared" si="22"/>
        <v>TRANS-1421</v>
      </c>
    </row>
    <row r="1423" spans="1:11" x14ac:dyDescent="0.35">
      <c r="A1423" s="5">
        <v>45537</v>
      </c>
      <c r="B1423" s="3">
        <v>0.86980324074074078</v>
      </c>
      <c r="C1423" t="s">
        <v>8</v>
      </c>
      <c r="D1423" t="s">
        <v>620</v>
      </c>
      <c r="E1423" s="4">
        <v>23.02</v>
      </c>
      <c r="F1423" t="s">
        <v>28</v>
      </c>
      <c r="G1423" s="10" t="str">
        <f>TEXT(Transform_Data[[#This Row],[Date]],"mmm yyyy")</f>
        <v>Sep 2024</v>
      </c>
      <c r="H1423" s="10">
        <f>HOUR(Transform_Data[[#This Row],[Time]])</f>
        <v>20</v>
      </c>
      <c r="I1423" s="10" t="str">
        <f>IF(COUNTIF('Transform Data'!$D:$D,'Transform Data'!D1423)&gt;1,"Repeat","Single")</f>
        <v>Repeat</v>
      </c>
      <c r="J1423" s="10" t="str">
        <f>IF('Transform Data'!D1423="Cash","Cash",IF(COUNTIF('Transform Data'!$D:$D,'Transform Data'!D1423)&gt;1,"Repeat","Single"))</f>
        <v>Repeat</v>
      </c>
      <c r="K1423" s="10" t="str">
        <f t="shared" si="22"/>
        <v>TRANS-1422</v>
      </c>
    </row>
    <row r="1424" spans="1:11" x14ac:dyDescent="0.35">
      <c r="A1424" s="5">
        <v>45537</v>
      </c>
      <c r="B1424" s="3">
        <v>0.87047453703703703</v>
      </c>
      <c r="C1424" t="s">
        <v>8</v>
      </c>
      <c r="D1424" t="s">
        <v>620</v>
      </c>
      <c r="E1424" s="4">
        <v>23.02</v>
      </c>
      <c r="F1424" t="s">
        <v>28</v>
      </c>
      <c r="G1424" s="10" t="str">
        <f>TEXT(Transform_Data[[#This Row],[Date]],"mmm yyyy")</f>
        <v>Sep 2024</v>
      </c>
      <c r="H1424" s="10">
        <f>HOUR(Transform_Data[[#This Row],[Time]])</f>
        <v>20</v>
      </c>
      <c r="I1424" s="10" t="str">
        <f>IF(COUNTIF('Transform Data'!$D:$D,'Transform Data'!D1424)&gt;1,"Repeat","Single")</f>
        <v>Repeat</v>
      </c>
      <c r="J1424" s="10" t="str">
        <f>IF('Transform Data'!D1424="Cash","Cash",IF(COUNTIF('Transform Data'!$D:$D,'Transform Data'!D1424)&gt;1,"Repeat","Single"))</f>
        <v>Repeat</v>
      </c>
      <c r="K1424" s="10" t="str">
        <f t="shared" si="22"/>
        <v>TRANS-1423</v>
      </c>
    </row>
    <row r="1425" spans="1:11" x14ac:dyDescent="0.35">
      <c r="A1425" s="5">
        <v>45538</v>
      </c>
      <c r="B1425" s="3">
        <v>0.34878472222222223</v>
      </c>
      <c r="C1425" t="s">
        <v>8</v>
      </c>
      <c r="D1425" t="s">
        <v>621</v>
      </c>
      <c r="E1425" s="4">
        <v>32.82</v>
      </c>
      <c r="F1425" t="s">
        <v>10</v>
      </c>
      <c r="G1425" s="10" t="str">
        <f>TEXT(Transform_Data[[#This Row],[Date]],"mmm yyyy")</f>
        <v>Sep 2024</v>
      </c>
      <c r="H1425" s="10">
        <f>HOUR(Transform_Data[[#This Row],[Time]])</f>
        <v>8</v>
      </c>
      <c r="I1425" s="10" t="str">
        <f>IF(COUNTIF('Transform Data'!$D:$D,'Transform Data'!D1425)&gt;1,"Repeat","Single")</f>
        <v>Single</v>
      </c>
      <c r="J1425" s="10" t="str">
        <f>IF('Transform Data'!D1425="Cash","Cash",IF(COUNTIF('Transform Data'!$D:$D,'Transform Data'!D1425)&gt;1,"Repeat","Single"))</f>
        <v>Single</v>
      </c>
      <c r="K1425" s="10" t="str">
        <f t="shared" si="22"/>
        <v>TRANS-1424</v>
      </c>
    </row>
    <row r="1426" spans="1:11" x14ac:dyDescent="0.35">
      <c r="A1426" s="5">
        <v>45538</v>
      </c>
      <c r="B1426" s="3">
        <v>0.35291666666666666</v>
      </c>
      <c r="C1426" t="s">
        <v>8</v>
      </c>
      <c r="D1426" t="s">
        <v>222</v>
      </c>
      <c r="E1426" s="4">
        <v>32.82</v>
      </c>
      <c r="F1426" t="s">
        <v>24</v>
      </c>
      <c r="G1426" s="10" t="str">
        <f>TEXT(Transform_Data[[#This Row],[Date]],"mmm yyyy")</f>
        <v>Sep 2024</v>
      </c>
      <c r="H1426" s="10">
        <f>HOUR(Transform_Data[[#This Row],[Time]])</f>
        <v>8</v>
      </c>
      <c r="I1426" s="10" t="str">
        <f>IF(COUNTIF('Transform Data'!$D:$D,'Transform Data'!D1426)&gt;1,"Repeat","Single")</f>
        <v>Repeat</v>
      </c>
      <c r="J1426" s="10" t="str">
        <f>IF('Transform Data'!D1426="Cash","Cash",IF(COUNTIF('Transform Data'!$D:$D,'Transform Data'!D1426)&gt;1,"Repeat","Single"))</f>
        <v>Repeat</v>
      </c>
      <c r="K1426" s="10" t="str">
        <f t="shared" si="22"/>
        <v>TRANS-1425</v>
      </c>
    </row>
    <row r="1427" spans="1:11" x14ac:dyDescent="0.35">
      <c r="A1427" s="5">
        <v>45538</v>
      </c>
      <c r="B1427" s="3">
        <v>0.36193287037037036</v>
      </c>
      <c r="C1427" t="s">
        <v>8</v>
      </c>
      <c r="D1427" t="s">
        <v>622</v>
      </c>
      <c r="E1427" s="4">
        <v>32.82</v>
      </c>
      <c r="F1427" t="s">
        <v>32</v>
      </c>
      <c r="G1427" s="10" t="str">
        <f>TEXT(Transform_Data[[#This Row],[Date]],"mmm yyyy")</f>
        <v>Sep 2024</v>
      </c>
      <c r="H1427" s="10">
        <f>HOUR(Transform_Data[[#This Row],[Time]])</f>
        <v>8</v>
      </c>
      <c r="I1427" s="10" t="str">
        <f>IF(COUNTIF('Transform Data'!$D:$D,'Transform Data'!D1427)&gt;1,"Repeat","Single")</f>
        <v>Repeat</v>
      </c>
      <c r="J1427" s="10" t="str">
        <f>IF('Transform Data'!D1427="Cash","Cash",IF(COUNTIF('Transform Data'!$D:$D,'Transform Data'!D1427)&gt;1,"Repeat","Single"))</f>
        <v>Repeat</v>
      </c>
      <c r="K1427" s="10" t="str">
        <f t="shared" si="22"/>
        <v>TRANS-1426</v>
      </c>
    </row>
    <row r="1428" spans="1:11" x14ac:dyDescent="0.35">
      <c r="A1428" s="5">
        <v>45538</v>
      </c>
      <c r="B1428" s="3">
        <v>0.37722222222222224</v>
      </c>
      <c r="C1428" t="s">
        <v>8</v>
      </c>
      <c r="D1428" t="s">
        <v>623</v>
      </c>
      <c r="E1428" s="4">
        <v>27.92</v>
      </c>
      <c r="F1428" t="s">
        <v>36</v>
      </c>
      <c r="G1428" s="10" t="str">
        <f>TEXT(Transform_Data[[#This Row],[Date]],"mmm yyyy")</f>
        <v>Sep 2024</v>
      </c>
      <c r="H1428" s="10">
        <f>HOUR(Transform_Data[[#This Row],[Time]])</f>
        <v>9</v>
      </c>
      <c r="I1428" s="10" t="str">
        <f>IF(COUNTIF('Transform Data'!$D:$D,'Transform Data'!D1428)&gt;1,"Repeat","Single")</f>
        <v>Repeat</v>
      </c>
      <c r="J1428" s="10" t="str">
        <f>IF('Transform Data'!D1428="Cash","Cash",IF(COUNTIF('Transform Data'!$D:$D,'Transform Data'!D1428)&gt;1,"Repeat","Single"))</f>
        <v>Repeat</v>
      </c>
      <c r="K1428" s="10" t="str">
        <f t="shared" si="22"/>
        <v>TRANS-1427</v>
      </c>
    </row>
    <row r="1429" spans="1:11" x14ac:dyDescent="0.35">
      <c r="A1429" s="5">
        <v>45538</v>
      </c>
      <c r="B1429" s="3">
        <v>0.37790509259259258</v>
      </c>
      <c r="C1429" t="s">
        <v>8</v>
      </c>
      <c r="D1429" t="s">
        <v>623</v>
      </c>
      <c r="E1429" s="4">
        <v>32.82</v>
      </c>
      <c r="F1429" t="s">
        <v>24</v>
      </c>
      <c r="G1429" s="10" t="str">
        <f>TEXT(Transform_Data[[#This Row],[Date]],"mmm yyyy")</f>
        <v>Sep 2024</v>
      </c>
      <c r="H1429" s="10">
        <f>HOUR(Transform_Data[[#This Row],[Time]])</f>
        <v>9</v>
      </c>
      <c r="I1429" s="10" t="str">
        <f>IF(COUNTIF('Transform Data'!$D:$D,'Transform Data'!D1429)&gt;1,"Repeat","Single")</f>
        <v>Repeat</v>
      </c>
      <c r="J1429" s="10" t="str">
        <f>IF('Transform Data'!D1429="Cash","Cash",IF(COUNTIF('Transform Data'!$D:$D,'Transform Data'!D1429)&gt;1,"Repeat","Single"))</f>
        <v>Repeat</v>
      </c>
      <c r="K1429" s="10" t="str">
        <f t="shared" si="22"/>
        <v>TRANS-1428</v>
      </c>
    </row>
    <row r="1430" spans="1:11" x14ac:dyDescent="0.35">
      <c r="A1430" s="5">
        <v>45538</v>
      </c>
      <c r="B1430" s="3">
        <v>0.38388888888888889</v>
      </c>
      <c r="C1430" t="s">
        <v>8</v>
      </c>
      <c r="D1430" t="s">
        <v>624</v>
      </c>
      <c r="E1430" s="4">
        <v>32.82</v>
      </c>
      <c r="F1430" t="s">
        <v>10</v>
      </c>
      <c r="G1430" s="10" t="str">
        <f>TEXT(Transform_Data[[#This Row],[Date]],"mmm yyyy")</f>
        <v>Sep 2024</v>
      </c>
      <c r="H1430" s="10">
        <f>HOUR(Transform_Data[[#This Row],[Time]])</f>
        <v>9</v>
      </c>
      <c r="I1430" s="10" t="str">
        <f>IF(COUNTIF('Transform Data'!$D:$D,'Transform Data'!D1430)&gt;1,"Repeat","Single")</f>
        <v>Repeat</v>
      </c>
      <c r="J1430" s="10" t="str">
        <f>IF('Transform Data'!D1430="Cash","Cash",IF(COUNTIF('Transform Data'!$D:$D,'Transform Data'!D1430)&gt;1,"Repeat","Single"))</f>
        <v>Repeat</v>
      </c>
      <c r="K1430" s="10" t="str">
        <f t="shared" si="22"/>
        <v>TRANS-1429</v>
      </c>
    </row>
    <row r="1431" spans="1:11" x14ac:dyDescent="0.35">
      <c r="A1431" s="5">
        <v>45538</v>
      </c>
      <c r="B1431" s="3">
        <v>0.38440972222222225</v>
      </c>
      <c r="C1431" t="s">
        <v>8</v>
      </c>
      <c r="D1431" t="s">
        <v>624</v>
      </c>
      <c r="E1431" s="4">
        <v>32.82</v>
      </c>
      <c r="F1431" t="s">
        <v>10</v>
      </c>
      <c r="G1431" s="10" t="str">
        <f>TEXT(Transform_Data[[#This Row],[Date]],"mmm yyyy")</f>
        <v>Sep 2024</v>
      </c>
      <c r="H1431" s="10">
        <f>HOUR(Transform_Data[[#This Row],[Time]])</f>
        <v>9</v>
      </c>
      <c r="I1431" s="10" t="str">
        <f>IF(COUNTIF('Transform Data'!$D:$D,'Transform Data'!D1431)&gt;1,"Repeat","Single")</f>
        <v>Repeat</v>
      </c>
      <c r="J1431" s="10" t="str">
        <f>IF('Transform Data'!D1431="Cash","Cash",IF(COUNTIF('Transform Data'!$D:$D,'Transform Data'!D1431)&gt;1,"Repeat","Single"))</f>
        <v>Repeat</v>
      </c>
      <c r="K1431" s="10" t="str">
        <f t="shared" si="22"/>
        <v>TRANS-1430</v>
      </c>
    </row>
    <row r="1432" spans="1:11" x14ac:dyDescent="0.35">
      <c r="A1432" s="5">
        <v>45538</v>
      </c>
      <c r="B1432" s="3">
        <v>0.3868287037037037</v>
      </c>
      <c r="C1432" t="s">
        <v>8</v>
      </c>
      <c r="D1432" t="s">
        <v>438</v>
      </c>
      <c r="E1432" s="4">
        <v>27.92</v>
      </c>
      <c r="F1432" t="s">
        <v>36</v>
      </c>
      <c r="G1432" s="10" t="str">
        <f>TEXT(Transform_Data[[#This Row],[Date]],"mmm yyyy")</f>
        <v>Sep 2024</v>
      </c>
      <c r="H1432" s="10">
        <f>HOUR(Transform_Data[[#This Row],[Time]])</f>
        <v>9</v>
      </c>
      <c r="I1432" s="10" t="str">
        <f>IF(COUNTIF('Transform Data'!$D:$D,'Transform Data'!D1432)&gt;1,"Repeat","Single")</f>
        <v>Repeat</v>
      </c>
      <c r="J1432" s="10" t="str">
        <f>IF('Transform Data'!D1432="Cash","Cash",IF(COUNTIF('Transform Data'!$D:$D,'Transform Data'!D1432)&gt;1,"Repeat","Single"))</f>
        <v>Repeat</v>
      </c>
      <c r="K1432" s="10" t="str">
        <f t="shared" si="22"/>
        <v>TRANS-1431</v>
      </c>
    </row>
    <row r="1433" spans="1:11" x14ac:dyDescent="0.35">
      <c r="A1433" s="5">
        <v>45538</v>
      </c>
      <c r="B1433" s="3">
        <v>0.38908564814814817</v>
      </c>
      <c r="C1433" t="s">
        <v>8</v>
      </c>
      <c r="D1433" t="s">
        <v>625</v>
      </c>
      <c r="E1433" s="4">
        <v>27.92</v>
      </c>
      <c r="F1433" t="s">
        <v>36</v>
      </c>
      <c r="G1433" s="10" t="str">
        <f>TEXT(Transform_Data[[#This Row],[Date]],"mmm yyyy")</f>
        <v>Sep 2024</v>
      </c>
      <c r="H1433" s="10">
        <f>HOUR(Transform_Data[[#This Row],[Time]])</f>
        <v>9</v>
      </c>
      <c r="I1433" s="10" t="str">
        <f>IF(COUNTIF('Transform Data'!$D:$D,'Transform Data'!D1433)&gt;1,"Repeat","Single")</f>
        <v>Repeat</v>
      </c>
      <c r="J1433" s="10" t="str">
        <f>IF('Transform Data'!D1433="Cash","Cash",IF(COUNTIF('Transform Data'!$D:$D,'Transform Data'!D1433)&gt;1,"Repeat","Single"))</f>
        <v>Repeat</v>
      </c>
      <c r="K1433" s="10" t="str">
        <f t="shared" si="22"/>
        <v>TRANS-1432</v>
      </c>
    </row>
    <row r="1434" spans="1:11" x14ac:dyDescent="0.35">
      <c r="A1434" s="5">
        <v>45538</v>
      </c>
      <c r="B1434" s="3">
        <v>0.40129629629629632</v>
      </c>
      <c r="C1434" t="s">
        <v>8</v>
      </c>
      <c r="D1434" t="s">
        <v>626</v>
      </c>
      <c r="E1434" s="4">
        <v>32.82</v>
      </c>
      <c r="F1434" t="s">
        <v>32</v>
      </c>
      <c r="G1434" s="10" t="str">
        <f>TEXT(Transform_Data[[#This Row],[Date]],"mmm yyyy")</f>
        <v>Sep 2024</v>
      </c>
      <c r="H1434" s="10">
        <f>HOUR(Transform_Data[[#This Row],[Time]])</f>
        <v>9</v>
      </c>
      <c r="I1434" s="10" t="str">
        <f>IF(COUNTIF('Transform Data'!$D:$D,'Transform Data'!D1434)&gt;1,"Repeat","Single")</f>
        <v>Single</v>
      </c>
      <c r="J1434" s="10" t="str">
        <f>IF('Transform Data'!D1434="Cash","Cash",IF(COUNTIF('Transform Data'!$D:$D,'Transform Data'!D1434)&gt;1,"Repeat","Single"))</f>
        <v>Single</v>
      </c>
      <c r="K1434" s="10" t="str">
        <f t="shared" si="22"/>
        <v>TRANS-1433</v>
      </c>
    </row>
    <row r="1435" spans="1:11" x14ac:dyDescent="0.35">
      <c r="A1435" s="5">
        <v>45538</v>
      </c>
      <c r="B1435" s="3">
        <v>0.40203703703703703</v>
      </c>
      <c r="C1435" t="s">
        <v>8</v>
      </c>
      <c r="D1435" t="s">
        <v>627</v>
      </c>
      <c r="E1435" s="4">
        <v>32.82</v>
      </c>
      <c r="F1435" t="s">
        <v>10</v>
      </c>
      <c r="G1435" s="10" t="str">
        <f>TEXT(Transform_Data[[#This Row],[Date]],"mmm yyyy")</f>
        <v>Sep 2024</v>
      </c>
      <c r="H1435" s="10">
        <f>HOUR(Transform_Data[[#This Row],[Time]])</f>
        <v>9</v>
      </c>
      <c r="I1435" s="10" t="str">
        <f>IF(COUNTIF('Transform Data'!$D:$D,'Transform Data'!D1435)&gt;1,"Repeat","Single")</f>
        <v>Single</v>
      </c>
      <c r="J1435" s="10" t="str">
        <f>IF('Transform Data'!D1435="Cash","Cash",IF(COUNTIF('Transform Data'!$D:$D,'Transform Data'!D1435)&gt;1,"Repeat","Single"))</f>
        <v>Single</v>
      </c>
      <c r="K1435" s="10" t="str">
        <f t="shared" si="22"/>
        <v>TRANS-1434</v>
      </c>
    </row>
    <row r="1436" spans="1:11" x14ac:dyDescent="0.35">
      <c r="A1436" s="5">
        <v>45538</v>
      </c>
      <c r="B1436" s="3">
        <v>0.53950231481481481</v>
      </c>
      <c r="C1436" t="s">
        <v>8</v>
      </c>
      <c r="D1436" t="s">
        <v>628</v>
      </c>
      <c r="E1436" s="4">
        <v>23.02</v>
      </c>
      <c r="F1436" t="s">
        <v>20</v>
      </c>
      <c r="G1436" s="10" t="str">
        <f>TEXT(Transform_Data[[#This Row],[Date]],"mmm yyyy")</f>
        <v>Sep 2024</v>
      </c>
      <c r="H1436" s="10">
        <f>HOUR(Transform_Data[[#This Row],[Time]])</f>
        <v>12</v>
      </c>
      <c r="I1436" s="10" t="str">
        <f>IF(COUNTIF('Transform Data'!$D:$D,'Transform Data'!D1436)&gt;1,"Repeat","Single")</f>
        <v>Single</v>
      </c>
      <c r="J1436" s="10" t="str">
        <f>IF('Transform Data'!D1436="Cash","Cash",IF(COUNTIF('Transform Data'!$D:$D,'Transform Data'!D1436)&gt;1,"Repeat","Single"))</f>
        <v>Single</v>
      </c>
      <c r="K1436" s="10" t="str">
        <f t="shared" si="22"/>
        <v>TRANS-1435</v>
      </c>
    </row>
    <row r="1437" spans="1:11" x14ac:dyDescent="0.35">
      <c r="A1437" s="5">
        <v>45538</v>
      </c>
      <c r="B1437" s="3">
        <v>0.59364583333333332</v>
      </c>
      <c r="C1437" t="s">
        <v>8</v>
      </c>
      <c r="D1437" t="s">
        <v>386</v>
      </c>
      <c r="E1437" s="4">
        <v>27.92</v>
      </c>
      <c r="F1437" t="s">
        <v>36</v>
      </c>
      <c r="G1437" s="10" t="str">
        <f>TEXT(Transform_Data[[#This Row],[Date]],"mmm yyyy")</f>
        <v>Sep 2024</v>
      </c>
      <c r="H1437" s="10">
        <f>HOUR(Transform_Data[[#This Row],[Time]])</f>
        <v>14</v>
      </c>
      <c r="I1437" s="10" t="str">
        <f>IF(COUNTIF('Transform Data'!$D:$D,'Transform Data'!D1437)&gt;1,"Repeat","Single")</f>
        <v>Repeat</v>
      </c>
      <c r="J1437" s="10" t="str">
        <f>IF('Transform Data'!D1437="Cash","Cash",IF(COUNTIF('Transform Data'!$D:$D,'Transform Data'!D1437)&gt;1,"Repeat","Single"))</f>
        <v>Repeat</v>
      </c>
      <c r="K1437" s="10" t="str">
        <f t="shared" si="22"/>
        <v>TRANS-1436</v>
      </c>
    </row>
    <row r="1438" spans="1:11" x14ac:dyDescent="0.35">
      <c r="A1438" s="5">
        <v>45538</v>
      </c>
      <c r="B1438" s="3">
        <v>0.59464120370370366</v>
      </c>
      <c r="C1438" t="s">
        <v>8</v>
      </c>
      <c r="D1438" t="s">
        <v>386</v>
      </c>
      <c r="E1438" s="4">
        <v>27.92</v>
      </c>
      <c r="F1438" t="s">
        <v>36</v>
      </c>
      <c r="G1438" s="10" t="str">
        <f>TEXT(Transform_Data[[#This Row],[Date]],"mmm yyyy")</f>
        <v>Sep 2024</v>
      </c>
      <c r="H1438" s="10">
        <f>HOUR(Transform_Data[[#This Row],[Time]])</f>
        <v>14</v>
      </c>
      <c r="I1438" s="10" t="str">
        <f>IF(COUNTIF('Transform Data'!$D:$D,'Transform Data'!D1438)&gt;1,"Repeat","Single")</f>
        <v>Repeat</v>
      </c>
      <c r="J1438" s="10" t="str">
        <f>IF('Transform Data'!D1438="Cash","Cash",IF(COUNTIF('Transform Data'!$D:$D,'Transform Data'!D1438)&gt;1,"Repeat","Single"))</f>
        <v>Repeat</v>
      </c>
      <c r="K1438" s="10" t="str">
        <f t="shared" si="22"/>
        <v>TRANS-1437</v>
      </c>
    </row>
    <row r="1439" spans="1:11" x14ac:dyDescent="0.35">
      <c r="A1439" s="5">
        <v>45538</v>
      </c>
      <c r="B1439" s="3">
        <v>0.78372685185185187</v>
      </c>
      <c r="C1439" t="s">
        <v>8</v>
      </c>
      <c r="D1439" t="s">
        <v>386</v>
      </c>
      <c r="E1439" s="4">
        <v>27.92</v>
      </c>
      <c r="F1439" t="s">
        <v>36</v>
      </c>
      <c r="G1439" s="10" t="str">
        <f>TEXT(Transform_Data[[#This Row],[Date]],"mmm yyyy")</f>
        <v>Sep 2024</v>
      </c>
      <c r="H1439" s="10">
        <f>HOUR(Transform_Data[[#This Row],[Time]])</f>
        <v>18</v>
      </c>
      <c r="I1439" s="10" t="str">
        <f>IF(COUNTIF('Transform Data'!$D:$D,'Transform Data'!D1439)&gt;1,"Repeat","Single")</f>
        <v>Repeat</v>
      </c>
      <c r="J1439" s="10" t="str">
        <f>IF('Transform Data'!D1439="Cash","Cash",IF(COUNTIF('Transform Data'!$D:$D,'Transform Data'!D1439)&gt;1,"Repeat","Single"))</f>
        <v>Repeat</v>
      </c>
      <c r="K1439" s="10" t="str">
        <f t="shared" si="22"/>
        <v>TRANS-1438</v>
      </c>
    </row>
    <row r="1440" spans="1:11" x14ac:dyDescent="0.35">
      <c r="A1440" s="5">
        <v>45538</v>
      </c>
      <c r="B1440" s="3">
        <v>0.7994444444444444</v>
      </c>
      <c r="C1440" t="s">
        <v>8</v>
      </c>
      <c r="D1440" t="s">
        <v>520</v>
      </c>
      <c r="E1440" s="4">
        <v>32.82</v>
      </c>
      <c r="F1440" t="s">
        <v>32</v>
      </c>
      <c r="G1440" s="10" t="str">
        <f>TEXT(Transform_Data[[#This Row],[Date]],"mmm yyyy")</f>
        <v>Sep 2024</v>
      </c>
      <c r="H1440" s="10">
        <f>HOUR(Transform_Data[[#This Row],[Time]])</f>
        <v>19</v>
      </c>
      <c r="I1440" s="10" t="str">
        <f>IF(COUNTIF('Transform Data'!$D:$D,'Transform Data'!D1440)&gt;1,"Repeat","Single")</f>
        <v>Repeat</v>
      </c>
      <c r="J1440" s="10" t="str">
        <f>IF('Transform Data'!D1440="Cash","Cash",IF(COUNTIF('Transform Data'!$D:$D,'Transform Data'!D1440)&gt;1,"Repeat","Single"))</f>
        <v>Repeat</v>
      </c>
      <c r="K1440" s="10" t="str">
        <f t="shared" si="22"/>
        <v>TRANS-1439</v>
      </c>
    </row>
    <row r="1441" spans="1:11" x14ac:dyDescent="0.35">
      <c r="A1441" s="5">
        <v>45538</v>
      </c>
      <c r="B1441" s="3">
        <v>0.8036226851851852</v>
      </c>
      <c r="C1441" t="s">
        <v>8</v>
      </c>
      <c r="D1441" t="s">
        <v>520</v>
      </c>
      <c r="E1441" s="4">
        <v>27.92</v>
      </c>
      <c r="F1441" t="s">
        <v>36</v>
      </c>
      <c r="G1441" s="10" t="str">
        <f>TEXT(Transform_Data[[#This Row],[Date]],"mmm yyyy")</f>
        <v>Sep 2024</v>
      </c>
      <c r="H1441" s="10">
        <f>HOUR(Transform_Data[[#This Row],[Time]])</f>
        <v>19</v>
      </c>
      <c r="I1441" s="10" t="str">
        <f>IF(COUNTIF('Transform Data'!$D:$D,'Transform Data'!D1441)&gt;1,"Repeat","Single")</f>
        <v>Repeat</v>
      </c>
      <c r="J1441" s="10" t="str">
        <f>IF('Transform Data'!D1441="Cash","Cash",IF(COUNTIF('Transform Data'!$D:$D,'Transform Data'!D1441)&gt;1,"Repeat","Single"))</f>
        <v>Repeat</v>
      </c>
      <c r="K1441" s="10" t="str">
        <f t="shared" si="22"/>
        <v>TRANS-1440</v>
      </c>
    </row>
    <row r="1442" spans="1:11" x14ac:dyDescent="0.35">
      <c r="A1442" s="5">
        <v>45539</v>
      </c>
      <c r="B1442" s="3">
        <v>0.46621527777777777</v>
      </c>
      <c r="C1442" t="s">
        <v>8</v>
      </c>
      <c r="D1442" t="s">
        <v>629</v>
      </c>
      <c r="E1442" s="4">
        <v>27.92</v>
      </c>
      <c r="F1442" t="s">
        <v>36</v>
      </c>
      <c r="G1442" s="10" t="str">
        <f>TEXT(Transform_Data[[#This Row],[Date]],"mmm yyyy")</f>
        <v>Sep 2024</v>
      </c>
      <c r="H1442" s="10">
        <f>HOUR(Transform_Data[[#This Row],[Time]])</f>
        <v>11</v>
      </c>
      <c r="I1442" s="10" t="str">
        <f>IF(COUNTIF('Transform Data'!$D:$D,'Transform Data'!D1442)&gt;1,"Repeat","Single")</f>
        <v>Single</v>
      </c>
      <c r="J1442" s="10" t="str">
        <f>IF('Transform Data'!D1442="Cash","Cash",IF(COUNTIF('Transform Data'!$D:$D,'Transform Data'!D1442)&gt;1,"Repeat","Single"))</f>
        <v>Single</v>
      </c>
      <c r="K1442" s="10" t="str">
        <f t="shared" si="22"/>
        <v>TRANS-1441</v>
      </c>
    </row>
    <row r="1443" spans="1:11" x14ac:dyDescent="0.35">
      <c r="A1443" s="5">
        <v>45539</v>
      </c>
      <c r="B1443" s="3">
        <v>0.48166666666666669</v>
      </c>
      <c r="C1443" t="s">
        <v>8</v>
      </c>
      <c r="D1443" t="s">
        <v>562</v>
      </c>
      <c r="E1443" s="4">
        <v>32.82</v>
      </c>
      <c r="F1443" t="s">
        <v>32</v>
      </c>
      <c r="G1443" s="10" t="str">
        <f>TEXT(Transform_Data[[#This Row],[Date]],"mmm yyyy")</f>
        <v>Sep 2024</v>
      </c>
      <c r="H1443" s="10">
        <f>HOUR(Transform_Data[[#This Row],[Time]])</f>
        <v>11</v>
      </c>
      <c r="I1443" s="10" t="str">
        <f>IF(COUNTIF('Transform Data'!$D:$D,'Transform Data'!D1443)&gt;1,"Repeat","Single")</f>
        <v>Repeat</v>
      </c>
      <c r="J1443" s="10" t="str">
        <f>IF('Transform Data'!D1443="Cash","Cash",IF(COUNTIF('Transform Data'!$D:$D,'Transform Data'!D1443)&gt;1,"Repeat","Single"))</f>
        <v>Repeat</v>
      </c>
      <c r="K1443" s="10" t="str">
        <f t="shared" si="22"/>
        <v>TRANS-1442</v>
      </c>
    </row>
    <row r="1444" spans="1:11" x14ac:dyDescent="0.35">
      <c r="A1444" s="5">
        <v>45539</v>
      </c>
      <c r="B1444" s="3">
        <v>0.49170138888888887</v>
      </c>
      <c r="C1444" t="s">
        <v>8</v>
      </c>
      <c r="D1444" t="s">
        <v>76</v>
      </c>
      <c r="E1444" s="4">
        <v>23.02</v>
      </c>
      <c r="F1444" t="s">
        <v>28</v>
      </c>
      <c r="G1444" s="10" t="str">
        <f>TEXT(Transform_Data[[#This Row],[Date]],"mmm yyyy")</f>
        <v>Sep 2024</v>
      </c>
      <c r="H1444" s="10">
        <f>HOUR(Transform_Data[[#This Row],[Time]])</f>
        <v>11</v>
      </c>
      <c r="I1444" s="10" t="str">
        <f>IF(COUNTIF('Transform Data'!$D:$D,'Transform Data'!D1444)&gt;1,"Repeat","Single")</f>
        <v>Repeat</v>
      </c>
      <c r="J1444" s="10" t="str">
        <f>IF('Transform Data'!D1444="Cash","Cash",IF(COUNTIF('Transform Data'!$D:$D,'Transform Data'!D1444)&gt;1,"Repeat","Single"))</f>
        <v>Repeat</v>
      </c>
      <c r="K1444" s="10" t="str">
        <f t="shared" si="22"/>
        <v>TRANS-1443</v>
      </c>
    </row>
    <row r="1445" spans="1:11" x14ac:dyDescent="0.35">
      <c r="A1445" s="5">
        <v>45539</v>
      </c>
      <c r="B1445" s="3">
        <v>0.49692129629629628</v>
      </c>
      <c r="C1445" t="s">
        <v>8</v>
      </c>
      <c r="D1445" t="s">
        <v>630</v>
      </c>
      <c r="E1445" s="4">
        <v>27.92</v>
      </c>
      <c r="F1445" t="s">
        <v>36</v>
      </c>
      <c r="G1445" s="10" t="str">
        <f>TEXT(Transform_Data[[#This Row],[Date]],"mmm yyyy")</f>
        <v>Sep 2024</v>
      </c>
      <c r="H1445" s="10">
        <f>HOUR(Transform_Data[[#This Row],[Time]])</f>
        <v>11</v>
      </c>
      <c r="I1445" s="10" t="str">
        <f>IF(COUNTIF('Transform Data'!$D:$D,'Transform Data'!D1445)&gt;1,"Repeat","Single")</f>
        <v>Single</v>
      </c>
      <c r="J1445" s="10" t="str">
        <f>IF('Transform Data'!D1445="Cash","Cash",IF(COUNTIF('Transform Data'!$D:$D,'Transform Data'!D1445)&gt;1,"Repeat","Single"))</f>
        <v>Single</v>
      </c>
      <c r="K1445" s="10" t="str">
        <f t="shared" si="22"/>
        <v>TRANS-1444</v>
      </c>
    </row>
    <row r="1446" spans="1:11" x14ac:dyDescent="0.35">
      <c r="A1446" s="5">
        <v>45539</v>
      </c>
      <c r="B1446" s="3">
        <v>0.53716435185185185</v>
      </c>
      <c r="C1446" t="s">
        <v>8</v>
      </c>
      <c r="D1446" t="s">
        <v>617</v>
      </c>
      <c r="E1446" s="4">
        <v>32.82</v>
      </c>
      <c r="F1446" t="s">
        <v>32</v>
      </c>
      <c r="G1446" s="10" t="str">
        <f>TEXT(Transform_Data[[#This Row],[Date]],"mmm yyyy")</f>
        <v>Sep 2024</v>
      </c>
      <c r="H1446" s="10">
        <f>HOUR(Transform_Data[[#This Row],[Time]])</f>
        <v>12</v>
      </c>
      <c r="I1446" s="10" t="str">
        <f>IF(COUNTIF('Transform Data'!$D:$D,'Transform Data'!D1446)&gt;1,"Repeat","Single")</f>
        <v>Repeat</v>
      </c>
      <c r="J1446" s="10" t="str">
        <f>IF('Transform Data'!D1446="Cash","Cash",IF(COUNTIF('Transform Data'!$D:$D,'Transform Data'!D1446)&gt;1,"Repeat","Single"))</f>
        <v>Repeat</v>
      </c>
      <c r="K1446" s="10" t="str">
        <f t="shared" si="22"/>
        <v>TRANS-1445</v>
      </c>
    </row>
    <row r="1447" spans="1:11" x14ac:dyDescent="0.35">
      <c r="A1447" s="5">
        <v>45539</v>
      </c>
      <c r="B1447" s="3">
        <v>0.54432870370370368</v>
      </c>
      <c r="C1447" t="s">
        <v>8</v>
      </c>
      <c r="D1447" t="s">
        <v>631</v>
      </c>
      <c r="E1447" s="4">
        <v>32.82</v>
      </c>
      <c r="F1447" t="s">
        <v>32</v>
      </c>
      <c r="G1447" s="10" t="str">
        <f>TEXT(Transform_Data[[#This Row],[Date]],"mmm yyyy")</f>
        <v>Sep 2024</v>
      </c>
      <c r="H1447" s="10">
        <f>HOUR(Transform_Data[[#This Row],[Time]])</f>
        <v>13</v>
      </c>
      <c r="I1447" s="10" t="str">
        <f>IF(COUNTIF('Transform Data'!$D:$D,'Transform Data'!D1447)&gt;1,"Repeat","Single")</f>
        <v>Repeat</v>
      </c>
      <c r="J1447" s="10" t="str">
        <f>IF('Transform Data'!D1447="Cash","Cash",IF(COUNTIF('Transform Data'!$D:$D,'Transform Data'!D1447)&gt;1,"Repeat","Single"))</f>
        <v>Repeat</v>
      </c>
      <c r="K1447" s="10" t="str">
        <f t="shared" si="22"/>
        <v>TRANS-1446</v>
      </c>
    </row>
    <row r="1448" spans="1:11" x14ac:dyDescent="0.35">
      <c r="A1448" s="5">
        <v>45539</v>
      </c>
      <c r="B1448" s="3">
        <v>0.54532407407407413</v>
      </c>
      <c r="C1448" t="s">
        <v>8</v>
      </c>
      <c r="D1448" t="s">
        <v>631</v>
      </c>
      <c r="E1448" s="4">
        <v>27.92</v>
      </c>
      <c r="F1448" t="s">
        <v>36</v>
      </c>
      <c r="G1448" s="10" t="str">
        <f>TEXT(Transform_Data[[#This Row],[Date]],"mmm yyyy")</f>
        <v>Sep 2024</v>
      </c>
      <c r="H1448" s="10">
        <f>HOUR(Transform_Data[[#This Row],[Time]])</f>
        <v>13</v>
      </c>
      <c r="I1448" s="10" t="str">
        <f>IF(COUNTIF('Transform Data'!$D:$D,'Transform Data'!D1448)&gt;1,"Repeat","Single")</f>
        <v>Repeat</v>
      </c>
      <c r="J1448" s="10" t="str">
        <f>IF('Transform Data'!D1448="Cash","Cash",IF(COUNTIF('Transform Data'!$D:$D,'Transform Data'!D1448)&gt;1,"Repeat","Single"))</f>
        <v>Repeat</v>
      </c>
      <c r="K1448" s="10" t="str">
        <f t="shared" si="22"/>
        <v>TRANS-1447</v>
      </c>
    </row>
    <row r="1449" spans="1:11" x14ac:dyDescent="0.35">
      <c r="A1449" s="5">
        <v>45539</v>
      </c>
      <c r="B1449" s="3">
        <v>0.75261574074074078</v>
      </c>
      <c r="C1449" t="s">
        <v>8</v>
      </c>
      <c r="D1449" t="s">
        <v>632</v>
      </c>
      <c r="E1449" s="4">
        <v>32.82</v>
      </c>
      <c r="F1449" t="s">
        <v>24</v>
      </c>
      <c r="G1449" s="10" t="str">
        <f>TEXT(Transform_Data[[#This Row],[Date]],"mmm yyyy")</f>
        <v>Sep 2024</v>
      </c>
      <c r="H1449" s="10">
        <f>HOUR(Transform_Data[[#This Row],[Time]])</f>
        <v>18</v>
      </c>
      <c r="I1449" s="10" t="str">
        <f>IF(COUNTIF('Transform Data'!$D:$D,'Transform Data'!D1449)&gt;1,"Repeat","Single")</f>
        <v>Single</v>
      </c>
      <c r="J1449" s="10" t="str">
        <f>IF('Transform Data'!D1449="Cash","Cash",IF(COUNTIF('Transform Data'!$D:$D,'Transform Data'!D1449)&gt;1,"Repeat","Single"))</f>
        <v>Single</v>
      </c>
      <c r="K1449" s="10" t="str">
        <f t="shared" si="22"/>
        <v>TRANS-1448</v>
      </c>
    </row>
    <row r="1450" spans="1:11" x14ac:dyDescent="0.35">
      <c r="A1450" s="5">
        <v>45539</v>
      </c>
      <c r="B1450" s="3">
        <v>0.8206134259259259</v>
      </c>
      <c r="C1450" t="s">
        <v>8</v>
      </c>
      <c r="D1450" t="s">
        <v>11</v>
      </c>
      <c r="E1450" s="4">
        <v>27.92</v>
      </c>
      <c r="F1450" t="s">
        <v>36</v>
      </c>
      <c r="G1450" s="10" t="str">
        <f>TEXT(Transform_Data[[#This Row],[Date]],"mmm yyyy")</f>
        <v>Sep 2024</v>
      </c>
      <c r="H1450" s="10">
        <f>HOUR(Transform_Data[[#This Row],[Time]])</f>
        <v>19</v>
      </c>
      <c r="I1450" s="10" t="str">
        <f>IF(COUNTIF('Transform Data'!$D:$D,'Transform Data'!D1450)&gt;1,"Repeat","Single")</f>
        <v>Repeat</v>
      </c>
      <c r="J1450" s="10" t="str">
        <f>IF('Transform Data'!D1450="Cash","Cash",IF(COUNTIF('Transform Data'!$D:$D,'Transform Data'!D1450)&gt;1,"Repeat","Single"))</f>
        <v>Repeat</v>
      </c>
      <c r="K1450" s="10" t="str">
        <f t="shared" si="22"/>
        <v>TRANS-1449</v>
      </c>
    </row>
    <row r="1451" spans="1:11" x14ac:dyDescent="0.35">
      <c r="A1451" s="5">
        <v>45539</v>
      </c>
      <c r="B1451" s="3">
        <v>0.88859953703703709</v>
      </c>
      <c r="C1451" t="s">
        <v>8</v>
      </c>
      <c r="D1451" t="s">
        <v>547</v>
      </c>
      <c r="E1451" s="4">
        <v>32.82</v>
      </c>
      <c r="F1451" t="s">
        <v>32</v>
      </c>
      <c r="G1451" s="10" t="str">
        <f>TEXT(Transform_Data[[#This Row],[Date]],"mmm yyyy")</f>
        <v>Sep 2024</v>
      </c>
      <c r="H1451" s="10">
        <f>HOUR(Transform_Data[[#This Row],[Time]])</f>
        <v>21</v>
      </c>
      <c r="I1451" s="10" t="str">
        <f>IF(COUNTIF('Transform Data'!$D:$D,'Transform Data'!D1451)&gt;1,"Repeat","Single")</f>
        <v>Repeat</v>
      </c>
      <c r="J1451" s="10" t="str">
        <f>IF('Transform Data'!D1451="Cash","Cash",IF(COUNTIF('Transform Data'!$D:$D,'Transform Data'!D1451)&gt;1,"Repeat","Single"))</f>
        <v>Repeat</v>
      </c>
      <c r="K1451" s="10" t="str">
        <f t="shared" si="22"/>
        <v>TRANS-1450</v>
      </c>
    </row>
    <row r="1452" spans="1:11" x14ac:dyDescent="0.35">
      <c r="A1452" s="5">
        <v>45540</v>
      </c>
      <c r="B1452" s="3">
        <v>0.39672453703703703</v>
      </c>
      <c r="C1452" t="s">
        <v>8</v>
      </c>
      <c r="D1452" t="s">
        <v>438</v>
      </c>
      <c r="E1452" s="4">
        <v>27.92</v>
      </c>
      <c r="F1452" t="s">
        <v>36</v>
      </c>
      <c r="G1452" s="10" t="str">
        <f>TEXT(Transform_Data[[#This Row],[Date]],"mmm yyyy")</f>
        <v>Sep 2024</v>
      </c>
      <c r="H1452" s="10">
        <f>HOUR(Transform_Data[[#This Row],[Time]])</f>
        <v>9</v>
      </c>
      <c r="I1452" s="10" t="str">
        <f>IF(COUNTIF('Transform Data'!$D:$D,'Transform Data'!D1452)&gt;1,"Repeat","Single")</f>
        <v>Repeat</v>
      </c>
      <c r="J1452" s="10" t="str">
        <f>IF('Transform Data'!D1452="Cash","Cash",IF(COUNTIF('Transform Data'!$D:$D,'Transform Data'!D1452)&gt;1,"Repeat","Single"))</f>
        <v>Repeat</v>
      </c>
      <c r="K1452" s="10" t="str">
        <f t="shared" si="22"/>
        <v>TRANS-1451</v>
      </c>
    </row>
    <row r="1453" spans="1:11" x14ac:dyDescent="0.35">
      <c r="A1453" s="5">
        <v>45540</v>
      </c>
      <c r="B1453" s="3">
        <v>0.43675925925925924</v>
      </c>
      <c r="C1453" t="s">
        <v>8</v>
      </c>
      <c r="D1453" t="s">
        <v>633</v>
      </c>
      <c r="E1453" s="4">
        <v>27.92</v>
      </c>
      <c r="F1453" t="s">
        <v>36</v>
      </c>
      <c r="G1453" s="10" t="str">
        <f>TEXT(Transform_Data[[#This Row],[Date]],"mmm yyyy")</f>
        <v>Sep 2024</v>
      </c>
      <c r="H1453" s="10">
        <f>HOUR(Transform_Data[[#This Row],[Time]])</f>
        <v>10</v>
      </c>
      <c r="I1453" s="10" t="str">
        <f>IF(COUNTIF('Transform Data'!$D:$D,'Transform Data'!D1453)&gt;1,"Repeat","Single")</f>
        <v>Single</v>
      </c>
      <c r="J1453" s="10" t="str">
        <f>IF('Transform Data'!D1453="Cash","Cash",IF(COUNTIF('Transform Data'!$D:$D,'Transform Data'!D1453)&gt;1,"Repeat","Single"))</f>
        <v>Single</v>
      </c>
      <c r="K1453" s="10" t="str">
        <f t="shared" si="22"/>
        <v>TRANS-1452</v>
      </c>
    </row>
    <row r="1454" spans="1:11" x14ac:dyDescent="0.35">
      <c r="A1454" s="5">
        <v>45540</v>
      </c>
      <c r="B1454" s="3">
        <v>0.46284722222222224</v>
      </c>
      <c r="C1454" t="s">
        <v>8</v>
      </c>
      <c r="D1454" t="s">
        <v>76</v>
      </c>
      <c r="E1454" s="4">
        <v>23.02</v>
      </c>
      <c r="F1454" t="s">
        <v>28</v>
      </c>
      <c r="G1454" s="10" t="str">
        <f>TEXT(Transform_Data[[#This Row],[Date]],"mmm yyyy")</f>
        <v>Sep 2024</v>
      </c>
      <c r="H1454" s="10">
        <f>HOUR(Transform_Data[[#This Row],[Time]])</f>
        <v>11</v>
      </c>
      <c r="I1454" s="10" t="str">
        <f>IF(COUNTIF('Transform Data'!$D:$D,'Transform Data'!D1454)&gt;1,"Repeat","Single")</f>
        <v>Repeat</v>
      </c>
      <c r="J1454" s="10" t="str">
        <f>IF('Transform Data'!D1454="Cash","Cash",IF(COUNTIF('Transform Data'!$D:$D,'Transform Data'!D1454)&gt;1,"Repeat","Single"))</f>
        <v>Repeat</v>
      </c>
      <c r="K1454" s="10" t="str">
        <f t="shared" si="22"/>
        <v>TRANS-1453</v>
      </c>
    </row>
    <row r="1455" spans="1:11" x14ac:dyDescent="0.35">
      <c r="A1455" s="5">
        <v>45540</v>
      </c>
      <c r="B1455" s="3">
        <v>0.58364583333333331</v>
      </c>
      <c r="C1455" t="s">
        <v>8</v>
      </c>
      <c r="D1455" t="s">
        <v>634</v>
      </c>
      <c r="E1455" s="4">
        <v>32.82</v>
      </c>
      <c r="F1455" t="s">
        <v>32</v>
      </c>
      <c r="G1455" s="10" t="str">
        <f>TEXT(Transform_Data[[#This Row],[Date]],"mmm yyyy")</f>
        <v>Sep 2024</v>
      </c>
      <c r="H1455" s="10">
        <f>HOUR(Transform_Data[[#This Row],[Time]])</f>
        <v>14</v>
      </c>
      <c r="I1455" s="10" t="str">
        <f>IF(COUNTIF('Transform Data'!$D:$D,'Transform Data'!D1455)&gt;1,"Repeat","Single")</f>
        <v>Repeat</v>
      </c>
      <c r="J1455" s="10" t="str">
        <f>IF('Transform Data'!D1455="Cash","Cash",IF(COUNTIF('Transform Data'!$D:$D,'Transform Data'!D1455)&gt;1,"Repeat","Single"))</f>
        <v>Repeat</v>
      </c>
      <c r="K1455" s="10" t="str">
        <f t="shared" si="22"/>
        <v>TRANS-1454</v>
      </c>
    </row>
    <row r="1456" spans="1:11" x14ac:dyDescent="0.35">
      <c r="A1456" s="5">
        <v>45540</v>
      </c>
      <c r="B1456" s="3">
        <v>0.64249999999999996</v>
      </c>
      <c r="C1456" t="s">
        <v>8</v>
      </c>
      <c r="D1456" t="s">
        <v>635</v>
      </c>
      <c r="E1456" s="4">
        <v>32.82</v>
      </c>
      <c r="F1456" t="s">
        <v>32</v>
      </c>
      <c r="G1456" s="10" t="str">
        <f>TEXT(Transform_Data[[#This Row],[Date]],"mmm yyyy")</f>
        <v>Sep 2024</v>
      </c>
      <c r="H1456" s="10">
        <f>HOUR(Transform_Data[[#This Row],[Time]])</f>
        <v>15</v>
      </c>
      <c r="I1456" s="10" t="str">
        <f>IF(COUNTIF('Transform Data'!$D:$D,'Transform Data'!D1456)&gt;1,"Repeat","Single")</f>
        <v>Repeat</v>
      </c>
      <c r="J1456" s="10" t="str">
        <f>IF('Transform Data'!D1456="Cash","Cash",IF(COUNTIF('Transform Data'!$D:$D,'Transform Data'!D1456)&gt;1,"Repeat","Single"))</f>
        <v>Repeat</v>
      </c>
      <c r="K1456" s="10" t="str">
        <f t="shared" si="22"/>
        <v>TRANS-1455</v>
      </c>
    </row>
    <row r="1457" spans="1:11" x14ac:dyDescent="0.35">
      <c r="A1457" s="5">
        <v>45540</v>
      </c>
      <c r="B1457" s="3">
        <v>0.69363425925925926</v>
      </c>
      <c r="C1457" t="s">
        <v>8</v>
      </c>
      <c r="D1457" t="s">
        <v>636</v>
      </c>
      <c r="E1457" s="4">
        <v>23.02</v>
      </c>
      <c r="F1457" t="s">
        <v>28</v>
      </c>
      <c r="G1457" s="10" t="str">
        <f>TEXT(Transform_Data[[#This Row],[Date]],"mmm yyyy")</f>
        <v>Sep 2024</v>
      </c>
      <c r="H1457" s="10">
        <f>HOUR(Transform_Data[[#This Row],[Time]])</f>
        <v>16</v>
      </c>
      <c r="I1457" s="10" t="str">
        <f>IF(COUNTIF('Transform Data'!$D:$D,'Transform Data'!D1457)&gt;1,"Repeat","Single")</f>
        <v>Repeat</v>
      </c>
      <c r="J1457" s="10" t="str">
        <f>IF('Transform Data'!D1457="Cash","Cash",IF(COUNTIF('Transform Data'!$D:$D,'Transform Data'!D1457)&gt;1,"Repeat","Single"))</f>
        <v>Repeat</v>
      </c>
      <c r="K1457" s="10" t="str">
        <f t="shared" si="22"/>
        <v>TRANS-1456</v>
      </c>
    </row>
    <row r="1458" spans="1:11" x14ac:dyDescent="0.35">
      <c r="A1458" s="5">
        <v>45540</v>
      </c>
      <c r="B1458" s="3">
        <v>0.69443287037037038</v>
      </c>
      <c r="C1458" t="s">
        <v>8</v>
      </c>
      <c r="D1458" t="s">
        <v>637</v>
      </c>
      <c r="E1458" s="4">
        <v>27.92</v>
      </c>
      <c r="F1458" t="s">
        <v>36</v>
      </c>
      <c r="G1458" s="10" t="str">
        <f>TEXT(Transform_Data[[#This Row],[Date]],"mmm yyyy")</f>
        <v>Sep 2024</v>
      </c>
      <c r="H1458" s="10">
        <f>HOUR(Transform_Data[[#This Row],[Time]])</f>
        <v>16</v>
      </c>
      <c r="I1458" s="10" t="str">
        <f>IF(COUNTIF('Transform Data'!$D:$D,'Transform Data'!D1458)&gt;1,"Repeat","Single")</f>
        <v>Repeat</v>
      </c>
      <c r="J1458" s="10" t="str">
        <f>IF('Transform Data'!D1458="Cash","Cash",IF(COUNTIF('Transform Data'!$D:$D,'Transform Data'!D1458)&gt;1,"Repeat","Single"))</f>
        <v>Repeat</v>
      </c>
      <c r="K1458" s="10" t="str">
        <f t="shared" si="22"/>
        <v>TRANS-1457</v>
      </c>
    </row>
    <row r="1459" spans="1:11" x14ac:dyDescent="0.35">
      <c r="A1459" s="5">
        <v>45540</v>
      </c>
      <c r="B1459" s="3">
        <v>0.71143518518518523</v>
      </c>
      <c r="C1459" t="s">
        <v>8</v>
      </c>
      <c r="D1459" t="s">
        <v>638</v>
      </c>
      <c r="E1459" s="4">
        <v>32.82</v>
      </c>
      <c r="F1459" t="s">
        <v>24</v>
      </c>
      <c r="G1459" s="10" t="str">
        <f>TEXT(Transform_Data[[#This Row],[Date]],"mmm yyyy")</f>
        <v>Sep 2024</v>
      </c>
      <c r="H1459" s="10">
        <f>HOUR(Transform_Data[[#This Row],[Time]])</f>
        <v>17</v>
      </c>
      <c r="I1459" s="10" t="str">
        <f>IF(COUNTIF('Transform Data'!$D:$D,'Transform Data'!D1459)&gt;1,"Repeat","Single")</f>
        <v>Repeat</v>
      </c>
      <c r="J1459" s="10" t="str">
        <f>IF('Transform Data'!D1459="Cash","Cash",IF(COUNTIF('Transform Data'!$D:$D,'Transform Data'!D1459)&gt;1,"Repeat","Single"))</f>
        <v>Repeat</v>
      </c>
      <c r="K1459" s="10" t="str">
        <f t="shared" si="22"/>
        <v>TRANS-1458</v>
      </c>
    </row>
    <row r="1460" spans="1:11" x14ac:dyDescent="0.35">
      <c r="A1460" s="5">
        <v>45540</v>
      </c>
      <c r="B1460" s="3">
        <v>0.7121643518518519</v>
      </c>
      <c r="C1460" t="s">
        <v>8</v>
      </c>
      <c r="D1460" t="s">
        <v>638</v>
      </c>
      <c r="E1460" s="4">
        <v>32.82</v>
      </c>
      <c r="F1460" t="s">
        <v>24</v>
      </c>
      <c r="G1460" s="10" t="str">
        <f>TEXT(Transform_Data[[#This Row],[Date]],"mmm yyyy")</f>
        <v>Sep 2024</v>
      </c>
      <c r="H1460" s="10">
        <f>HOUR(Transform_Data[[#This Row],[Time]])</f>
        <v>17</v>
      </c>
      <c r="I1460" s="10" t="str">
        <f>IF(COUNTIF('Transform Data'!$D:$D,'Transform Data'!D1460)&gt;1,"Repeat","Single")</f>
        <v>Repeat</v>
      </c>
      <c r="J1460" s="10" t="str">
        <f>IF('Transform Data'!D1460="Cash","Cash",IF(COUNTIF('Transform Data'!$D:$D,'Transform Data'!D1460)&gt;1,"Repeat","Single"))</f>
        <v>Repeat</v>
      </c>
      <c r="K1460" s="10" t="str">
        <f t="shared" si="22"/>
        <v>TRANS-1459</v>
      </c>
    </row>
    <row r="1461" spans="1:11" x14ac:dyDescent="0.35">
      <c r="A1461" s="5">
        <v>45540</v>
      </c>
      <c r="B1461" s="3">
        <v>0.85432870370370373</v>
      </c>
      <c r="C1461" t="s">
        <v>8</v>
      </c>
      <c r="D1461" t="s">
        <v>639</v>
      </c>
      <c r="E1461" s="4">
        <v>32.82</v>
      </c>
      <c r="F1461" t="s">
        <v>24</v>
      </c>
      <c r="G1461" s="10" t="str">
        <f>TEXT(Transform_Data[[#This Row],[Date]],"mmm yyyy")</f>
        <v>Sep 2024</v>
      </c>
      <c r="H1461" s="10">
        <f>HOUR(Transform_Data[[#This Row],[Time]])</f>
        <v>20</v>
      </c>
      <c r="I1461" s="10" t="str">
        <f>IF(COUNTIF('Transform Data'!$D:$D,'Transform Data'!D1461)&gt;1,"Repeat","Single")</f>
        <v>Single</v>
      </c>
      <c r="J1461" s="10" t="str">
        <f>IF('Transform Data'!D1461="Cash","Cash",IF(COUNTIF('Transform Data'!$D:$D,'Transform Data'!D1461)&gt;1,"Repeat","Single"))</f>
        <v>Single</v>
      </c>
      <c r="K1461" s="10" t="str">
        <f t="shared" si="22"/>
        <v>TRANS-1460</v>
      </c>
    </row>
    <row r="1462" spans="1:11" x14ac:dyDescent="0.35">
      <c r="A1462" s="5">
        <v>45540</v>
      </c>
      <c r="B1462" s="3">
        <v>0.87111111111111106</v>
      </c>
      <c r="C1462" t="s">
        <v>8</v>
      </c>
      <c r="D1462" t="s">
        <v>640</v>
      </c>
      <c r="E1462" s="4">
        <v>23.02</v>
      </c>
      <c r="F1462" t="s">
        <v>28</v>
      </c>
      <c r="G1462" s="10" t="str">
        <f>TEXT(Transform_Data[[#This Row],[Date]],"mmm yyyy")</f>
        <v>Sep 2024</v>
      </c>
      <c r="H1462" s="10">
        <f>HOUR(Transform_Data[[#This Row],[Time]])</f>
        <v>20</v>
      </c>
      <c r="I1462" s="10" t="str">
        <f>IF(COUNTIF('Transform Data'!$D:$D,'Transform Data'!D1462)&gt;1,"Repeat","Single")</f>
        <v>Repeat</v>
      </c>
      <c r="J1462" s="10" t="str">
        <f>IF('Transform Data'!D1462="Cash","Cash",IF(COUNTIF('Transform Data'!$D:$D,'Transform Data'!D1462)&gt;1,"Repeat","Single"))</f>
        <v>Repeat</v>
      </c>
      <c r="K1462" s="10" t="str">
        <f t="shared" si="22"/>
        <v>TRANS-1461</v>
      </c>
    </row>
    <row r="1463" spans="1:11" x14ac:dyDescent="0.35">
      <c r="A1463" s="5">
        <v>45540</v>
      </c>
      <c r="B1463" s="3">
        <v>0.87188657407407411</v>
      </c>
      <c r="C1463" t="s">
        <v>8</v>
      </c>
      <c r="D1463" t="s">
        <v>640</v>
      </c>
      <c r="E1463" s="4">
        <v>32.82</v>
      </c>
      <c r="F1463" t="s">
        <v>24</v>
      </c>
      <c r="G1463" s="10" t="str">
        <f>TEXT(Transform_Data[[#This Row],[Date]],"mmm yyyy")</f>
        <v>Sep 2024</v>
      </c>
      <c r="H1463" s="10">
        <f>HOUR(Transform_Data[[#This Row],[Time]])</f>
        <v>20</v>
      </c>
      <c r="I1463" s="10" t="str">
        <f>IF(COUNTIF('Transform Data'!$D:$D,'Transform Data'!D1463)&gt;1,"Repeat","Single")</f>
        <v>Repeat</v>
      </c>
      <c r="J1463" s="10" t="str">
        <f>IF('Transform Data'!D1463="Cash","Cash",IF(COUNTIF('Transform Data'!$D:$D,'Transform Data'!D1463)&gt;1,"Repeat","Single"))</f>
        <v>Repeat</v>
      </c>
      <c r="K1463" s="10" t="str">
        <f t="shared" si="22"/>
        <v>TRANS-1462</v>
      </c>
    </row>
    <row r="1464" spans="1:11" x14ac:dyDescent="0.35">
      <c r="A1464" s="5">
        <v>45540</v>
      </c>
      <c r="B1464" s="3">
        <v>0.89337962962962958</v>
      </c>
      <c r="C1464" t="s">
        <v>8</v>
      </c>
      <c r="D1464" t="s">
        <v>16</v>
      </c>
      <c r="E1464" s="4">
        <v>27.92</v>
      </c>
      <c r="F1464" t="s">
        <v>36</v>
      </c>
      <c r="G1464" s="10" t="str">
        <f>TEXT(Transform_Data[[#This Row],[Date]],"mmm yyyy")</f>
        <v>Sep 2024</v>
      </c>
      <c r="H1464" s="10">
        <f>HOUR(Transform_Data[[#This Row],[Time]])</f>
        <v>21</v>
      </c>
      <c r="I1464" s="10" t="str">
        <f>IF(COUNTIF('Transform Data'!$D:$D,'Transform Data'!D1464)&gt;1,"Repeat","Single")</f>
        <v>Repeat</v>
      </c>
      <c r="J1464" s="10" t="str">
        <f>IF('Transform Data'!D1464="Cash","Cash",IF(COUNTIF('Transform Data'!$D:$D,'Transform Data'!D1464)&gt;1,"Repeat","Single"))</f>
        <v>Repeat</v>
      </c>
      <c r="K1464" s="10" t="str">
        <f t="shared" si="22"/>
        <v>TRANS-1463</v>
      </c>
    </row>
    <row r="1465" spans="1:11" x14ac:dyDescent="0.35">
      <c r="A1465" s="5">
        <v>45540</v>
      </c>
      <c r="B1465" s="3">
        <v>0.89408564814814817</v>
      </c>
      <c r="C1465" t="s">
        <v>8</v>
      </c>
      <c r="D1465" t="s">
        <v>16</v>
      </c>
      <c r="E1465" s="4">
        <v>27.92</v>
      </c>
      <c r="F1465" t="s">
        <v>36</v>
      </c>
      <c r="G1465" s="10" t="str">
        <f>TEXT(Transform_Data[[#This Row],[Date]],"mmm yyyy")</f>
        <v>Sep 2024</v>
      </c>
      <c r="H1465" s="10">
        <f>HOUR(Transform_Data[[#This Row],[Time]])</f>
        <v>21</v>
      </c>
      <c r="I1465" s="10" t="str">
        <f>IF(COUNTIF('Transform Data'!$D:$D,'Transform Data'!D1465)&gt;1,"Repeat","Single")</f>
        <v>Repeat</v>
      </c>
      <c r="J1465" s="10" t="str">
        <f>IF('Transform Data'!D1465="Cash","Cash",IF(COUNTIF('Transform Data'!$D:$D,'Transform Data'!D1465)&gt;1,"Repeat","Single"))</f>
        <v>Repeat</v>
      </c>
      <c r="K1465" s="10" t="str">
        <f t="shared" si="22"/>
        <v>TRANS-1464</v>
      </c>
    </row>
    <row r="1466" spans="1:11" x14ac:dyDescent="0.35">
      <c r="A1466" s="5">
        <v>45541</v>
      </c>
      <c r="B1466" s="3">
        <v>0.35107638888888887</v>
      </c>
      <c r="C1466" t="s">
        <v>8</v>
      </c>
      <c r="D1466" t="s">
        <v>634</v>
      </c>
      <c r="E1466" s="4">
        <v>32.82</v>
      </c>
      <c r="F1466" t="s">
        <v>24</v>
      </c>
      <c r="G1466" s="10" t="str">
        <f>TEXT(Transform_Data[[#This Row],[Date]],"mmm yyyy")</f>
        <v>Sep 2024</v>
      </c>
      <c r="H1466" s="10">
        <f>HOUR(Transform_Data[[#This Row],[Time]])</f>
        <v>8</v>
      </c>
      <c r="I1466" s="10" t="str">
        <f>IF(COUNTIF('Transform Data'!$D:$D,'Transform Data'!D1466)&gt;1,"Repeat","Single")</f>
        <v>Repeat</v>
      </c>
      <c r="J1466" s="10" t="str">
        <f>IF('Transform Data'!D1466="Cash","Cash",IF(COUNTIF('Transform Data'!$D:$D,'Transform Data'!D1466)&gt;1,"Repeat","Single"))</f>
        <v>Repeat</v>
      </c>
      <c r="K1466" s="10" t="str">
        <f t="shared" si="22"/>
        <v>TRANS-1465</v>
      </c>
    </row>
    <row r="1467" spans="1:11" x14ac:dyDescent="0.35">
      <c r="A1467" s="5">
        <v>45541</v>
      </c>
      <c r="B1467" s="3">
        <v>0.35747685185185185</v>
      </c>
      <c r="C1467" t="s">
        <v>8</v>
      </c>
      <c r="D1467" t="s">
        <v>478</v>
      </c>
      <c r="E1467" s="4">
        <v>32.82</v>
      </c>
      <c r="F1467" t="s">
        <v>32</v>
      </c>
      <c r="G1467" s="10" t="str">
        <f>TEXT(Transform_Data[[#This Row],[Date]],"mmm yyyy")</f>
        <v>Sep 2024</v>
      </c>
      <c r="H1467" s="10">
        <f>HOUR(Transform_Data[[#This Row],[Time]])</f>
        <v>8</v>
      </c>
      <c r="I1467" s="10" t="str">
        <f>IF(COUNTIF('Transform Data'!$D:$D,'Transform Data'!D1467)&gt;1,"Repeat","Single")</f>
        <v>Repeat</v>
      </c>
      <c r="J1467" s="10" t="str">
        <f>IF('Transform Data'!D1467="Cash","Cash",IF(COUNTIF('Transform Data'!$D:$D,'Transform Data'!D1467)&gt;1,"Repeat","Single"))</f>
        <v>Repeat</v>
      </c>
      <c r="K1467" s="10" t="str">
        <f t="shared" si="22"/>
        <v>TRANS-1466</v>
      </c>
    </row>
    <row r="1468" spans="1:11" x14ac:dyDescent="0.35">
      <c r="A1468" s="5">
        <v>45541</v>
      </c>
      <c r="B1468" s="3">
        <v>0.37130787037037039</v>
      </c>
      <c r="C1468" t="s">
        <v>8</v>
      </c>
      <c r="D1468" t="s">
        <v>641</v>
      </c>
      <c r="E1468" s="4">
        <v>23.02</v>
      </c>
      <c r="F1468" t="s">
        <v>28</v>
      </c>
      <c r="G1468" s="10" t="str">
        <f>TEXT(Transform_Data[[#This Row],[Date]],"mmm yyyy")</f>
        <v>Sep 2024</v>
      </c>
      <c r="H1468" s="10">
        <f>HOUR(Transform_Data[[#This Row],[Time]])</f>
        <v>8</v>
      </c>
      <c r="I1468" s="10" t="str">
        <f>IF(COUNTIF('Transform Data'!$D:$D,'Transform Data'!D1468)&gt;1,"Repeat","Single")</f>
        <v>Single</v>
      </c>
      <c r="J1468" s="10" t="str">
        <f>IF('Transform Data'!D1468="Cash","Cash",IF(COUNTIF('Transform Data'!$D:$D,'Transform Data'!D1468)&gt;1,"Repeat","Single"))</f>
        <v>Single</v>
      </c>
      <c r="K1468" s="10" t="str">
        <f t="shared" si="22"/>
        <v>TRANS-1467</v>
      </c>
    </row>
    <row r="1469" spans="1:11" x14ac:dyDescent="0.35">
      <c r="A1469" s="5">
        <v>45541</v>
      </c>
      <c r="B1469" s="3">
        <v>0.41017361111111111</v>
      </c>
      <c r="C1469" t="s">
        <v>8</v>
      </c>
      <c r="D1469" t="s">
        <v>642</v>
      </c>
      <c r="E1469" s="4">
        <v>18.12</v>
      </c>
      <c r="F1469" t="s">
        <v>5</v>
      </c>
      <c r="G1469" s="10" t="str">
        <f>TEXT(Transform_Data[[#This Row],[Date]],"mmm yyyy")</f>
        <v>Sep 2024</v>
      </c>
      <c r="H1469" s="10">
        <f>HOUR(Transform_Data[[#This Row],[Time]])</f>
        <v>9</v>
      </c>
      <c r="I1469" s="10" t="str">
        <f>IF(COUNTIF('Transform Data'!$D:$D,'Transform Data'!D1469)&gt;1,"Repeat","Single")</f>
        <v>Repeat</v>
      </c>
      <c r="J1469" s="10" t="str">
        <f>IF('Transform Data'!D1469="Cash","Cash",IF(COUNTIF('Transform Data'!$D:$D,'Transform Data'!D1469)&gt;1,"Repeat","Single"))</f>
        <v>Repeat</v>
      </c>
      <c r="K1469" s="10" t="str">
        <f t="shared" si="22"/>
        <v>TRANS-1468</v>
      </c>
    </row>
    <row r="1470" spans="1:11" x14ac:dyDescent="0.35">
      <c r="A1470" s="5">
        <v>45541</v>
      </c>
      <c r="B1470" s="3">
        <v>0.41101851851851851</v>
      </c>
      <c r="C1470" t="s">
        <v>8</v>
      </c>
      <c r="D1470" t="s">
        <v>642</v>
      </c>
      <c r="E1470" s="4">
        <v>32.82</v>
      </c>
      <c r="F1470" t="s">
        <v>32</v>
      </c>
      <c r="G1470" s="10" t="str">
        <f>TEXT(Transform_Data[[#This Row],[Date]],"mmm yyyy")</f>
        <v>Sep 2024</v>
      </c>
      <c r="H1470" s="10">
        <f>HOUR(Transform_Data[[#This Row],[Time]])</f>
        <v>9</v>
      </c>
      <c r="I1470" s="10" t="str">
        <f>IF(COUNTIF('Transform Data'!$D:$D,'Transform Data'!D1470)&gt;1,"Repeat","Single")</f>
        <v>Repeat</v>
      </c>
      <c r="J1470" s="10" t="str">
        <f>IF('Transform Data'!D1470="Cash","Cash",IF(COUNTIF('Transform Data'!$D:$D,'Transform Data'!D1470)&gt;1,"Repeat","Single"))</f>
        <v>Repeat</v>
      </c>
      <c r="K1470" s="10" t="str">
        <f t="shared" si="22"/>
        <v>TRANS-1469</v>
      </c>
    </row>
    <row r="1471" spans="1:11" x14ac:dyDescent="0.35">
      <c r="A1471" s="5">
        <v>45541</v>
      </c>
      <c r="B1471" s="3">
        <v>0.43756944444444446</v>
      </c>
      <c r="C1471" t="s">
        <v>8</v>
      </c>
      <c r="D1471" t="s">
        <v>643</v>
      </c>
      <c r="E1471" s="4">
        <v>32.82</v>
      </c>
      <c r="F1471" t="s">
        <v>15</v>
      </c>
      <c r="G1471" s="10" t="str">
        <f>TEXT(Transform_Data[[#This Row],[Date]],"mmm yyyy")</f>
        <v>Sep 2024</v>
      </c>
      <c r="H1471" s="10">
        <f>HOUR(Transform_Data[[#This Row],[Time]])</f>
        <v>10</v>
      </c>
      <c r="I1471" s="10" t="str">
        <f>IF(COUNTIF('Transform Data'!$D:$D,'Transform Data'!D1471)&gt;1,"Repeat","Single")</f>
        <v>Single</v>
      </c>
      <c r="J1471" s="10" t="str">
        <f>IF('Transform Data'!D1471="Cash","Cash",IF(COUNTIF('Transform Data'!$D:$D,'Transform Data'!D1471)&gt;1,"Repeat","Single"))</f>
        <v>Single</v>
      </c>
      <c r="K1471" s="10" t="str">
        <f t="shared" si="22"/>
        <v>TRANS-1470</v>
      </c>
    </row>
    <row r="1472" spans="1:11" x14ac:dyDescent="0.35">
      <c r="A1472" s="5">
        <v>45541</v>
      </c>
      <c r="B1472" s="3">
        <v>0.4745949074074074</v>
      </c>
      <c r="C1472" t="s">
        <v>8</v>
      </c>
      <c r="D1472" t="s">
        <v>151</v>
      </c>
      <c r="E1472" s="4">
        <v>18.12</v>
      </c>
      <c r="F1472" t="s">
        <v>5</v>
      </c>
      <c r="G1472" s="10" t="str">
        <f>TEXT(Transform_Data[[#This Row],[Date]],"mmm yyyy")</f>
        <v>Sep 2024</v>
      </c>
      <c r="H1472" s="10">
        <f>HOUR(Transform_Data[[#This Row],[Time]])</f>
        <v>11</v>
      </c>
      <c r="I1472" s="10" t="str">
        <f>IF(COUNTIF('Transform Data'!$D:$D,'Transform Data'!D1472)&gt;1,"Repeat","Single")</f>
        <v>Repeat</v>
      </c>
      <c r="J1472" s="10" t="str">
        <f>IF('Transform Data'!D1472="Cash","Cash",IF(COUNTIF('Transform Data'!$D:$D,'Transform Data'!D1472)&gt;1,"Repeat","Single"))</f>
        <v>Repeat</v>
      </c>
      <c r="K1472" s="10" t="str">
        <f t="shared" si="22"/>
        <v>TRANS-1471</v>
      </c>
    </row>
    <row r="1473" spans="1:11" x14ac:dyDescent="0.35">
      <c r="A1473" s="5">
        <v>45541</v>
      </c>
      <c r="B1473" s="3">
        <v>0.47533564814814816</v>
      </c>
      <c r="C1473" t="s">
        <v>8</v>
      </c>
      <c r="D1473" t="s">
        <v>520</v>
      </c>
      <c r="E1473" s="4">
        <v>18.12</v>
      </c>
      <c r="F1473" t="s">
        <v>5</v>
      </c>
      <c r="G1473" s="10" t="str">
        <f>TEXT(Transform_Data[[#This Row],[Date]],"mmm yyyy")</f>
        <v>Sep 2024</v>
      </c>
      <c r="H1473" s="10">
        <f>HOUR(Transform_Data[[#This Row],[Time]])</f>
        <v>11</v>
      </c>
      <c r="I1473" s="10" t="str">
        <f>IF(COUNTIF('Transform Data'!$D:$D,'Transform Data'!D1473)&gt;1,"Repeat","Single")</f>
        <v>Repeat</v>
      </c>
      <c r="J1473" s="10" t="str">
        <f>IF('Transform Data'!D1473="Cash","Cash",IF(COUNTIF('Transform Data'!$D:$D,'Transform Data'!D1473)&gt;1,"Repeat","Single"))</f>
        <v>Repeat</v>
      </c>
      <c r="K1473" s="10" t="str">
        <f t="shared" si="22"/>
        <v>TRANS-1472</v>
      </c>
    </row>
    <row r="1474" spans="1:11" x14ac:dyDescent="0.35">
      <c r="A1474" s="5">
        <v>45541</v>
      </c>
      <c r="B1474" s="3">
        <v>0.83347222222222217</v>
      </c>
      <c r="C1474" t="s">
        <v>8</v>
      </c>
      <c r="D1474" t="s">
        <v>336</v>
      </c>
      <c r="E1474" s="4">
        <v>32.82</v>
      </c>
      <c r="F1474" t="s">
        <v>32</v>
      </c>
      <c r="G1474" s="10" t="str">
        <f>TEXT(Transform_Data[[#This Row],[Date]],"mmm yyyy")</f>
        <v>Sep 2024</v>
      </c>
      <c r="H1474" s="10">
        <f>HOUR(Transform_Data[[#This Row],[Time]])</f>
        <v>20</v>
      </c>
      <c r="I1474" s="10" t="str">
        <f>IF(COUNTIF('Transform Data'!$D:$D,'Transform Data'!D1474)&gt;1,"Repeat","Single")</f>
        <v>Repeat</v>
      </c>
      <c r="J1474" s="10" t="str">
        <f>IF('Transform Data'!D1474="Cash","Cash",IF(COUNTIF('Transform Data'!$D:$D,'Transform Data'!D1474)&gt;1,"Repeat","Single"))</f>
        <v>Repeat</v>
      </c>
      <c r="K1474" s="10" t="str">
        <f t="shared" ref="K1474:K1537" si="23">"TRANS-"&amp;TEXT(ROW(A1473),"0000")</f>
        <v>TRANS-1473</v>
      </c>
    </row>
    <row r="1475" spans="1:11" x14ac:dyDescent="0.35">
      <c r="A1475" s="5">
        <v>45541</v>
      </c>
      <c r="B1475" s="3">
        <v>0.88160879629629629</v>
      </c>
      <c r="C1475" t="s">
        <v>8</v>
      </c>
      <c r="D1475" t="s">
        <v>21</v>
      </c>
      <c r="E1475" s="4">
        <v>32.82</v>
      </c>
      <c r="F1475" t="s">
        <v>32</v>
      </c>
      <c r="G1475" s="10" t="str">
        <f>TEXT(Transform_Data[[#This Row],[Date]],"mmm yyyy")</f>
        <v>Sep 2024</v>
      </c>
      <c r="H1475" s="10">
        <f>HOUR(Transform_Data[[#This Row],[Time]])</f>
        <v>21</v>
      </c>
      <c r="I1475" s="10" t="str">
        <f>IF(COUNTIF('Transform Data'!$D:$D,'Transform Data'!D1475)&gt;1,"Repeat","Single")</f>
        <v>Repeat</v>
      </c>
      <c r="J1475" s="10" t="str">
        <f>IF('Transform Data'!D1475="Cash","Cash",IF(COUNTIF('Transform Data'!$D:$D,'Transform Data'!D1475)&gt;1,"Repeat","Single"))</f>
        <v>Repeat</v>
      </c>
      <c r="K1475" s="10" t="str">
        <f t="shared" si="23"/>
        <v>TRANS-1474</v>
      </c>
    </row>
    <row r="1476" spans="1:11" x14ac:dyDescent="0.35">
      <c r="A1476" s="5">
        <v>45542</v>
      </c>
      <c r="B1476" s="3">
        <v>0.36732638888888891</v>
      </c>
      <c r="C1476" t="s">
        <v>8</v>
      </c>
      <c r="D1476" t="s">
        <v>644</v>
      </c>
      <c r="E1476" s="4">
        <v>32.82</v>
      </c>
      <c r="F1476" t="s">
        <v>32</v>
      </c>
      <c r="G1476" s="10" t="str">
        <f>TEXT(Transform_Data[[#This Row],[Date]],"mmm yyyy")</f>
        <v>Sep 2024</v>
      </c>
      <c r="H1476" s="10">
        <f>HOUR(Transform_Data[[#This Row],[Time]])</f>
        <v>8</v>
      </c>
      <c r="I1476" s="10" t="str">
        <f>IF(COUNTIF('Transform Data'!$D:$D,'Transform Data'!D1476)&gt;1,"Repeat","Single")</f>
        <v>Single</v>
      </c>
      <c r="J1476" s="10" t="str">
        <f>IF('Transform Data'!D1476="Cash","Cash",IF(COUNTIF('Transform Data'!$D:$D,'Transform Data'!D1476)&gt;1,"Repeat","Single"))</f>
        <v>Single</v>
      </c>
      <c r="K1476" s="10" t="str">
        <f t="shared" si="23"/>
        <v>TRANS-1475</v>
      </c>
    </row>
    <row r="1477" spans="1:11" x14ac:dyDescent="0.35">
      <c r="A1477" s="5">
        <v>45542</v>
      </c>
      <c r="B1477" s="3">
        <v>0.41113425925925928</v>
      </c>
      <c r="C1477" t="s">
        <v>8</v>
      </c>
      <c r="D1477" t="s">
        <v>595</v>
      </c>
      <c r="E1477" s="4">
        <v>23.02</v>
      </c>
      <c r="F1477" t="s">
        <v>20</v>
      </c>
      <c r="G1477" s="10" t="str">
        <f>TEXT(Transform_Data[[#This Row],[Date]],"mmm yyyy")</f>
        <v>Sep 2024</v>
      </c>
      <c r="H1477" s="10">
        <f>HOUR(Transform_Data[[#This Row],[Time]])</f>
        <v>9</v>
      </c>
      <c r="I1477" s="10" t="str">
        <f>IF(COUNTIF('Transform Data'!$D:$D,'Transform Data'!D1477)&gt;1,"Repeat","Single")</f>
        <v>Repeat</v>
      </c>
      <c r="J1477" s="10" t="str">
        <f>IF('Transform Data'!D1477="Cash","Cash",IF(COUNTIF('Transform Data'!$D:$D,'Transform Data'!D1477)&gt;1,"Repeat","Single"))</f>
        <v>Repeat</v>
      </c>
      <c r="K1477" s="10" t="str">
        <f t="shared" si="23"/>
        <v>TRANS-1476</v>
      </c>
    </row>
    <row r="1478" spans="1:11" x14ac:dyDescent="0.35">
      <c r="A1478" s="5">
        <v>45542</v>
      </c>
      <c r="B1478" s="3">
        <v>0.41184027777777776</v>
      </c>
      <c r="C1478" t="s">
        <v>8</v>
      </c>
      <c r="D1478" t="s">
        <v>595</v>
      </c>
      <c r="E1478" s="4">
        <v>23.02</v>
      </c>
      <c r="F1478" t="s">
        <v>20</v>
      </c>
      <c r="G1478" s="10" t="str">
        <f>TEXT(Transform_Data[[#This Row],[Date]],"mmm yyyy")</f>
        <v>Sep 2024</v>
      </c>
      <c r="H1478" s="10">
        <f>HOUR(Transform_Data[[#This Row],[Time]])</f>
        <v>9</v>
      </c>
      <c r="I1478" s="10" t="str">
        <f>IF(COUNTIF('Transform Data'!$D:$D,'Transform Data'!D1478)&gt;1,"Repeat","Single")</f>
        <v>Repeat</v>
      </c>
      <c r="J1478" s="10" t="str">
        <f>IF('Transform Data'!D1478="Cash","Cash",IF(COUNTIF('Transform Data'!$D:$D,'Transform Data'!D1478)&gt;1,"Repeat","Single"))</f>
        <v>Repeat</v>
      </c>
      <c r="K1478" s="10" t="str">
        <f t="shared" si="23"/>
        <v>TRANS-1477</v>
      </c>
    </row>
    <row r="1479" spans="1:11" x14ac:dyDescent="0.35">
      <c r="A1479" s="5">
        <v>45542</v>
      </c>
      <c r="B1479" s="3">
        <v>0.41297453703703701</v>
      </c>
      <c r="C1479" t="s">
        <v>8</v>
      </c>
      <c r="D1479" t="s">
        <v>645</v>
      </c>
      <c r="E1479" s="4">
        <v>23.02</v>
      </c>
      <c r="F1479" t="s">
        <v>20</v>
      </c>
      <c r="G1479" s="10" t="str">
        <f>TEXT(Transform_Data[[#This Row],[Date]],"mmm yyyy")</f>
        <v>Sep 2024</v>
      </c>
      <c r="H1479" s="10">
        <f>HOUR(Transform_Data[[#This Row],[Time]])</f>
        <v>9</v>
      </c>
      <c r="I1479" s="10" t="str">
        <f>IF(COUNTIF('Transform Data'!$D:$D,'Transform Data'!D1479)&gt;1,"Repeat","Single")</f>
        <v>Single</v>
      </c>
      <c r="J1479" s="10" t="str">
        <f>IF('Transform Data'!D1479="Cash","Cash",IF(COUNTIF('Transform Data'!$D:$D,'Transform Data'!D1479)&gt;1,"Repeat","Single"))</f>
        <v>Single</v>
      </c>
      <c r="K1479" s="10" t="str">
        <f t="shared" si="23"/>
        <v>TRANS-1478</v>
      </c>
    </row>
    <row r="1480" spans="1:11" x14ac:dyDescent="0.35">
      <c r="A1480" s="5">
        <v>45542</v>
      </c>
      <c r="B1480" s="3">
        <v>0.4151273148148148</v>
      </c>
      <c r="C1480" t="s">
        <v>8</v>
      </c>
      <c r="D1480" t="s">
        <v>29</v>
      </c>
      <c r="E1480" s="4">
        <v>27.92</v>
      </c>
      <c r="F1480" t="s">
        <v>36</v>
      </c>
      <c r="G1480" s="10" t="str">
        <f>TEXT(Transform_Data[[#This Row],[Date]],"mmm yyyy")</f>
        <v>Sep 2024</v>
      </c>
      <c r="H1480" s="10">
        <f>HOUR(Transform_Data[[#This Row],[Time]])</f>
        <v>9</v>
      </c>
      <c r="I1480" s="10" t="str">
        <f>IF(COUNTIF('Transform Data'!$D:$D,'Transform Data'!D1480)&gt;1,"Repeat","Single")</f>
        <v>Repeat</v>
      </c>
      <c r="J1480" s="10" t="str">
        <f>IF('Transform Data'!D1480="Cash","Cash",IF(COUNTIF('Transform Data'!$D:$D,'Transform Data'!D1480)&gt;1,"Repeat","Single"))</f>
        <v>Repeat</v>
      </c>
      <c r="K1480" s="10" t="str">
        <f t="shared" si="23"/>
        <v>TRANS-1479</v>
      </c>
    </row>
    <row r="1481" spans="1:11" x14ac:dyDescent="0.35">
      <c r="A1481" s="5">
        <v>45542</v>
      </c>
      <c r="B1481" s="3">
        <v>0.41599537037037038</v>
      </c>
      <c r="C1481" t="s">
        <v>8</v>
      </c>
      <c r="D1481" t="s">
        <v>29</v>
      </c>
      <c r="E1481" s="4">
        <v>27.92</v>
      </c>
      <c r="F1481" t="s">
        <v>36</v>
      </c>
      <c r="G1481" s="10" t="str">
        <f>TEXT(Transform_Data[[#This Row],[Date]],"mmm yyyy")</f>
        <v>Sep 2024</v>
      </c>
      <c r="H1481" s="10">
        <f>HOUR(Transform_Data[[#This Row],[Time]])</f>
        <v>9</v>
      </c>
      <c r="I1481" s="10" t="str">
        <f>IF(COUNTIF('Transform Data'!$D:$D,'Transform Data'!D1481)&gt;1,"Repeat","Single")</f>
        <v>Repeat</v>
      </c>
      <c r="J1481" s="10" t="str">
        <f>IF('Transform Data'!D1481="Cash","Cash",IF(COUNTIF('Transform Data'!$D:$D,'Transform Data'!D1481)&gt;1,"Repeat","Single"))</f>
        <v>Repeat</v>
      </c>
      <c r="K1481" s="10" t="str">
        <f t="shared" si="23"/>
        <v>TRANS-1480</v>
      </c>
    </row>
    <row r="1482" spans="1:11" x14ac:dyDescent="0.35">
      <c r="A1482" s="5">
        <v>45542</v>
      </c>
      <c r="B1482" s="3">
        <v>0.41688657407407409</v>
      </c>
      <c r="C1482" t="s">
        <v>8</v>
      </c>
      <c r="D1482" t="s">
        <v>40</v>
      </c>
      <c r="E1482" s="4">
        <v>23.02</v>
      </c>
      <c r="F1482" t="s">
        <v>20</v>
      </c>
      <c r="G1482" s="10" t="str">
        <f>TEXT(Transform_Data[[#This Row],[Date]],"mmm yyyy")</f>
        <v>Sep 2024</v>
      </c>
      <c r="H1482" s="10">
        <f>HOUR(Transform_Data[[#This Row],[Time]])</f>
        <v>10</v>
      </c>
      <c r="I1482" s="10" t="str">
        <f>IF(COUNTIF('Transform Data'!$D:$D,'Transform Data'!D1482)&gt;1,"Repeat","Single")</f>
        <v>Repeat</v>
      </c>
      <c r="J1482" s="10" t="str">
        <f>IF('Transform Data'!D1482="Cash","Cash",IF(COUNTIF('Transform Data'!$D:$D,'Transform Data'!D1482)&gt;1,"Repeat","Single"))</f>
        <v>Repeat</v>
      </c>
      <c r="K1482" s="10" t="str">
        <f t="shared" si="23"/>
        <v>TRANS-1481</v>
      </c>
    </row>
    <row r="1483" spans="1:11" x14ac:dyDescent="0.35">
      <c r="A1483" s="5">
        <v>45542</v>
      </c>
      <c r="B1483" s="3">
        <v>0.43245370370370373</v>
      </c>
      <c r="C1483" t="s">
        <v>8</v>
      </c>
      <c r="D1483" t="s">
        <v>646</v>
      </c>
      <c r="E1483" s="4">
        <v>23.02</v>
      </c>
      <c r="F1483" t="s">
        <v>28</v>
      </c>
      <c r="G1483" s="10" t="str">
        <f>TEXT(Transform_Data[[#This Row],[Date]],"mmm yyyy")</f>
        <v>Sep 2024</v>
      </c>
      <c r="H1483" s="10">
        <f>HOUR(Transform_Data[[#This Row],[Time]])</f>
        <v>10</v>
      </c>
      <c r="I1483" s="10" t="str">
        <f>IF(COUNTIF('Transform Data'!$D:$D,'Transform Data'!D1483)&gt;1,"Repeat","Single")</f>
        <v>Single</v>
      </c>
      <c r="J1483" s="10" t="str">
        <f>IF('Transform Data'!D1483="Cash","Cash",IF(COUNTIF('Transform Data'!$D:$D,'Transform Data'!D1483)&gt;1,"Repeat","Single"))</f>
        <v>Single</v>
      </c>
      <c r="K1483" s="10" t="str">
        <f t="shared" si="23"/>
        <v>TRANS-1482</v>
      </c>
    </row>
    <row r="1484" spans="1:11" x14ac:dyDescent="0.35">
      <c r="A1484" s="5">
        <v>45542</v>
      </c>
      <c r="B1484" s="3">
        <v>0.44296296296296295</v>
      </c>
      <c r="C1484" t="s">
        <v>8</v>
      </c>
      <c r="D1484" t="s">
        <v>647</v>
      </c>
      <c r="E1484" s="4">
        <v>18.12</v>
      </c>
      <c r="F1484" t="s">
        <v>5</v>
      </c>
      <c r="G1484" s="10" t="str">
        <f>TEXT(Transform_Data[[#This Row],[Date]],"mmm yyyy")</f>
        <v>Sep 2024</v>
      </c>
      <c r="H1484" s="10">
        <f>HOUR(Transform_Data[[#This Row],[Time]])</f>
        <v>10</v>
      </c>
      <c r="I1484" s="10" t="str">
        <f>IF(COUNTIF('Transform Data'!$D:$D,'Transform Data'!D1484)&gt;1,"Repeat","Single")</f>
        <v>Repeat</v>
      </c>
      <c r="J1484" s="10" t="str">
        <f>IF('Transform Data'!D1484="Cash","Cash",IF(COUNTIF('Transform Data'!$D:$D,'Transform Data'!D1484)&gt;1,"Repeat","Single"))</f>
        <v>Repeat</v>
      </c>
      <c r="K1484" s="10" t="str">
        <f t="shared" si="23"/>
        <v>TRANS-1483</v>
      </c>
    </row>
    <row r="1485" spans="1:11" x14ac:dyDescent="0.35">
      <c r="A1485" s="5">
        <v>45542</v>
      </c>
      <c r="B1485" s="3">
        <v>0.44458333333333333</v>
      </c>
      <c r="C1485" t="s">
        <v>8</v>
      </c>
      <c r="D1485" t="s">
        <v>647</v>
      </c>
      <c r="E1485" s="4">
        <v>18.12</v>
      </c>
      <c r="F1485" t="s">
        <v>5</v>
      </c>
      <c r="G1485" s="10" t="str">
        <f>TEXT(Transform_Data[[#This Row],[Date]],"mmm yyyy")</f>
        <v>Sep 2024</v>
      </c>
      <c r="H1485" s="10">
        <f>HOUR(Transform_Data[[#This Row],[Time]])</f>
        <v>10</v>
      </c>
      <c r="I1485" s="10" t="str">
        <f>IF(COUNTIF('Transform Data'!$D:$D,'Transform Data'!D1485)&gt;1,"Repeat","Single")</f>
        <v>Repeat</v>
      </c>
      <c r="J1485" s="10" t="str">
        <f>IF('Transform Data'!D1485="Cash","Cash",IF(COUNTIF('Transform Data'!$D:$D,'Transform Data'!D1485)&gt;1,"Repeat","Single"))</f>
        <v>Repeat</v>
      </c>
      <c r="K1485" s="10" t="str">
        <f t="shared" si="23"/>
        <v>TRANS-1484</v>
      </c>
    </row>
    <row r="1486" spans="1:11" x14ac:dyDescent="0.35">
      <c r="A1486" s="5">
        <v>45542</v>
      </c>
      <c r="B1486" s="3">
        <v>0.45384259259259258</v>
      </c>
      <c r="C1486" t="s">
        <v>8</v>
      </c>
      <c r="D1486" t="s">
        <v>648</v>
      </c>
      <c r="E1486" s="4">
        <v>32.82</v>
      </c>
      <c r="F1486" t="s">
        <v>32</v>
      </c>
      <c r="G1486" s="10" t="str">
        <f>TEXT(Transform_Data[[#This Row],[Date]],"mmm yyyy")</f>
        <v>Sep 2024</v>
      </c>
      <c r="H1486" s="10">
        <f>HOUR(Transform_Data[[#This Row],[Time]])</f>
        <v>10</v>
      </c>
      <c r="I1486" s="10" t="str">
        <f>IF(COUNTIF('Transform Data'!$D:$D,'Transform Data'!D1486)&gt;1,"Repeat","Single")</f>
        <v>Single</v>
      </c>
      <c r="J1486" s="10" t="str">
        <f>IF('Transform Data'!D1486="Cash","Cash",IF(COUNTIF('Transform Data'!$D:$D,'Transform Data'!D1486)&gt;1,"Repeat","Single"))</f>
        <v>Single</v>
      </c>
      <c r="K1486" s="10" t="str">
        <f t="shared" si="23"/>
        <v>TRANS-1485</v>
      </c>
    </row>
    <row r="1487" spans="1:11" x14ac:dyDescent="0.35">
      <c r="A1487" s="5">
        <v>45542</v>
      </c>
      <c r="B1487" s="3">
        <v>0.4714814814814815</v>
      </c>
      <c r="C1487" t="s">
        <v>8</v>
      </c>
      <c r="D1487" t="s">
        <v>43</v>
      </c>
      <c r="E1487" s="4">
        <v>27.92</v>
      </c>
      <c r="F1487" t="s">
        <v>36</v>
      </c>
      <c r="G1487" s="10" t="str">
        <f>TEXT(Transform_Data[[#This Row],[Date]],"mmm yyyy")</f>
        <v>Sep 2024</v>
      </c>
      <c r="H1487" s="10">
        <f>HOUR(Transform_Data[[#This Row],[Time]])</f>
        <v>11</v>
      </c>
      <c r="I1487" s="10" t="str">
        <f>IF(COUNTIF('Transform Data'!$D:$D,'Transform Data'!D1487)&gt;1,"Repeat","Single")</f>
        <v>Repeat</v>
      </c>
      <c r="J1487" s="10" t="str">
        <f>IF('Transform Data'!D1487="Cash","Cash",IF(COUNTIF('Transform Data'!$D:$D,'Transform Data'!D1487)&gt;1,"Repeat","Single"))</f>
        <v>Repeat</v>
      </c>
      <c r="K1487" s="10" t="str">
        <f t="shared" si="23"/>
        <v>TRANS-1486</v>
      </c>
    </row>
    <row r="1488" spans="1:11" x14ac:dyDescent="0.35">
      <c r="A1488" s="5">
        <v>45542</v>
      </c>
      <c r="B1488" s="3">
        <v>0.47222222222222221</v>
      </c>
      <c r="C1488" t="s">
        <v>8</v>
      </c>
      <c r="D1488" t="s">
        <v>76</v>
      </c>
      <c r="E1488" s="4">
        <v>23.02</v>
      </c>
      <c r="F1488" t="s">
        <v>28</v>
      </c>
      <c r="G1488" s="10" t="str">
        <f>TEXT(Transform_Data[[#This Row],[Date]],"mmm yyyy")</f>
        <v>Sep 2024</v>
      </c>
      <c r="H1488" s="10">
        <f>HOUR(Transform_Data[[#This Row],[Time]])</f>
        <v>11</v>
      </c>
      <c r="I1488" s="10" t="str">
        <f>IF(COUNTIF('Transform Data'!$D:$D,'Transform Data'!D1488)&gt;1,"Repeat","Single")</f>
        <v>Repeat</v>
      </c>
      <c r="J1488" s="10" t="str">
        <f>IF('Transform Data'!D1488="Cash","Cash",IF(COUNTIF('Transform Data'!$D:$D,'Transform Data'!D1488)&gt;1,"Repeat","Single"))</f>
        <v>Repeat</v>
      </c>
      <c r="K1488" s="10" t="str">
        <f t="shared" si="23"/>
        <v>TRANS-1487</v>
      </c>
    </row>
    <row r="1489" spans="1:11" x14ac:dyDescent="0.35">
      <c r="A1489" s="5">
        <v>45542</v>
      </c>
      <c r="B1489" s="3">
        <v>0.47288194444444442</v>
      </c>
      <c r="C1489" t="s">
        <v>8</v>
      </c>
      <c r="D1489" t="s">
        <v>43</v>
      </c>
      <c r="E1489" s="4">
        <v>18.12</v>
      </c>
      <c r="F1489" t="s">
        <v>5</v>
      </c>
      <c r="G1489" s="10" t="str">
        <f>TEXT(Transform_Data[[#This Row],[Date]],"mmm yyyy")</f>
        <v>Sep 2024</v>
      </c>
      <c r="H1489" s="10">
        <f>HOUR(Transform_Data[[#This Row],[Time]])</f>
        <v>11</v>
      </c>
      <c r="I1489" s="10" t="str">
        <f>IF(COUNTIF('Transform Data'!$D:$D,'Transform Data'!D1489)&gt;1,"Repeat","Single")</f>
        <v>Repeat</v>
      </c>
      <c r="J1489" s="10" t="str">
        <f>IF('Transform Data'!D1489="Cash","Cash",IF(COUNTIF('Transform Data'!$D:$D,'Transform Data'!D1489)&gt;1,"Repeat","Single"))</f>
        <v>Repeat</v>
      </c>
      <c r="K1489" s="10" t="str">
        <f t="shared" si="23"/>
        <v>TRANS-1488</v>
      </c>
    </row>
    <row r="1490" spans="1:11" x14ac:dyDescent="0.35">
      <c r="A1490" s="5">
        <v>45542</v>
      </c>
      <c r="B1490" s="3">
        <v>0.66328703703703706</v>
      </c>
      <c r="C1490" t="s">
        <v>8</v>
      </c>
      <c r="D1490" t="s">
        <v>649</v>
      </c>
      <c r="E1490" s="4">
        <v>32.82</v>
      </c>
      <c r="F1490" t="s">
        <v>32</v>
      </c>
      <c r="G1490" s="10" t="str">
        <f>TEXT(Transform_Data[[#This Row],[Date]],"mmm yyyy")</f>
        <v>Sep 2024</v>
      </c>
      <c r="H1490" s="10">
        <f>HOUR(Transform_Data[[#This Row],[Time]])</f>
        <v>15</v>
      </c>
      <c r="I1490" s="10" t="str">
        <f>IF(COUNTIF('Transform Data'!$D:$D,'Transform Data'!D1490)&gt;1,"Repeat","Single")</f>
        <v>Single</v>
      </c>
      <c r="J1490" s="10" t="str">
        <f>IF('Transform Data'!D1490="Cash","Cash",IF(COUNTIF('Transform Data'!$D:$D,'Transform Data'!D1490)&gt;1,"Repeat","Single"))</f>
        <v>Single</v>
      </c>
      <c r="K1490" s="10" t="str">
        <f t="shared" si="23"/>
        <v>TRANS-1489</v>
      </c>
    </row>
    <row r="1491" spans="1:11" x14ac:dyDescent="0.35">
      <c r="A1491" s="5">
        <v>45542</v>
      </c>
      <c r="B1491" s="3">
        <v>0.68056712962962962</v>
      </c>
      <c r="C1491" t="s">
        <v>8</v>
      </c>
      <c r="D1491" t="s">
        <v>76</v>
      </c>
      <c r="E1491" s="4">
        <v>23.02</v>
      </c>
      <c r="F1491" t="s">
        <v>28</v>
      </c>
      <c r="G1491" s="10" t="str">
        <f>TEXT(Transform_Data[[#This Row],[Date]],"mmm yyyy")</f>
        <v>Sep 2024</v>
      </c>
      <c r="H1491" s="10">
        <f>HOUR(Transform_Data[[#This Row],[Time]])</f>
        <v>16</v>
      </c>
      <c r="I1491" s="10" t="str">
        <f>IF(COUNTIF('Transform Data'!$D:$D,'Transform Data'!D1491)&gt;1,"Repeat","Single")</f>
        <v>Repeat</v>
      </c>
      <c r="J1491" s="10" t="str">
        <f>IF('Transform Data'!D1491="Cash","Cash",IF(COUNTIF('Transform Data'!$D:$D,'Transform Data'!D1491)&gt;1,"Repeat","Single"))</f>
        <v>Repeat</v>
      </c>
      <c r="K1491" s="10" t="str">
        <f t="shared" si="23"/>
        <v>TRANS-1490</v>
      </c>
    </row>
    <row r="1492" spans="1:11" x14ac:dyDescent="0.35">
      <c r="A1492" s="5">
        <v>45542</v>
      </c>
      <c r="B1492" s="3">
        <v>0.68123842592592587</v>
      </c>
      <c r="C1492" t="s">
        <v>8</v>
      </c>
      <c r="D1492" t="s">
        <v>43</v>
      </c>
      <c r="E1492" s="4">
        <v>18.12</v>
      </c>
      <c r="F1492" t="s">
        <v>5</v>
      </c>
      <c r="G1492" s="10" t="str">
        <f>TEXT(Transform_Data[[#This Row],[Date]],"mmm yyyy")</f>
        <v>Sep 2024</v>
      </c>
      <c r="H1492" s="10">
        <f>HOUR(Transform_Data[[#This Row],[Time]])</f>
        <v>16</v>
      </c>
      <c r="I1492" s="10" t="str">
        <f>IF(COUNTIF('Transform Data'!$D:$D,'Transform Data'!D1492)&gt;1,"Repeat","Single")</f>
        <v>Repeat</v>
      </c>
      <c r="J1492" s="10" t="str">
        <f>IF('Transform Data'!D1492="Cash","Cash",IF(COUNTIF('Transform Data'!$D:$D,'Transform Data'!D1492)&gt;1,"Repeat","Single"))</f>
        <v>Repeat</v>
      </c>
      <c r="K1492" s="10" t="str">
        <f t="shared" si="23"/>
        <v>TRANS-1491</v>
      </c>
    </row>
    <row r="1493" spans="1:11" x14ac:dyDescent="0.35">
      <c r="A1493" s="5">
        <v>45542</v>
      </c>
      <c r="B1493" s="3">
        <v>0.81601851851851848</v>
      </c>
      <c r="C1493" t="s">
        <v>8</v>
      </c>
      <c r="D1493" t="s">
        <v>336</v>
      </c>
      <c r="E1493" s="4">
        <v>32.82</v>
      </c>
      <c r="F1493" t="s">
        <v>10</v>
      </c>
      <c r="G1493" s="10" t="str">
        <f>TEXT(Transform_Data[[#This Row],[Date]],"mmm yyyy")</f>
        <v>Sep 2024</v>
      </c>
      <c r="H1493" s="10">
        <f>HOUR(Transform_Data[[#This Row],[Time]])</f>
        <v>19</v>
      </c>
      <c r="I1493" s="10" t="str">
        <f>IF(COUNTIF('Transform Data'!$D:$D,'Transform Data'!D1493)&gt;1,"Repeat","Single")</f>
        <v>Repeat</v>
      </c>
      <c r="J1493" s="10" t="str">
        <f>IF('Transform Data'!D1493="Cash","Cash",IF(COUNTIF('Transform Data'!$D:$D,'Transform Data'!D1493)&gt;1,"Repeat","Single"))</f>
        <v>Repeat</v>
      </c>
      <c r="K1493" s="10" t="str">
        <f t="shared" si="23"/>
        <v>TRANS-1492</v>
      </c>
    </row>
    <row r="1494" spans="1:11" x14ac:dyDescent="0.35">
      <c r="A1494" s="5">
        <v>45542</v>
      </c>
      <c r="B1494" s="3">
        <v>0.81672453703703707</v>
      </c>
      <c r="C1494" t="s">
        <v>8</v>
      </c>
      <c r="D1494" t="s">
        <v>336</v>
      </c>
      <c r="E1494" s="4">
        <v>32.82</v>
      </c>
      <c r="F1494" t="s">
        <v>32</v>
      </c>
      <c r="G1494" s="10" t="str">
        <f>TEXT(Transform_Data[[#This Row],[Date]],"mmm yyyy")</f>
        <v>Sep 2024</v>
      </c>
      <c r="H1494" s="10">
        <f>HOUR(Transform_Data[[#This Row],[Time]])</f>
        <v>19</v>
      </c>
      <c r="I1494" s="10" t="str">
        <f>IF(COUNTIF('Transform Data'!$D:$D,'Transform Data'!D1494)&gt;1,"Repeat","Single")</f>
        <v>Repeat</v>
      </c>
      <c r="J1494" s="10" t="str">
        <f>IF('Transform Data'!D1494="Cash","Cash",IF(COUNTIF('Transform Data'!$D:$D,'Transform Data'!D1494)&gt;1,"Repeat","Single"))</f>
        <v>Repeat</v>
      </c>
      <c r="K1494" s="10" t="str">
        <f t="shared" si="23"/>
        <v>TRANS-1493</v>
      </c>
    </row>
    <row r="1495" spans="1:11" x14ac:dyDescent="0.35">
      <c r="A1495" s="5">
        <v>45542</v>
      </c>
      <c r="B1495" s="3">
        <v>0.81753472222222223</v>
      </c>
      <c r="C1495" t="s">
        <v>8</v>
      </c>
      <c r="D1495" t="s">
        <v>336</v>
      </c>
      <c r="E1495" s="4">
        <v>32.82</v>
      </c>
      <c r="F1495" t="s">
        <v>32</v>
      </c>
      <c r="G1495" s="10" t="str">
        <f>TEXT(Transform_Data[[#This Row],[Date]],"mmm yyyy")</f>
        <v>Sep 2024</v>
      </c>
      <c r="H1495" s="10">
        <f>HOUR(Transform_Data[[#This Row],[Time]])</f>
        <v>19</v>
      </c>
      <c r="I1495" s="10" t="str">
        <f>IF(COUNTIF('Transform Data'!$D:$D,'Transform Data'!D1495)&gt;1,"Repeat","Single")</f>
        <v>Repeat</v>
      </c>
      <c r="J1495" s="10" t="str">
        <f>IF('Transform Data'!D1495="Cash","Cash",IF(COUNTIF('Transform Data'!$D:$D,'Transform Data'!D1495)&gt;1,"Repeat","Single"))</f>
        <v>Repeat</v>
      </c>
      <c r="K1495" s="10" t="str">
        <f t="shared" si="23"/>
        <v>TRANS-1494</v>
      </c>
    </row>
    <row r="1496" spans="1:11" x14ac:dyDescent="0.35">
      <c r="A1496" s="5">
        <v>45542</v>
      </c>
      <c r="B1496" s="3">
        <v>0.84295138888888888</v>
      </c>
      <c r="C1496" t="s">
        <v>8</v>
      </c>
      <c r="D1496" t="s">
        <v>650</v>
      </c>
      <c r="E1496" s="4">
        <v>32.82</v>
      </c>
      <c r="F1496" t="s">
        <v>32</v>
      </c>
      <c r="G1496" s="10" t="str">
        <f>TEXT(Transform_Data[[#This Row],[Date]],"mmm yyyy")</f>
        <v>Sep 2024</v>
      </c>
      <c r="H1496" s="10">
        <f>HOUR(Transform_Data[[#This Row],[Time]])</f>
        <v>20</v>
      </c>
      <c r="I1496" s="10" t="str">
        <f>IF(COUNTIF('Transform Data'!$D:$D,'Transform Data'!D1496)&gt;1,"Repeat","Single")</f>
        <v>Repeat</v>
      </c>
      <c r="J1496" s="10" t="str">
        <f>IF('Transform Data'!D1496="Cash","Cash",IF(COUNTIF('Transform Data'!$D:$D,'Transform Data'!D1496)&gt;1,"Repeat","Single"))</f>
        <v>Repeat</v>
      </c>
      <c r="K1496" s="10" t="str">
        <f t="shared" si="23"/>
        <v>TRANS-1495</v>
      </c>
    </row>
    <row r="1497" spans="1:11" x14ac:dyDescent="0.35">
      <c r="A1497" s="5">
        <v>45542</v>
      </c>
      <c r="B1497" s="3">
        <v>0.84373842592592596</v>
      </c>
      <c r="C1497" t="s">
        <v>8</v>
      </c>
      <c r="D1497" t="s">
        <v>650</v>
      </c>
      <c r="E1497" s="4">
        <v>32.82</v>
      </c>
      <c r="F1497" t="s">
        <v>32</v>
      </c>
      <c r="G1497" s="10" t="str">
        <f>TEXT(Transform_Data[[#This Row],[Date]],"mmm yyyy")</f>
        <v>Sep 2024</v>
      </c>
      <c r="H1497" s="10">
        <f>HOUR(Transform_Data[[#This Row],[Time]])</f>
        <v>20</v>
      </c>
      <c r="I1497" s="10" t="str">
        <f>IF(COUNTIF('Transform Data'!$D:$D,'Transform Data'!D1497)&gt;1,"Repeat","Single")</f>
        <v>Repeat</v>
      </c>
      <c r="J1497" s="10" t="str">
        <f>IF('Transform Data'!D1497="Cash","Cash",IF(COUNTIF('Transform Data'!$D:$D,'Transform Data'!D1497)&gt;1,"Repeat","Single"))</f>
        <v>Repeat</v>
      </c>
      <c r="K1497" s="10" t="str">
        <f t="shared" si="23"/>
        <v>TRANS-1496</v>
      </c>
    </row>
    <row r="1498" spans="1:11" x14ac:dyDescent="0.35">
      <c r="A1498" s="5">
        <v>45543</v>
      </c>
      <c r="B1498" s="3">
        <v>0.34421296296296294</v>
      </c>
      <c r="C1498" t="s">
        <v>8</v>
      </c>
      <c r="D1498" t="s">
        <v>40</v>
      </c>
      <c r="E1498" s="4">
        <v>23.02</v>
      </c>
      <c r="F1498" t="s">
        <v>20</v>
      </c>
      <c r="G1498" s="10" t="str">
        <f>TEXT(Transform_Data[[#This Row],[Date]],"mmm yyyy")</f>
        <v>Sep 2024</v>
      </c>
      <c r="H1498" s="10">
        <f>HOUR(Transform_Data[[#This Row],[Time]])</f>
        <v>8</v>
      </c>
      <c r="I1498" s="10" t="str">
        <f>IF(COUNTIF('Transform Data'!$D:$D,'Transform Data'!D1498)&gt;1,"Repeat","Single")</f>
        <v>Repeat</v>
      </c>
      <c r="J1498" s="10" t="str">
        <f>IF('Transform Data'!D1498="Cash","Cash",IF(COUNTIF('Transform Data'!$D:$D,'Transform Data'!D1498)&gt;1,"Repeat","Single"))</f>
        <v>Repeat</v>
      </c>
      <c r="K1498" s="10" t="str">
        <f t="shared" si="23"/>
        <v>TRANS-1497</v>
      </c>
    </row>
    <row r="1499" spans="1:11" x14ac:dyDescent="0.35">
      <c r="A1499" s="5">
        <v>45543</v>
      </c>
      <c r="B1499" s="3">
        <v>0.38769675925925928</v>
      </c>
      <c r="C1499" t="s">
        <v>8</v>
      </c>
      <c r="D1499" t="s">
        <v>595</v>
      </c>
      <c r="E1499" s="4">
        <v>23.02</v>
      </c>
      <c r="F1499" t="s">
        <v>20</v>
      </c>
      <c r="G1499" s="10" t="str">
        <f>TEXT(Transform_Data[[#This Row],[Date]],"mmm yyyy")</f>
        <v>Sep 2024</v>
      </c>
      <c r="H1499" s="10">
        <f>HOUR(Transform_Data[[#This Row],[Time]])</f>
        <v>9</v>
      </c>
      <c r="I1499" s="10" t="str">
        <f>IF(COUNTIF('Transform Data'!$D:$D,'Transform Data'!D1499)&gt;1,"Repeat","Single")</f>
        <v>Repeat</v>
      </c>
      <c r="J1499" s="10" t="str">
        <f>IF('Transform Data'!D1499="Cash","Cash",IF(COUNTIF('Transform Data'!$D:$D,'Transform Data'!D1499)&gt;1,"Repeat","Single"))</f>
        <v>Repeat</v>
      </c>
      <c r="K1499" s="10" t="str">
        <f t="shared" si="23"/>
        <v>TRANS-1498</v>
      </c>
    </row>
    <row r="1500" spans="1:11" x14ac:dyDescent="0.35">
      <c r="A1500" s="5">
        <v>45543</v>
      </c>
      <c r="B1500" s="3">
        <v>0.38833333333333331</v>
      </c>
      <c r="C1500" t="s">
        <v>8</v>
      </c>
      <c r="D1500" t="s">
        <v>595</v>
      </c>
      <c r="E1500" s="4">
        <v>23.02</v>
      </c>
      <c r="F1500" t="s">
        <v>20</v>
      </c>
      <c r="G1500" s="10" t="str">
        <f>TEXT(Transform_Data[[#This Row],[Date]],"mmm yyyy")</f>
        <v>Sep 2024</v>
      </c>
      <c r="H1500" s="10">
        <f>HOUR(Transform_Data[[#This Row],[Time]])</f>
        <v>9</v>
      </c>
      <c r="I1500" s="10" t="str">
        <f>IF(COUNTIF('Transform Data'!$D:$D,'Transform Data'!D1500)&gt;1,"Repeat","Single")</f>
        <v>Repeat</v>
      </c>
      <c r="J1500" s="10" t="str">
        <f>IF('Transform Data'!D1500="Cash","Cash",IF(COUNTIF('Transform Data'!$D:$D,'Transform Data'!D1500)&gt;1,"Repeat","Single"))</f>
        <v>Repeat</v>
      </c>
      <c r="K1500" s="10" t="str">
        <f t="shared" si="23"/>
        <v>TRANS-1499</v>
      </c>
    </row>
    <row r="1501" spans="1:11" x14ac:dyDescent="0.35">
      <c r="A1501" s="5">
        <v>45543</v>
      </c>
      <c r="B1501" s="3">
        <v>0.42078703703703701</v>
      </c>
      <c r="C1501" t="s">
        <v>8</v>
      </c>
      <c r="D1501" t="s">
        <v>595</v>
      </c>
      <c r="E1501" s="4">
        <v>23.02</v>
      </c>
      <c r="F1501" t="s">
        <v>20</v>
      </c>
      <c r="G1501" s="10" t="str">
        <f>TEXT(Transform_Data[[#This Row],[Date]],"mmm yyyy")</f>
        <v>Sep 2024</v>
      </c>
      <c r="H1501" s="10">
        <f>HOUR(Transform_Data[[#This Row],[Time]])</f>
        <v>10</v>
      </c>
      <c r="I1501" s="10" t="str">
        <f>IF(COUNTIF('Transform Data'!$D:$D,'Transform Data'!D1501)&gt;1,"Repeat","Single")</f>
        <v>Repeat</v>
      </c>
      <c r="J1501" s="10" t="str">
        <f>IF('Transform Data'!D1501="Cash","Cash",IF(COUNTIF('Transform Data'!$D:$D,'Transform Data'!D1501)&gt;1,"Repeat","Single"))</f>
        <v>Repeat</v>
      </c>
      <c r="K1501" s="10" t="str">
        <f t="shared" si="23"/>
        <v>TRANS-1500</v>
      </c>
    </row>
    <row r="1502" spans="1:11" x14ac:dyDescent="0.35">
      <c r="A1502" s="5">
        <v>45543</v>
      </c>
      <c r="B1502" s="3">
        <v>0.5301851851851852</v>
      </c>
      <c r="C1502" t="s">
        <v>8</v>
      </c>
      <c r="D1502" t="s">
        <v>539</v>
      </c>
      <c r="E1502" s="4">
        <v>23.02</v>
      </c>
      <c r="F1502" t="s">
        <v>20</v>
      </c>
      <c r="G1502" s="10" t="str">
        <f>TEXT(Transform_Data[[#This Row],[Date]],"mmm yyyy")</f>
        <v>Sep 2024</v>
      </c>
      <c r="H1502" s="10">
        <f>HOUR(Transform_Data[[#This Row],[Time]])</f>
        <v>12</v>
      </c>
      <c r="I1502" s="10" t="str">
        <f>IF(COUNTIF('Transform Data'!$D:$D,'Transform Data'!D1502)&gt;1,"Repeat","Single")</f>
        <v>Repeat</v>
      </c>
      <c r="J1502" s="10" t="str">
        <f>IF('Transform Data'!D1502="Cash","Cash",IF(COUNTIF('Transform Data'!$D:$D,'Transform Data'!D1502)&gt;1,"Repeat","Single"))</f>
        <v>Repeat</v>
      </c>
      <c r="K1502" s="10" t="str">
        <f t="shared" si="23"/>
        <v>TRANS-1501</v>
      </c>
    </row>
    <row r="1503" spans="1:11" x14ac:dyDescent="0.35">
      <c r="A1503" s="5">
        <v>45543</v>
      </c>
      <c r="B1503" s="3">
        <v>0.84273148148148147</v>
      </c>
      <c r="C1503" t="s">
        <v>8</v>
      </c>
      <c r="D1503" t="s">
        <v>400</v>
      </c>
      <c r="E1503" s="4">
        <v>23.02</v>
      </c>
      <c r="F1503" t="s">
        <v>28</v>
      </c>
      <c r="G1503" s="10" t="str">
        <f>TEXT(Transform_Data[[#This Row],[Date]],"mmm yyyy")</f>
        <v>Sep 2024</v>
      </c>
      <c r="H1503" s="10">
        <f>HOUR(Transform_Data[[#This Row],[Time]])</f>
        <v>20</v>
      </c>
      <c r="I1503" s="10" t="str">
        <f>IF(COUNTIF('Transform Data'!$D:$D,'Transform Data'!D1503)&gt;1,"Repeat","Single")</f>
        <v>Repeat</v>
      </c>
      <c r="J1503" s="10" t="str">
        <f>IF('Transform Data'!D1503="Cash","Cash",IF(COUNTIF('Transform Data'!$D:$D,'Transform Data'!D1503)&gt;1,"Repeat","Single"))</f>
        <v>Repeat</v>
      </c>
      <c r="K1503" s="10" t="str">
        <f t="shared" si="23"/>
        <v>TRANS-1502</v>
      </c>
    </row>
    <row r="1504" spans="1:11" x14ac:dyDescent="0.35">
      <c r="A1504" s="5">
        <v>45544</v>
      </c>
      <c r="B1504" s="3">
        <v>0.32723379629629629</v>
      </c>
      <c r="C1504" t="s">
        <v>8</v>
      </c>
      <c r="D1504" t="s">
        <v>651</v>
      </c>
      <c r="E1504" s="4">
        <v>32.82</v>
      </c>
      <c r="F1504" t="s">
        <v>32</v>
      </c>
      <c r="G1504" s="10" t="str">
        <f>TEXT(Transform_Data[[#This Row],[Date]],"mmm yyyy")</f>
        <v>Sep 2024</v>
      </c>
      <c r="H1504" s="10">
        <f>HOUR(Transform_Data[[#This Row],[Time]])</f>
        <v>7</v>
      </c>
      <c r="I1504" s="10" t="str">
        <f>IF(COUNTIF('Transform Data'!$D:$D,'Transform Data'!D1504)&gt;1,"Repeat","Single")</f>
        <v>Repeat</v>
      </c>
      <c r="J1504" s="10" t="str">
        <f>IF('Transform Data'!D1504="Cash","Cash",IF(COUNTIF('Transform Data'!$D:$D,'Transform Data'!D1504)&gt;1,"Repeat","Single"))</f>
        <v>Repeat</v>
      </c>
      <c r="K1504" s="10" t="str">
        <f t="shared" si="23"/>
        <v>TRANS-1503</v>
      </c>
    </row>
    <row r="1505" spans="1:11" x14ac:dyDescent="0.35">
      <c r="A1505" s="5">
        <v>45544</v>
      </c>
      <c r="B1505" s="3">
        <v>0.32906249999999998</v>
      </c>
      <c r="C1505" t="s">
        <v>8</v>
      </c>
      <c r="D1505" t="s">
        <v>634</v>
      </c>
      <c r="E1505" s="4">
        <v>32.82</v>
      </c>
      <c r="F1505" t="s">
        <v>24</v>
      </c>
      <c r="G1505" s="10" t="str">
        <f>TEXT(Transform_Data[[#This Row],[Date]],"mmm yyyy")</f>
        <v>Sep 2024</v>
      </c>
      <c r="H1505" s="10">
        <f>HOUR(Transform_Data[[#This Row],[Time]])</f>
        <v>7</v>
      </c>
      <c r="I1505" s="10" t="str">
        <f>IF(COUNTIF('Transform Data'!$D:$D,'Transform Data'!D1505)&gt;1,"Repeat","Single")</f>
        <v>Repeat</v>
      </c>
      <c r="J1505" s="10" t="str">
        <f>IF('Transform Data'!D1505="Cash","Cash",IF(COUNTIF('Transform Data'!$D:$D,'Transform Data'!D1505)&gt;1,"Repeat","Single"))</f>
        <v>Repeat</v>
      </c>
      <c r="K1505" s="10" t="str">
        <f t="shared" si="23"/>
        <v>TRANS-1504</v>
      </c>
    </row>
    <row r="1506" spans="1:11" x14ac:dyDescent="0.35">
      <c r="A1506" s="5">
        <v>45544</v>
      </c>
      <c r="B1506" s="3">
        <v>0.33010416666666664</v>
      </c>
      <c r="C1506" t="s">
        <v>8</v>
      </c>
      <c r="D1506" t="s">
        <v>651</v>
      </c>
      <c r="E1506" s="4">
        <v>27.92</v>
      </c>
      <c r="F1506" t="s">
        <v>36</v>
      </c>
      <c r="G1506" s="10" t="str">
        <f>TEXT(Transform_Data[[#This Row],[Date]],"mmm yyyy")</f>
        <v>Sep 2024</v>
      </c>
      <c r="H1506" s="10">
        <f>HOUR(Transform_Data[[#This Row],[Time]])</f>
        <v>7</v>
      </c>
      <c r="I1506" s="10" t="str">
        <f>IF(COUNTIF('Transform Data'!$D:$D,'Transform Data'!D1506)&gt;1,"Repeat","Single")</f>
        <v>Repeat</v>
      </c>
      <c r="J1506" s="10" t="str">
        <f>IF('Transform Data'!D1506="Cash","Cash",IF(COUNTIF('Transform Data'!$D:$D,'Transform Data'!D1506)&gt;1,"Repeat","Single"))</f>
        <v>Repeat</v>
      </c>
      <c r="K1506" s="10" t="str">
        <f t="shared" si="23"/>
        <v>TRANS-1505</v>
      </c>
    </row>
    <row r="1507" spans="1:11" x14ac:dyDescent="0.35">
      <c r="A1507" s="5">
        <v>45544</v>
      </c>
      <c r="B1507" s="3">
        <v>0.33098379629629632</v>
      </c>
      <c r="C1507" t="s">
        <v>8</v>
      </c>
      <c r="D1507" t="s">
        <v>622</v>
      </c>
      <c r="E1507" s="4">
        <v>32.82</v>
      </c>
      <c r="F1507" t="s">
        <v>32</v>
      </c>
      <c r="G1507" s="10" t="str">
        <f>TEXT(Transform_Data[[#This Row],[Date]],"mmm yyyy")</f>
        <v>Sep 2024</v>
      </c>
      <c r="H1507" s="10">
        <f>HOUR(Transform_Data[[#This Row],[Time]])</f>
        <v>7</v>
      </c>
      <c r="I1507" s="10" t="str">
        <f>IF(COUNTIF('Transform Data'!$D:$D,'Transform Data'!D1507)&gt;1,"Repeat","Single")</f>
        <v>Repeat</v>
      </c>
      <c r="J1507" s="10" t="str">
        <f>IF('Transform Data'!D1507="Cash","Cash",IF(COUNTIF('Transform Data'!$D:$D,'Transform Data'!D1507)&gt;1,"Repeat","Single"))</f>
        <v>Repeat</v>
      </c>
      <c r="K1507" s="10" t="str">
        <f t="shared" si="23"/>
        <v>TRANS-1506</v>
      </c>
    </row>
    <row r="1508" spans="1:11" x14ac:dyDescent="0.35">
      <c r="A1508" s="5">
        <v>45544</v>
      </c>
      <c r="B1508" s="3">
        <v>0.40960648148148149</v>
      </c>
      <c r="C1508" t="s">
        <v>8</v>
      </c>
      <c r="D1508" t="s">
        <v>635</v>
      </c>
      <c r="E1508" s="4">
        <v>32.82</v>
      </c>
      <c r="F1508" t="s">
        <v>32</v>
      </c>
      <c r="G1508" s="10" t="str">
        <f>TEXT(Transform_Data[[#This Row],[Date]],"mmm yyyy")</f>
        <v>Sep 2024</v>
      </c>
      <c r="H1508" s="10">
        <f>HOUR(Transform_Data[[#This Row],[Time]])</f>
        <v>9</v>
      </c>
      <c r="I1508" s="10" t="str">
        <f>IF(COUNTIF('Transform Data'!$D:$D,'Transform Data'!D1508)&gt;1,"Repeat","Single")</f>
        <v>Repeat</v>
      </c>
      <c r="J1508" s="10" t="str">
        <f>IF('Transform Data'!D1508="Cash","Cash",IF(COUNTIF('Transform Data'!$D:$D,'Transform Data'!D1508)&gt;1,"Repeat","Single"))</f>
        <v>Repeat</v>
      </c>
      <c r="K1508" s="10" t="str">
        <f t="shared" si="23"/>
        <v>TRANS-1507</v>
      </c>
    </row>
    <row r="1509" spans="1:11" x14ac:dyDescent="0.35">
      <c r="A1509" s="5">
        <v>45544</v>
      </c>
      <c r="B1509" s="3">
        <v>0.41031250000000002</v>
      </c>
      <c r="C1509" t="s">
        <v>8</v>
      </c>
      <c r="D1509" t="s">
        <v>635</v>
      </c>
      <c r="E1509" s="4">
        <v>32.82</v>
      </c>
      <c r="F1509" t="s">
        <v>15</v>
      </c>
      <c r="G1509" s="10" t="str">
        <f>TEXT(Transform_Data[[#This Row],[Date]],"mmm yyyy")</f>
        <v>Sep 2024</v>
      </c>
      <c r="H1509" s="10">
        <f>HOUR(Transform_Data[[#This Row],[Time]])</f>
        <v>9</v>
      </c>
      <c r="I1509" s="10" t="str">
        <f>IF(COUNTIF('Transform Data'!$D:$D,'Transform Data'!D1509)&gt;1,"Repeat","Single")</f>
        <v>Repeat</v>
      </c>
      <c r="J1509" s="10" t="str">
        <f>IF('Transform Data'!D1509="Cash","Cash",IF(COUNTIF('Transform Data'!$D:$D,'Transform Data'!D1509)&gt;1,"Repeat","Single"))</f>
        <v>Repeat</v>
      </c>
      <c r="K1509" s="10" t="str">
        <f t="shared" si="23"/>
        <v>TRANS-1508</v>
      </c>
    </row>
    <row r="1510" spans="1:11" x14ac:dyDescent="0.35">
      <c r="A1510" s="5">
        <v>45544</v>
      </c>
      <c r="B1510" s="3">
        <v>0.41608796296296297</v>
      </c>
      <c r="C1510" t="s">
        <v>8</v>
      </c>
      <c r="D1510" t="s">
        <v>547</v>
      </c>
      <c r="E1510" s="4">
        <v>32.82</v>
      </c>
      <c r="F1510" t="s">
        <v>32</v>
      </c>
      <c r="G1510" s="10" t="str">
        <f>TEXT(Transform_Data[[#This Row],[Date]],"mmm yyyy")</f>
        <v>Sep 2024</v>
      </c>
      <c r="H1510" s="10">
        <f>HOUR(Transform_Data[[#This Row],[Time]])</f>
        <v>9</v>
      </c>
      <c r="I1510" s="10" t="str">
        <f>IF(COUNTIF('Transform Data'!$D:$D,'Transform Data'!D1510)&gt;1,"Repeat","Single")</f>
        <v>Repeat</v>
      </c>
      <c r="J1510" s="10" t="str">
        <f>IF('Transform Data'!D1510="Cash","Cash",IF(COUNTIF('Transform Data'!$D:$D,'Transform Data'!D1510)&gt;1,"Repeat","Single"))</f>
        <v>Repeat</v>
      </c>
      <c r="K1510" s="10" t="str">
        <f t="shared" si="23"/>
        <v>TRANS-1509</v>
      </c>
    </row>
    <row r="1511" spans="1:11" x14ac:dyDescent="0.35">
      <c r="A1511" s="5">
        <v>45544</v>
      </c>
      <c r="B1511" s="3">
        <v>0.46638888888888891</v>
      </c>
      <c r="C1511" t="s">
        <v>8</v>
      </c>
      <c r="D1511" t="s">
        <v>652</v>
      </c>
      <c r="E1511" s="4">
        <v>27.92</v>
      </c>
      <c r="F1511" t="s">
        <v>36</v>
      </c>
      <c r="G1511" s="10" t="str">
        <f>TEXT(Transform_Data[[#This Row],[Date]],"mmm yyyy")</f>
        <v>Sep 2024</v>
      </c>
      <c r="H1511" s="10">
        <f>HOUR(Transform_Data[[#This Row],[Time]])</f>
        <v>11</v>
      </c>
      <c r="I1511" s="10" t="str">
        <f>IF(COUNTIF('Transform Data'!$D:$D,'Transform Data'!D1511)&gt;1,"Repeat","Single")</f>
        <v>Single</v>
      </c>
      <c r="J1511" s="10" t="str">
        <f>IF('Transform Data'!D1511="Cash","Cash",IF(COUNTIF('Transform Data'!$D:$D,'Transform Data'!D1511)&gt;1,"Repeat","Single"))</f>
        <v>Single</v>
      </c>
      <c r="K1511" s="10" t="str">
        <f t="shared" si="23"/>
        <v>TRANS-1510</v>
      </c>
    </row>
    <row r="1512" spans="1:11" x14ac:dyDescent="0.35">
      <c r="A1512" s="5">
        <v>45544</v>
      </c>
      <c r="B1512" s="3">
        <v>0.46724537037037039</v>
      </c>
      <c r="C1512" t="s">
        <v>8</v>
      </c>
      <c r="D1512" t="s">
        <v>653</v>
      </c>
      <c r="E1512" s="4">
        <v>27.92</v>
      </c>
      <c r="F1512" t="s">
        <v>36</v>
      </c>
      <c r="G1512" s="10" t="str">
        <f>TEXT(Transform_Data[[#This Row],[Date]],"mmm yyyy")</f>
        <v>Sep 2024</v>
      </c>
      <c r="H1512" s="10">
        <f>HOUR(Transform_Data[[#This Row],[Time]])</f>
        <v>11</v>
      </c>
      <c r="I1512" s="10" t="str">
        <f>IF(COUNTIF('Transform Data'!$D:$D,'Transform Data'!D1512)&gt;1,"Repeat","Single")</f>
        <v>Single</v>
      </c>
      <c r="J1512" s="10" t="str">
        <f>IF('Transform Data'!D1512="Cash","Cash",IF(COUNTIF('Transform Data'!$D:$D,'Transform Data'!D1512)&gt;1,"Repeat","Single"))</f>
        <v>Single</v>
      </c>
      <c r="K1512" s="10" t="str">
        <f t="shared" si="23"/>
        <v>TRANS-1511</v>
      </c>
    </row>
    <row r="1513" spans="1:11" x14ac:dyDescent="0.35">
      <c r="A1513" s="5">
        <v>45544</v>
      </c>
      <c r="B1513" s="3">
        <v>0.47903935185185187</v>
      </c>
      <c r="C1513" t="s">
        <v>8</v>
      </c>
      <c r="D1513" t="s">
        <v>654</v>
      </c>
      <c r="E1513" s="4">
        <v>32.82</v>
      </c>
      <c r="F1513" t="s">
        <v>32</v>
      </c>
      <c r="G1513" s="10" t="str">
        <f>TEXT(Transform_Data[[#This Row],[Date]],"mmm yyyy")</f>
        <v>Sep 2024</v>
      </c>
      <c r="H1513" s="10">
        <f>HOUR(Transform_Data[[#This Row],[Time]])</f>
        <v>11</v>
      </c>
      <c r="I1513" s="10" t="str">
        <f>IF(COUNTIF('Transform Data'!$D:$D,'Transform Data'!D1513)&gt;1,"Repeat","Single")</f>
        <v>Repeat</v>
      </c>
      <c r="J1513" s="10" t="str">
        <f>IF('Transform Data'!D1513="Cash","Cash",IF(COUNTIF('Transform Data'!$D:$D,'Transform Data'!D1513)&gt;1,"Repeat","Single"))</f>
        <v>Repeat</v>
      </c>
      <c r="K1513" s="10" t="str">
        <f t="shared" si="23"/>
        <v>TRANS-1512</v>
      </c>
    </row>
    <row r="1514" spans="1:11" x14ac:dyDescent="0.35">
      <c r="A1514" s="5">
        <v>45544</v>
      </c>
      <c r="B1514" s="3">
        <v>0.50484953703703705</v>
      </c>
      <c r="C1514" t="s">
        <v>8</v>
      </c>
      <c r="D1514" t="s">
        <v>655</v>
      </c>
      <c r="E1514" s="4">
        <v>18.12</v>
      </c>
      <c r="F1514" t="s">
        <v>5</v>
      </c>
      <c r="G1514" s="10" t="str">
        <f>TEXT(Transform_Data[[#This Row],[Date]],"mmm yyyy")</f>
        <v>Sep 2024</v>
      </c>
      <c r="H1514" s="10">
        <f>HOUR(Transform_Data[[#This Row],[Time]])</f>
        <v>12</v>
      </c>
      <c r="I1514" s="10" t="str">
        <f>IF(COUNTIF('Transform Data'!$D:$D,'Transform Data'!D1514)&gt;1,"Repeat","Single")</f>
        <v>Single</v>
      </c>
      <c r="J1514" s="10" t="str">
        <f>IF('Transform Data'!D1514="Cash","Cash",IF(COUNTIF('Transform Data'!$D:$D,'Transform Data'!D1514)&gt;1,"Repeat","Single"))</f>
        <v>Single</v>
      </c>
      <c r="K1514" s="10" t="str">
        <f t="shared" si="23"/>
        <v>TRANS-1513</v>
      </c>
    </row>
    <row r="1515" spans="1:11" x14ac:dyDescent="0.35">
      <c r="A1515" s="5">
        <v>45544</v>
      </c>
      <c r="B1515" s="3">
        <v>0.63348379629629625</v>
      </c>
      <c r="C1515" t="s">
        <v>8</v>
      </c>
      <c r="D1515" t="s">
        <v>656</v>
      </c>
      <c r="E1515" s="4">
        <v>32.82</v>
      </c>
      <c r="F1515" t="s">
        <v>32</v>
      </c>
      <c r="G1515" s="10" t="str">
        <f>TEXT(Transform_Data[[#This Row],[Date]],"mmm yyyy")</f>
        <v>Sep 2024</v>
      </c>
      <c r="H1515" s="10">
        <f>HOUR(Transform_Data[[#This Row],[Time]])</f>
        <v>15</v>
      </c>
      <c r="I1515" s="10" t="str">
        <f>IF(COUNTIF('Transform Data'!$D:$D,'Transform Data'!D1515)&gt;1,"Repeat","Single")</f>
        <v>Repeat</v>
      </c>
      <c r="J1515" s="10" t="str">
        <f>IF('Transform Data'!D1515="Cash","Cash",IF(COUNTIF('Transform Data'!$D:$D,'Transform Data'!D1515)&gt;1,"Repeat","Single"))</f>
        <v>Repeat</v>
      </c>
      <c r="K1515" s="10" t="str">
        <f t="shared" si="23"/>
        <v>TRANS-1514</v>
      </c>
    </row>
    <row r="1516" spans="1:11" x14ac:dyDescent="0.35">
      <c r="A1516" s="5">
        <v>45544</v>
      </c>
      <c r="B1516" s="3">
        <v>0.63430555555555557</v>
      </c>
      <c r="C1516" t="s">
        <v>8</v>
      </c>
      <c r="D1516" t="s">
        <v>656</v>
      </c>
      <c r="E1516" s="4">
        <v>23.02</v>
      </c>
      <c r="F1516" t="s">
        <v>28</v>
      </c>
      <c r="G1516" s="10" t="str">
        <f>TEXT(Transform_Data[[#This Row],[Date]],"mmm yyyy")</f>
        <v>Sep 2024</v>
      </c>
      <c r="H1516" s="10">
        <f>HOUR(Transform_Data[[#This Row],[Time]])</f>
        <v>15</v>
      </c>
      <c r="I1516" s="10" t="str">
        <f>IF(COUNTIF('Transform Data'!$D:$D,'Transform Data'!D1516)&gt;1,"Repeat","Single")</f>
        <v>Repeat</v>
      </c>
      <c r="J1516" s="10" t="str">
        <f>IF('Transform Data'!D1516="Cash","Cash",IF(COUNTIF('Transform Data'!$D:$D,'Transform Data'!D1516)&gt;1,"Repeat","Single"))</f>
        <v>Repeat</v>
      </c>
      <c r="K1516" s="10" t="str">
        <f t="shared" si="23"/>
        <v>TRANS-1515</v>
      </c>
    </row>
    <row r="1517" spans="1:11" x14ac:dyDescent="0.35">
      <c r="A1517" s="5">
        <v>45544</v>
      </c>
      <c r="B1517" s="3">
        <v>0.7251157407407407</v>
      </c>
      <c r="C1517" t="s">
        <v>8</v>
      </c>
      <c r="D1517" t="s">
        <v>657</v>
      </c>
      <c r="E1517" s="4">
        <v>32.82</v>
      </c>
      <c r="F1517" t="s">
        <v>32</v>
      </c>
      <c r="G1517" s="10" t="str">
        <f>TEXT(Transform_Data[[#This Row],[Date]],"mmm yyyy")</f>
        <v>Sep 2024</v>
      </c>
      <c r="H1517" s="10">
        <f>HOUR(Transform_Data[[#This Row],[Time]])</f>
        <v>17</v>
      </c>
      <c r="I1517" s="10" t="str">
        <f>IF(COUNTIF('Transform Data'!$D:$D,'Transform Data'!D1517)&gt;1,"Repeat","Single")</f>
        <v>Single</v>
      </c>
      <c r="J1517" s="10" t="str">
        <f>IF('Transform Data'!D1517="Cash","Cash",IF(COUNTIF('Transform Data'!$D:$D,'Transform Data'!D1517)&gt;1,"Repeat","Single"))</f>
        <v>Single</v>
      </c>
      <c r="K1517" s="10" t="str">
        <f t="shared" si="23"/>
        <v>TRANS-1516</v>
      </c>
    </row>
    <row r="1518" spans="1:11" x14ac:dyDescent="0.35">
      <c r="A1518" s="5">
        <v>45544</v>
      </c>
      <c r="B1518" s="3">
        <v>0.7595601851851852</v>
      </c>
      <c r="C1518" t="s">
        <v>8</v>
      </c>
      <c r="D1518" t="s">
        <v>21</v>
      </c>
      <c r="E1518" s="4">
        <v>32.82</v>
      </c>
      <c r="F1518" t="s">
        <v>32</v>
      </c>
      <c r="G1518" s="10" t="str">
        <f>TEXT(Transform_Data[[#This Row],[Date]],"mmm yyyy")</f>
        <v>Sep 2024</v>
      </c>
      <c r="H1518" s="10">
        <f>HOUR(Transform_Data[[#This Row],[Time]])</f>
        <v>18</v>
      </c>
      <c r="I1518" s="10" t="str">
        <f>IF(COUNTIF('Transform Data'!$D:$D,'Transform Data'!D1518)&gt;1,"Repeat","Single")</f>
        <v>Repeat</v>
      </c>
      <c r="J1518" s="10" t="str">
        <f>IF('Transform Data'!D1518="Cash","Cash",IF(COUNTIF('Transform Data'!$D:$D,'Transform Data'!D1518)&gt;1,"Repeat","Single"))</f>
        <v>Repeat</v>
      </c>
      <c r="K1518" s="10" t="str">
        <f t="shared" si="23"/>
        <v>TRANS-1517</v>
      </c>
    </row>
    <row r="1519" spans="1:11" x14ac:dyDescent="0.35">
      <c r="A1519" s="5">
        <v>45544</v>
      </c>
      <c r="B1519" s="3">
        <v>0.83861111111111108</v>
      </c>
      <c r="C1519" t="s">
        <v>8</v>
      </c>
      <c r="D1519" t="s">
        <v>322</v>
      </c>
      <c r="E1519" s="4">
        <v>32.82</v>
      </c>
      <c r="F1519" t="s">
        <v>24</v>
      </c>
      <c r="G1519" s="10" t="str">
        <f>TEXT(Transform_Data[[#This Row],[Date]],"mmm yyyy")</f>
        <v>Sep 2024</v>
      </c>
      <c r="H1519" s="10">
        <f>HOUR(Transform_Data[[#This Row],[Time]])</f>
        <v>20</v>
      </c>
      <c r="I1519" s="10" t="str">
        <f>IF(COUNTIF('Transform Data'!$D:$D,'Transform Data'!D1519)&gt;1,"Repeat","Single")</f>
        <v>Repeat</v>
      </c>
      <c r="J1519" s="10" t="str">
        <f>IF('Transform Data'!D1519="Cash","Cash",IF(COUNTIF('Transform Data'!$D:$D,'Transform Data'!D1519)&gt;1,"Repeat","Single"))</f>
        <v>Repeat</v>
      </c>
      <c r="K1519" s="10" t="str">
        <f t="shared" si="23"/>
        <v>TRANS-1518</v>
      </c>
    </row>
    <row r="1520" spans="1:11" x14ac:dyDescent="0.35">
      <c r="A1520" s="5">
        <v>45544</v>
      </c>
      <c r="B1520" s="3">
        <v>0.84285879629629634</v>
      </c>
      <c r="C1520" t="s">
        <v>8</v>
      </c>
      <c r="D1520" t="s">
        <v>658</v>
      </c>
      <c r="E1520" s="4">
        <v>32.82</v>
      </c>
      <c r="F1520" t="s">
        <v>32</v>
      </c>
      <c r="G1520" s="10" t="str">
        <f>TEXT(Transform_Data[[#This Row],[Date]],"mmm yyyy")</f>
        <v>Sep 2024</v>
      </c>
      <c r="H1520" s="10">
        <f>HOUR(Transform_Data[[#This Row],[Time]])</f>
        <v>20</v>
      </c>
      <c r="I1520" s="10" t="str">
        <f>IF(COUNTIF('Transform Data'!$D:$D,'Transform Data'!D1520)&gt;1,"Repeat","Single")</f>
        <v>Single</v>
      </c>
      <c r="J1520" s="10" t="str">
        <f>IF('Transform Data'!D1520="Cash","Cash",IF(COUNTIF('Transform Data'!$D:$D,'Transform Data'!D1520)&gt;1,"Repeat","Single"))</f>
        <v>Single</v>
      </c>
      <c r="K1520" s="10" t="str">
        <f t="shared" si="23"/>
        <v>TRANS-1519</v>
      </c>
    </row>
    <row r="1521" spans="1:11" x14ac:dyDescent="0.35">
      <c r="A1521" s="5">
        <v>45545</v>
      </c>
      <c r="B1521" s="3">
        <v>0.34168981481481481</v>
      </c>
      <c r="C1521" t="s">
        <v>8</v>
      </c>
      <c r="D1521" t="s">
        <v>659</v>
      </c>
      <c r="E1521" s="4">
        <v>32.82</v>
      </c>
      <c r="F1521" t="s">
        <v>15</v>
      </c>
      <c r="G1521" s="10" t="str">
        <f>TEXT(Transform_Data[[#This Row],[Date]],"mmm yyyy")</f>
        <v>Sep 2024</v>
      </c>
      <c r="H1521" s="10">
        <f>HOUR(Transform_Data[[#This Row],[Time]])</f>
        <v>8</v>
      </c>
      <c r="I1521" s="10" t="str">
        <f>IF(COUNTIF('Transform Data'!$D:$D,'Transform Data'!D1521)&gt;1,"Repeat","Single")</f>
        <v>Single</v>
      </c>
      <c r="J1521" s="10" t="str">
        <f>IF('Transform Data'!D1521="Cash","Cash",IF(COUNTIF('Transform Data'!$D:$D,'Transform Data'!D1521)&gt;1,"Repeat","Single"))</f>
        <v>Single</v>
      </c>
      <c r="K1521" s="10" t="str">
        <f t="shared" si="23"/>
        <v>TRANS-1520</v>
      </c>
    </row>
    <row r="1522" spans="1:11" x14ac:dyDescent="0.35">
      <c r="A1522" s="5">
        <v>45545</v>
      </c>
      <c r="B1522" s="3">
        <v>0.39775462962962965</v>
      </c>
      <c r="C1522" t="s">
        <v>8</v>
      </c>
      <c r="D1522" t="s">
        <v>660</v>
      </c>
      <c r="E1522" s="4">
        <v>32.82</v>
      </c>
      <c r="F1522" t="s">
        <v>24</v>
      </c>
      <c r="G1522" s="10" t="str">
        <f>TEXT(Transform_Data[[#This Row],[Date]],"mmm yyyy")</f>
        <v>Sep 2024</v>
      </c>
      <c r="H1522" s="10">
        <f>HOUR(Transform_Data[[#This Row],[Time]])</f>
        <v>9</v>
      </c>
      <c r="I1522" s="10" t="str">
        <f>IF(COUNTIF('Transform Data'!$D:$D,'Transform Data'!D1522)&gt;1,"Repeat","Single")</f>
        <v>Single</v>
      </c>
      <c r="J1522" s="10" t="str">
        <f>IF('Transform Data'!D1522="Cash","Cash",IF(COUNTIF('Transform Data'!$D:$D,'Transform Data'!D1522)&gt;1,"Repeat","Single"))</f>
        <v>Single</v>
      </c>
      <c r="K1522" s="10" t="str">
        <f t="shared" si="23"/>
        <v>TRANS-1521</v>
      </c>
    </row>
    <row r="1523" spans="1:11" x14ac:dyDescent="0.35">
      <c r="A1523" s="5">
        <v>45545</v>
      </c>
      <c r="B1523" s="3">
        <v>0.64020833333333338</v>
      </c>
      <c r="C1523" t="s">
        <v>8</v>
      </c>
      <c r="D1523" t="s">
        <v>595</v>
      </c>
      <c r="E1523" s="4">
        <v>23.02</v>
      </c>
      <c r="F1523" t="s">
        <v>20</v>
      </c>
      <c r="G1523" s="10" t="str">
        <f>TEXT(Transform_Data[[#This Row],[Date]],"mmm yyyy")</f>
        <v>Sep 2024</v>
      </c>
      <c r="H1523" s="10">
        <f>HOUR(Transform_Data[[#This Row],[Time]])</f>
        <v>15</v>
      </c>
      <c r="I1523" s="10" t="str">
        <f>IF(COUNTIF('Transform Data'!$D:$D,'Transform Data'!D1523)&gt;1,"Repeat","Single")</f>
        <v>Repeat</v>
      </c>
      <c r="J1523" s="10" t="str">
        <f>IF('Transform Data'!D1523="Cash","Cash",IF(COUNTIF('Transform Data'!$D:$D,'Transform Data'!D1523)&gt;1,"Repeat","Single"))</f>
        <v>Repeat</v>
      </c>
      <c r="K1523" s="10" t="str">
        <f t="shared" si="23"/>
        <v>TRANS-1522</v>
      </c>
    </row>
    <row r="1524" spans="1:11" x14ac:dyDescent="0.35">
      <c r="A1524" s="5">
        <v>45545</v>
      </c>
      <c r="B1524" s="3">
        <v>0.64103009259259258</v>
      </c>
      <c r="C1524" t="s">
        <v>8</v>
      </c>
      <c r="D1524" t="s">
        <v>595</v>
      </c>
      <c r="E1524" s="4">
        <v>23.02</v>
      </c>
      <c r="F1524" t="s">
        <v>20</v>
      </c>
      <c r="G1524" s="10" t="str">
        <f>TEXT(Transform_Data[[#This Row],[Date]],"mmm yyyy")</f>
        <v>Sep 2024</v>
      </c>
      <c r="H1524" s="10">
        <f>HOUR(Transform_Data[[#This Row],[Time]])</f>
        <v>15</v>
      </c>
      <c r="I1524" s="10" t="str">
        <f>IF(COUNTIF('Transform Data'!$D:$D,'Transform Data'!D1524)&gt;1,"Repeat","Single")</f>
        <v>Repeat</v>
      </c>
      <c r="J1524" s="10" t="str">
        <f>IF('Transform Data'!D1524="Cash","Cash",IF(COUNTIF('Transform Data'!$D:$D,'Transform Data'!D1524)&gt;1,"Repeat","Single"))</f>
        <v>Repeat</v>
      </c>
      <c r="K1524" s="10" t="str">
        <f t="shared" si="23"/>
        <v>TRANS-1523</v>
      </c>
    </row>
    <row r="1525" spans="1:11" x14ac:dyDescent="0.35">
      <c r="A1525" s="5">
        <v>45545</v>
      </c>
      <c r="B1525" s="3">
        <v>0.78033564814814815</v>
      </c>
      <c r="C1525" t="s">
        <v>8</v>
      </c>
      <c r="D1525" t="s">
        <v>661</v>
      </c>
      <c r="E1525" s="4">
        <v>32.82</v>
      </c>
      <c r="F1525" t="s">
        <v>24</v>
      </c>
      <c r="G1525" s="10" t="str">
        <f>TEXT(Transform_Data[[#This Row],[Date]],"mmm yyyy")</f>
        <v>Sep 2024</v>
      </c>
      <c r="H1525" s="10">
        <f>HOUR(Transform_Data[[#This Row],[Time]])</f>
        <v>18</v>
      </c>
      <c r="I1525" s="10" t="str">
        <f>IF(COUNTIF('Transform Data'!$D:$D,'Transform Data'!D1525)&gt;1,"Repeat","Single")</f>
        <v>Single</v>
      </c>
      <c r="J1525" s="10" t="str">
        <f>IF('Transform Data'!D1525="Cash","Cash",IF(COUNTIF('Transform Data'!$D:$D,'Transform Data'!D1525)&gt;1,"Repeat","Single"))</f>
        <v>Single</v>
      </c>
      <c r="K1525" s="10" t="str">
        <f t="shared" si="23"/>
        <v>TRANS-1524</v>
      </c>
    </row>
    <row r="1526" spans="1:11" x14ac:dyDescent="0.35">
      <c r="A1526" s="5">
        <v>45545</v>
      </c>
      <c r="B1526" s="3">
        <v>0.78150462962962963</v>
      </c>
      <c r="C1526" t="s">
        <v>8</v>
      </c>
      <c r="D1526" t="s">
        <v>662</v>
      </c>
      <c r="E1526" s="4">
        <v>27.92</v>
      </c>
      <c r="F1526" t="s">
        <v>36</v>
      </c>
      <c r="G1526" s="10" t="str">
        <f>TEXT(Transform_Data[[#This Row],[Date]],"mmm yyyy")</f>
        <v>Sep 2024</v>
      </c>
      <c r="H1526" s="10">
        <f>HOUR(Transform_Data[[#This Row],[Time]])</f>
        <v>18</v>
      </c>
      <c r="I1526" s="10" t="str">
        <f>IF(COUNTIF('Transform Data'!$D:$D,'Transform Data'!D1526)&gt;1,"Repeat","Single")</f>
        <v>Single</v>
      </c>
      <c r="J1526" s="10" t="str">
        <f>IF('Transform Data'!D1526="Cash","Cash",IF(COUNTIF('Transform Data'!$D:$D,'Transform Data'!D1526)&gt;1,"Repeat","Single"))</f>
        <v>Single</v>
      </c>
      <c r="K1526" s="10" t="str">
        <f t="shared" si="23"/>
        <v>TRANS-1525</v>
      </c>
    </row>
    <row r="1527" spans="1:11" x14ac:dyDescent="0.35">
      <c r="A1527" s="5">
        <v>45545</v>
      </c>
      <c r="B1527" s="3">
        <v>0.79355324074074074</v>
      </c>
      <c r="C1527" t="s">
        <v>8</v>
      </c>
      <c r="D1527" t="s">
        <v>663</v>
      </c>
      <c r="E1527" s="4">
        <v>32.82</v>
      </c>
      <c r="F1527" t="s">
        <v>32</v>
      </c>
      <c r="G1527" s="10" t="str">
        <f>TEXT(Transform_Data[[#This Row],[Date]],"mmm yyyy")</f>
        <v>Sep 2024</v>
      </c>
      <c r="H1527" s="10">
        <f>HOUR(Transform_Data[[#This Row],[Time]])</f>
        <v>19</v>
      </c>
      <c r="I1527" s="10" t="str">
        <f>IF(COUNTIF('Transform Data'!$D:$D,'Transform Data'!D1527)&gt;1,"Repeat","Single")</f>
        <v>Repeat</v>
      </c>
      <c r="J1527" s="10" t="str">
        <f>IF('Transform Data'!D1527="Cash","Cash",IF(COUNTIF('Transform Data'!$D:$D,'Transform Data'!D1527)&gt;1,"Repeat","Single"))</f>
        <v>Repeat</v>
      </c>
      <c r="K1527" s="10" t="str">
        <f t="shared" si="23"/>
        <v>TRANS-1526</v>
      </c>
    </row>
    <row r="1528" spans="1:11" x14ac:dyDescent="0.35">
      <c r="A1528" s="5">
        <v>45545</v>
      </c>
      <c r="B1528" s="3">
        <v>0.7943634259259259</v>
      </c>
      <c r="C1528" t="s">
        <v>8</v>
      </c>
      <c r="D1528" t="s">
        <v>663</v>
      </c>
      <c r="E1528" s="4">
        <v>32.82</v>
      </c>
      <c r="F1528" t="s">
        <v>32</v>
      </c>
      <c r="G1528" s="10" t="str">
        <f>TEXT(Transform_Data[[#This Row],[Date]],"mmm yyyy")</f>
        <v>Sep 2024</v>
      </c>
      <c r="H1528" s="10">
        <f>HOUR(Transform_Data[[#This Row],[Time]])</f>
        <v>19</v>
      </c>
      <c r="I1528" s="10" t="str">
        <f>IF(COUNTIF('Transform Data'!$D:$D,'Transform Data'!D1528)&gt;1,"Repeat","Single")</f>
        <v>Repeat</v>
      </c>
      <c r="J1528" s="10" t="str">
        <f>IF('Transform Data'!D1528="Cash","Cash",IF(COUNTIF('Transform Data'!$D:$D,'Transform Data'!D1528)&gt;1,"Repeat","Single"))</f>
        <v>Repeat</v>
      </c>
      <c r="K1528" s="10" t="str">
        <f t="shared" si="23"/>
        <v>TRANS-1527</v>
      </c>
    </row>
    <row r="1529" spans="1:11" x14ac:dyDescent="0.35">
      <c r="A1529" s="5">
        <v>45545</v>
      </c>
      <c r="B1529" s="3">
        <v>0.89553240740740736</v>
      </c>
      <c r="C1529" t="s">
        <v>8</v>
      </c>
      <c r="D1529" t="s">
        <v>43</v>
      </c>
      <c r="E1529" s="4">
        <v>27.92</v>
      </c>
      <c r="F1529" t="s">
        <v>36</v>
      </c>
      <c r="G1529" s="10" t="str">
        <f>TEXT(Transform_Data[[#This Row],[Date]],"mmm yyyy")</f>
        <v>Sep 2024</v>
      </c>
      <c r="H1529" s="10">
        <f>HOUR(Transform_Data[[#This Row],[Time]])</f>
        <v>21</v>
      </c>
      <c r="I1529" s="10" t="str">
        <f>IF(COUNTIF('Transform Data'!$D:$D,'Transform Data'!D1529)&gt;1,"Repeat","Single")</f>
        <v>Repeat</v>
      </c>
      <c r="J1529" s="10" t="str">
        <f>IF('Transform Data'!D1529="Cash","Cash",IF(COUNTIF('Transform Data'!$D:$D,'Transform Data'!D1529)&gt;1,"Repeat","Single"))</f>
        <v>Repeat</v>
      </c>
      <c r="K1529" s="10" t="str">
        <f t="shared" si="23"/>
        <v>TRANS-1528</v>
      </c>
    </row>
    <row r="1530" spans="1:11" x14ac:dyDescent="0.35">
      <c r="A1530" s="5">
        <v>45545</v>
      </c>
      <c r="B1530" s="3">
        <v>0.89614583333333331</v>
      </c>
      <c r="C1530" t="s">
        <v>8</v>
      </c>
      <c r="D1530" t="s">
        <v>43</v>
      </c>
      <c r="E1530" s="4">
        <v>23.02</v>
      </c>
      <c r="F1530" t="s">
        <v>28</v>
      </c>
      <c r="G1530" s="10" t="str">
        <f>TEXT(Transform_Data[[#This Row],[Date]],"mmm yyyy")</f>
        <v>Sep 2024</v>
      </c>
      <c r="H1530" s="10">
        <f>HOUR(Transform_Data[[#This Row],[Time]])</f>
        <v>21</v>
      </c>
      <c r="I1530" s="10" t="str">
        <f>IF(COUNTIF('Transform Data'!$D:$D,'Transform Data'!D1530)&gt;1,"Repeat","Single")</f>
        <v>Repeat</v>
      </c>
      <c r="J1530" s="10" t="str">
        <f>IF('Transform Data'!D1530="Cash","Cash",IF(COUNTIF('Transform Data'!$D:$D,'Transform Data'!D1530)&gt;1,"Repeat","Single"))</f>
        <v>Repeat</v>
      </c>
      <c r="K1530" s="10" t="str">
        <f t="shared" si="23"/>
        <v>TRANS-1529</v>
      </c>
    </row>
    <row r="1531" spans="1:11" x14ac:dyDescent="0.35">
      <c r="A1531" s="5">
        <v>45546</v>
      </c>
      <c r="B1531" s="3">
        <v>0.36622685185185183</v>
      </c>
      <c r="C1531" t="s">
        <v>8</v>
      </c>
      <c r="D1531" t="s">
        <v>664</v>
      </c>
      <c r="E1531" s="4">
        <v>32.82</v>
      </c>
      <c r="F1531" t="s">
        <v>32</v>
      </c>
      <c r="G1531" s="10" t="str">
        <f>TEXT(Transform_Data[[#This Row],[Date]],"mmm yyyy")</f>
        <v>Sep 2024</v>
      </c>
      <c r="H1531" s="10">
        <f>HOUR(Transform_Data[[#This Row],[Time]])</f>
        <v>8</v>
      </c>
      <c r="I1531" s="10" t="str">
        <f>IF(COUNTIF('Transform Data'!$D:$D,'Transform Data'!D1531)&gt;1,"Repeat","Single")</f>
        <v>Repeat</v>
      </c>
      <c r="J1531" s="10" t="str">
        <f>IF('Transform Data'!D1531="Cash","Cash",IF(COUNTIF('Transform Data'!$D:$D,'Transform Data'!D1531)&gt;1,"Repeat","Single"))</f>
        <v>Repeat</v>
      </c>
      <c r="K1531" s="10" t="str">
        <f t="shared" si="23"/>
        <v>TRANS-1530</v>
      </c>
    </row>
    <row r="1532" spans="1:11" x14ac:dyDescent="0.35">
      <c r="A1532" s="5">
        <v>45546</v>
      </c>
      <c r="B1532" s="3">
        <v>0.39497685185185183</v>
      </c>
      <c r="C1532" t="s">
        <v>8</v>
      </c>
      <c r="D1532" t="s">
        <v>11</v>
      </c>
      <c r="E1532" s="4">
        <v>27.92</v>
      </c>
      <c r="F1532" t="s">
        <v>36</v>
      </c>
      <c r="G1532" s="10" t="str">
        <f>TEXT(Transform_Data[[#This Row],[Date]],"mmm yyyy")</f>
        <v>Sep 2024</v>
      </c>
      <c r="H1532" s="10">
        <f>HOUR(Transform_Data[[#This Row],[Time]])</f>
        <v>9</v>
      </c>
      <c r="I1532" s="10" t="str">
        <f>IF(COUNTIF('Transform Data'!$D:$D,'Transform Data'!D1532)&gt;1,"Repeat","Single")</f>
        <v>Repeat</v>
      </c>
      <c r="J1532" s="10" t="str">
        <f>IF('Transform Data'!D1532="Cash","Cash",IF(COUNTIF('Transform Data'!$D:$D,'Transform Data'!D1532)&gt;1,"Repeat","Single"))</f>
        <v>Repeat</v>
      </c>
      <c r="K1532" s="10" t="str">
        <f t="shared" si="23"/>
        <v>TRANS-1531</v>
      </c>
    </row>
    <row r="1533" spans="1:11" x14ac:dyDescent="0.35">
      <c r="A1533" s="5">
        <v>45546</v>
      </c>
      <c r="B1533" s="3">
        <v>0.45288194444444446</v>
      </c>
      <c r="C1533" t="s">
        <v>8</v>
      </c>
      <c r="D1533" t="s">
        <v>665</v>
      </c>
      <c r="E1533" s="4">
        <v>32.82</v>
      </c>
      <c r="F1533" t="s">
        <v>32</v>
      </c>
      <c r="G1533" s="10" t="str">
        <f>TEXT(Transform_Data[[#This Row],[Date]],"mmm yyyy")</f>
        <v>Sep 2024</v>
      </c>
      <c r="H1533" s="10">
        <f>HOUR(Transform_Data[[#This Row],[Time]])</f>
        <v>10</v>
      </c>
      <c r="I1533" s="10" t="str">
        <f>IF(COUNTIF('Transform Data'!$D:$D,'Transform Data'!D1533)&gt;1,"Repeat","Single")</f>
        <v>Single</v>
      </c>
      <c r="J1533" s="10" t="str">
        <f>IF('Transform Data'!D1533="Cash","Cash",IF(COUNTIF('Transform Data'!$D:$D,'Transform Data'!D1533)&gt;1,"Repeat","Single"))</f>
        <v>Single</v>
      </c>
      <c r="K1533" s="10" t="str">
        <f t="shared" si="23"/>
        <v>TRANS-1532</v>
      </c>
    </row>
    <row r="1534" spans="1:11" x14ac:dyDescent="0.35">
      <c r="A1534" s="5">
        <v>45546</v>
      </c>
      <c r="B1534" s="3">
        <v>0.82861111111111108</v>
      </c>
      <c r="C1534" t="s">
        <v>8</v>
      </c>
      <c r="D1534" t="s">
        <v>666</v>
      </c>
      <c r="E1534" s="4">
        <v>32.82</v>
      </c>
      <c r="F1534" t="s">
        <v>24</v>
      </c>
      <c r="G1534" s="10" t="str">
        <f>TEXT(Transform_Data[[#This Row],[Date]],"mmm yyyy")</f>
        <v>Sep 2024</v>
      </c>
      <c r="H1534" s="10">
        <f>HOUR(Transform_Data[[#This Row],[Time]])</f>
        <v>19</v>
      </c>
      <c r="I1534" s="10" t="str">
        <f>IF(COUNTIF('Transform Data'!$D:$D,'Transform Data'!D1534)&gt;1,"Repeat","Single")</f>
        <v>Single</v>
      </c>
      <c r="J1534" s="10" t="str">
        <f>IF('Transform Data'!D1534="Cash","Cash",IF(COUNTIF('Transform Data'!$D:$D,'Transform Data'!D1534)&gt;1,"Repeat","Single"))</f>
        <v>Single</v>
      </c>
      <c r="K1534" s="10" t="str">
        <f t="shared" si="23"/>
        <v>TRANS-1533</v>
      </c>
    </row>
    <row r="1535" spans="1:11" x14ac:dyDescent="0.35">
      <c r="A1535" s="5">
        <v>45546</v>
      </c>
      <c r="B1535" s="3">
        <v>0.8425231481481481</v>
      </c>
      <c r="C1535" t="s">
        <v>8</v>
      </c>
      <c r="D1535" t="s">
        <v>583</v>
      </c>
      <c r="E1535" s="4">
        <v>27.92</v>
      </c>
      <c r="F1535" t="s">
        <v>36</v>
      </c>
      <c r="G1535" s="10" t="str">
        <f>TEXT(Transform_Data[[#This Row],[Date]],"mmm yyyy")</f>
        <v>Sep 2024</v>
      </c>
      <c r="H1535" s="10">
        <f>HOUR(Transform_Data[[#This Row],[Time]])</f>
        <v>20</v>
      </c>
      <c r="I1535" s="10" t="str">
        <f>IF(COUNTIF('Transform Data'!$D:$D,'Transform Data'!D1535)&gt;1,"Repeat","Single")</f>
        <v>Repeat</v>
      </c>
      <c r="J1535" s="10" t="str">
        <f>IF('Transform Data'!D1535="Cash","Cash",IF(COUNTIF('Transform Data'!$D:$D,'Transform Data'!D1535)&gt;1,"Repeat","Single"))</f>
        <v>Repeat</v>
      </c>
      <c r="K1535" s="10" t="str">
        <f t="shared" si="23"/>
        <v>TRANS-1534</v>
      </c>
    </row>
    <row r="1536" spans="1:11" x14ac:dyDescent="0.35">
      <c r="A1536" s="5">
        <v>45546</v>
      </c>
      <c r="B1536" s="3">
        <v>0.84326388888888892</v>
      </c>
      <c r="C1536" t="s">
        <v>8</v>
      </c>
      <c r="D1536" t="s">
        <v>583</v>
      </c>
      <c r="E1536" s="4">
        <v>32.82</v>
      </c>
      <c r="F1536" t="s">
        <v>32</v>
      </c>
      <c r="G1536" s="10" t="str">
        <f>TEXT(Transform_Data[[#This Row],[Date]],"mmm yyyy")</f>
        <v>Sep 2024</v>
      </c>
      <c r="H1536" s="10">
        <f>HOUR(Transform_Data[[#This Row],[Time]])</f>
        <v>20</v>
      </c>
      <c r="I1536" s="10" t="str">
        <f>IF(COUNTIF('Transform Data'!$D:$D,'Transform Data'!D1536)&gt;1,"Repeat","Single")</f>
        <v>Repeat</v>
      </c>
      <c r="J1536" s="10" t="str">
        <f>IF('Transform Data'!D1536="Cash","Cash",IF(COUNTIF('Transform Data'!$D:$D,'Transform Data'!D1536)&gt;1,"Repeat","Single"))</f>
        <v>Repeat</v>
      </c>
      <c r="K1536" s="10" t="str">
        <f t="shared" si="23"/>
        <v>TRANS-1535</v>
      </c>
    </row>
    <row r="1537" spans="1:11" x14ac:dyDescent="0.35">
      <c r="A1537" s="5">
        <v>45546</v>
      </c>
      <c r="B1537" s="3">
        <v>0.8439699074074074</v>
      </c>
      <c r="C1537" t="s">
        <v>8</v>
      </c>
      <c r="D1537" t="s">
        <v>583</v>
      </c>
      <c r="E1537" s="4">
        <v>32.82</v>
      </c>
      <c r="F1537" t="s">
        <v>32</v>
      </c>
      <c r="G1537" s="10" t="str">
        <f>TEXT(Transform_Data[[#This Row],[Date]],"mmm yyyy")</f>
        <v>Sep 2024</v>
      </c>
      <c r="H1537" s="10">
        <f>HOUR(Transform_Data[[#This Row],[Time]])</f>
        <v>20</v>
      </c>
      <c r="I1537" s="10" t="str">
        <f>IF(COUNTIF('Transform Data'!$D:$D,'Transform Data'!D1537)&gt;1,"Repeat","Single")</f>
        <v>Repeat</v>
      </c>
      <c r="J1537" s="10" t="str">
        <f>IF('Transform Data'!D1537="Cash","Cash",IF(COUNTIF('Transform Data'!$D:$D,'Transform Data'!D1537)&gt;1,"Repeat","Single"))</f>
        <v>Repeat</v>
      </c>
      <c r="K1537" s="10" t="str">
        <f t="shared" si="23"/>
        <v>TRANS-1536</v>
      </c>
    </row>
    <row r="1538" spans="1:11" x14ac:dyDescent="0.35">
      <c r="A1538" s="5">
        <v>45546</v>
      </c>
      <c r="B1538" s="3">
        <v>0.87608796296296299</v>
      </c>
      <c r="C1538" t="s">
        <v>8</v>
      </c>
      <c r="D1538" t="s">
        <v>636</v>
      </c>
      <c r="E1538" s="4">
        <v>23.02</v>
      </c>
      <c r="F1538" t="s">
        <v>20</v>
      </c>
      <c r="G1538" s="10" t="str">
        <f>TEXT(Transform_Data[[#This Row],[Date]],"mmm yyyy")</f>
        <v>Sep 2024</v>
      </c>
      <c r="H1538" s="10">
        <f>HOUR(Transform_Data[[#This Row],[Time]])</f>
        <v>21</v>
      </c>
      <c r="I1538" s="10" t="str">
        <f>IF(COUNTIF('Transform Data'!$D:$D,'Transform Data'!D1538)&gt;1,"Repeat","Single")</f>
        <v>Repeat</v>
      </c>
      <c r="J1538" s="10" t="str">
        <f>IF('Transform Data'!D1538="Cash","Cash",IF(COUNTIF('Transform Data'!$D:$D,'Transform Data'!D1538)&gt;1,"Repeat","Single"))</f>
        <v>Repeat</v>
      </c>
      <c r="K1538" s="10" t="str">
        <f t="shared" ref="K1538:K1601" si="24">"TRANS-"&amp;TEXT(ROW(A1537),"0000")</f>
        <v>TRANS-1537</v>
      </c>
    </row>
    <row r="1539" spans="1:11" x14ac:dyDescent="0.35">
      <c r="A1539" s="5">
        <v>45547</v>
      </c>
      <c r="B1539" s="3">
        <v>0.45653935185185185</v>
      </c>
      <c r="C1539" t="s">
        <v>8</v>
      </c>
      <c r="D1539" t="s">
        <v>400</v>
      </c>
      <c r="E1539" s="4">
        <v>18.12</v>
      </c>
      <c r="F1539" t="s">
        <v>5</v>
      </c>
      <c r="G1539" s="10" t="str">
        <f>TEXT(Transform_Data[[#This Row],[Date]],"mmm yyyy")</f>
        <v>Sep 2024</v>
      </c>
      <c r="H1539" s="10">
        <f>HOUR(Transform_Data[[#This Row],[Time]])</f>
        <v>10</v>
      </c>
      <c r="I1539" s="10" t="str">
        <f>IF(COUNTIF('Transform Data'!$D:$D,'Transform Data'!D1539)&gt;1,"Repeat","Single")</f>
        <v>Repeat</v>
      </c>
      <c r="J1539" s="10" t="str">
        <f>IF('Transform Data'!D1539="Cash","Cash",IF(COUNTIF('Transform Data'!$D:$D,'Transform Data'!D1539)&gt;1,"Repeat","Single"))</f>
        <v>Repeat</v>
      </c>
      <c r="K1539" s="10" t="str">
        <f t="shared" si="24"/>
        <v>TRANS-1538</v>
      </c>
    </row>
    <row r="1540" spans="1:11" x14ac:dyDescent="0.35">
      <c r="A1540" s="5">
        <v>45547</v>
      </c>
      <c r="B1540" s="3">
        <v>0.45716435185185184</v>
      </c>
      <c r="C1540" t="s">
        <v>8</v>
      </c>
      <c r="D1540" t="s">
        <v>400</v>
      </c>
      <c r="E1540" s="4">
        <v>27.92</v>
      </c>
      <c r="F1540" t="s">
        <v>36</v>
      </c>
      <c r="G1540" s="10" t="str">
        <f>TEXT(Transform_Data[[#This Row],[Date]],"mmm yyyy")</f>
        <v>Sep 2024</v>
      </c>
      <c r="H1540" s="10">
        <f>HOUR(Transform_Data[[#This Row],[Time]])</f>
        <v>10</v>
      </c>
      <c r="I1540" s="10" t="str">
        <f>IF(COUNTIF('Transform Data'!$D:$D,'Transform Data'!D1540)&gt;1,"Repeat","Single")</f>
        <v>Repeat</v>
      </c>
      <c r="J1540" s="10" t="str">
        <f>IF('Transform Data'!D1540="Cash","Cash",IF(COUNTIF('Transform Data'!$D:$D,'Transform Data'!D1540)&gt;1,"Repeat","Single"))</f>
        <v>Repeat</v>
      </c>
      <c r="K1540" s="10" t="str">
        <f t="shared" si="24"/>
        <v>TRANS-1539</v>
      </c>
    </row>
    <row r="1541" spans="1:11" x14ac:dyDescent="0.35">
      <c r="A1541" s="5">
        <v>45547</v>
      </c>
      <c r="B1541" s="3">
        <v>0.47749999999999998</v>
      </c>
      <c r="C1541" t="s">
        <v>8</v>
      </c>
      <c r="D1541" t="s">
        <v>667</v>
      </c>
      <c r="E1541" s="4">
        <v>27.92</v>
      </c>
      <c r="F1541" t="s">
        <v>36</v>
      </c>
      <c r="G1541" s="10" t="str">
        <f>TEXT(Transform_Data[[#This Row],[Date]],"mmm yyyy")</f>
        <v>Sep 2024</v>
      </c>
      <c r="H1541" s="10">
        <f>HOUR(Transform_Data[[#This Row],[Time]])</f>
        <v>11</v>
      </c>
      <c r="I1541" s="10" t="str">
        <f>IF(COUNTIF('Transform Data'!$D:$D,'Transform Data'!D1541)&gt;1,"Repeat","Single")</f>
        <v>Single</v>
      </c>
      <c r="J1541" s="10" t="str">
        <f>IF('Transform Data'!D1541="Cash","Cash",IF(COUNTIF('Transform Data'!$D:$D,'Transform Data'!D1541)&gt;1,"Repeat","Single"))</f>
        <v>Single</v>
      </c>
      <c r="K1541" s="10" t="str">
        <f t="shared" si="24"/>
        <v>TRANS-1540</v>
      </c>
    </row>
    <row r="1542" spans="1:11" x14ac:dyDescent="0.35">
      <c r="A1542" s="5">
        <v>45547</v>
      </c>
      <c r="B1542" s="3">
        <v>0.50581018518518517</v>
      </c>
      <c r="C1542" t="s">
        <v>8</v>
      </c>
      <c r="D1542" t="s">
        <v>617</v>
      </c>
      <c r="E1542" s="4">
        <v>32.82</v>
      </c>
      <c r="F1542" t="s">
        <v>24</v>
      </c>
      <c r="G1542" s="10" t="str">
        <f>TEXT(Transform_Data[[#This Row],[Date]],"mmm yyyy")</f>
        <v>Sep 2024</v>
      </c>
      <c r="H1542" s="10">
        <f>HOUR(Transform_Data[[#This Row],[Time]])</f>
        <v>12</v>
      </c>
      <c r="I1542" s="10" t="str">
        <f>IF(COUNTIF('Transform Data'!$D:$D,'Transform Data'!D1542)&gt;1,"Repeat","Single")</f>
        <v>Repeat</v>
      </c>
      <c r="J1542" s="10" t="str">
        <f>IF('Transform Data'!D1542="Cash","Cash",IF(COUNTIF('Transform Data'!$D:$D,'Transform Data'!D1542)&gt;1,"Repeat","Single"))</f>
        <v>Repeat</v>
      </c>
      <c r="K1542" s="10" t="str">
        <f t="shared" si="24"/>
        <v>TRANS-1541</v>
      </c>
    </row>
    <row r="1543" spans="1:11" x14ac:dyDescent="0.35">
      <c r="A1543" s="5">
        <v>45547</v>
      </c>
      <c r="B1543" s="3">
        <v>0.52159722222222227</v>
      </c>
      <c r="C1543" t="s">
        <v>8</v>
      </c>
      <c r="D1543" t="s">
        <v>668</v>
      </c>
      <c r="E1543" s="4">
        <v>23.02</v>
      </c>
      <c r="F1543" t="s">
        <v>20</v>
      </c>
      <c r="G1543" s="10" t="str">
        <f>TEXT(Transform_Data[[#This Row],[Date]],"mmm yyyy")</f>
        <v>Sep 2024</v>
      </c>
      <c r="H1543" s="10">
        <f>HOUR(Transform_Data[[#This Row],[Time]])</f>
        <v>12</v>
      </c>
      <c r="I1543" s="10" t="str">
        <f>IF(COUNTIF('Transform Data'!$D:$D,'Transform Data'!D1543)&gt;1,"Repeat","Single")</f>
        <v>Repeat</v>
      </c>
      <c r="J1543" s="10" t="str">
        <f>IF('Transform Data'!D1543="Cash","Cash",IF(COUNTIF('Transform Data'!$D:$D,'Transform Data'!D1543)&gt;1,"Repeat","Single"))</f>
        <v>Repeat</v>
      </c>
      <c r="K1543" s="10" t="str">
        <f t="shared" si="24"/>
        <v>TRANS-1542</v>
      </c>
    </row>
    <row r="1544" spans="1:11" x14ac:dyDescent="0.35">
      <c r="A1544" s="5">
        <v>45547</v>
      </c>
      <c r="B1544" s="3">
        <v>0.52247685185185189</v>
      </c>
      <c r="C1544" t="s">
        <v>8</v>
      </c>
      <c r="D1544" t="s">
        <v>668</v>
      </c>
      <c r="E1544" s="4">
        <v>23.02</v>
      </c>
      <c r="F1544" t="s">
        <v>20</v>
      </c>
      <c r="G1544" s="10" t="str">
        <f>TEXT(Transform_Data[[#This Row],[Date]],"mmm yyyy")</f>
        <v>Sep 2024</v>
      </c>
      <c r="H1544" s="10">
        <f>HOUR(Transform_Data[[#This Row],[Time]])</f>
        <v>12</v>
      </c>
      <c r="I1544" s="10" t="str">
        <f>IF(COUNTIF('Transform Data'!$D:$D,'Transform Data'!D1544)&gt;1,"Repeat","Single")</f>
        <v>Repeat</v>
      </c>
      <c r="J1544" s="10" t="str">
        <f>IF('Transform Data'!D1544="Cash","Cash",IF(COUNTIF('Transform Data'!$D:$D,'Transform Data'!D1544)&gt;1,"Repeat","Single"))</f>
        <v>Repeat</v>
      </c>
      <c r="K1544" s="10" t="str">
        <f t="shared" si="24"/>
        <v>TRANS-1543</v>
      </c>
    </row>
    <row r="1545" spans="1:11" x14ac:dyDescent="0.35">
      <c r="A1545" s="5">
        <v>45547</v>
      </c>
      <c r="B1545" s="3">
        <v>0.52592592592592591</v>
      </c>
      <c r="C1545" t="s">
        <v>8</v>
      </c>
      <c r="D1545" t="s">
        <v>40</v>
      </c>
      <c r="E1545" s="4">
        <v>23.02</v>
      </c>
      <c r="F1545" t="s">
        <v>20</v>
      </c>
      <c r="G1545" s="10" t="str">
        <f>TEXT(Transform_Data[[#This Row],[Date]],"mmm yyyy")</f>
        <v>Sep 2024</v>
      </c>
      <c r="H1545" s="10">
        <f>HOUR(Transform_Data[[#This Row],[Time]])</f>
        <v>12</v>
      </c>
      <c r="I1545" s="10" t="str">
        <f>IF(COUNTIF('Transform Data'!$D:$D,'Transform Data'!D1545)&gt;1,"Repeat","Single")</f>
        <v>Repeat</v>
      </c>
      <c r="J1545" s="10" t="str">
        <f>IF('Transform Data'!D1545="Cash","Cash",IF(COUNTIF('Transform Data'!$D:$D,'Transform Data'!D1545)&gt;1,"Repeat","Single"))</f>
        <v>Repeat</v>
      </c>
      <c r="K1545" s="10" t="str">
        <f t="shared" si="24"/>
        <v>TRANS-1544</v>
      </c>
    </row>
    <row r="1546" spans="1:11" x14ac:dyDescent="0.35">
      <c r="A1546" s="5">
        <v>45547</v>
      </c>
      <c r="B1546" s="3">
        <v>0.52649305555555559</v>
      </c>
      <c r="C1546" t="s">
        <v>8</v>
      </c>
      <c r="D1546" t="s">
        <v>40</v>
      </c>
      <c r="E1546" s="4">
        <v>23.02</v>
      </c>
      <c r="F1546" t="s">
        <v>20</v>
      </c>
      <c r="G1546" s="10" t="str">
        <f>TEXT(Transform_Data[[#This Row],[Date]],"mmm yyyy")</f>
        <v>Sep 2024</v>
      </c>
      <c r="H1546" s="10">
        <f>HOUR(Transform_Data[[#This Row],[Time]])</f>
        <v>12</v>
      </c>
      <c r="I1546" s="10" t="str">
        <f>IF(COUNTIF('Transform Data'!$D:$D,'Transform Data'!D1546)&gt;1,"Repeat","Single")</f>
        <v>Repeat</v>
      </c>
      <c r="J1546" s="10" t="str">
        <f>IF('Transform Data'!D1546="Cash","Cash",IF(COUNTIF('Transform Data'!$D:$D,'Transform Data'!D1546)&gt;1,"Repeat","Single"))</f>
        <v>Repeat</v>
      </c>
      <c r="K1546" s="10" t="str">
        <f t="shared" si="24"/>
        <v>TRANS-1545</v>
      </c>
    </row>
    <row r="1547" spans="1:11" x14ac:dyDescent="0.35">
      <c r="A1547" s="5">
        <v>45547</v>
      </c>
      <c r="B1547" s="3">
        <v>0.70931712962962967</v>
      </c>
      <c r="C1547" t="s">
        <v>8</v>
      </c>
      <c r="D1547" t="s">
        <v>669</v>
      </c>
      <c r="E1547" s="4">
        <v>32.82</v>
      </c>
      <c r="F1547" t="s">
        <v>32</v>
      </c>
      <c r="G1547" s="10" t="str">
        <f>TEXT(Transform_Data[[#This Row],[Date]],"mmm yyyy")</f>
        <v>Sep 2024</v>
      </c>
      <c r="H1547" s="10">
        <f>HOUR(Transform_Data[[#This Row],[Time]])</f>
        <v>17</v>
      </c>
      <c r="I1547" s="10" t="str">
        <f>IF(COUNTIF('Transform Data'!$D:$D,'Transform Data'!D1547)&gt;1,"Repeat","Single")</f>
        <v>Single</v>
      </c>
      <c r="J1547" s="10" t="str">
        <f>IF('Transform Data'!D1547="Cash","Cash",IF(COUNTIF('Transform Data'!$D:$D,'Transform Data'!D1547)&gt;1,"Repeat","Single"))</f>
        <v>Single</v>
      </c>
      <c r="K1547" s="10" t="str">
        <f t="shared" si="24"/>
        <v>TRANS-1546</v>
      </c>
    </row>
    <row r="1548" spans="1:11" x14ac:dyDescent="0.35">
      <c r="A1548" s="5">
        <v>45547</v>
      </c>
      <c r="B1548" s="3">
        <v>0.8813657407407407</v>
      </c>
      <c r="C1548" t="s">
        <v>8</v>
      </c>
      <c r="D1548" t="s">
        <v>670</v>
      </c>
      <c r="E1548" s="4">
        <v>23.02</v>
      </c>
      <c r="F1548" t="s">
        <v>28</v>
      </c>
      <c r="G1548" s="10" t="str">
        <f>TEXT(Transform_Data[[#This Row],[Date]],"mmm yyyy")</f>
        <v>Sep 2024</v>
      </c>
      <c r="H1548" s="10">
        <f>HOUR(Transform_Data[[#This Row],[Time]])</f>
        <v>21</v>
      </c>
      <c r="I1548" s="10" t="str">
        <f>IF(COUNTIF('Transform Data'!$D:$D,'Transform Data'!D1548)&gt;1,"Repeat","Single")</f>
        <v>Repeat</v>
      </c>
      <c r="J1548" s="10" t="str">
        <f>IF('Transform Data'!D1548="Cash","Cash",IF(COUNTIF('Transform Data'!$D:$D,'Transform Data'!D1548)&gt;1,"Repeat","Single"))</f>
        <v>Repeat</v>
      </c>
      <c r="K1548" s="10" t="str">
        <f t="shared" si="24"/>
        <v>TRANS-1547</v>
      </c>
    </row>
    <row r="1549" spans="1:11" x14ac:dyDescent="0.35">
      <c r="A1549" s="5">
        <v>45547</v>
      </c>
      <c r="B1549" s="3">
        <v>0.88218750000000001</v>
      </c>
      <c r="C1549" t="s">
        <v>8</v>
      </c>
      <c r="D1549" t="s">
        <v>670</v>
      </c>
      <c r="E1549" s="4">
        <v>32.82</v>
      </c>
      <c r="F1549" t="s">
        <v>24</v>
      </c>
      <c r="G1549" s="10" t="str">
        <f>TEXT(Transform_Data[[#This Row],[Date]],"mmm yyyy")</f>
        <v>Sep 2024</v>
      </c>
      <c r="H1549" s="10">
        <f>HOUR(Transform_Data[[#This Row],[Time]])</f>
        <v>21</v>
      </c>
      <c r="I1549" s="10" t="str">
        <f>IF(COUNTIF('Transform Data'!$D:$D,'Transform Data'!D1549)&gt;1,"Repeat","Single")</f>
        <v>Repeat</v>
      </c>
      <c r="J1549" s="10" t="str">
        <f>IF('Transform Data'!D1549="Cash","Cash",IF(COUNTIF('Transform Data'!$D:$D,'Transform Data'!D1549)&gt;1,"Repeat","Single"))</f>
        <v>Repeat</v>
      </c>
      <c r="K1549" s="10" t="str">
        <f t="shared" si="24"/>
        <v>TRANS-1548</v>
      </c>
    </row>
    <row r="1550" spans="1:11" x14ac:dyDescent="0.35">
      <c r="A1550" s="5">
        <v>45547</v>
      </c>
      <c r="B1550" s="3">
        <v>0.88421296296296292</v>
      </c>
      <c r="C1550" t="s">
        <v>8</v>
      </c>
      <c r="D1550" t="s">
        <v>372</v>
      </c>
      <c r="E1550" s="4">
        <v>23.02</v>
      </c>
      <c r="F1550" t="s">
        <v>20</v>
      </c>
      <c r="G1550" s="10" t="str">
        <f>TEXT(Transform_Data[[#This Row],[Date]],"mmm yyyy")</f>
        <v>Sep 2024</v>
      </c>
      <c r="H1550" s="10">
        <f>HOUR(Transform_Data[[#This Row],[Time]])</f>
        <v>21</v>
      </c>
      <c r="I1550" s="10" t="str">
        <f>IF(COUNTIF('Transform Data'!$D:$D,'Transform Data'!D1550)&gt;1,"Repeat","Single")</f>
        <v>Repeat</v>
      </c>
      <c r="J1550" s="10" t="str">
        <f>IF('Transform Data'!D1550="Cash","Cash",IF(COUNTIF('Transform Data'!$D:$D,'Transform Data'!D1550)&gt;1,"Repeat","Single"))</f>
        <v>Repeat</v>
      </c>
      <c r="K1550" s="10" t="str">
        <f t="shared" si="24"/>
        <v>TRANS-1549</v>
      </c>
    </row>
    <row r="1551" spans="1:11" x14ac:dyDescent="0.35">
      <c r="A1551" s="5">
        <v>45548</v>
      </c>
      <c r="B1551" s="3">
        <v>0.33116898148148149</v>
      </c>
      <c r="C1551" t="s">
        <v>8</v>
      </c>
      <c r="D1551" t="s">
        <v>622</v>
      </c>
      <c r="E1551" s="4">
        <v>32.82</v>
      </c>
      <c r="F1551" t="s">
        <v>32</v>
      </c>
      <c r="G1551" s="10" t="str">
        <f>TEXT(Transform_Data[[#This Row],[Date]],"mmm yyyy")</f>
        <v>Sep 2024</v>
      </c>
      <c r="H1551" s="10">
        <f>HOUR(Transform_Data[[#This Row],[Time]])</f>
        <v>7</v>
      </c>
      <c r="I1551" s="10" t="str">
        <f>IF(COUNTIF('Transform Data'!$D:$D,'Transform Data'!D1551)&gt;1,"Repeat","Single")</f>
        <v>Repeat</v>
      </c>
      <c r="J1551" s="10" t="str">
        <f>IF('Transform Data'!D1551="Cash","Cash",IF(COUNTIF('Transform Data'!$D:$D,'Transform Data'!D1551)&gt;1,"Repeat","Single"))</f>
        <v>Repeat</v>
      </c>
      <c r="K1551" s="10" t="str">
        <f t="shared" si="24"/>
        <v>TRANS-1550</v>
      </c>
    </row>
    <row r="1552" spans="1:11" x14ac:dyDescent="0.35">
      <c r="A1552" s="5">
        <v>45548</v>
      </c>
      <c r="B1552" s="3">
        <v>0.36182870370370368</v>
      </c>
      <c r="C1552" t="s">
        <v>8</v>
      </c>
      <c r="D1552" t="s">
        <v>478</v>
      </c>
      <c r="E1552" s="4">
        <v>32.82</v>
      </c>
      <c r="F1552" t="s">
        <v>32</v>
      </c>
      <c r="G1552" s="10" t="str">
        <f>TEXT(Transform_Data[[#This Row],[Date]],"mmm yyyy")</f>
        <v>Sep 2024</v>
      </c>
      <c r="H1552" s="10">
        <f>HOUR(Transform_Data[[#This Row],[Time]])</f>
        <v>8</v>
      </c>
      <c r="I1552" s="10" t="str">
        <f>IF(COUNTIF('Transform Data'!$D:$D,'Transform Data'!D1552)&gt;1,"Repeat","Single")</f>
        <v>Repeat</v>
      </c>
      <c r="J1552" s="10" t="str">
        <f>IF('Transform Data'!D1552="Cash","Cash",IF(COUNTIF('Transform Data'!$D:$D,'Transform Data'!D1552)&gt;1,"Repeat","Single"))</f>
        <v>Repeat</v>
      </c>
      <c r="K1552" s="10" t="str">
        <f t="shared" si="24"/>
        <v>TRANS-1551</v>
      </c>
    </row>
    <row r="1553" spans="1:11" x14ac:dyDescent="0.35">
      <c r="A1553" s="5">
        <v>45548</v>
      </c>
      <c r="B1553" s="3">
        <v>0.37100694444444443</v>
      </c>
      <c r="C1553" t="s">
        <v>8</v>
      </c>
      <c r="D1553" t="s">
        <v>428</v>
      </c>
      <c r="E1553" s="4">
        <v>32.82</v>
      </c>
      <c r="F1553" t="s">
        <v>32</v>
      </c>
      <c r="G1553" s="10" t="str">
        <f>TEXT(Transform_Data[[#This Row],[Date]],"mmm yyyy")</f>
        <v>Sep 2024</v>
      </c>
      <c r="H1553" s="10">
        <f>HOUR(Transform_Data[[#This Row],[Time]])</f>
        <v>8</v>
      </c>
      <c r="I1553" s="10" t="str">
        <f>IF(COUNTIF('Transform Data'!$D:$D,'Transform Data'!D1553)&gt;1,"Repeat","Single")</f>
        <v>Repeat</v>
      </c>
      <c r="J1553" s="10" t="str">
        <f>IF('Transform Data'!D1553="Cash","Cash",IF(COUNTIF('Transform Data'!$D:$D,'Transform Data'!D1553)&gt;1,"Repeat","Single"))</f>
        <v>Repeat</v>
      </c>
      <c r="K1553" s="10" t="str">
        <f t="shared" si="24"/>
        <v>TRANS-1552</v>
      </c>
    </row>
    <row r="1554" spans="1:11" x14ac:dyDescent="0.35">
      <c r="A1554" s="5">
        <v>45548</v>
      </c>
      <c r="B1554" s="3">
        <v>0.41063657407407406</v>
      </c>
      <c r="C1554" t="s">
        <v>8</v>
      </c>
      <c r="D1554" t="s">
        <v>671</v>
      </c>
      <c r="E1554" s="4">
        <v>32.82</v>
      </c>
      <c r="F1554" t="s">
        <v>32</v>
      </c>
      <c r="G1554" s="10" t="str">
        <f>TEXT(Transform_Data[[#This Row],[Date]],"mmm yyyy")</f>
        <v>Sep 2024</v>
      </c>
      <c r="H1554" s="10">
        <f>HOUR(Transform_Data[[#This Row],[Time]])</f>
        <v>9</v>
      </c>
      <c r="I1554" s="10" t="str">
        <f>IF(COUNTIF('Transform Data'!$D:$D,'Transform Data'!D1554)&gt;1,"Repeat","Single")</f>
        <v>Single</v>
      </c>
      <c r="J1554" s="10" t="str">
        <f>IF('Transform Data'!D1554="Cash","Cash",IF(COUNTIF('Transform Data'!$D:$D,'Transform Data'!D1554)&gt;1,"Repeat","Single"))</f>
        <v>Single</v>
      </c>
      <c r="K1554" s="10" t="str">
        <f t="shared" si="24"/>
        <v>TRANS-1553</v>
      </c>
    </row>
    <row r="1555" spans="1:11" x14ac:dyDescent="0.35">
      <c r="A1555" s="5">
        <v>45548</v>
      </c>
      <c r="B1555" s="3">
        <v>0.65159722222222227</v>
      </c>
      <c r="C1555" t="s">
        <v>8</v>
      </c>
      <c r="D1555" t="s">
        <v>296</v>
      </c>
      <c r="E1555" s="4">
        <v>27.92</v>
      </c>
      <c r="F1555" t="s">
        <v>36</v>
      </c>
      <c r="G1555" s="10" t="str">
        <f>TEXT(Transform_Data[[#This Row],[Date]],"mmm yyyy")</f>
        <v>Sep 2024</v>
      </c>
      <c r="H1555" s="10">
        <f>HOUR(Transform_Data[[#This Row],[Time]])</f>
        <v>15</v>
      </c>
      <c r="I1555" s="10" t="str">
        <f>IF(COUNTIF('Transform Data'!$D:$D,'Transform Data'!D1555)&gt;1,"Repeat","Single")</f>
        <v>Repeat</v>
      </c>
      <c r="J1555" s="10" t="str">
        <f>IF('Transform Data'!D1555="Cash","Cash",IF(COUNTIF('Transform Data'!$D:$D,'Transform Data'!D1555)&gt;1,"Repeat","Single"))</f>
        <v>Repeat</v>
      </c>
      <c r="K1555" s="10" t="str">
        <f t="shared" si="24"/>
        <v>TRANS-1554</v>
      </c>
    </row>
    <row r="1556" spans="1:11" x14ac:dyDescent="0.35">
      <c r="A1556" s="5">
        <v>45548</v>
      </c>
      <c r="B1556" s="3">
        <v>0.66033564814814816</v>
      </c>
      <c r="C1556" t="s">
        <v>8</v>
      </c>
      <c r="D1556" t="s">
        <v>604</v>
      </c>
      <c r="E1556" s="4">
        <v>27.92</v>
      </c>
      <c r="F1556" t="s">
        <v>36</v>
      </c>
      <c r="G1556" s="10" t="str">
        <f>TEXT(Transform_Data[[#This Row],[Date]],"mmm yyyy")</f>
        <v>Sep 2024</v>
      </c>
      <c r="H1556" s="10">
        <f>HOUR(Transform_Data[[#This Row],[Time]])</f>
        <v>15</v>
      </c>
      <c r="I1556" s="10" t="str">
        <f>IF(COUNTIF('Transform Data'!$D:$D,'Transform Data'!D1556)&gt;1,"Repeat","Single")</f>
        <v>Repeat</v>
      </c>
      <c r="J1556" s="10" t="str">
        <f>IF('Transform Data'!D1556="Cash","Cash",IF(COUNTIF('Transform Data'!$D:$D,'Transform Data'!D1556)&gt;1,"Repeat","Single"))</f>
        <v>Repeat</v>
      </c>
      <c r="K1556" s="10" t="str">
        <f t="shared" si="24"/>
        <v>TRANS-1555</v>
      </c>
    </row>
    <row r="1557" spans="1:11" x14ac:dyDescent="0.35">
      <c r="A1557" s="5">
        <v>45549</v>
      </c>
      <c r="B1557" s="3">
        <v>0.68702546296296296</v>
      </c>
      <c r="C1557" t="s">
        <v>8</v>
      </c>
      <c r="D1557" t="s">
        <v>595</v>
      </c>
      <c r="E1557" s="4">
        <v>32.82</v>
      </c>
      <c r="F1557" t="s">
        <v>24</v>
      </c>
      <c r="G1557" s="10" t="str">
        <f>TEXT(Transform_Data[[#This Row],[Date]],"mmm yyyy")</f>
        <v>Sep 2024</v>
      </c>
      <c r="H1557" s="10">
        <f>HOUR(Transform_Data[[#This Row],[Time]])</f>
        <v>16</v>
      </c>
      <c r="I1557" s="10" t="str">
        <f>IF(COUNTIF('Transform Data'!$D:$D,'Transform Data'!D1557)&gt;1,"Repeat","Single")</f>
        <v>Repeat</v>
      </c>
      <c r="J1557" s="10" t="str">
        <f>IF('Transform Data'!D1557="Cash","Cash",IF(COUNTIF('Transform Data'!$D:$D,'Transform Data'!D1557)&gt;1,"Repeat","Single"))</f>
        <v>Repeat</v>
      </c>
      <c r="K1557" s="10" t="str">
        <f t="shared" si="24"/>
        <v>TRANS-1556</v>
      </c>
    </row>
    <row r="1558" spans="1:11" x14ac:dyDescent="0.35">
      <c r="A1558" s="5">
        <v>45549</v>
      </c>
      <c r="B1558" s="3">
        <v>0.68768518518518518</v>
      </c>
      <c r="C1558" t="s">
        <v>8</v>
      </c>
      <c r="D1558" t="s">
        <v>595</v>
      </c>
      <c r="E1558" s="4">
        <v>32.82</v>
      </c>
      <c r="F1558" t="s">
        <v>24</v>
      </c>
      <c r="G1558" s="10" t="str">
        <f>TEXT(Transform_Data[[#This Row],[Date]],"mmm yyyy")</f>
        <v>Sep 2024</v>
      </c>
      <c r="H1558" s="10">
        <f>HOUR(Transform_Data[[#This Row],[Time]])</f>
        <v>16</v>
      </c>
      <c r="I1558" s="10" t="str">
        <f>IF(COUNTIF('Transform Data'!$D:$D,'Transform Data'!D1558)&gt;1,"Repeat","Single")</f>
        <v>Repeat</v>
      </c>
      <c r="J1558" s="10" t="str">
        <f>IF('Transform Data'!D1558="Cash","Cash",IF(COUNTIF('Transform Data'!$D:$D,'Transform Data'!D1558)&gt;1,"Repeat","Single"))</f>
        <v>Repeat</v>
      </c>
      <c r="K1558" s="10" t="str">
        <f t="shared" si="24"/>
        <v>TRANS-1557</v>
      </c>
    </row>
    <row r="1559" spans="1:11" x14ac:dyDescent="0.35">
      <c r="A1559" s="5">
        <v>45550</v>
      </c>
      <c r="B1559" s="3">
        <v>0.36296296296296299</v>
      </c>
      <c r="C1559" t="s">
        <v>8</v>
      </c>
      <c r="D1559" t="s">
        <v>400</v>
      </c>
      <c r="E1559" s="4">
        <v>18.12</v>
      </c>
      <c r="F1559" t="s">
        <v>5</v>
      </c>
      <c r="G1559" s="10" t="str">
        <f>TEXT(Transform_Data[[#This Row],[Date]],"mmm yyyy")</f>
        <v>Sep 2024</v>
      </c>
      <c r="H1559" s="10">
        <f>HOUR(Transform_Data[[#This Row],[Time]])</f>
        <v>8</v>
      </c>
      <c r="I1559" s="10" t="str">
        <f>IF(COUNTIF('Transform Data'!$D:$D,'Transform Data'!D1559)&gt;1,"Repeat","Single")</f>
        <v>Repeat</v>
      </c>
      <c r="J1559" s="10" t="str">
        <f>IF('Transform Data'!D1559="Cash","Cash",IF(COUNTIF('Transform Data'!$D:$D,'Transform Data'!D1559)&gt;1,"Repeat","Single"))</f>
        <v>Repeat</v>
      </c>
      <c r="K1559" s="10" t="str">
        <f t="shared" si="24"/>
        <v>TRANS-1558</v>
      </c>
    </row>
    <row r="1560" spans="1:11" x14ac:dyDescent="0.35">
      <c r="A1560" s="5">
        <v>45550</v>
      </c>
      <c r="B1560" s="3">
        <v>0.40946759259259258</v>
      </c>
      <c r="C1560" t="s">
        <v>8</v>
      </c>
      <c r="D1560" t="s">
        <v>672</v>
      </c>
      <c r="E1560" s="4">
        <v>27.92</v>
      </c>
      <c r="F1560" t="s">
        <v>36</v>
      </c>
      <c r="G1560" s="10" t="str">
        <f>TEXT(Transform_Data[[#This Row],[Date]],"mmm yyyy")</f>
        <v>Sep 2024</v>
      </c>
      <c r="H1560" s="10">
        <f>HOUR(Transform_Data[[#This Row],[Time]])</f>
        <v>9</v>
      </c>
      <c r="I1560" s="10" t="str">
        <f>IF(COUNTIF('Transform Data'!$D:$D,'Transform Data'!D1560)&gt;1,"Repeat","Single")</f>
        <v>Repeat</v>
      </c>
      <c r="J1560" s="10" t="str">
        <f>IF('Transform Data'!D1560="Cash","Cash",IF(COUNTIF('Transform Data'!$D:$D,'Transform Data'!D1560)&gt;1,"Repeat","Single"))</f>
        <v>Repeat</v>
      </c>
      <c r="K1560" s="10" t="str">
        <f t="shared" si="24"/>
        <v>TRANS-1559</v>
      </c>
    </row>
    <row r="1561" spans="1:11" x14ac:dyDescent="0.35">
      <c r="A1561" s="5">
        <v>45550</v>
      </c>
      <c r="B1561" s="3">
        <v>0.57612268518518517</v>
      </c>
      <c r="C1561" t="s">
        <v>8</v>
      </c>
      <c r="D1561" t="s">
        <v>357</v>
      </c>
      <c r="E1561" s="4">
        <v>23.02</v>
      </c>
      <c r="F1561" t="s">
        <v>28</v>
      </c>
      <c r="G1561" s="10" t="str">
        <f>TEXT(Transform_Data[[#This Row],[Date]],"mmm yyyy")</f>
        <v>Sep 2024</v>
      </c>
      <c r="H1561" s="10">
        <f>HOUR(Transform_Data[[#This Row],[Time]])</f>
        <v>13</v>
      </c>
      <c r="I1561" s="10" t="str">
        <f>IF(COUNTIF('Transform Data'!$D:$D,'Transform Data'!D1561)&gt;1,"Repeat","Single")</f>
        <v>Repeat</v>
      </c>
      <c r="J1561" s="10" t="str">
        <f>IF('Transform Data'!D1561="Cash","Cash",IF(COUNTIF('Transform Data'!$D:$D,'Transform Data'!D1561)&gt;1,"Repeat","Single"))</f>
        <v>Repeat</v>
      </c>
      <c r="K1561" s="10" t="str">
        <f t="shared" si="24"/>
        <v>TRANS-1560</v>
      </c>
    </row>
    <row r="1562" spans="1:11" x14ac:dyDescent="0.35">
      <c r="A1562" s="5">
        <v>45550</v>
      </c>
      <c r="B1562" s="3">
        <v>0.60855324074074069</v>
      </c>
      <c r="C1562" t="s">
        <v>8</v>
      </c>
      <c r="D1562" t="s">
        <v>40</v>
      </c>
      <c r="E1562" s="4">
        <v>23.02</v>
      </c>
      <c r="F1562" t="s">
        <v>20</v>
      </c>
      <c r="G1562" s="10" t="str">
        <f>TEXT(Transform_Data[[#This Row],[Date]],"mmm yyyy")</f>
        <v>Sep 2024</v>
      </c>
      <c r="H1562" s="10">
        <f>HOUR(Transform_Data[[#This Row],[Time]])</f>
        <v>14</v>
      </c>
      <c r="I1562" s="10" t="str">
        <f>IF(COUNTIF('Transform Data'!$D:$D,'Transform Data'!D1562)&gt;1,"Repeat","Single")</f>
        <v>Repeat</v>
      </c>
      <c r="J1562" s="10" t="str">
        <f>IF('Transform Data'!D1562="Cash","Cash",IF(COUNTIF('Transform Data'!$D:$D,'Transform Data'!D1562)&gt;1,"Repeat","Single"))</f>
        <v>Repeat</v>
      </c>
      <c r="K1562" s="10" t="str">
        <f t="shared" si="24"/>
        <v>TRANS-1561</v>
      </c>
    </row>
    <row r="1563" spans="1:11" x14ac:dyDescent="0.35">
      <c r="A1563" s="5">
        <v>45550</v>
      </c>
      <c r="B1563" s="3">
        <v>0.60925925925925928</v>
      </c>
      <c r="C1563" t="s">
        <v>8</v>
      </c>
      <c r="D1563" t="s">
        <v>40</v>
      </c>
      <c r="E1563" s="4">
        <v>23.02</v>
      </c>
      <c r="F1563" t="s">
        <v>20</v>
      </c>
      <c r="G1563" s="10" t="str">
        <f>TEXT(Transform_Data[[#This Row],[Date]],"mmm yyyy")</f>
        <v>Sep 2024</v>
      </c>
      <c r="H1563" s="10">
        <f>HOUR(Transform_Data[[#This Row],[Time]])</f>
        <v>14</v>
      </c>
      <c r="I1563" s="10" t="str">
        <f>IF(COUNTIF('Transform Data'!$D:$D,'Transform Data'!D1563)&gt;1,"Repeat","Single")</f>
        <v>Repeat</v>
      </c>
      <c r="J1563" s="10" t="str">
        <f>IF('Transform Data'!D1563="Cash","Cash",IF(COUNTIF('Transform Data'!$D:$D,'Transform Data'!D1563)&gt;1,"Repeat","Single"))</f>
        <v>Repeat</v>
      </c>
      <c r="K1563" s="10" t="str">
        <f t="shared" si="24"/>
        <v>TRANS-1562</v>
      </c>
    </row>
    <row r="1564" spans="1:11" x14ac:dyDescent="0.35">
      <c r="A1564" s="5">
        <v>45550</v>
      </c>
      <c r="B1564" s="3">
        <v>0.62034722222222227</v>
      </c>
      <c r="C1564" t="s">
        <v>8</v>
      </c>
      <c r="D1564" t="s">
        <v>595</v>
      </c>
      <c r="E1564" s="4">
        <v>32.82</v>
      </c>
      <c r="F1564" t="s">
        <v>24</v>
      </c>
      <c r="G1564" s="10" t="str">
        <f>TEXT(Transform_Data[[#This Row],[Date]],"mmm yyyy")</f>
        <v>Sep 2024</v>
      </c>
      <c r="H1564" s="10">
        <f>HOUR(Transform_Data[[#This Row],[Time]])</f>
        <v>14</v>
      </c>
      <c r="I1564" s="10" t="str">
        <f>IF(COUNTIF('Transform Data'!$D:$D,'Transform Data'!D1564)&gt;1,"Repeat","Single")</f>
        <v>Repeat</v>
      </c>
      <c r="J1564" s="10" t="str">
        <f>IF('Transform Data'!D1564="Cash","Cash",IF(COUNTIF('Transform Data'!$D:$D,'Transform Data'!D1564)&gt;1,"Repeat","Single"))</f>
        <v>Repeat</v>
      </c>
      <c r="K1564" s="10" t="str">
        <f t="shared" si="24"/>
        <v>TRANS-1563</v>
      </c>
    </row>
    <row r="1565" spans="1:11" x14ac:dyDescent="0.35">
      <c r="A1565" s="5">
        <v>45551</v>
      </c>
      <c r="B1565" s="3">
        <v>0.56414351851851852</v>
      </c>
      <c r="C1565" t="s">
        <v>8</v>
      </c>
      <c r="D1565" t="s">
        <v>673</v>
      </c>
      <c r="E1565" s="4">
        <v>32.82</v>
      </c>
      <c r="F1565" t="s">
        <v>32</v>
      </c>
      <c r="G1565" s="10" t="str">
        <f>TEXT(Transform_Data[[#This Row],[Date]],"mmm yyyy")</f>
        <v>Sep 2024</v>
      </c>
      <c r="H1565" s="10">
        <f>HOUR(Transform_Data[[#This Row],[Time]])</f>
        <v>13</v>
      </c>
      <c r="I1565" s="10" t="str">
        <f>IF(COUNTIF('Transform Data'!$D:$D,'Transform Data'!D1565)&gt;1,"Repeat","Single")</f>
        <v>Repeat</v>
      </c>
      <c r="J1565" s="10" t="str">
        <f>IF('Transform Data'!D1565="Cash","Cash",IF(COUNTIF('Transform Data'!$D:$D,'Transform Data'!D1565)&gt;1,"Repeat","Single"))</f>
        <v>Repeat</v>
      </c>
      <c r="K1565" s="10" t="str">
        <f t="shared" si="24"/>
        <v>TRANS-1564</v>
      </c>
    </row>
    <row r="1566" spans="1:11" x14ac:dyDescent="0.35">
      <c r="A1566" s="5">
        <v>45551</v>
      </c>
      <c r="B1566" s="3">
        <v>0.56499999999999995</v>
      </c>
      <c r="C1566" t="s">
        <v>8</v>
      </c>
      <c r="D1566" t="s">
        <v>636</v>
      </c>
      <c r="E1566" s="4">
        <v>27.92</v>
      </c>
      <c r="F1566" t="s">
        <v>36</v>
      </c>
      <c r="G1566" s="10" t="str">
        <f>TEXT(Transform_Data[[#This Row],[Date]],"mmm yyyy")</f>
        <v>Sep 2024</v>
      </c>
      <c r="H1566" s="10">
        <f>HOUR(Transform_Data[[#This Row],[Time]])</f>
        <v>13</v>
      </c>
      <c r="I1566" s="10" t="str">
        <f>IF(COUNTIF('Transform Data'!$D:$D,'Transform Data'!D1566)&gt;1,"Repeat","Single")</f>
        <v>Repeat</v>
      </c>
      <c r="J1566" s="10" t="str">
        <f>IF('Transform Data'!D1566="Cash","Cash",IF(COUNTIF('Transform Data'!$D:$D,'Transform Data'!D1566)&gt;1,"Repeat","Single"))</f>
        <v>Repeat</v>
      </c>
      <c r="K1566" s="10" t="str">
        <f t="shared" si="24"/>
        <v>TRANS-1565</v>
      </c>
    </row>
    <row r="1567" spans="1:11" x14ac:dyDescent="0.35">
      <c r="A1567" s="5">
        <v>45551</v>
      </c>
      <c r="B1567" s="3">
        <v>0.64119212962962968</v>
      </c>
      <c r="C1567" t="s">
        <v>8</v>
      </c>
      <c r="D1567" t="s">
        <v>673</v>
      </c>
      <c r="E1567" s="4">
        <v>32.82</v>
      </c>
      <c r="F1567" t="s">
        <v>32</v>
      </c>
      <c r="G1567" s="10" t="str">
        <f>TEXT(Transform_Data[[#This Row],[Date]],"mmm yyyy")</f>
        <v>Sep 2024</v>
      </c>
      <c r="H1567" s="10">
        <f>HOUR(Transform_Data[[#This Row],[Time]])</f>
        <v>15</v>
      </c>
      <c r="I1567" s="10" t="str">
        <f>IF(COUNTIF('Transform Data'!$D:$D,'Transform Data'!D1567)&gt;1,"Repeat","Single")</f>
        <v>Repeat</v>
      </c>
      <c r="J1567" s="10" t="str">
        <f>IF('Transform Data'!D1567="Cash","Cash",IF(COUNTIF('Transform Data'!$D:$D,'Transform Data'!D1567)&gt;1,"Repeat","Single"))</f>
        <v>Repeat</v>
      </c>
      <c r="K1567" s="10" t="str">
        <f t="shared" si="24"/>
        <v>TRANS-1566</v>
      </c>
    </row>
    <row r="1568" spans="1:11" x14ac:dyDescent="0.35">
      <c r="A1568" s="5">
        <v>45551</v>
      </c>
      <c r="B1568" s="3">
        <v>0.71950231481481486</v>
      </c>
      <c r="C1568" t="s">
        <v>8</v>
      </c>
      <c r="D1568" t="s">
        <v>674</v>
      </c>
      <c r="E1568" s="4">
        <v>27.92</v>
      </c>
      <c r="F1568" t="s">
        <v>36</v>
      </c>
      <c r="G1568" s="10" t="str">
        <f>TEXT(Transform_Data[[#This Row],[Date]],"mmm yyyy")</f>
        <v>Sep 2024</v>
      </c>
      <c r="H1568" s="10">
        <f>HOUR(Transform_Data[[#This Row],[Time]])</f>
        <v>17</v>
      </c>
      <c r="I1568" s="10" t="str">
        <f>IF(COUNTIF('Transform Data'!$D:$D,'Transform Data'!D1568)&gt;1,"Repeat","Single")</f>
        <v>Repeat</v>
      </c>
      <c r="J1568" s="10" t="str">
        <f>IF('Transform Data'!D1568="Cash","Cash",IF(COUNTIF('Transform Data'!$D:$D,'Transform Data'!D1568)&gt;1,"Repeat","Single"))</f>
        <v>Repeat</v>
      </c>
      <c r="K1568" s="10" t="str">
        <f t="shared" si="24"/>
        <v>TRANS-1567</v>
      </c>
    </row>
    <row r="1569" spans="1:11" x14ac:dyDescent="0.35">
      <c r="A1569" s="5">
        <v>45551</v>
      </c>
      <c r="B1569" s="3">
        <v>0.72086805555555555</v>
      </c>
      <c r="C1569" t="s">
        <v>8</v>
      </c>
      <c r="D1569" t="s">
        <v>675</v>
      </c>
      <c r="E1569" s="4">
        <v>32.82</v>
      </c>
      <c r="F1569" t="s">
        <v>32</v>
      </c>
      <c r="G1569" s="10" t="str">
        <f>TEXT(Transform_Data[[#This Row],[Date]],"mmm yyyy")</f>
        <v>Sep 2024</v>
      </c>
      <c r="H1569" s="10">
        <f>HOUR(Transform_Data[[#This Row],[Time]])</f>
        <v>17</v>
      </c>
      <c r="I1569" s="10" t="str">
        <f>IF(COUNTIF('Transform Data'!$D:$D,'Transform Data'!D1569)&gt;1,"Repeat","Single")</f>
        <v>Single</v>
      </c>
      <c r="J1569" s="10" t="str">
        <f>IF('Transform Data'!D1569="Cash","Cash",IF(COUNTIF('Transform Data'!$D:$D,'Transform Data'!D1569)&gt;1,"Repeat","Single"))</f>
        <v>Single</v>
      </c>
      <c r="K1569" s="10" t="str">
        <f t="shared" si="24"/>
        <v>TRANS-1568</v>
      </c>
    </row>
    <row r="1570" spans="1:11" x14ac:dyDescent="0.35">
      <c r="A1570" s="5">
        <v>45551</v>
      </c>
      <c r="B1570" s="3">
        <v>0.78802083333333328</v>
      </c>
      <c r="C1570" t="s">
        <v>8</v>
      </c>
      <c r="D1570" t="s">
        <v>676</v>
      </c>
      <c r="E1570" s="4">
        <v>32.82</v>
      </c>
      <c r="F1570" t="s">
        <v>32</v>
      </c>
      <c r="G1570" s="10" t="str">
        <f>TEXT(Transform_Data[[#This Row],[Date]],"mmm yyyy")</f>
        <v>Sep 2024</v>
      </c>
      <c r="H1570" s="10">
        <f>HOUR(Transform_Data[[#This Row],[Time]])</f>
        <v>18</v>
      </c>
      <c r="I1570" s="10" t="str">
        <f>IF(COUNTIF('Transform Data'!$D:$D,'Transform Data'!D1570)&gt;1,"Repeat","Single")</f>
        <v>Single</v>
      </c>
      <c r="J1570" s="10" t="str">
        <f>IF('Transform Data'!D1570="Cash","Cash",IF(COUNTIF('Transform Data'!$D:$D,'Transform Data'!D1570)&gt;1,"Repeat","Single"))</f>
        <v>Single</v>
      </c>
      <c r="K1570" s="10" t="str">
        <f t="shared" si="24"/>
        <v>TRANS-1569</v>
      </c>
    </row>
    <row r="1571" spans="1:11" x14ac:dyDescent="0.35">
      <c r="A1571" s="5">
        <v>45551</v>
      </c>
      <c r="B1571" s="3">
        <v>0.78894675925925928</v>
      </c>
      <c r="C1571" t="s">
        <v>8</v>
      </c>
      <c r="D1571" t="s">
        <v>677</v>
      </c>
      <c r="E1571" s="4">
        <v>32.82</v>
      </c>
      <c r="F1571" t="s">
        <v>32</v>
      </c>
      <c r="G1571" s="10" t="str">
        <f>TEXT(Transform_Data[[#This Row],[Date]],"mmm yyyy")</f>
        <v>Sep 2024</v>
      </c>
      <c r="H1571" s="10">
        <f>HOUR(Transform_Data[[#This Row],[Time]])</f>
        <v>18</v>
      </c>
      <c r="I1571" s="10" t="str">
        <f>IF(COUNTIF('Transform Data'!$D:$D,'Transform Data'!D1571)&gt;1,"Repeat","Single")</f>
        <v>Single</v>
      </c>
      <c r="J1571" s="10" t="str">
        <f>IF('Transform Data'!D1571="Cash","Cash",IF(COUNTIF('Transform Data'!$D:$D,'Transform Data'!D1571)&gt;1,"Repeat","Single"))</f>
        <v>Single</v>
      </c>
      <c r="K1571" s="10" t="str">
        <f t="shared" si="24"/>
        <v>TRANS-1570</v>
      </c>
    </row>
    <row r="1572" spans="1:11" x14ac:dyDescent="0.35">
      <c r="A1572" s="5">
        <v>45551</v>
      </c>
      <c r="B1572" s="3">
        <v>0.88215277777777779</v>
      </c>
      <c r="C1572" t="s">
        <v>8</v>
      </c>
      <c r="D1572" t="s">
        <v>678</v>
      </c>
      <c r="E1572" s="4">
        <v>27.92</v>
      </c>
      <c r="F1572" t="s">
        <v>36</v>
      </c>
      <c r="G1572" s="10" t="str">
        <f>TEXT(Transform_Data[[#This Row],[Date]],"mmm yyyy")</f>
        <v>Sep 2024</v>
      </c>
      <c r="H1572" s="10">
        <f>HOUR(Transform_Data[[#This Row],[Time]])</f>
        <v>21</v>
      </c>
      <c r="I1572" s="10" t="str">
        <f>IF(COUNTIF('Transform Data'!$D:$D,'Transform Data'!D1572)&gt;1,"Repeat","Single")</f>
        <v>Repeat</v>
      </c>
      <c r="J1572" s="10" t="str">
        <f>IF('Transform Data'!D1572="Cash","Cash",IF(COUNTIF('Transform Data'!$D:$D,'Transform Data'!D1572)&gt;1,"Repeat","Single"))</f>
        <v>Repeat</v>
      </c>
      <c r="K1572" s="10" t="str">
        <f t="shared" si="24"/>
        <v>TRANS-1571</v>
      </c>
    </row>
    <row r="1573" spans="1:11" x14ac:dyDescent="0.35">
      <c r="A1573" s="5">
        <v>45551</v>
      </c>
      <c r="B1573" s="3">
        <v>0.88300925925925922</v>
      </c>
      <c r="C1573" t="s">
        <v>8</v>
      </c>
      <c r="D1573" t="s">
        <v>678</v>
      </c>
      <c r="E1573" s="4">
        <v>32.82</v>
      </c>
      <c r="F1573" t="s">
        <v>32</v>
      </c>
      <c r="G1573" s="10" t="str">
        <f>TEXT(Transform_Data[[#This Row],[Date]],"mmm yyyy")</f>
        <v>Sep 2024</v>
      </c>
      <c r="H1573" s="10">
        <f>HOUR(Transform_Data[[#This Row],[Time]])</f>
        <v>21</v>
      </c>
      <c r="I1573" s="10" t="str">
        <f>IF(COUNTIF('Transform Data'!$D:$D,'Transform Data'!D1573)&gt;1,"Repeat","Single")</f>
        <v>Repeat</v>
      </c>
      <c r="J1573" s="10" t="str">
        <f>IF('Transform Data'!D1573="Cash","Cash",IF(COUNTIF('Transform Data'!$D:$D,'Transform Data'!D1573)&gt;1,"Repeat","Single"))</f>
        <v>Repeat</v>
      </c>
      <c r="K1573" s="10" t="str">
        <f t="shared" si="24"/>
        <v>TRANS-1572</v>
      </c>
    </row>
    <row r="1574" spans="1:11" x14ac:dyDescent="0.35">
      <c r="A1574" s="5">
        <v>45551</v>
      </c>
      <c r="B1574" s="3">
        <v>0.90123842592592596</v>
      </c>
      <c r="C1574" t="s">
        <v>8</v>
      </c>
      <c r="D1574" t="s">
        <v>340</v>
      </c>
      <c r="E1574" s="4">
        <v>27.92</v>
      </c>
      <c r="F1574" t="s">
        <v>36</v>
      </c>
      <c r="G1574" s="10" t="str">
        <f>TEXT(Transform_Data[[#This Row],[Date]],"mmm yyyy")</f>
        <v>Sep 2024</v>
      </c>
      <c r="H1574" s="10">
        <f>HOUR(Transform_Data[[#This Row],[Time]])</f>
        <v>21</v>
      </c>
      <c r="I1574" s="10" t="str">
        <f>IF(COUNTIF('Transform Data'!$D:$D,'Transform Data'!D1574)&gt;1,"Repeat","Single")</f>
        <v>Repeat</v>
      </c>
      <c r="J1574" s="10" t="str">
        <f>IF('Transform Data'!D1574="Cash","Cash",IF(COUNTIF('Transform Data'!$D:$D,'Transform Data'!D1574)&gt;1,"Repeat","Single"))</f>
        <v>Repeat</v>
      </c>
      <c r="K1574" s="10" t="str">
        <f t="shared" si="24"/>
        <v>TRANS-1573</v>
      </c>
    </row>
    <row r="1575" spans="1:11" x14ac:dyDescent="0.35">
      <c r="A1575" s="5">
        <v>45551</v>
      </c>
      <c r="B1575" s="3">
        <v>0.90194444444444444</v>
      </c>
      <c r="C1575" t="s">
        <v>8</v>
      </c>
      <c r="D1575" t="s">
        <v>11</v>
      </c>
      <c r="E1575" s="4">
        <v>27.92</v>
      </c>
      <c r="F1575" t="s">
        <v>36</v>
      </c>
      <c r="G1575" s="10" t="str">
        <f>TEXT(Transform_Data[[#This Row],[Date]],"mmm yyyy")</f>
        <v>Sep 2024</v>
      </c>
      <c r="H1575" s="10">
        <f>HOUR(Transform_Data[[#This Row],[Time]])</f>
        <v>21</v>
      </c>
      <c r="I1575" s="10" t="str">
        <f>IF(COUNTIF('Transform Data'!$D:$D,'Transform Data'!D1575)&gt;1,"Repeat","Single")</f>
        <v>Repeat</v>
      </c>
      <c r="J1575" s="10" t="str">
        <f>IF('Transform Data'!D1575="Cash","Cash",IF(COUNTIF('Transform Data'!$D:$D,'Transform Data'!D1575)&gt;1,"Repeat","Single"))</f>
        <v>Repeat</v>
      </c>
      <c r="K1575" s="10" t="str">
        <f t="shared" si="24"/>
        <v>TRANS-1574</v>
      </c>
    </row>
    <row r="1576" spans="1:11" x14ac:dyDescent="0.35">
      <c r="A1576" s="5">
        <v>45552</v>
      </c>
      <c r="B1576" s="3">
        <v>0.32982638888888888</v>
      </c>
      <c r="C1576" t="s">
        <v>8</v>
      </c>
      <c r="D1576" t="s">
        <v>679</v>
      </c>
      <c r="E1576" s="4">
        <v>23.02</v>
      </c>
      <c r="F1576" t="s">
        <v>20</v>
      </c>
      <c r="G1576" s="10" t="str">
        <f>TEXT(Transform_Data[[#This Row],[Date]],"mmm yyyy")</f>
        <v>Sep 2024</v>
      </c>
      <c r="H1576" s="10">
        <f>HOUR(Transform_Data[[#This Row],[Time]])</f>
        <v>7</v>
      </c>
      <c r="I1576" s="10" t="str">
        <f>IF(COUNTIF('Transform Data'!$D:$D,'Transform Data'!D1576)&gt;1,"Repeat","Single")</f>
        <v>Repeat</v>
      </c>
      <c r="J1576" s="10" t="str">
        <f>IF('Transform Data'!D1576="Cash","Cash",IF(COUNTIF('Transform Data'!$D:$D,'Transform Data'!D1576)&gt;1,"Repeat","Single"))</f>
        <v>Repeat</v>
      </c>
      <c r="K1576" s="10" t="str">
        <f t="shared" si="24"/>
        <v>TRANS-1575</v>
      </c>
    </row>
    <row r="1577" spans="1:11" x14ac:dyDescent="0.35">
      <c r="A1577" s="5">
        <v>45552</v>
      </c>
      <c r="B1577" s="3">
        <v>0.33958333333333335</v>
      </c>
      <c r="C1577" t="s">
        <v>8</v>
      </c>
      <c r="D1577" t="s">
        <v>673</v>
      </c>
      <c r="E1577" s="4">
        <v>32.82</v>
      </c>
      <c r="F1577" t="s">
        <v>32</v>
      </c>
      <c r="G1577" s="10" t="str">
        <f>TEXT(Transform_Data[[#This Row],[Date]],"mmm yyyy")</f>
        <v>Sep 2024</v>
      </c>
      <c r="H1577" s="10">
        <f>HOUR(Transform_Data[[#This Row],[Time]])</f>
        <v>8</v>
      </c>
      <c r="I1577" s="10" t="str">
        <f>IF(COUNTIF('Transform Data'!$D:$D,'Transform Data'!D1577)&gt;1,"Repeat","Single")</f>
        <v>Repeat</v>
      </c>
      <c r="J1577" s="10" t="str">
        <f>IF('Transform Data'!D1577="Cash","Cash",IF(COUNTIF('Transform Data'!$D:$D,'Transform Data'!D1577)&gt;1,"Repeat","Single"))</f>
        <v>Repeat</v>
      </c>
      <c r="K1577" s="10" t="str">
        <f t="shared" si="24"/>
        <v>TRANS-1576</v>
      </c>
    </row>
    <row r="1578" spans="1:11" x14ac:dyDescent="0.35">
      <c r="A1578" s="5">
        <v>45552</v>
      </c>
      <c r="B1578" s="3">
        <v>0.35945601851851849</v>
      </c>
      <c r="C1578" t="s">
        <v>8</v>
      </c>
      <c r="D1578" t="s">
        <v>29</v>
      </c>
      <c r="E1578" s="4">
        <v>27.92</v>
      </c>
      <c r="F1578" t="s">
        <v>36</v>
      </c>
      <c r="G1578" s="10" t="str">
        <f>TEXT(Transform_Data[[#This Row],[Date]],"mmm yyyy")</f>
        <v>Sep 2024</v>
      </c>
      <c r="H1578" s="10">
        <f>HOUR(Transform_Data[[#This Row],[Time]])</f>
        <v>8</v>
      </c>
      <c r="I1578" s="10" t="str">
        <f>IF(COUNTIF('Transform Data'!$D:$D,'Transform Data'!D1578)&gt;1,"Repeat","Single")</f>
        <v>Repeat</v>
      </c>
      <c r="J1578" s="10" t="str">
        <f>IF('Transform Data'!D1578="Cash","Cash",IF(COUNTIF('Transform Data'!$D:$D,'Transform Data'!D1578)&gt;1,"Repeat","Single"))</f>
        <v>Repeat</v>
      </c>
      <c r="K1578" s="10" t="str">
        <f t="shared" si="24"/>
        <v>TRANS-1577</v>
      </c>
    </row>
    <row r="1579" spans="1:11" x14ac:dyDescent="0.35">
      <c r="A1579" s="5">
        <v>45552</v>
      </c>
      <c r="B1579" s="3">
        <v>0.3628587962962963</v>
      </c>
      <c r="C1579" t="s">
        <v>8</v>
      </c>
      <c r="D1579" t="s">
        <v>40</v>
      </c>
      <c r="E1579" s="4">
        <v>23.02</v>
      </c>
      <c r="F1579" t="s">
        <v>20</v>
      </c>
      <c r="G1579" s="10" t="str">
        <f>TEXT(Transform_Data[[#This Row],[Date]],"mmm yyyy")</f>
        <v>Sep 2024</v>
      </c>
      <c r="H1579" s="10">
        <f>HOUR(Transform_Data[[#This Row],[Time]])</f>
        <v>8</v>
      </c>
      <c r="I1579" s="10" t="str">
        <f>IF(COUNTIF('Transform Data'!$D:$D,'Transform Data'!D1579)&gt;1,"Repeat","Single")</f>
        <v>Repeat</v>
      </c>
      <c r="J1579" s="10" t="str">
        <f>IF('Transform Data'!D1579="Cash","Cash",IF(COUNTIF('Transform Data'!$D:$D,'Transform Data'!D1579)&gt;1,"Repeat","Single"))</f>
        <v>Repeat</v>
      </c>
      <c r="K1579" s="10" t="str">
        <f t="shared" si="24"/>
        <v>TRANS-1578</v>
      </c>
    </row>
    <row r="1580" spans="1:11" x14ac:dyDescent="0.35">
      <c r="A1580" s="5">
        <v>45552</v>
      </c>
      <c r="B1580" s="3">
        <v>0.38197916666666665</v>
      </c>
      <c r="C1580" t="s">
        <v>8</v>
      </c>
      <c r="D1580" t="s">
        <v>606</v>
      </c>
      <c r="E1580" s="4">
        <v>32.82</v>
      </c>
      <c r="F1580" t="s">
        <v>24</v>
      </c>
      <c r="G1580" s="10" t="str">
        <f>TEXT(Transform_Data[[#This Row],[Date]],"mmm yyyy")</f>
        <v>Sep 2024</v>
      </c>
      <c r="H1580" s="10">
        <f>HOUR(Transform_Data[[#This Row],[Time]])</f>
        <v>9</v>
      </c>
      <c r="I1580" s="10" t="str">
        <f>IF(COUNTIF('Transform Data'!$D:$D,'Transform Data'!D1580)&gt;1,"Repeat","Single")</f>
        <v>Repeat</v>
      </c>
      <c r="J1580" s="10" t="str">
        <f>IF('Transform Data'!D1580="Cash","Cash",IF(COUNTIF('Transform Data'!$D:$D,'Transform Data'!D1580)&gt;1,"Repeat","Single"))</f>
        <v>Repeat</v>
      </c>
      <c r="K1580" s="10" t="str">
        <f t="shared" si="24"/>
        <v>TRANS-1579</v>
      </c>
    </row>
    <row r="1581" spans="1:11" x14ac:dyDescent="0.35">
      <c r="A1581" s="5">
        <v>45552</v>
      </c>
      <c r="B1581" s="3">
        <v>0.38273148148148151</v>
      </c>
      <c r="C1581" t="s">
        <v>8</v>
      </c>
      <c r="D1581" t="s">
        <v>606</v>
      </c>
      <c r="E1581" s="4">
        <v>27.92</v>
      </c>
      <c r="F1581" t="s">
        <v>36</v>
      </c>
      <c r="G1581" s="10" t="str">
        <f>TEXT(Transform_Data[[#This Row],[Date]],"mmm yyyy")</f>
        <v>Sep 2024</v>
      </c>
      <c r="H1581" s="10">
        <f>HOUR(Transform_Data[[#This Row],[Time]])</f>
        <v>9</v>
      </c>
      <c r="I1581" s="10" t="str">
        <f>IF(COUNTIF('Transform Data'!$D:$D,'Transform Data'!D1581)&gt;1,"Repeat","Single")</f>
        <v>Repeat</v>
      </c>
      <c r="J1581" s="10" t="str">
        <f>IF('Transform Data'!D1581="Cash","Cash",IF(COUNTIF('Transform Data'!$D:$D,'Transform Data'!D1581)&gt;1,"Repeat","Single"))</f>
        <v>Repeat</v>
      </c>
      <c r="K1581" s="10" t="str">
        <f t="shared" si="24"/>
        <v>TRANS-1580</v>
      </c>
    </row>
    <row r="1582" spans="1:11" x14ac:dyDescent="0.35">
      <c r="A1582" s="5">
        <v>45552</v>
      </c>
      <c r="B1582" s="3">
        <v>0.39925925925925926</v>
      </c>
      <c r="C1582" t="s">
        <v>8</v>
      </c>
      <c r="D1582" t="s">
        <v>672</v>
      </c>
      <c r="E1582" s="4">
        <v>27.92</v>
      </c>
      <c r="F1582" t="s">
        <v>36</v>
      </c>
      <c r="G1582" s="10" t="str">
        <f>TEXT(Transform_Data[[#This Row],[Date]],"mmm yyyy")</f>
        <v>Sep 2024</v>
      </c>
      <c r="H1582" s="10">
        <f>HOUR(Transform_Data[[#This Row],[Time]])</f>
        <v>9</v>
      </c>
      <c r="I1582" s="10" t="str">
        <f>IF(COUNTIF('Transform Data'!$D:$D,'Transform Data'!D1582)&gt;1,"Repeat","Single")</f>
        <v>Repeat</v>
      </c>
      <c r="J1582" s="10" t="str">
        <f>IF('Transform Data'!D1582="Cash","Cash",IF(COUNTIF('Transform Data'!$D:$D,'Transform Data'!D1582)&gt;1,"Repeat","Single"))</f>
        <v>Repeat</v>
      </c>
      <c r="K1582" s="10" t="str">
        <f t="shared" si="24"/>
        <v>TRANS-1581</v>
      </c>
    </row>
    <row r="1583" spans="1:11" x14ac:dyDescent="0.35">
      <c r="A1583" s="5">
        <v>45552</v>
      </c>
      <c r="B1583" s="3">
        <v>0.5267708333333333</v>
      </c>
      <c r="C1583" t="s">
        <v>8</v>
      </c>
      <c r="D1583" t="s">
        <v>680</v>
      </c>
      <c r="E1583" s="4">
        <v>18.12</v>
      </c>
      <c r="F1583" t="s">
        <v>5</v>
      </c>
      <c r="G1583" s="10" t="str">
        <f>TEXT(Transform_Data[[#This Row],[Date]],"mmm yyyy")</f>
        <v>Sep 2024</v>
      </c>
      <c r="H1583" s="10">
        <f>HOUR(Transform_Data[[#This Row],[Time]])</f>
        <v>12</v>
      </c>
      <c r="I1583" s="10" t="str">
        <f>IF(COUNTIF('Transform Data'!$D:$D,'Transform Data'!D1583)&gt;1,"Repeat","Single")</f>
        <v>Repeat</v>
      </c>
      <c r="J1583" s="10" t="str">
        <f>IF('Transform Data'!D1583="Cash","Cash",IF(COUNTIF('Transform Data'!$D:$D,'Transform Data'!D1583)&gt;1,"Repeat","Single"))</f>
        <v>Repeat</v>
      </c>
      <c r="K1583" s="10" t="str">
        <f t="shared" si="24"/>
        <v>TRANS-1582</v>
      </c>
    </row>
    <row r="1584" spans="1:11" x14ac:dyDescent="0.35">
      <c r="A1584" s="5">
        <v>45552</v>
      </c>
      <c r="B1584" s="3">
        <v>0.52746527777777774</v>
      </c>
      <c r="C1584" t="s">
        <v>8</v>
      </c>
      <c r="D1584" t="s">
        <v>680</v>
      </c>
      <c r="E1584" s="4">
        <v>27.92</v>
      </c>
      <c r="F1584" t="s">
        <v>36</v>
      </c>
      <c r="G1584" s="10" t="str">
        <f>TEXT(Transform_Data[[#This Row],[Date]],"mmm yyyy")</f>
        <v>Sep 2024</v>
      </c>
      <c r="H1584" s="10">
        <f>HOUR(Transform_Data[[#This Row],[Time]])</f>
        <v>12</v>
      </c>
      <c r="I1584" s="10" t="str">
        <f>IF(COUNTIF('Transform Data'!$D:$D,'Transform Data'!D1584)&gt;1,"Repeat","Single")</f>
        <v>Repeat</v>
      </c>
      <c r="J1584" s="10" t="str">
        <f>IF('Transform Data'!D1584="Cash","Cash",IF(COUNTIF('Transform Data'!$D:$D,'Transform Data'!D1584)&gt;1,"Repeat","Single"))</f>
        <v>Repeat</v>
      </c>
      <c r="K1584" s="10" t="str">
        <f t="shared" si="24"/>
        <v>TRANS-1583</v>
      </c>
    </row>
    <row r="1585" spans="1:11" x14ac:dyDescent="0.35">
      <c r="A1585" s="5">
        <v>45552</v>
      </c>
      <c r="B1585" s="3">
        <v>0.5307291666666667</v>
      </c>
      <c r="C1585" t="s">
        <v>8</v>
      </c>
      <c r="D1585" t="s">
        <v>681</v>
      </c>
      <c r="E1585" s="4">
        <v>32.82</v>
      </c>
      <c r="F1585" t="s">
        <v>32</v>
      </c>
      <c r="G1585" s="10" t="str">
        <f>TEXT(Transform_Data[[#This Row],[Date]],"mmm yyyy")</f>
        <v>Sep 2024</v>
      </c>
      <c r="H1585" s="10">
        <f>HOUR(Transform_Data[[#This Row],[Time]])</f>
        <v>12</v>
      </c>
      <c r="I1585" s="10" t="str">
        <f>IF(COUNTIF('Transform Data'!$D:$D,'Transform Data'!D1585)&gt;1,"Repeat","Single")</f>
        <v>Single</v>
      </c>
      <c r="J1585" s="10" t="str">
        <f>IF('Transform Data'!D1585="Cash","Cash",IF(COUNTIF('Transform Data'!$D:$D,'Transform Data'!D1585)&gt;1,"Repeat","Single"))</f>
        <v>Single</v>
      </c>
      <c r="K1585" s="10" t="str">
        <f t="shared" si="24"/>
        <v>TRANS-1584</v>
      </c>
    </row>
    <row r="1586" spans="1:11" x14ac:dyDescent="0.35">
      <c r="A1586" s="5">
        <v>45552</v>
      </c>
      <c r="B1586" s="3">
        <v>0.57943287037037039</v>
      </c>
      <c r="C1586" t="s">
        <v>8</v>
      </c>
      <c r="D1586" t="s">
        <v>606</v>
      </c>
      <c r="E1586" s="4">
        <v>27.92</v>
      </c>
      <c r="F1586" t="s">
        <v>36</v>
      </c>
      <c r="G1586" s="10" t="str">
        <f>TEXT(Transform_Data[[#This Row],[Date]],"mmm yyyy")</f>
        <v>Sep 2024</v>
      </c>
      <c r="H1586" s="10">
        <f>HOUR(Transform_Data[[#This Row],[Time]])</f>
        <v>13</v>
      </c>
      <c r="I1586" s="10" t="str">
        <f>IF(COUNTIF('Transform Data'!$D:$D,'Transform Data'!D1586)&gt;1,"Repeat","Single")</f>
        <v>Repeat</v>
      </c>
      <c r="J1586" s="10" t="str">
        <f>IF('Transform Data'!D1586="Cash","Cash",IF(COUNTIF('Transform Data'!$D:$D,'Transform Data'!D1586)&gt;1,"Repeat","Single"))</f>
        <v>Repeat</v>
      </c>
      <c r="K1586" s="10" t="str">
        <f t="shared" si="24"/>
        <v>TRANS-1585</v>
      </c>
    </row>
    <row r="1587" spans="1:11" x14ac:dyDescent="0.35">
      <c r="A1587" s="5">
        <v>45552</v>
      </c>
      <c r="B1587" s="3">
        <v>0.58021990740740736</v>
      </c>
      <c r="C1587" t="s">
        <v>8</v>
      </c>
      <c r="D1587" t="s">
        <v>682</v>
      </c>
      <c r="E1587" s="4">
        <v>23.02</v>
      </c>
      <c r="F1587" t="s">
        <v>20</v>
      </c>
      <c r="G1587" s="10" t="str">
        <f>TEXT(Transform_Data[[#This Row],[Date]],"mmm yyyy")</f>
        <v>Sep 2024</v>
      </c>
      <c r="H1587" s="10">
        <f>HOUR(Transform_Data[[#This Row],[Time]])</f>
        <v>13</v>
      </c>
      <c r="I1587" s="10" t="str">
        <f>IF(COUNTIF('Transform Data'!$D:$D,'Transform Data'!D1587)&gt;1,"Repeat","Single")</f>
        <v>Repeat</v>
      </c>
      <c r="J1587" s="10" t="str">
        <f>IF('Transform Data'!D1587="Cash","Cash",IF(COUNTIF('Transform Data'!$D:$D,'Transform Data'!D1587)&gt;1,"Repeat","Single"))</f>
        <v>Repeat</v>
      </c>
      <c r="K1587" s="10" t="str">
        <f t="shared" si="24"/>
        <v>TRANS-1586</v>
      </c>
    </row>
    <row r="1588" spans="1:11" x14ac:dyDescent="0.35">
      <c r="A1588" s="5">
        <v>45552</v>
      </c>
      <c r="B1588" s="3">
        <v>0.68723379629629633</v>
      </c>
      <c r="C1588" t="s">
        <v>8</v>
      </c>
      <c r="D1588" t="s">
        <v>606</v>
      </c>
      <c r="E1588" s="4">
        <v>32.82</v>
      </c>
      <c r="F1588" t="s">
        <v>24</v>
      </c>
      <c r="G1588" s="10" t="str">
        <f>TEXT(Transform_Data[[#This Row],[Date]],"mmm yyyy")</f>
        <v>Sep 2024</v>
      </c>
      <c r="H1588" s="10">
        <f>HOUR(Transform_Data[[#This Row],[Time]])</f>
        <v>16</v>
      </c>
      <c r="I1588" s="10" t="str">
        <f>IF(COUNTIF('Transform Data'!$D:$D,'Transform Data'!D1588)&gt;1,"Repeat","Single")</f>
        <v>Repeat</v>
      </c>
      <c r="J1588" s="10" t="str">
        <f>IF('Transform Data'!D1588="Cash","Cash",IF(COUNTIF('Transform Data'!$D:$D,'Transform Data'!D1588)&gt;1,"Repeat","Single"))</f>
        <v>Repeat</v>
      </c>
      <c r="K1588" s="10" t="str">
        <f t="shared" si="24"/>
        <v>TRANS-1587</v>
      </c>
    </row>
    <row r="1589" spans="1:11" x14ac:dyDescent="0.35">
      <c r="A1589" s="5">
        <v>45552</v>
      </c>
      <c r="B1589" s="3">
        <v>0.68819444444444444</v>
      </c>
      <c r="C1589" t="s">
        <v>8</v>
      </c>
      <c r="D1589" t="s">
        <v>682</v>
      </c>
      <c r="E1589" s="4">
        <v>32.82</v>
      </c>
      <c r="F1589" t="s">
        <v>32</v>
      </c>
      <c r="G1589" s="10" t="str">
        <f>TEXT(Transform_Data[[#This Row],[Date]],"mmm yyyy")</f>
        <v>Sep 2024</v>
      </c>
      <c r="H1589" s="10">
        <f>HOUR(Transform_Data[[#This Row],[Time]])</f>
        <v>16</v>
      </c>
      <c r="I1589" s="10" t="str">
        <f>IF(COUNTIF('Transform Data'!$D:$D,'Transform Data'!D1589)&gt;1,"Repeat","Single")</f>
        <v>Repeat</v>
      </c>
      <c r="J1589" s="10" t="str">
        <f>IF('Transform Data'!D1589="Cash","Cash",IF(COUNTIF('Transform Data'!$D:$D,'Transform Data'!D1589)&gt;1,"Repeat","Single"))</f>
        <v>Repeat</v>
      </c>
      <c r="K1589" s="10" t="str">
        <f t="shared" si="24"/>
        <v>TRANS-1588</v>
      </c>
    </row>
    <row r="1590" spans="1:11" x14ac:dyDescent="0.35">
      <c r="A1590" s="5">
        <v>45552</v>
      </c>
      <c r="B1590" s="3">
        <v>0.78776620370370365</v>
      </c>
      <c r="C1590" t="s">
        <v>8</v>
      </c>
      <c r="D1590" t="s">
        <v>683</v>
      </c>
      <c r="E1590" s="4">
        <v>32.82</v>
      </c>
      <c r="F1590" t="s">
        <v>15</v>
      </c>
      <c r="G1590" s="10" t="str">
        <f>TEXT(Transform_Data[[#This Row],[Date]],"mmm yyyy")</f>
        <v>Sep 2024</v>
      </c>
      <c r="H1590" s="10">
        <f>HOUR(Transform_Data[[#This Row],[Time]])</f>
        <v>18</v>
      </c>
      <c r="I1590" s="10" t="str">
        <f>IF(COUNTIF('Transform Data'!$D:$D,'Transform Data'!D1590)&gt;1,"Repeat","Single")</f>
        <v>Repeat</v>
      </c>
      <c r="J1590" s="10" t="str">
        <f>IF('Transform Data'!D1590="Cash","Cash",IF(COUNTIF('Transform Data'!$D:$D,'Transform Data'!D1590)&gt;1,"Repeat","Single"))</f>
        <v>Repeat</v>
      </c>
      <c r="K1590" s="10" t="str">
        <f t="shared" si="24"/>
        <v>TRANS-1589</v>
      </c>
    </row>
    <row r="1591" spans="1:11" x14ac:dyDescent="0.35">
      <c r="A1591" s="5">
        <v>45552</v>
      </c>
      <c r="B1591" s="3">
        <v>0.79218750000000004</v>
      </c>
      <c r="C1591" t="s">
        <v>8</v>
      </c>
      <c r="D1591" t="s">
        <v>684</v>
      </c>
      <c r="E1591" s="4">
        <v>27.92</v>
      </c>
      <c r="F1591" t="s">
        <v>36</v>
      </c>
      <c r="G1591" s="10" t="str">
        <f>TEXT(Transform_Data[[#This Row],[Date]],"mmm yyyy")</f>
        <v>Sep 2024</v>
      </c>
      <c r="H1591" s="10">
        <f>HOUR(Transform_Data[[#This Row],[Time]])</f>
        <v>19</v>
      </c>
      <c r="I1591" s="10" t="str">
        <f>IF(COUNTIF('Transform Data'!$D:$D,'Transform Data'!D1591)&gt;1,"Repeat","Single")</f>
        <v>Single</v>
      </c>
      <c r="J1591" s="10" t="str">
        <f>IF('Transform Data'!D1591="Cash","Cash",IF(COUNTIF('Transform Data'!$D:$D,'Transform Data'!D1591)&gt;1,"Repeat","Single"))</f>
        <v>Single</v>
      </c>
      <c r="K1591" s="10" t="str">
        <f t="shared" si="24"/>
        <v>TRANS-1590</v>
      </c>
    </row>
    <row r="1592" spans="1:11" x14ac:dyDescent="0.35">
      <c r="A1592" s="5">
        <v>45552</v>
      </c>
      <c r="B1592" s="3">
        <v>0.7943634259259259</v>
      </c>
      <c r="C1592" t="s">
        <v>8</v>
      </c>
      <c r="D1592" t="s">
        <v>685</v>
      </c>
      <c r="E1592" s="4">
        <v>27.92</v>
      </c>
      <c r="F1592" t="s">
        <v>36</v>
      </c>
      <c r="G1592" s="10" t="str">
        <f>TEXT(Transform_Data[[#This Row],[Date]],"mmm yyyy")</f>
        <v>Sep 2024</v>
      </c>
      <c r="H1592" s="10">
        <f>HOUR(Transform_Data[[#This Row],[Time]])</f>
        <v>19</v>
      </c>
      <c r="I1592" s="10" t="str">
        <f>IF(COUNTIF('Transform Data'!$D:$D,'Transform Data'!D1592)&gt;1,"Repeat","Single")</f>
        <v>Repeat</v>
      </c>
      <c r="J1592" s="10" t="str">
        <f>IF('Transform Data'!D1592="Cash","Cash",IF(COUNTIF('Transform Data'!$D:$D,'Transform Data'!D1592)&gt;1,"Repeat","Single"))</f>
        <v>Repeat</v>
      </c>
      <c r="K1592" s="10" t="str">
        <f t="shared" si="24"/>
        <v>TRANS-1591</v>
      </c>
    </row>
    <row r="1593" spans="1:11" x14ac:dyDescent="0.35">
      <c r="A1593" s="5">
        <v>45552</v>
      </c>
      <c r="B1593" s="3">
        <v>0.80054398148148154</v>
      </c>
      <c r="C1593" t="s">
        <v>8</v>
      </c>
      <c r="D1593" t="s">
        <v>686</v>
      </c>
      <c r="E1593" s="4">
        <v>32.82</v>
      </c>
      <c r="F1593" t="s">
        <v>32</v>
      </c>
      <c r="G1593" s="10" t="str">
        <f>TEXT(Transform_Data[[#This Row],[Date]],"mmm yyyy")</f>
        <v>Sep 2024</v>
      </c>
      <c r="H1593" s="10">
        <f>HOUR(Transform_Data[[#This Row],[Time]])</f>
        <v>19</v>
      </c>
      <c r="I1593" s="10" t="str">
        <f>IF(COUNTIF('Transform Data'!$D:$D,'Transform Data'!D1593)&gt;1,"Repeat","Single")</f>
        <v>Repeat</v>
      </c>
      <c r="J1593" s="10" t="str">
        <f>IF('Transform Data'!D1593="Cash","Cash",IF(COUNTIF('Transform Data'!$D:$D,'Transform Data'!D1593)&gt;1,"Repeat","Single"))</f>
        <v>Repeat</v>
      </c>
      <c r="K1593" s="10" t="str">
        <f t="shared" si="24"/>
        <v>TRANS-1592</v>
      </c>
    </row>
    <row r="1594" spans="1:11" x14ac:dyDescent="0.35">
      <c r="A1594" s="5">
        <v>45552</v>
      </c>
      <c r="B1594" s="3">
        <v>0.80137731481481478</v>
      </c>
      <c r="C1594" t="s">
        <v>8</v>
      </c>
      <c r="D1594" t="s">
        <v>686</v>
      </c>
      <c r="E1594" s="4">
        <v>27.92</v>
      </c>
      <c r="F1594" t="s">
        <v>36</v>
      </c>
      <c r="G1594" s="10" t="str">
        <f>TEXT(Transform_Data[[#This Row],[Date]],"mmm yyyy")</f>
        <v>Sep 2024</v>
      </c>
      <c r="H1594" s="10">
        <f>HOUR(Transform_Data[[#This Row],[Time]])</f>
        <v>19</v>
      </c>
      <c r="I1594" s="10" t="str">
        <f>IF(COUNTIF('Transform Data'!$D:$D,'Transform Data'!D1594)&gt;1,"Repeat","Single")</f>
        <v>Repeat</v>
      </c>
      <c r="J1594" s="10" t="str">
        <f>IF('Transform Data'!D1594="Cash","Cash",IF(COUNTIF('Transform Data'!$D:$D,'Transform Data'!D1594)&gt;1,"Repeat","Single"))</f>
        <v>Repeat</v>
      </c>
      <c r="K1594" s="10" t="str">
        <f t="shared" si="24"/>
        <v>TRANS-1593</v>
      </c>
    </row>
    <row r="1595" spans="1:11" x14ac:dyDescent="0.35">
      <c r="A1595" s="5">
        <v>45552</v>
      </c>
      <c r="B1595" s="3">
        <v>0.80207175925925922</v>
      </c>
      <c r="C1595" t="s">
        <v>8</v>
      </c>
      <c r="D1595" t="s">
        <v>686</v>
      </c>
      <c r="E1595" s="4">
        <v>27.92</v>
      </c>
      <c r="F1595" t="s">
        <v>36</v>
      </c>
      <c r="G1595" s="10" t="str">
        <f>TEXT(Transform_Data[[#This Row],[Date]],"mmm yyyy")</f>
        <v>Sep 2024</v>
      </c>
      <c r="H1595" s="10">
        <f>HOUR(Transform_Data[[#This Row],[Time]])</f>
        <v>19</v>
      </c>
      <c r="I1595" s="10" t="str">
        <f>IF(COUNTIF('Transform Data'!$D:$D,'Transform Data'!D1595)&gt;1,"Repeat","Single")</f>
        <v>Repeat</v>
      </c>
      <c r="J1595" s="10" t="str">
        <f>IF('Transform Data'!D1595="Cash","Cash",IF(COUNTIF('Transform Data'!$D:$D,'Transform Data'!D1595)&gt;1,"Repeat","Single"))</f>
        <v>Repeat</v>
      </c>
      <c r="K1595" s="10" t="str">
        <f t="shared" si="24"/>
        <v>TRANS-1594</v>
      </c>
    </row>
    <row r="1596" spans="1:11" x14ac:dyDescent="0.35">
      <c r="A1596" s="5">
        <v>45552</v>
      </c>
      <c r="B1596" s="3">
        <v>0.81385416666666666</v>
      </c>
      <c r="C1596" t="s">
        <v>8</v>
      </c>
      <c r="D1596" t="s">
        <v>687</v>
      </c>
      <c r="E1596" s="4">
        <v>27.92</v>
      </c>
      <c r="F1596" t="s">
        <v>36</v>
      </c>
      <c r="G1596" s="10" t="str">
        <f>TEXT(Transform_Data[[#This Row],[Date]],"mmm yyyy")</f>
        <v>Sep 2024</v>
      </c>
      <c r="H1596" s="10">
        <f>HOUR(Transform_Data[[#This Row],[Time]])</f>
        <v>19</v>
      </c>
      <c r="I1596" s="10" t="str">
        <f>IF(COUNTIF('Transform Data'!$D:$D,'Transform Data'!D1596)&gt;1,"Repeat","Single")</f>
        <v>Single</v>
      </c>
      <c r="J1596" s="10" t="str">
        <f>IF('Transform Data'!D1596="Cash","Cash",IF(COUNTIF('Transform Data'!$D:$D,'Transform Data'!D1596)&gt;1,"Repeat","Single"))</f>
        <v>Single</v>
      </c>
      <c r="K1596" s="10" t="str">
        <f t="shared" si="24"/>
        <v>TRANS-1595</v>
      </c>
    </row>
    <row r="1597" spans="1:11" x14ac:dyDescent="0.35">
      <c r="A1597" s="5">
        <v>45552</v>
      </c>
      <c r="B1597" s="3">
        <v>0.93026620370370372</v>
      </c>
      <c r="C1597" t="s">
        <v>8</v>
      </c>
      <c r="D1597" t="s">
        <v>688</v>
      </c>
      <c r="E1597" s="4">
        <v>32.82</v>
      </c>
      <c r="F1597" t="s">
        <v>15</v>
      </c>
      <c r="G1597" s="10" t="str">
        <f>TEXT(Transform_Data[[#This Row],[Date]],"mmm yyyy")</f>
        <v>Sep 2024</v>
      </c>
      <c r="H1597" s="10">
        <f>HOUR(Transform_Data[[#This Row],[Time]])</f>
        <v>22</v>
      </c>
      <c r="I1597" s="10" t="str">
        <f>IF(COUNTIF('Transform Data'!$D:$D,'Transform Data'!D1597)&gt;1,"Repeat","Single")</f>
        <v>Repeat</v>
      </c>
      <c r="J1597" s="10" t="str">
        <f>IF('Transform Data'!D1597="Cash","Cash",IF(COUNTIF('Transform Data'!$D:$D,'Transform Data'!D1597)&gt;1,"Repeat","Single"))</f>
        <v>Repeat</v>
      </c>
      <c r="K1597" s="10" t="str">
        <f t="shared" si="24"/>
        <v>TRANS-1596</v>
      </c>
    </row>
    <row r="1598" spans="1:11" x14ac:dyDescent="0.35">
      <c r="A1598" s="5">
        <v>45552</v>
      </c>
      <c r="B1598" s="3">
        <v>0.93077546296296299</v>
      </c>
      <c r="C1598" t="s">
        <v>8</v>
      </c>
      <c r="D1598" t="s">
        <v>689</v>
      </c>
      <c r="E1598" s="4">
        <v>32.82</v>
      </c>
      <c r="F1598" t="s">
        <v>15</v>
      </c>
      <c r="G1598" s="10" t="str">
        <f>TEXT(Transform_Data[[#This Row],[Date]],"mmm yyyy")</f>
        <v>Sep 2024</v>
      </c>
      <c r="H1598" s="10">
        <f>HOUR(Transform_Data[[#This Row],[Time]])</f>
        <v>22</v>
      </c>
      <c r="I1598" s="10" t="str">
        <f>IF(COUNTIF('Transform Data'!$D:$D,'Transform Data'!D1598)&gt;1,"Repeat","Single")</f>
        <v>Repeat</v>
      </c>
      <c r="J1598" s="10" t="str">
        <f>IF('Transform Data'!D1598="Cash","Cash",IF(COUNTIF('Transform Data'!$D:$D,'Transform Data'!D1598)&gt;1,"Repeat","Single"))</f>
        <v>Repeat</v>
      </c>
      <c r="K1598" s="10" t="str">
        <f t="shared" si="24"/>
        <v>TRANS-1597</v>
      </c>
    </row>
    <row r="1599" spans="1:11" x14ac:dyDescent="0.35">
      <c r="A1599" s="5">
        <v>45553</v>
      </c>
      <c r="B1599" s="3">
        <v>0.60402777777777783</v>
      </c>
      <c r="C1599" t="s">
        <v>8</v>
      </c>
      <c r="D1599" t="s">
        <v>690</v>
      </c>
      <c r="E1599" s="4">
        <v>32.82</v>
      </c>
      <c r="F1599" t="s">
        <v>32</v>
      </c>
      <c r="G1599" s="10" t="str">
        <f>TEXT(Transform_Data[[#This Row],[Date]],"mmm yyyy")</f>
        <v>Sep 2024</v>
      </c>
      <c r="H1599" s="10">
        <f>HOUR(Transform_Data[[#This Row],[Time]])</f>
        <v>14</v>
      </c>
      <c r="I1599" s="10" t="str">
        <f>IF(COUNTIF('Transform Data'!$D:$D,'Transform Data'!D1599)&gt;1,"Repeat","Single")</f>
        <v>Single</v>
      </c>
      <c r="J1599" s="10" t="str">
        <f>IF('Transform Data'!D1599="Cash","Cash",IF(COUNTIF('Transform Data'!$D:$D,'Transform Data'!D1599)&gt;1,"Repeat","Single"))</f>
        <v>Single</v>
      </c>
      <c r="K1599" s="10" t="str">
        <f t="shared" si="24"/>
        <v>TRANS-1598</v>
      </c>
    </row>
    <row r="1600" spans="1:11" x14ac:dyDescent="0.35">
      <c r="A1600" s="5">
        <v>45553</v>
      </c>
      <c r="B1600" s="3">
        <v>0.7321643518518518</v>
      </c>
      <c r="C1600" t="s">
        <v>8</v>
      </c>
      <c r="D1600" t="s">
        <v>691</v>
      </c>
      <c r="E1600" s="4">
        <v>32.82</v>
      </c>
      <c r="F1600" t="s">
        <v>32</v>
      </c>
      <c r="G1600" s="10" t="str">
        <f>TEXT(Transform_Data[[#This Row],[Date]],"mmm yyyy")</f>
        <v>Sep 2024</v>
      </c>
      <c r="H1600" s="10">
        <f>HOUR(Transform_Data[[#This Row],[Time]])</f>
        <v>17</v>
      </c>
      <c r="I1600" s="10" t="str">
        <f>IF(COUNTIF('Transform Data'!$D:$D,'Transform Data'!D1600)&gt;1,"Repeat","Single")</f>
        <v>Single</v>
      </c>
      <c r="J1600" s="10" t="str">
        <f>IF('Transform Data'!D1600="Cash","Cash",IF(COUNTIF('Transform Data'!$D:$D,'Transform Data'!D1600)&gt;1,"Repeat","Single"))</f>
        <v>Single</v>
      </c>
      <c r="K1600" s="10" t="str">
        <f t="shared" si="24"/>
        <v>TRANS-1599</v>
      </c>
    </row>
    <row r="1601" spans="1:11" x14ac:dyDescent="0.35">
      <c r="A1601" s="5">
        <v>45553</v>
      </c>
      <c r="B1601" s="3">
        <v>0.88585648148148144</v>
      </c>
      <c r="C1601" t="s">
        <v>8</v>
      </c>
      <c r="D1601" t="s">
        <v>16</v>
      </c>
      <c r="E1601" s="4">
        <v>27.92</v>
      </c>
      <c r="F1601" t="s">
        <v>36</v>
      </c>
      <c r="G1601" s="10" t="str">
        <f>TEXT(Transform_Data[[#This Row],[Date]],"mmm yyyy")</f>
        <v>Sep 2024</v>
      </c>
      <c r="H1601" s="10">
        <f>HOUR(Transform_Data[[#This Row],[Time]])</f>
        <v>21</v>
      </c>
      <c r="I1601" s="10" t="str">
        <f>IF(COUNTIF('Transform Data'!$D:$D,'Transform Data'!D1601)&gt;1,"Repeat","Single")</f>
        <v>Repeat</v>
      </c>
      <c r="J1601" s="10" t="str">
        <f>IF('Transform Data'!D1601="Cash","Cash",IF(COUNTIF('Transform Data'!$D:$D,'Transform Data'!D1601)&gt;1,"Repeat","Single"))</f>
        <v>Repeat</v>
      </c>
      <c r="K1601" s="10" t="str">
        <f t="shared" si="24"/>
        <v>TRANS-1600</v>
      </c>
    </row>
    <row r="1602" spans="1:11" x14ac:dyDescent="0.35">
      <c r="A1602" s="5">
        <v>45553</v>
      </c>
      <c r="B1602" s="3">
        <v>0.88774305555555555</v>
      </c>
      <c r="C1602" t="s">
        <v>8</v>
      </c>
      <c r="D1602" t="s">
        <v>16</v>
      </c>
      <c r="E1602" s="4">
        <v>27.92</v>
      </c>
      <c r="F1602" t="s">
        <v>36</v>
      </c>
      <c r="G1602" s="10" t="str">
        <f>TEXT(Transform_Data[[#This Row],[Date]],"mmm yyyy")</f>
        <v>Sep 2024</v>
      </c>
      <c r="H1602" s="10">
        <f>HOUR(Transform_Data[[#This Row],[Time]])</f>
        <v>21</v>
      </c>
      <c r="I1602" s="10" t="str">
        <f>IF(COUNTIF('Transform Data'!$D:$D,'Transform Data'!D1602)&gt;1,"Repeat","Single")</f>
        <v>Repeat</v>
      </c>
      <c r="J1602" s="10" t="str">
        <f>IF('Transform Data'!D1602="Cash","Cash",IF(COUNTIF('Transform Data'!$D:$D,'Transform Data'!D1602)&gt;1,"Repeat","Single"))</f>
        <v>Repeat</v>
      </c>
      <c r="K1602" s="10" t="str">
        <f t="shared" ref="K1602:K1665" si="25">"TRANS-"&amp;TEXT(ROW(A1601),"0000")</f>
        <v>TRANS-1601</v>
      </c>
    </row>
    <row r="1603" spans="1:11" x14ac:dyDescent="0.35">
      <c r="A1603" s="5">
        <v>45554</v>
      </c>
      <c r="B1603" s="3">
        <v>0.34534722222222225</v>
      </c>
      <c r="C1603" t="s">
        <v>8</v>
      </c>
      <c r="D1603" t="s">
        <v>29</v>
      </c>
      <c r="E1603" s="4">
        <v>27.92</v>
      </c>
      <c r="F1603" t="s">
        <v>36</v>
      </c>
      <c r="G1603" s="10" t="str">
        <f>TEXT(Transform_Data[[#This Row],[Date]],"mmm yyyy")</f>
        <v>Sep 2024</v>
      </c>
      <c r="H1603" s="10">
        <f>HOUR(Transform_Data[[#This Row],[Time]])</f>
        <v>8</v>
      </c>
      <c r="I1603" s="10" t="str">
        <f>IF(COUNTIF('Transform Data'!$D:$D,'Transform Data'!D1603)&gt;1,"Repeat","Single")</f>
        <v>Repeat</v>
      </c>
      <c r="J1603" s="10" t="str">
        <f>IF('Transform Data'!D1603="Cash","Cash",IF(COUNTIF('Transform Data'!$D:$D,'Transform Data'!D1603)&gt;1,"Repeat","Single"))</f>
        <v>Repeat</v>
      </c>
      <c r="K1603" s="10" t="str">
        <f t="shared" si="25"/>
        <v>TRANS-1602</v>
      </c>
    </row>
    <row r="1604" spans="1:11" x14ac:dyDescent="0.35">
      <c r="A1604" s="5">
        <v>45554</v>
      </c>
      <c r="B1604" s="3">
        <v>0.35450231481481481</v>
      </c>
      <c r="C1604" t="s">
        <v>8</v>
      </c>
      <c r="D1604" t="s">
        <v>679</v>
      </c>
      <c r="E1604" s="4">
        <v>23.02</v>
      </c>
      <c r="F1604" t="s">
        <v>20</v>
      </c>
      <c r="G1604" s="10" t="str">
        <f>TEXT(Transform_Data[[#This Row],[Date]],"mmm yyyy")</f>
        <v>Sep 2024</v>
      </c>
      <c r="H1604" s="10">
        <f>HOUR(Transform_Data[[#This Row],[Time]])</f>
        <v>8</v>
      </c>
      <c r="I1604" s="10" t="str">
        <f>IF(COUNTIF('Transform Data'!$D:$D,'Transform Data'!D1604)&gt;1,"Repeat","Single")</f>
        <v>Repeat</v>
      </c>
      <c r="J1604" s="10" t="str">
        <f>IF('Transform Data'!D1604="Cash","Cash",IF(COUNTIF('Transform Data'!$D:$D,'Transform Data'!D1604)&gt;1,"Repeat","Single"))</f>
        <v>Repeat</v>
      </c>
      <c r="K1604" s="10" t="str">
        <f t="shared" si="25"/>
        <v>TRANS-1603</v>
      </c>
    </row>
    <row r="1605" spans="1:11" x14ac:dyDescent="0.35">
      <c r="A1605" s="5">
        <v>45554</v>
      </c>
      <c r="B1605" s="3">
        <v>0.41770833333333335</v>
      </c>
      <c r="C1605" t="s">
        <v>8</v>
      </c>
      <c r="D1605" t="s">
        <v>547</v>
      </c>
      <c r="E1605" s="4">
        <v>32.82</v>
      </c>
      <c r="F1605" t="s">
        <v>32</v>
      </c>
      <c r="G1605" s="10" t="str">
        <f>TEXT(Transform_Data[[#This Row],[Date]],"mmm yyyy")</f>
        <v>Sep 2024</v>
      </c>
      <c r="H1605" s="10">
        <f>HOUR(Transform_Data[[#This Row],[Time]])</f>
        <v>10</v>
      </c>
      <c r="I1605" s="10" t="str">
        <f>IF(COUNTIF('Transform Data'!$D:$D,'Transform Data'!D1605)&gt;1,"Repeat","Single")</f>
        <v>Repeat</v>
      </c>
      <c r="J1605" s="10" t="str">
        <f>IF('Transform Data'!D1605="Cash","Cash",IF(COUNTIF('Transform Data'!$D:$D,'Transform Data'!D1605)&gt;1,"Repeat","Single"))</f>
        <v>Repeat</v>
      </c>
      <c r="K1605" s="10" t="str">
        <f t="shared" si="25"/>
        <v>TRANS-1604</v>
      </c>
    </row>
    <row r="1606" spans="1:11" x14ac:dyDescent="0.35">
      <c r="A1606" s="5">
        <v>45554</v>
      </c>
      <c r="B1606" s="3">
        <v>0.54135416666666669</v>
      </c>
      <c r="C1606" t="s">
        <v>8</v>
      </c>
      <c r="D1606" t="s">
        <v>63</v>
      </c>
      <c r="E1606" s="4">
        <v>23.02</v>
      </c>
      <c r="F1606" t="s">
        <v>28</v>
      </c>
      <c r="G1606" s="10" t="str">
        <f>TEXT(Transform_Data[[#This Row],[Date]],"mmm yyyy")</f>
        <v>Sep 2024</v>
      </c>
      <c r="H1606" s="10">
        <f>HOUR(Transform_Data[[#This Row],[Time]])</f>
        <v>12</v>
      </c>
      <c r="I1606" s="10" t="str">
        <f>IF(COUNTIF('Transform Data'!$D:$D,'Transform Data'!D1606)&gt;1,"Repeat","Single")</f>
        <v>Repeat</v>
      </c>
      <c r="J1606" s="10" t="str">
        <f>IF('Transform Data'!D1606="Cash","Cash",IF(COUNTIF('Transform Data'!$D:$D,'Transform Data'!D1606)&gt;1,"Repeat","Single"))</f>
        <v>Repeat</v>
      </c>
      <c r="K1606" s="10" t="str">
        <f t="shared" si="25"/>
        <v>TRANS-1605</v>
      </c>
    </row>
    <row r="1607" spans="1:11" x14ac:dyDescent="0.35">
      <c r="A1607" s="5">
        <v>45554</v>
      </c>
      <c r="B1607" s="3">
        <v>0.54204861111111113</v>
      </c>
      <c r="C1607" t="s">
        <v>8</v>
      </c>
      <c r="D1607" t="s">
        <v>63</v>
      </c>
      <c r="E1607" s="4">
        <v>27.92</v>
      </c>
      <c r="F1607" t="s">
        <v>36</v>
      </c>
      <c r="G1607" s="10" t="str">
        <f>TEXT(Transform_Data[[#This Row],[Date]],"mmm yyyy")</f>
        <v>Sep 2024</v>
      </c>
      <c r="H1607" s="10">
        <f>HOUR(Transform_Data[[#This Row],[Time]])</f>
        <v>13</v>
      </c>
      <c r="I1607" s="10" t="str">
        <f>IF(COUNTIF('Transform Data'!$D:$D,'Transform Data'!D1607)&gt;1,"Repeat","Single")</f>
        <v>Repeat</v>
      </c>
      <c r="J1607" s="10" t="str">
        <f>IF('Transform Data'!D1607="Cash","Cash",IF(COUNTIF('Transform Data'!$D:$D,'Transform Data'!D1607)&gt;1,"Repeat","Single"))</f>
        <v>Repeat</v>
      </c>
      <c r="K1607" s="10" t="str">
        <f t="shared" si="25"/>
        <v>TRANS-1606</v>
      </c>
    </row>
    <row r="1608" spans="1:11" x14ac:dyDescent="0.35">
      <c r="A1608" s="5">
        <v>45554</v>
      </c>
      <c r="B1608" s="3">
        <v>0.57340277777777782</v>
      </c>
      <c r="C1608" t="s">
        <v>8</v>
      </c>
      <c r="D1608" t="s">
        <v>692</v>
      </c>
      <c r="E1608" s="4">
        <v>23.02</v>
      </c>
      <c r="F1608" t="s">
        <v>20</v>
      </c>
      <c r="G1608" s="10" t="str">
        <f>TEXT(Transform_Data[[#This Row],[Date]],"mmm yyyy")</f>
        <v>Sep 2024</v>
      </c>
      <c r="H1608" s="10">
        <f>HOUR(Transform_Data[[#This Row],[Time]])</f>
        <v>13</v>
      </c>
      <c r="I1608" s="10" t="str">
        <f>IF(COUNTIF('Transform Data'!$D:$D,'Transform Data'!D1608)&gt;1,"Repeat","Single")</f>
        <v>Single</v>
      </c>
      <c r="J1608" s="10" t="str">
        <f>IF('Transform Data'!D1608="Cash","Cash",IF(COUNTIF('Transform Data'!$D:$D,'Transform Data'!D1608)&gt;1,"Repeat","Single"))</f>
        <v>Single</v>
      </c>
      <c r="K1608" s="10" t="str">
        <f t="shared" si="25"/>
        <v>TRANS-1607</v>
      </c>
    </row>
    <row r="1609" spans="1:11" x14ac:dyDescent="0.35">
      <c r="A1609" s="5">
        <v>45555</v>
      </c>
      <c r="B1609" s="3">
        <v>0.35759259259259257</v>
      </c>
      <c r="C1609" t="s">
        <v>8</v>
      </c>
      <c r="D1609" t="s">
        <v>29</v>
      </c>
      <c r="E1609" s="4">
        <v>27.92</v>
      </c>
      <c r="F1609" t="s">
        <v>36</v>
      </c>
      <c r="G1609" s="10" t="str">
        <f>TEXT(Transform_Data[[#This Row],[Date]],"mmm yyyy")</f>
        <v>Sep 2024</v>
      </c>
      <c r="H1609" s="10">
        <f>HOUR(Transform_Data[[#This Row],[Time]])</f>
        <v>8</v>
      </c>
      <c r="I1609" s="10" t="str">
        <f>IF(COUNTIF('Transform Data'!$D:$D,'Transform Data'!D1609)&gt;1,"Repeat","Single")</f>
        <v>Repeat</v>
      </c>
      <c r="J1609" s="10" t="str">
        <f>IF('Transform Data'!D1609="Cash","Cash",IF(COUNTIF('Transform Data'!$D:$D,'Transform Data'!D1609)&gt;1,"Repeat","Single"))</f>
        <v>Repeat</v>
      </c>
      <c r="K1609" s="10" t="str">
        <f t="shared" si="25"/>
        <v>TRANS-1608</v>
      </c>
    </row>
    <row r="1610" spans="1:11" x14ac:dyDescent="0.35">
      <c r="A1610" s="5">
        <v>45555</v>
      </c>
      <c r="B1610" s="3">
        <v>0.40711805555555558</v>
      </c>
      <c r="C1610" t="s">
        <v>8</v>
      </c>
      <c r="D1610" t="s">
        <v>693</v>
      </c>
      <c r="E1610" s="4">
        <v>27.92</v>
      </c>
      <c r="F1610" t="s">
        <v>36</v>
      </c>
      <c r="G1610" s="10" t="str">
        <f>TEXT(Transform_Data[[#This Row],[Date]],"mmm yyyy")</f>
        <v>Sep 2024</v>
      </c>
      <c r="H1610" s="10">
        <f>HOUR(Transform_Data[[#This Row],[Time]])</f>
        <v>9</v>
      </c>
      <c r="I1610" s="10" t="str">
        <f>IF(COUNTIF('Transform Data'!$D:$D,'Transform Data'!D1610)&gt;1,"Repeat","Single")</f>
        <v>Repeat</v>
      </c>
      <c r="J1610" s="10" t="str">
        <f>IF('Transform Data'!D1610="Cash","Cash",IF(COUNTIF('Transform Data'!$D:$D,'Transform Data'!D1610)&gt;1,"Repeat","Single"))</f>
        <v>Repeat</v>
      </c>
      <c r="K1610" s="10" t="str">
        <f t="shared" si="25"/>
        <v>TRANS-1609</v>
      </c>
    </row>
    <row r="1611" spans="1:11" x14ac:dyDescent="0.35">
      <c r="A1611" s="5">
        <v>45555</v>
      </c>
      <c r="B1611" s="3">
        <v>0.56938657407407411</v>
      </c>
      <c r="C1611" t="s">
        <v>8</v>
      </c>
      <c r="D1611" t="s">
        <v>386</v>
      </c>
      <c r="E1611" s="4">
        <v>27.92</v>
      </c>
      <c r="F1611" t="s">
        <v>36</v>
      </c>
      <c r="G1611" s="10" t="str">
        <f>TEXT(Transform_Data[[#This Row],[Date]],"mmm yyyy")</f>
        <v>Sep 2024</v>
      </c>
      <c r="H1611" s="10">
        <f>HOUR(Transform_Data[[#This Row],[Time]])</f>
        <v>13</v>
      </c>
      <c r="I1611" s="10" t="str">
        <f>IF(COUNTIF('Transform Data'!$D:$D,'Transform Data'!D1611)&gt;1,"Repeat","Single")</f>
        <v>Repeat</v>
      </c>
      <c r="J1611" s="10" t="str">
        <f>IF('Transform Data'!D1611="Cash","Cash",IF(COUNTIF('Transform Data'!$D:$D,'Transform Data'!D1611)&gt;1,"Repeat","Single"))</f>
        <v>Repeat</v>
      </c>
      <c r="K1611" s="10" t="str">
        <f t="shared" si="25"/>
        <v>TRANS-1610</v>
      </c>
    </row>
    <row r="1612" spans="1:11" x14ac:dyDescent="0.35">
      <c r="A1612" s="5">
        <v>45555</v>
      </c>
      <c r="B1612" s="3">
        <v>0.66908564814814819</v>
      </c>
      <c r="C1612" t="s">
        <v>8</v>
      </c>
      <c r="D1612" t="s">
        <v>694</v>
      </c>
      <c r="E1612" s="4">
        <v>32.82</v>
      </c>
      <c r="F1612" t="s">
        <v>32</v>
      </c>
      <c r="G1612" s="10" t="str">
        <f>TEXT(Transform_Data[[#This Row],[Date]],"mmm yyyy")</f>
        <v>Sep 2024</v>
      </c>
      <c r="H1612" s="10">
        <f>HOUR(Transform_Data[[#This Row],[Time]])</f>
        <v>16</v>
      </c>
      <c r="I1612" s="10" t="str">
        <f>IF(COUNTIF('Transform Data'!$D:$D,'Transform Data'!D1612)&gt;1,"Repeat","Single")</f>
        <v>Single</v>
      </c>
      <c r="J1612" s="10" t="str">
        <f>IF('Transform Data'!D1612="Cash","Cash",IF(COUNTIF('Transform Data'!$D:$D,'Transform Data'!D1612)&gt;1,"Repeat","Single"))</f>
        <v>Single</v>
      </c>
      <c r="K1612" s="10" t="str">
        <f t="shared" si="25"/>
        <v>TRANS-1611</v>
      </c>
    </row>
    <row r="1613" spans="1:11" x14ac:dyDescent="0.35">
      <c r="A1613" s="5">
        <v>45555</v>
      </c>
      <c r="B1613" s="3">
        <v>0.86068287037037039</v>
      </c>
      <c r="C1613" t="s">
        <v>8</v>
      </c>
      <c r="D1613" t="s">
        <v>695</v>
      </c>
      <c r="E1613" s="4">
        <v>23.02</v>
      </c>
      <c r="F1613" t="s">
        <v>28</v>
      </c>
      <c r="G1613" s="10" t="str">
        <f>TEXT(Transform_Data[[#This Row],[Date]],"mmm yyyy")</f>
        <v>Sep 2024</v>
      </c>
      <c r="H1613" s="10">
        <f>HOUR(Transform_Data[[#This Row],[Time]])</f>
        <v>20</v>
      </c>
      <c r="I1613" s="10" t="str">
        <f>IF(COUNTIF('Transform Data'!$D:$D,'Transform Data'!D1613)&gt;1,"Repeat","Single")</f>
        <v>Single</v>
      </c>
      <c r="J1613" s="10" t="str">
        <f>IF('Transform Data'!D1613="Cash","Cash",IF(COUNTIF('Transform Data'!$D:$D,'Transform Data'!D1613)&gt;1,"Repeat","Single"))</f>
        <v>Single</v>
      </c>
      <c r="K1613" s="10" t="str">
        <f t="shared" si="25"/>
        <v>TRANS-1612</v>
      </c>
    </row>
    <row r="1614" spans="1:11" x14ac:dyDescent="0.35">
      <c r="A1614" s="5">
        <v>45555</v>
      </c>
      <c r="B1614" s="3">
        <v>0.89694444444444443</v>
      </c>
      <c r="C1614" t="s">
        <v>8</v>
      </c>
      <c r="D1614" t="s">
        <v>340</v>
      </c>
      <c r="E1614" s="4">
        <v>27.92</v>
      </c>
      <c r="F1614" t="s">
        <v>36</v>
      </c>
      <c r="G1614" s="10" t="str">
        <f>TEXT(Transform_Data[[#This Row],[Date]],"mmm yyyy")</f>
        <v>Sep 2024</v>
      </c>
      <c r="H1614" s="10">
        <f>HOUR(Transform_Data[[#This Row],[Time]])</f>
        <v>21</v>
      </c>
      <c r="I1614" s="10" t="str">
        <f>IF(COUNTIF('Transform Data'!$D:$D,'Transform Data'!D1614)&gt;1,"Repeat","Single")</f>
        <v>Repeat</v>
      </c>
      <c r="J1614" s="10" t="str">
        <f>IF('Transform Data'!D1614="Cash","Cash",IF(COUNTIF('Transform Data'!$D:$D,'Transform Data'!D1614)&gt;1,"Repeat","Single"))</f>
        <v>Repeat</v>
      </c>
      <c r="K1614" s="10" t="str">
        <f t="shared" si="25"/>
        <v>TRANS-1613</v>
      </c>
    </row>
    <row r="1615" spans="1:11" x14ac:dyDescent="0.35">
      <c r="A1615" s="5">
        <v>45555</v>
      </c>
      <c r="B1615" s="3">
        <v>0.89771990740740737</v>
      </c>
      <c r="C1615" t="s">
        <v>8</v>
      </c>
      <c r="D1615" t="s">
        <v>340</v>
      </c>
      <c r="E1615" s="4">
        <v>27.92</v>
      </c>
      <c r="F1615" t="s">
        <v>36</v>
      </c>
      <c r="G1615" s="10" t="str">
        <f>TEXT(Transform_Data[[#This Row],[Date]],"mmm yyyy")</f>
        <v>Sep 2024</v>
      </c>
      <c r="H1615" s="10">
        <f>HOUR(Transform_Data[[#This Row],[Time]])</f>
        <v>21</v>
      </c>
      <c r="I1615" s="10" t="str">
        <f>IF(COUNTIF('Transform Data'!$D:$D,'Transform Data'!D1615)&gt;1,"Repeat","Single")</f>
        <v>Repeat</v>
      </c>
      <c r="J1615" s="10" t="str">
        <f>IF('Transform Data'!D1615="Cash","Cash",IF(COUNTIF('Transform Data'!$D:$D,'Transform Data'!D1615)&gt;1,"Repeat","Single"))</f>
        <v>Repeat</v>
      </c>
      <c r="K1615" s="10" t="str">
        <f t="shared" si="25"/>
        <v>TRANS-1614</v>
      </c>
    </row>
    <row r="1616" spans="1:11" x14ac:dyDescent="0.35">
      <c r="A1616" s="5">
        <v>45556</v>
      </c>
      <c r="B1616" s="3">
        <v>0.4591898148148148</v>
      </c>
      <c r="C1616" t="s">
        <v>8</v>
      </c>
      <c r="D1616" t="s">
        <v>696</v>
      </c>
      <c r="E1616" s="4">
        <v>32.82</v>
      </c>
      <c r="F1616" t="s">
        <v>32</v>
      </c>
      <c r="G1616" s="10" t="str">
        <f>TEXT(Transform_Data[[#This Row],[Date]],"mmm yyyy")</f>
        <v>Sep 2024</v>
      </c>
      <c r="H1616" s="10">
        <f>HOUR(Transform_Data[[#This Row],[Time]])</f>
        <v>11</v>
      </c>
      <c r="I1616" s="10" t="str">
        <f>IF(COUNTIF('Transform Data'!$D:$D,'Transform Data'!D1616)&gt;1,"Repeat","Single")</f>
        <v>Repeat</v>
      </c>
      <c r="J1616" s="10" t="str">
        <f>IF('Transform Data'!D1616="Cash","Cash",IF(COUNTIF('Transform Data'!$D:$D,'Transform Data'!D1616)&gt;1,"Repeat","Single"))</f>
        <v>Repeat</v>
      </c>
      <c r="K1616" s="10" t="str">
        <f t="shared" si="25"/>
        <v>TRANS-1615</v>
      </c>
    </row>
    <row r="1617" spans="1:11" x14ac:dyDescent="0.35">
      <c r="A1617" s="5">
        <v>45556</v>
      </c>
      <c r="B1617" s="3">
        <v>0.4598726851851852</v>
      </c>
      <c r="C1617" t="s">
        <v>8</v>
      </c>
      <c r="D1617" t="s">
        <v>696</v>
      </c>
      <c r="E1617" s="4">
        <v>32.82</v>
      </c>
      <c r="F1617" t="s">
        <v>10</v>
      </c>
      <c r="G1617" s="10" t="str">
        <f>TEXT(Transform_Data[[#This Row],[Date]],"mmm yyyy")</f>
        <v>Sep 2024</v>
      </c>
      <c r="H1617" s="10">
        <f>HOUR(Transform_Data[[#This Row],[Time]])</f>
        <v>11</v>
      </c>
      <c r="I1617" s="10" t="str">
        <f>IF(COUNTIF('Transform Data'!$D:$D,'Transform Data'!D1617)&gt;1,"Repeat","Single")</f>
        <v>Repeat</v>
      </c>
      <c r="J1617" s="10" t="str">
        <f>IF('Transform Data'!D1617="Cash","Cash",IF(COUNTIF('Transform Data'!$D:$D,'Transform Data'!D1617)&gt;1,"Repeat","Single"))</f>
        <v>Repeat</v>
      </c>
      <c r="K1617" s="10" t="str">
        <f t="shared" si="25"/>
        <v>TRANS-1616</v>
      </c>
    </row>
    <row r="1618" spans="1:11" x14ac:dyDescent="0.35">
      <c r="A1618" s="5">
        <v>45556</v>
      </c>
      <c r="B1618" s="3">
        <v>0.48457175925925927</v>
      </c>
      <c r="C1618" t="s">
        <v>8</v>
      </c>
      <c r="D1618" t="s">
        <v>595</v>
      </c>
      <c r="E1618" s="4">
        <v>23.02</v>
      </c>
      <c r="F1618" t="s">
        <v>20</v>
      </c>
      <c r="G1618" s="10" t="str">
        <f>TEXT(Transform_Data[[#This Row],[Date]],"mmm yyyy")</f>
        <v>Sep 2024</v>
      </c>
      <c r="H1618" s="10">
        <f>HOUR(Transform_Data[[#This Row],[Time]])</f>
        <v>11</v>
      </c>
      <c r="I1618" s="10" t="str">
        <f>IF(COUNTIF('Transform Data'!$D:$D,'Transform Data'!D1618)&gt;1,"Repeat","Single")</f>
        <v>Repeat</v>
      </c>
      <c r="J1618" s="10" t="str">
        <f>IF('Transform Data'!D1618="Cash","Cash",IF(COUNTIF('Transform Data'!$D:$D,'Transform Data'!D1618)&gt;1,"Repeat","Single"))</f>
        <v>Repeat</v>
      </c>
      <c r="K1618" s="10" t="str">
        <f t="shared" si="25"/>
        <v>TRANS-1617</v>
      </c>
    </row>
    <row r="1619" spans="1:11" x14ac:dyDescent="0.35">
      <c r="A1619" s="5">
        <v>45556</v>
      </c>
      <c r="B1619" s="3">
        <v>0.48523148148148149</v>
      </c>
      <c r="C1619" t="s">
        <v>8</v>
      </c>
      <c r="D1619" t="s">
        <v>595</v>
      </c>
      <c r="E1619" s="4">
        <v>23.02</v>
      </c>
      <c r="F1619" t="s">
        <v>20</v>
      </c>
      <c r="G1619" s="10" t="str">
        <f>TEXT(Transform_Data[[#This Row],[Date]],"mmm yyyy")</f>
        <v>Sep 2024</v>
      </c>
      <c r="H1619" s="10">
        <f>HOUR(Transform_Data[[#This Row],[Time]])</f>
        <v>11</v>
      </c>
      <c r="I1619" s="10" t="str">
        <f>IF(COUNTIF('Transform Data'!$D:$D,'Transform Data'!D1619)&gt;1,"Repeat","Single")</f>
        <v>Repeat</v>
      </c>
      <c r="J1619" s="10" t="str">
        <f>IF('Transform Data'!D1619="Cash","Cash",IF(COUNTIF('Transform Data'!$D:$D,'Transform Data'!D1619)&gt;1,"Repeat","Single"))</f>
        <v>Repeat</v>
      </c>
      <c r="K1619" s="10" t="str">
        <f t="shared" si="25"/>
        <v>TRANS-1618</v>
      </c>
    </row>
    <row r="1620" spans="1:11" x14ac:dyDescent="0.35">
      <c r="A1620" s="5">
        <v>45556</v>
      </c>
      <c r="B1620" s="3">
        <v>0.6320486111111111</v>
      </c>
      <c r="C1620" t="s">
        <v>8</v>
      </c>
      <c r="D1620" t="s">
        <v>697</v>
      </c>
      <c r="E1620" s="4">
        <v>32.82</v>
      </c>
      <c r="F1620" t="s">
        <v>24</v>
      </c>
      <c r="G1620" s="10" t="str">
        <f>TEXT(Transform_Data[[#This Row],[Date]],"mmm yyyy")</f>
        <v>Sep 2024</v>
      </c>
      <c r="H1620" s="10">
        <f>HOUR(Transform_Data[[#This Row],[Time]])</f>
        <v>15</v>
      </c>
      <c r="I1620" s="10" t="str">
        <f>IF(COUNTIF('Transform Data'!$D:$D,'Transform Data'!D1620)&gt;1,"Repeat","Single")</f>
        <v>Single</v>
      </c>
      <c r="J1620" s="10" t="str">
        <f>IF('Transform Data'!D1620="Cash","Cash",IF(COUNTIF('Transform Data'!$D:$D,'Transform Data'!D1620)&gt;1,"Repeat","Single"))</f>
        <v>Single</v>
      </c>
      <c r="K1620" s="10" t="str">
        <f t="shared" si="25"/>
        <v>TRANS-1619</v>
      </c>
    </row>
    <row r="1621" spans="1:11" x14ac:dyDescent="0.35">
      <c r="A1621" s="5">
        <v>45556</v>
      </c>
      <c r="B1621" s="3">
        <v>0.65015046296296297</v>
      </c>
      <c r="C1621" t="s">
        <v>8</v>
      </c>
      <c r="D1621" t="s">
        <v>698</v>
      </c>
      <c r="E1621" s="4">
        <v>32.82</v>
      </c>
      <c r="F1621" t="s">
        <v>32</v>
      </c>
      <c r="G1621" s="10" t="str">
        <f>TEXT(Transform_Data[[#This Row],[Date]],"mmm yyyy")</f>
        <v>Sep 2024</v>
      </c>
      <c r="H1621" s="10">
        <f>HOUR(Transform_Data[[#This Row],[Time]])</f>
        <v>15</v>
      </c>
      <c r="I1621" s="10" t="str">
        <f>IF(COUNTIF('Transform Data'!$D:$D,'Transform Data'!D1621)&gt;1,"Repeat","Single")</f>
        <v>Single</v>
      </c>
      <c r="J1621" s="10" t="str">
        <f>IF('Transform Data'!D1621="Cash","Cash",IF(COUNTIF('Transform Data'!$D:$D,'Transform Data'!D1621)&gt;1,"Repeat","Single"))</f>
        <v>Single</v>
      </c>
      <c r="K1621" s="10" t="str">
        <f t="shared" si="25"/>
        <v>TRANS-1620</v>
      </c>
    </row>
    <row r="1622" spans="1:11" x14ac:dyDescent="0.35">
      <c r="A1622" s="5">
        <v>45556</v>
      </c>
      <c r="B1622" s="3">
        <v>0.76143518518518516</v>
      </c>
      <c r="C1622" t="s">
        <v>8</v>
      </c>
      <c r="D1622" t="s">
        <v>21</v>
      </c>
      <c r="E1622" s="4">
        <v>32.82</v>
      </c>
      <c r="F1622" t="s">
        <v>32</v>
      </c>
      <c r="G1622" s="10" t="str">
        <f>TEXT(Transform_Data[[#This Row],[Date]],"mmm yyyy")</f>
        <v>Sep 2024</v>
      </c>
      <c r="H1622" s="10">
        <f>HOUR(Transform_Data[[#This Row],[Time]])</f>
        <v>18</v>
      </c>
      <c r="I1622" s="10" t="str">
        <f>IF(COUNTIF('Transform Data'!$D:$D,'Transform Data'!D1622)&gt;1,"Repeat","Single")</f>
        <v>Repeat</v>
      </c>
      <c r="J1622" s="10" t="str">
        <f>IF('Transform Data'!D1622="Cash","Cash",IF(COUNTIF('Transform Data'!$D:$D,'Transform Data'!D1622)&gt;1,"Repeat","Single"))</f>
        <v>Repeat</v>
      </c>
      <c r="K1622" s="10" t="str">
        <f t="shared" si="25"/>
        <v>TRANS-1621</v>
      </c>
    </row>
    <row r="1623" spans="1:11" x14ac:dyDescent="0.35">
      <c r="A1623" s="5">
        <v>45556</v>
      </c>
      <c r="B1623" s="3">
        <v>0.76215277777777779</v>
      </c>
      <c r="C1623" t="s">
        <v>8</v>
      </c>
      <c r="D1623" t="s">
        <v>21</v>
      </c>
      <c r="E1623" s="4">
        <v>32.82</v>
      </c>
      <c r="F1623" t="s">
        <v>32</v>
      </c>
      <c r="G1623" s="10" t="str">
        <f>TEXT(Transform_Data[[#This Row],[Date]],"mmm yyyy")</f>
        <v>Sep 2024</v>
      </c>
      <c r="H1623" s="10">
        <f>HOUR(Transform_Data[[#This Row],[Time]])</f>
        <v>18</v>
      </c>
      <c r="I1623" s="10" t="str">
        <f>IF(COUNTIF('Transform Data'!$D:$D,'Transform Data'!D1623)&gt;1,"Repeat","Single")</f>
        <v>Repeat</v>
      </c>
      <c r="J1623" s="10" t="str">
        <f>IF('Transform Data'!D1623="Cash","Cash",IF(COUNTIF('Transform Data'!$D:$D,'Transform Data'!D1623)&gt;1,"Repeat","Single"))</f>
        <v>Repeat</v>
      </c>
      <c r="K1623" s="10" t="str">
        <f t="shared" si="25"/>
        <v>TRANS-1622</v>
      </c>
    </row>
    <row r="1624" spans="1:11" x14ac:dyDescent="0.35">
      <c r="A1624" s="5">
        <v>45556</v>
      </c>
      <c r="B1624" s="3">
        <v>0.85395833333333337</v>
      </c>
      <c r="C1624" t="s">
        <v>8</v>
      </c>
      <c r="D1624" t="s">
        <v>16</v>
      </c>
      <c r="E1624" s="4">
        <v>23.02</v>
      </c>
      <c r="F1624" t="s">
        <v>28</v>
      </c>
      <c r="G1624" s="10" t="str">
        <f>TEXT(Transform_Data[[#This Row],[Date]],"mmm yyyy")</f>
        <v>Sep 2024</v>
      </c>
      <c r="H1624" s="10">
        <f>HOUR(Transform_Data[[#This Row],[Time]])</f>
        <v>20</v>
      </c>
      <c r="I1624" s="10" t="str">
        <f>IF(COUNTIF('Transform Data'!$D:$D,'Transform Data'!D1624)&gt;1,"Repeat","Single")</f>
        <v>Repeat</v>
      </c>
      <c r="J1624" s="10" t="str">
        <f>IF('Transform Data'!D1624="Cash","Cash",IF(COUNTIF('Transform Data'!$D:$D,'Transform Data'!D1624)&gt;1,"Repeat","Single"))</f>
        <v>Repeat</v>
      </c>
      <c r="K1624" s="10" t="str">
        <f t="shared" si="25"/>
        <v>TRANS-1623</v>
      </c>
    </row>
    <row r="1625" spans="1:11" x14ac:dyDescent="0.35">
      <c r="A1625" s="5">
        <v>45556</v>
      </c>
      <c r="B1625" s="3">
        <v>0.85460648148148144</v>
      </c>
      <c r="C1625" t="s">
        <v>8</v>
      </c>
      <c r="D1625" t="s">
        <v>16</v>
      </c>
      <c r="E1625" s="4">
        <v>23.02</v>
      </c>
      <c r="F1625" t="s">
        <v>28</v>
      </c>
      <c r="G1625" s="10" t="str">
        <f>TEXT(Transform_Data[[#This Row],[Date]],"mmm yyyy")</f>
        <v>Sep 2024</v>
      </c>
      <c r="H1625" s="10">
        <f>HOUR(Transform_Data[[#This Row],[Time]])</f>
        <v>20</v>
      </c>
      <c r="I1625" s="10" t="str">
        <f>IF(COUNTIF('Transform Data'!$D:$D,'Transform Data'!D1625)&gt;1,"Repeat","Single")</f>
        <v>Repeat</v>
      </c>
      <c r="J1625" s="10" t="str">
        <f>IF('Transform Data'!D1625="Cash","Cash",IF(COUNTIF('Transform Data'!$D:$D,'Transform Data'!D1625)&gt;1,"Repeat","Single"))</f>
        <v>Repeat</v>
      </c>
      <c r="K1625" s="10" t="str">
        <f t="shared" si="25"/>
        <v>TRANS-1624</v>
      </c>
    </row>
    <row r="1626" spans="1:11" x14ac:dyDescent="0.35">
      <c r="A1626" s="5">
        <v>45556</v>
      </c>
      <c r="B1626" s="3">
        <v>0.85692129629629632</v>
      </c>
      <c r="C1626" t="s">
        <v>8</v>
      </c>
      <c r="D1626" t="s">
        <v>654</v>
      </c>
      <c r="E1626" s="4">
        <v>32.82</v>
      </c>
      <c r="F1626" t="s">
        <v>32</v>
      </c>
      <c r="G1626" s="10" t="str">
        <f>TEXT(Transform_Data[[#This Row],[Date]],"mmm yyyy")</f>
        <v>Sep 2024</v>
      </c>
      <c r="H1626" s="10">
        <f>HOUR(Transform_Data[[#This Row],[Time]])</f>
        <v>20</v>
      </c>
      <c r="I1626" s="10" t="str">
        <f>IF(COUNTIF('Transform Data'!$D:$D,'Transform Data'!D1626)&gt;1,"Repeat","Single")</f>
        <v>Repeat</v>
      </c>
      <c r="J1626" s="10" t="str">
        <f>IF('Transform Data'!D1626="Cash","Cash",IF(COUNTIF('Transform Data'!$D:$D,'Transform Data'!D1626)&gt;1,"Repeat","Single"))</f>
        <v>Repeat</v>
      </c>
      <c r="K1626" s="10" t="str">
        <f t="shared" si="25"/>
        <v>TRANS-1625</v>
      </c>
    </row>
    <row r="1627" spans="1:11" x14ac:dyDescent="0.35">
      <c r="A1627" s="5">
        <v>45556</v>
      </c>
      <c r="B1627" s="3">
        <v>0.85798611111111112</v>
      </c>
      <c r="C1627" t="s">
        <v>8</v>
      </c>
      <c r="D1627" t="s">
        <v>654</v>
      </c>
      <c r="E1627" s="4">
        <v>32.82</v>
      </c>
      <c r="F1627" t="s">
        <v>32</v>
      </c>
      <c r="G1627" s="10" t="str">
        <f>TEXT(Transform_Data[[#This Row],[Date]],"mmm yyyy")</f>
        <v>Sep 2024</v>
      </c>
      <c r="H1627" s="10">
        <f>HOUR(Transform_Data[[#This Row],[Time]])</f>
        <v>20</v>
      </c>
      <c r="I1627" s="10" t="str">
        <f>IF(COUNTIF('Transform Data'!$D:$D,'Transform Data'!D1627)&gt;1,"Repeat","Single")</f>
        <v>Repeat</v>
      </c>
      <c r="J1627" s="10" t="str">
        <f>IF('Transform Data'!D1627="Cash","Cash",IF(COUNTIF('Transform Data'!$D:$D,'Transform Data'!D1627)&gt;1,"Repeat","Single"))</f>
        <v>Repeat</v>
      </c>
      <c r="K1627" s="10" t="str">
        <f t="shared" si="25"/>
        <v>TRANS-1626</v>
      </c>
    </row>
    <row r="1628" spans="1:11" x14ac:dyDescent="0.35">
      <c r="A1628" s="5">
        <v>45556</v>
      </c>
      <c r="B1628" s="3">
        <v>0.92969907407407404</v>
      </c>
      <c r="C1628" t="s">
        <v>8</v>
      </c>
      <c r="D1628" t="s">
        <v>699</v>
      </c>
      <c r="E1628" s="4">
        <v>27.92</v>
      </c>
      <c r="F1628" t="s">
        <v>36</v>
      </c>
      <c r="G1628" s="10" t="str">
        <f>TEXT(Transform_Data[[#This Row],[Date]],"mmm yyyy")</f>
        <v>Sep 2024</v>
      </c>
      <c r="H1628" s="10">
        <f>HOUR(Transform_Data[[#This Row],[Time]])</f>
        <v>22</v>
      </c>
      <c r="I1628" s="10" t="str">
        <f>IF(COUNTIF('Transform Data'!$D:$D,'Transform Data'!D1628)&gt;1,"Repeat","Single")</f>
        <v>Repeat</v>
      </c>
      <c r="J1628" s="10" t="str">
        <f>IF('Transform Data'!D1628="Cash","Cash",IF(COUNTIF('Transform Data'!$D:$D,'Transform Data'!D1628)&gt;1,"Repeat","Single"))</f>
        <v>Repeat</v>
      </c>
      <c r="K1628" s="10" t="str">
        <f t="shared" si="25"/>
        <v>TRANS-1627</v>
      </c>
    </row>
    <row r="1629" spans="1:11" x14ac:dyDescent="0.35">
      <c r="A1629" s="5">
        <v>45556</v>
      </c>
      <c r="B1629" s="3">
        <v>0.93043981481481486</v>
      </c>
      <c r="C1629" t="s">
        <v>8</v>
      </c>
      <c r="D1629" t="s">
        <v>699</v>
      </c>
      <c r="E1629" s="4">
        <v>23.02</v>
      </c>
      <c r="F1629" t="s">
        <v>28</v>
      </c>
      <c r="G1629" s="10" t="str">
        <f>TEXT(Transform_Data[[#This Row],[Date]],"mmm yyyy")</f>
        <v>Sep 2024</v>
      </c>
      <c r="H1629" s="10">
        <f>HOUR(Transform_Data[[#This Row],[Time]])</f>
        <v>22</v>
      </c>
      <c r="I1629" s="10" t="str">
        <f>IF(COUNTIF('Transform Data'!$D:$D,'Transform Data'!D1629)&gt;1,"Repeat","Single")</f>
        <v>Repeat</v>
      </c>
      <c r="J1629" s="10" t="str">
        <f>IF('Transform Data'!D1629="Cash","Cash",IF(COUNTIF('Transform Data'!$D:$D,'Transform Data'!D1629)&gt;1,"Repeat","Single"))</f>
        <v>Repeat</v>
      </c>
      <c r="K1629" s="10" t="str">
        <f t="shared" si="25"/>
        <v>TRANS-1628</v>
      </c>
    </row>
    <row r="1630" spans="1:11" x14ac:dyDescent="0.35">
      <c r="A1630" s="5">
        <v>45556</v>
      </c>
      <c r="B1630" s="3">
        <v>0.93111111111111111</v>
      </c>
      <c r="C1630" t="s">
        <v>8</v>
      </c>
      <c r="D1630" t="s">
        <v>699</v>
      </c>
      <c r="E1630" s="4">
        <v>23.02</v>
      </c>
      <c r="F1630" t="s">
        <v>28</v>
      </c>
      <c r="G1630" s="10" t="str">
        <f>TEXT(Transform_Data[[#This Row],[Date]],"mmm yyyy")</f>
        <v>Sep 2024</v>
      </c>
      <c r="H1630" s="10">
        <f>HOUR(Transform_Data[[#This Row],[Time]])</f>
        <v>22</v>
      </c>
      <c r="I1630" s="10" t="str">
        <f>IF(COUNTIF('Transform Data'!$D:$D,'Transform Data'!D1630)&gt;1,"Repeat","Single")</f>
        <v>Repeat</v>
      </c>
      <c r="J1630" s="10" t="str">
        <f>IF('Transform Data'!D1630="Cash","Cash",IF(COUNTIF('Transform Data'!$D:$D,'Transform Data'!D1630)&gt;1,"Repeat","Single"))</f>
        <v>Repeat</v>
      </c>
      <c r="K1630" s="10" t="str">
        <f t="shared" si="25"/>
        <v>TRANS-1629</v>
      </c>
    </row>
    <row r="1631" spans="1:11" x14ac:dyDescent="0.35">
      <c r="A1631" s="5">
        <v>45557</v>
      </c>
      <c r="B1631" s="3">
        <v>0.35618055555555556</v>
      </c>
      <c r="C1631" t="s">
        <v>8</v>
      </c>
      <c r="D1631" t="s">
        <v>700</v>
      </c>
      <c r="E1631" s="4">
        <v>23.02</v>
      </c>
      <c r="F1631" t="s">
        <v>28</v>
      </c>
      <c r="G1631" s="10" t="str">
        <f>TEXT(Transform_Data[[#This Row],[Date]],"mmm yyyy")</f>
        <v>Sep 2024</v>
      </c>
      <c r="H1631" s="10">
        <f>HOUR(Transform_Data[[#This Row],[Time]])</f>
        <v>8</v>
      </c>
      <c r="I1631" s="10" t="str">
        <f>IF(COUNTIF('Transform Data'!$D:$D,'Transform Data'!D1631)&gt;1,"Repeat","Single")</f>
        <v>Single</v>
      </c>
      <c r="J1631" s="10" t="str">
        <f>IF('Transform Data'!D1631="Cash","Cash",IF(COUNTIF('Transform Data'!$D:$D,'Transform Data'!D1631)&gt;1,"Repeat","Single"))</f>
        <v>Single</v>
      </c>
      <c r="K1631" s="10" t="str">
        <f t="shared" si="25"/>
        <v>TRANS-1630</v>
      </c>
    </row>
    <row r="1632" spans="1:11" x14ac:dyDescent="0.35">
      <c r="A1632" s="5">
        <v>45557</v>
      </c>
      <c r="B1632" s="3">
        <v>0.42510416666666667</v>
      </c>
      <c r="C1632" t="s">
        <v>8</v>
      </c>
      <c r="D1632" t="s">
        <v>701</v>
      </c>
      <c r="E1632" s="4">
        <v>27.92</v>
      </c>
      <c r="F1632" t="s">
        <v>36</v>
      </c>
      <c r="G1632" s="10" t="str">
        <f>TEXT(Transform_Data[[#This Row],[Date]],"mmm yyyy")</f>
        <v>Sep 2024</v>
      </c>
      <c r="H1632" s="10">
        <f>HOUR(Transform_Data[[#This Row],[Time]])</f>
        <v>10</v>
      </c>
      <c r="I1632" s="10" t="str">
        <f>IF(COUNTIF('Transform Data'!$D:$D,'Transform Data'!D1632)&gt;1,"Repeat","Single")</f>
        <v>Repeat</v>
      </c>
      <c r="J1632" s="10" t="str">
        <f>IF('Transform Data'!D1632="Cash","Cash",IF(COUNTIF('Transform Data'!$D:$D,'Transform Data'!D1632)&gt;1,"Repeat","Single"))</f>
        <v>Repeat</v>
      </c>
      <c r="K1632" s="10" t="str">
        <f t="shared" si="25"/>
        <v>TRANS-1631</v>
      </c>
    </row>
    <row r="1633" spans="1:11" x14ac:dyDescent="0.35">
      <c r="A1633" s="5">
        <v>45557</v>
      </c>
      <c r="B1633" s="3">
        <v>0.42578703703703702</v>
      </c>
      <c r="C1633" t="s">
        <v>8</v>
      </c>
      <c r="D1633" t="s">
        <v>701</v>
      </c>
      <c r="E1633" s="4">
        <v>32.82</v>
      </c>
      <c r="F1633" t="s">
        <v>32</v>
      </c>
      <c r="G1633" s="10" t="str">
        <f>TEXT(Transform_Data[[#This Row],[Date]],"mmm yyyy")</f>
        <v>Sep 2024</v>
      </c>
      <c r="H1633" s="10">
        <f>HOUR(Transform_Data[[#This Row],[Time]])</f>
        <v>10</v>
      </c>
      <c r="I1633" s="10" t="str">
        <f>IF(COUNTIF('Transform Data'!$D:$D,'Transform Data'!D1633)&gt;1,"Repeat","Single")</f>
        <v>Repeat</v>
      </c>
      <c r="J1633" s="10" t="str">
        <f>IF('Transform Data'!D1633="Cash","Cash",IF(COUNTIF('Transform Data'!$D:$D,'Transform Data'!D1633)&gt;1,"Repeat","Single"))</f>
        <v>Repeat</v>
      </c>
      <c r="K1633" s="10" t="str">
        <f t="shared" si="25"/>
        <v>TRANS-1632</v>
      </c>
    </row>
    <row r="1634" spans="1:11" x14ac:dyDescent="0.35">
      <c r="A1634" s="5">
        <v>45557</v>
      </c>
      <c r="B1634" s="3">
        <v>0.46280092592592592</v>
      </c>
      <c r="C1634" t="s">
        <v>8</v>
      </c>
      <c r="D1634" t="s">
        <v>702</v>
      </c>
      <c r="E1634" s="4">
        <v>23.02</v>
      </c>
      <c r="F1634" t="s">
        <v>20</v>
      </c>
      <c r="G1634" s="10" t="str">
        <f>TEXT(Transform_Data[[#This Row],[Date]],"mmm yyyy")</f>
        <v>Sep 2024</v>
      </c>
      <c r="H1634" s="10">
        <f>HOUR(Transform_Data[[#This Row],[Time]])</f>
        <v>11</v>
      </c>
      <c r="I1634" s="10" t="str">
        <f>IF(COUNTIF('Transform Data'!$D:$D,'Transform Data'!D1634)&gt;1,"Repeat","Single")</f>
        <v>Repeat</v>
      </c>
      <c r="J1634" s="10" t="str">
        <f>IF('Transform Data'!D1634="Cash","Cash",IF(COUNTIF('Transform Data'!$D:$D,'Transform Data'!D1634)&gt;1,"Repeat","Single"))</f>
        <v>Repeat</v>
      </c>
      <c r="K1634" s="10" t="str">
        <f t="shared" si="25"/>
        <v>TRANS-1633</v>
      </c>
    </row>
    <row r="1635" spans="1:11" x14ac:dyDescent="0.35">
      <c r="A1635" s="5">
        <v>45557</v>
      </c>
      <c r="B1635" s="3">
        <v>0.46361111111111108</v>
      </c>
      <c r="C1635" t="s">
        <v>8</v>
      </c>
      <c r="D1635" t="s">
        <v>702</v>
      </c>
      <c r="E1635" s="4">
        <v>23.02</v>
      </c>
      <c r="F1635" t="s">
        <v>20</v>
      </c>
      <c r="G1635" s="10" t="str">
        <f>TEXT(Transform_Data[[#This Row],[Date]],"mmm yyyy")</f>
        <v>Sep 2024</v>
      </c>
      <c r="H1635" s="10">
        <f>HOUR(Transform_Data[[#This Row],[Time]])</f>
        <v>11</v>
      </c>
      <c r="I1635" s="10" t="str">
        <f>IF(COUNTIF('Transform Data'!$D:$D,'Transform Data'!D1635)&gt;1,"Repeat","Single")</f>
        <v>Repeat</v>
      </c>
      <c r="J1635" s="10" t="str">
        <f>IF('Transform Data'!D1635="Cash","Cash",IF(COUNTIF('Transform Data'!$D:$D,'Transform Data'!D1635)&gt;1,"Repeat","Single"))</f>
        <v>Repeat</v>
      </c>
      <c r="K1635" s="10" t="str">
        <f t="shared" si="25"/>
        <v>TRANS-1634</v>
      </c>
    </row>
    <row r="1636" spans="1:11" x14ac:dyDescent="0.35">
      <c r="A1636" s="5">
        <v>45557</v>
      </c>
      <c r="B1636" s="3">
        <v>0.49443287037037037</v>
      </c>
      <c r="C1636" t="s">
        <v>8</v>
      </c>
      <c r="D1636" t="s">
        <v>703</v>
      </c>
      <c r="E1636" s="4">
        <v>27.92</v>
      </c>
      <c r="F1636" t="s">
        <v>36</v>
      </c>
      <c r="G1636" s="10" t="str">
        <f>TEXT(Transform_Data[[#This Row],[Date]],"mmm yyyy")</f>
        <v>Sep 2024</v>
      </c>
      <c r="H1636" s="10">
        <f>HOUR(Transform_Data[[#This Row],[Time]])</f>
        <v>11</v>
      </c>
      <c r="I1636" s="10" t="str">
        <f>IF(COUNTIF('Transform Data'!$D:$D,'Transform Data'!D1636)&gt;1,"Repeat","Single")</f>
        <v>Single</v>
      </c>
      <c r="J1636" s="10" t="str">
        <f>IF('Transform Data'!D1636="Cash","Cash",IF(COUNTIF('Transform Data'!$D:$D,'Transform Data'!D1636)&gt;1,"Repeat","Single"))</f>
        <v>Single</v>
      </c>
      <c r="K1636" s="10" t="str">
        <f t="shared" si="25"/>
        <v>TRANS-1635</v>
      </c>
    </row>
    <row r="1637" spans="1:11" x14ac:dyDescent="0.35">
      <c r="A1637" s="5">
        <v>45557</v>
      </c>
      <c r="B1637" s="3">
        <v>0.49666666666666665</v>
      </c>
      <c r="C1637" t="s">
        <v>8</v>
      </c>
      <c r="D1637" t="s">
        <v>154</v>
      </c>
      <c r="E1637" s="4">
        <v>23.02</v>
      </c>
      <c r="F1637" t="s">
        <v>28</v>
      </c>
      <c r="G1637" s="10" t="str">
        <f>TEXT(Transform_Data[[#This Row],[Date]],"mmm yyyy")</f>
        <v>Sep 2024</v>
      </c>
      <c r="H1637" s="10">
        <f>HOUR(Transform_Data[[#This Row],[Time]])</f>
        <v>11</v>
      </c>
      <c r="I1637" s="10" t="str">
        <f>IF(COUNTIF('Transform Data'!$D:$D,'Transform Data'!D1637)&gt;1,"Repeat","Single")</f>
        <v>Repeat</v>
      </c>
      <c r="J1637" s="10" t="str">
        <f>IF('Transform Data'!D1637="Cash","Cash",IF(COUNTIF('Transform Data'!$D:$D,'Transform Data'!D1637)&gt;1,"Repeat","Single"))</f>
        <v>Repeat</v>
      </c>
      <c r="K1637" s="10" t="str">
        <f t="shared" si="25"/>
        <v>TRANS-1636</v>
      </c>
    </row>
    <row r="1638" spans="1:11" x14ac:dyDescent="0.35">
      <c r="A1638" s="5">
        <v>45557</v>
      </c>
      <c r="B1638" s="3">
        <v>0.50509259259259254</v>
      </c>
      <c r="C1638" t="s">
        <v>8</v>
      </c>
      <c r="D1638" t="s">
        <v>29</v>
      </c>
      <c r="E1638" s="4">
        <v>27.92</v>
      </c>
      <c r="F1638" t="s">
        <v>36</v>
      </c>
      <c r="G1638" s="10" t="str">
        <f>TEXT(Transform_Data[[#This Row],[Date]],"mmm yyyy")</f>
        <v>Sep 2024</v>
      </c>
      <c r="H1638" s="10">
        <f>HOUR(Transform_Data[[#This Row],[Time]])</f>
        <v>12</v>
      </c>
      <c r="I1638" s="10" t="str">
        <f>IF(COUNTIF('Transform Data'!$D:$D,'Transform Data'!D1638)&gt;1,"Repeat","Single")</f>
        <v>Repeat</v>
      </c>
      <c r="J1638" s="10" t="str">
        <f>IF('Transform Data'!D1638="Cash","Cash",IF(COUNTIF('Transform Data'!$D:$D,'Transform Data'!D1638)&gt;1,"Repeat","Single"))</f>
        <v>Repeat</v>
      </c>
      <c r="K1638" s="10" t="str">
        <f t="shared" si="25"/>
        <v>TRANS-1637</v>
      </c>
    </row>
    <row r="1639" spans="1:11" x14ac:dyDescent="0.35">
      <c r="A1639" s="5">
        <v>45557</v>
      </c>
      <c r="B1639" s="3">
        <v>0.5612731481481481</v>
      </c>
      <c r="C1639" t="s">
        <v>8</v>
      </c>
      <c r="D1639" t="s">
        <v>386</v>
      </c>
      <c r="E1639" s="4">
        <v>27.92</v>
      </c>
      <c r="F1639" t="s">
        <v>36</v>
      </c>
      <c r="G1639" s="10" t="str">
        <f>TEXT(Transform_Data[[#This Row],[Date]],"mmm yyyy")</f>
        <v>Sep 2024</v>
      </c>
      <c r="H1639" s="10">
        <f>HOUR(Transform_Data[[#This Row],[Time]])</f>
        <v>13</v>
      </c>
      <c r="I1639" s="10" t="str">
        <f>IF(COUNTIF('Transform Data'!$D:$D,'Transform Data'!D1639)&gt;1,"Repeat","Single")</f>
        <v>Repeat</v>
      </c>
      <c r="J1639" s="10" t="str">
        <f>IF('Transform Data'!D1639="Cash","Cash",IF(COUNTIF('Transform Data'!$D:$D,'Transform Data'!D1639)&gt;1,"Repeat","Single"))</f>
        <v>Repeat</v>
      </c>
      <c r="K1639" s="10" t="str">
        <f t="shared" si="25"/>
        <v>TRANS-1638</v>
      </c>
    </row>
    <row r="1640" spans="1:11" x14ac:dyDescent="0.35">
      <c r="A1640" s="5">
        <v>45557</v>
      </c>
      <c r="B1640" s="3">
        <v>0.56221064814814814</v>
      </c>
      <c r="C1640" t="s">
        <v>8</v>
      </c>
      <c r="D1640" t="s">
        <v>386</v>
      </c>
      <c r="E1640" s="4">
        <v>27.92</v>
      </c>
      <c r="F1640" t="s">
        <v>36</v>
      </c>
      <c r="G1640" s="10" t="str">
        <f>TEXT(Transform_Data[[#This Row],[Date]],"mmm yyyy")</f>
        <v>Sep 2024</v>
      </c>
      <c r="H1640" s="10">
        <f>HOUR(Transform_Data[[#This Row],[Time]])</f>
        <v>13</v>
      </c>
      <c r="I1640" s="10" t="str">
        <f>IF(COUNTIF('Transform Data'!$D:$D,'Transform Data'!D1640)&gt;1,"Repeat","Single")</f>
        <v>Repeat</v>
      </c>
      <c r="J1640" s="10" t="str">
        <f>IF('Transform Data'!D1640="Cash","Cash",IF(COUNTIF('Transform Data'!$D:$D,'Transform Data'!D1640)&gt;1,"Repeat","Single"))</f>
        <v>Repeat</v>
      </c>
      <c r="K1640" s="10" t="str">
        <f t="shared" si="25"/>
        <v>TRANS-1639</v>
      </c>
    </row>
    <row r="1641" spans="1:11" x14ac:dyDescent="0.35">
      <c r="A1641" s="5">
        <v>45557</v>
      </c>
      <c r="B1641" s="3">
        <v>0.56497685185185187</v>
      </c>
      <c r="C1641" t="s">
        <v>8</v>
      </c>
      <c r="D1641" t="s">
        <v>562</v>
      </c>
      <c r="E1641" s="4">
        <v>27.92</v>
      </c>
      <c r="F1641" t="s">
        <v>36</v>
      </c>
      <c r="G1641" s="10" t="str">
        <f>TEXT(Transform_Data[[#This Row],[Date]],"mmm yyyy")</f>
        <v>Sep 2024</v>
      </c>
      <c r="H1641" s="10">
        <f>HOUR(Transform_Data[[#This Row],[Time]])</f>
        <v>13</v>
      </c>
      <c r="I1641" s="10" t="str">
        <f>IF(COUNTIF('Transform Data'!$D:$D,'Transform Data'!D1641)&gt;1,"Repeat","Single")</f>
        <v>Repeat</v>
      </c>
      <c r="J1641" s="10" t="str">
        <f>IF('Transform Data'!D1641="Cash","Cash",IF(COUNTIF('Transform Data'!$D:$D,'Transform Data'!D1641)&gt;1,"Repeat","Single"))</f>
        <v>Repeat</v>
      </c>
      <c r="K1641" s="10" t="str">
        <f t="shared" si="25"/>
        <v>TRANS-1640</v>
      </c>
    </row>
    <row r="1642" spans="1:11" x14ac:dyDescent="0.35">
      <c r="A1642" s="5">
        <v>45557</v>
      </c>
      <c r="B1642" s="3">
        <v>0.64872685185185186</v>
      </c>
      <c r="C1642" t="s">
        <v>8</v>
      </c>
      <c r="D1642" t="s">
        <v>704</v>
      </c>
      <c r="E1642" s="4">
        <v>32.82</v>
      </c>
      <c r="F1642" t="s">
        <v>32</v>
      </c>
      <c r="G1642" s="10" t="str">
        <f>TEXT(Transform_Data[[#This Row],[Date]],"mmm yyyy")</f>
        <v>Sep 2024</v>
      </c>
      <c r="H1642" s="10">
        <f>HOUR(Transform_Data[[#This Row],[Time]])</f>
        <v>15</v>
      </c>
      <c r="I1642" s="10" t="str">
        <f>IF(COUNTIF('Transform Data'!$D:$D,'Transform Data'!D1642)&gt;1,"Repeat","Single")</f>
        <v>Repeat</v>
      </c>
      <c r="J1642" s="10" t="str">
        <f>IF('Transform Data'!D1642="Cash","Cash",IF(COUNTIF('Transform Data'!$D:$D,'Transform Data'!D1642)&gt;1,"Repeat","Single"))</f>
        <v>Repeat</v>
      </c>
      <c r="K1642" s="10" t="str">
        <f t="shared" si="25"/>
        <v>TRANS-1641</v>
      </c>
    </row>
    <row r="1643" spans="1:11" x14ac:dyDescent="0.35">
      <c r="A1643" s="5">
        <v>45557</v>
      </c>
      <c r="B1643" s="3">
        <v>0.64958333333333329</v>
      </c>
      <c r="C1643" t="s">
        <v>8</v>
      </c>
      <c r="D1643" t="s">
        <v>704</v>
      </c>
      <c r="E1643" s="4">
        <v>27.92</v>
      </c>
      <c r="F1643" t="s">
        <v>36</v>
      </c>
      <c r="G1643" s="10" t="str">
        <f>TEXT(Transform_Data[[#This Row],[Date]],"mmm yyyy")</f>
        <v>Sep 2024</v>
      </c>
      <c r="H1643" s="10">
        <f>HOUR(Transform_Data[[#This Row],[Time]])</f>
        <v>15</v>
      </c>
      <c r="I1643" s="10" t="str">
        <f>IF(COUNTIF('Transform Data'!$D:$D,'Transform Data'!D1643)&gt;1,"Repeat","Single")</f>
        <v>Repeat</v>
      </c>
      <c r="J1643" s="10" t="str">
        <f>IF('Transform Data'!D1643="Cash","Cash",IF(COUNTIF('Transform Data'!$D:$D,'Transform Data'!D1643)&gt;1,"Repeat","Single"))</f>
        <v>Repeat</v>
      </c>
      <c r="K1643" s="10" t="str">
        <f t="shared" si="25"/>
        <v>TRANS-1642</v>
      </c>
    </row>
    <row r="1644" spans="1:11" x14ac:dyDescent="0.35">
      <c r="A1644" s="5">
        <v>45557</v>
      </c>
      <c r="B1644" s="3">
        <v>0.68406250000000002</v>
      </c>
      <c r="C1644" t="s">
        <v>8</v>
      </c>
      <c r="D1644" t="s">
        <v>705</v>
      </c>
      <c r="E1644" s="4">
        <v>32.82</v>
      </c>
      <c r="F1644" t="s">
        <v>10</v>
      </c>
      <c r="G1644" s="10" t="str">
        <f>TEXT(Transform_Data[[#This Row],[Date]],"mmm yyyy")</f>
        <v>Sep 2024</v>
      </c>
      <c r="H1644" s="10">
        <f>HOUR(Transform_Data[[#This Row],[Time]])</f>
        <v>16</v>
      </c>
      <c r="I1644" s="10" t="str">
        <f>IF(COUNTIF('Transform Data'!$D:$D,'Transform Data'!D1644)&gt;1,"Repeat","Single")</f>
        <v>Single</v>
      </c>
      <c r="J1644" s="10" t="str">
        <f>IF('Transform Data'!D1644="Cash","Cash",IF(COUNTIF('Transform Data'!$D:$D,'Transform Data'!D1644)&gt;1,"Repeat","Single"))</f>
        <v>Single</v>
      </c>
      <c r="K1644" s="10" t="str">
        <f t="shared" si="25"/>
        <v>TRANS-1643</v>
      </c>
    </row>
    <row r="1645" spans="1:11" x14ac:dyDescent="0.35">
      <c r="A1645" s="5">
        <v>45557</v>
      </c>
      <c r="B1645" s="3">
        <v>0.84664351851851849</v>
      </c>
      <c r="C1645" t="s">
        <v>8</v>
      </c>
      <c r="D1645" t="s">
        <v>706</v>
      </c>
      <c r="E1645" s="4">
        <v>32.82</v>
      </c>
      <c r="F1645" t="s">
        <v>32</v>
      </c>
      <c r="G1645" s="10" t="str">
        <f>TEXT(Transform_Data[[#This Row],[Date]],"mmm yyyy")</f>
        <v>Sep 2024</v>
      </c>
      <c r="H1645" s="10">
        <f>HOUR(Transform_Data[[#This Row],[Time]])</f>
        <v>20</v>
      </c>
      <c r="I1645" s="10" t="str">
        <f>IF(COUNTIF('Transform Data'!$D:$D,'Transform Data'!D1645)&gt;1,"Repeat","Single")</f>
        <v>Repeat</v>
      </c>
      <c r="J1645" s="10" t="str">
        <f>IF('Transform Data'!D1645="Cash","Cash",IF(COUNTIF('Transform Data'!$D:$D,'Transform Data'!D1645)&gt;1,"Repeat","Single"))</f>
        <v>Repeat</v>
      </c>
      <c r="K1645" s="10" t="str">
        <f t="shared" si="25"/>
        <v>TRANS-1644</v>
      </c>
    </row>
    <row r="1646" spans="1:11" x14ac:dyDescent="0.35">
      <c r="A1646" s="5">
        <v>45557</v>
      </c>
      <c r="B1646" s="3">
        <v>0.84762731481481479</v>
      </c>
      <c r="C1646" t="s">
        <v>8</v>
      </c>
      <c r="D1646" t="s">
        <v>706</v>
      </c>
      <c r="E1646" s="4">
        <v>32.82</v>
      </c>
      <c r="F1646" t="s">
        <v>24</v>
      </c>
      <c r="G1646" s="10" t="str">
        <f>TEXT(Transform_Data[[#This Row],[Date]],"mmm yyyy")</f>
        <v>Sep 2024</v>
      </c>
      <c r="H1646" s="10">
        <f>HOUR(Transform_Data[[#This Row],[Time]])</f>
        <v>20</v>
      </c>
      <c r="I1646" s="10" t="str">
        <f>IF(COUNTIF('Transform Data'!$D:$D,'Transform Data'!D1646)&gt;1,"Repeat","Single")</f>
        <v>Repeat</v>
      </c>
      <c r="J1646" s="10" t="str">
        <f>IF('Transform Data'!D1646="Cash","Cash",IF(COUNTIF('Transform Data'!$D:$D,'Transform Data'!D1646)&gt;1,"Repeat","Single"))</f>
        <v>Repeat</v>
      </c>
      <c r="K1646" s="10" t="str">
        <f t="shared" si="25"/>
        <v>TRANS-1645</v>
      </c>
    </row>
    <row r="1647" spans="1:11" x14ac:dyDescent="0.35">
      <c r="A1647" s="5">
        <v>45557</v>
      </c>
      <c r="B1647" s="3">
        <v>0.86557870370370371</v>
      </c>
      <c r="C1647" t="s">
        <v>8</v>
      </c>
      <c r="D1647" t="s">
        <v>508</v>
      </c>
      <c r="E1647" s="4">
        <v>27.92</v>
      </c>
      <c r="F1647" t="s">
        <v>36</v>
      </c>
      <c r="G1647" s="10" t="str">
        <f>TEXT(Transform_Data[[#This Row],[Date]],"mmm yyyy")</f>
        <v>Sep 2024</v>
      </c>
      <c r="H1647" s="10">
        <f>HOUR(Transform_Data[[#This Row],[Time]])</f>
        <v>20</v>
      </c>
      <c r="I1647" s="10" t="str">
        <f>IF(COUNTIF('Transform Data'!$D:$D,'Transform Data'!D1647)&gt;1,"Repeat","Single")</f>
        <v>Repeat</v>
      </c>
      <c r="J1647" s="10" t="str">
        <f>IF('Transform Data'!D1647="Cash","Cash",IF(COUNTIF('Transform Data'!$D:$D,'Transform Data'!D1647)&gt;1,"Repeat","Single"))</f>
        <v>Repeat</v>
      </c>
      <c r="K1647" s="10" t="str">
        <f t="shared" si="25"/>
        <v>TRANS-1646</v>
      </c>
    </row>
    <row r="1648" spans="1:11" x14ac:dyDescent="0.35">
      <c r="A1648" s="5">
        <v>45557</v>
      </c>
      <c r="B1648" s="3">
        <v>0.86637731481481484</v>
      </c>
      <c r="C1648" t="s">
        <v>8</v>
      </c>
      <c r="D1648" t="s">
        <v>508</v>
      </c>
      <c r="E1648" s="4">
        <v>27.92</v>
      </c>
      <c r="F1648" t="s">
        <v>36</v>
      </c>
      <c r="G1648" s="10" t="str">
        <f>TEXT(Transform_Data[[#This Row],[Date]],"mmm yyyy")</f>
        <v>Sep 2024</v>
      </c>
      <c r="H1648" s="10">
        <f>HOUR(Transform_Data[[#This Row],[Time]])</f>
        <v>20</v>
      </c>
      <c r="I1648" s="10" t="str">
        <f>IF(COUNTIF('Transform Data'!$D:$D,'Transform Data'!D1648)&gt;1,"Repeat","Single")</f>
        <v>Repeat</v>
      </c>
      <c r="J1648" s="10" t="str">
        <f>IF('Transform Data'!D1648="Cash","Cash",IF(COUNTIF('Transform Data'!$D:$D,'Transform Data'!D1648)&gt;1,"Repeat","Single"))</f>
        <v>Repeat</v>
      </c>
      <c r="K1648" s="10" t="str">
        <f t="shared" si="25"/>
        <v>TRANS-1647</v>
      </c>
    </row>
    <row r="1649" spans="1:11" x14ac:dyDescent="0.35">
      <c r="A1649" s="5">
        <v>45557</v>
      </c>
      <c r="B1649" s="3">
        <v>0.87990740740740736</v>
      </c>
      <c r="C1649" t="s">
        <v>8</v>
      </c>
      <c r="D1649" t="s">
        <v>707</v>
      </c>
      <c r="E1649" s="4">
        <v>27.92</v>
      </c>
      <c r="F1649" t="s">
        <v>36</v>
      </c>
      <c r="G1649" s="10" t="str">
        <f>TEXT(Transform_Data[[#This Row],[Date]],"mmm yyyy")</f>
        <v>Sep 2024</v>
      </c>
      <c r="H1649" s="10">
        <f>HOUR(Transform_Data[[#This Row],[Time]])</f>
        <v>21</v>
      </c>
      <c r="I1649" s="10" t="str">
        <f>IF(COUNTIF('Transform Data'!$D:$D,'Transform Data'!D1649)&gt;1,"Repeat","Single")</f>
        <v>Repeat</v>
      </c>
      <c r="J1649" s="10" t="str">
        <f>IF('Transform Data'!D1649="Cash","Cash",IF(COUNTIF('Transform Data'!$D:$D,'Transform Data'!D1649)&gt;1,"Repeat","Single"))</f>
        <v>Repeat</v>
      </c>
      <c r="K1649" s="10" t="str">
        <f t="shared" si="25"/>
        <v>TRANS-1648</v>
      </c>
    </row>
    <row r="1650" spans="1:11" x14ac:dyDescent="0.35">
      <c r="A1650" s="5">
        <v>45557</v>
      </c>
      <c r="B1650" s="3">
        <v>0.88071759259259264</v>
      </c>
      <c r="C1650" t="s">
        <v>8</v>
      </c>
      <c r="D1650" t="s">
        <v>707</v>
      </c>
      <c r="E1650" s="4">
        <v>27.92</v>
      </c>
      <c r="F1650" t="s">
        <v>36</v>
      </c>
      <c r="G1650" s="10" t="str">
        <f>TEXT(Transform_Data[[#This Row],[Date]],"mmm yyyy")</f>
        <v>Sep 2024</v>
      </c>
      <c r="H1650" s="10">
        <f>HOUR(Transform_Data[[#This Row],[Time]])</f>
        <v>21</v>
      </c>
      <c r="I1650" s="10" t="str">
        <f>IF(COUNTIF('Transform Data'!$D:$D,'Transform Data'!D1650)&gt;1,"Repeat","Single")</f>
        <v>Repeat</v>
      </c>
      <c r="J1650" s="10" t="str">
        <f>IF('Transform Data'!D1650="Cash","Cash",IF(COUNTIF('Transform Data'!$D:$D,'Transform Data'!D1650)&gt;1,"Repeat","Single"))</f>
        <v>Repeat</v>
      </c>
      <c r="K1650" s="10" t="str">
        <f t="shared" si="25"/>
        <v>TRANS-1649</v>
      </c>
    </row>
    <row r="1651" spans="1:11" x14ac:dyDescent="0.35">
      <c r="A1651" s="5">
        <v>45557</v>
      </c>
      <c r="B1651" s="3">
        <v>0.91254629629629624</v>
      </c>
      <c r="C1651" t="s">
        <v>8</v>
      </c>
      <c r="D1651" t="s">
        <v>689</v>
      </c>
      <c r="E1651" s="4">
        <v>32.82</v>
      </c>
      <c r="F1651" t="s">
        <v>15</v>
      </c>
      <c r="G1651" s="10" t="str">
        <f>TEXT(Transform_Data[[#This Row],[Date]],"mmm yyyy")</f>
        <v>Sep 2024</v>
      </c>
      <c r="H1651" s="10">
        <f>HOUR(Transform_Data[[#This Row],[Time]])</f>
        <v>21</v>
      </c>
      <c r="I1651" s="10" t="str">
        <f>IF(COUNTIF('Transform Data'!$D:$D,'Transform Data'!D1651)&gt;1,"Repeat","Single")</f>
        <v>Repeat</v>
      </c>
      <c r="J1651" s="10" t="str">
        <f>IF('Transform Data'!D1651="Cash","Cash",IF(COUNTIF('Transform Data'!$D:$D,'Transform Data'!D1651)&gt;1,"Repeat","Single"))</f>
        <v>Repeat</v>
      </c>
      <c r="K1651" s="10" t="str">
        <f t="shared" si="25"/>
        <v>TRANS-1650</v>
      </c>
    </row>
    <row r="1652" spans="1:11" x14ac:dyDescent="0.35">
      <c r="A1652" s="5">
        <v>45557</v>
      </c>
      <c r="B1652" s="3">
        <v>0.91312499999999996</v>
      </c>
      <c r="C1652" t="s">
        <v>8</v>
      </c>
      <c r="D1652" t="s">
        <v>689</v>
      </c>
      <c r="E1652" s="4">
        <v>32.82</v>
      </c>
      <c r="F1652" t="s">
        <v>15</v>
      </c>
      <c r="G1652" s="10" t="str">
        <f>TEXT(Transform_Data[[#This Row],[Date]],"mmm yyyy")</f>
        <v>Sep 2024</v>
      </c>
      <c r="H1652" s="10">
        <f>HOUR(Transform_Data[[#This Row],[Time]])</f>
        <v>21</v>
      </c>
      <c r="I1652" s="10" t="str">
        <f>IF(COUNTIF('Transform Data'!$D:$D,'Transform Data'!D1652)&gt;1,"Repeat","Single")</f>
        <v>Repeat</v>
      </c>
      <c r="J1652" s="10" t="str">
        <f>IF('Transform Data'!D1652="Cash","Cash",IF(COUNTIF('Transform Data'!$D:$D,'Transform Data'!D1652)&gt;1,"Repeat","Single"))</f>
        <v>Repeat</v>
      </c>
      <c r="K1652" s="10" t="str">
        <f t="shared" si="25"/>
        <v>TRANS-1651</v>
      </c>
    </row>
    <row r="1653" spans="1:11" x14ac:dyDescent="0.35">
      <c r="A1653" s="5">
        <v>45557</v>
      </c>
      <c r="B1653" s="3">
        <v>0.94238425925925928</v>
      </c>
      <c r="C1653" t="s">
        <v>8</v>
      </c>
      <c r="D1653" t="s">
        <v>708</v>
      </c>
      <c r="E1653" s="4">
        <v>23.02</v>
      </c>
      <c r="F1653" t="s">
        <v>28</v>
      </c>
      <c r="G1653" s="10" t="str">
        <f>TEXT(Transform_Data[[#This Row],[Date]],"mmm yyyy")</f>
        <v>Sep 2024</v>
      </c>
      <c r="H1653" s="10">
        <f>HOUR(Transform_Data[[#This Row],[Time]])</f>
        <v>22</v>
      </c>
      <c r="I1653" s="10" t="str">
        <f>IF(COUNTIF('Transform Data'!$D:$D,'Transform Data'!D1653)&gt;1,"Repeat","Single")</f>
        <v>Single</v>
      </c>
      <c r="J1653" s="10" t="str">
        <f>IF('Transform Data'!D1653="Cash","Cash",IF(COUNTIF('Transform Data'!$D:$D,'Transform Data'!D1653)&gt;1,"Repeat","Single"))</f>
        <v>Single</v>
      </c>
      <c r="K1653" s="10" t="str">
        <f t="shared" si="25"/>
        <v>TRANS-1652</v>
      </c>
    </row>
    <row r="1654" spans="1:11" x14ac:dyDescent="0.35">
      <c r="A1654" s="5">
        <v>45557</v>
      </c>
      <c r="B1654" s="3">
        <v>0.94303240740740746</v>
      </c>
      <c r="C1654" t="s">
        <v>8</v>
      </c>
      <c r="D1654" t="s">
        <v>709</v>
      </c>
      <c r="E1654" s="4">
        <v>27.92</v>
      </c>
      <c r="F1654" t="s">
        <v>36</v>
      </c>
      <c r="G1654" s="10" t="str">
        <f>TEXT(Transform_Data[[#This Row],[Date]],"mmm yyyy")</f>
        <v>Sep 2024</v>
      </c>
      <c r="H1654" s="10">
        <f>HOUR(Transform_Data[[#This Row],[Time]])</f>
        <v>22</v>
      </c>
      <c r="I1654" s="10" t="str">
        <f>IF(COUNTIF('Transform Data'!$D:$D,'Transform Data'!D1654)&gt;1,"Repeat","Single")</f>
        <v>Single</v>
      </c>
      <c r="J1654" s="10" t="str">
        <f>IF('Transform Data'!D1654="Cash","Cash",IF(COUNTIF('Transform Data'!$D:$D,'Transform Data'!D1654)&gt;1,"Repeat","Single"))</f>
        <v>Single</v>
      </c>
      <c r="K1654" s="10" t="str">
        <f t="shared" si="25"/>
        <v>TRANS-1653</v>
      </c>
    </row>
    <row r="1655" spans="1:11" x14ac:dyDescent="0.35">
      <c r="A1655" s="5">
        <v>45558</v>
      </c>
      <c r="B1655" s="3">
        <v>0.3775</v>
      </c>
      <c r="C1655" t="s">
        <v>8</v>
      </c>
      <c r="D1655" t="s">
        <v>29</v>
      </c>
      <c r="E1655" s="4">
        <v>27.92</v>
      </c>
      <c r="F1655" t="s">
        <v>36</v>
      </c>
      <c r="G1655" s="10" t="str">
        <f>TEXT(Transform_Data[[#This Row],[Date]],"mmm yyyy")</f>
        <v>Sep 2024</v>
      </c>
      <c r="H1655" s="10">
        <f>HOUR(Transform_Data[[#This Row],[Time]])</f>
        <v>9</v>
      </c>
      <c r="I1655" s="10" t="str">
        <f>IF(COUNTIF('Transform Data'!$D:$D,'Transform Data'!D1655)&gt;1,"Repeat","Single")</f>
        <v>Repeat</v>
      </c>
      <c r="J1655" s="10" t="str">
        <f>IF('Transform Data'!D1655="Cash","Cash",IF(COUNTIF('Transform Data'!$D:$D,'Transform Data'!D1655)&gt;1,"Repeat","Single"))</f>
        <v>Repeat</v>
      </c>
      <c r="K1655" s="10" t="str">
        <f t="shared" si="25"/>
        <v>TRANS-1654</v>
      </c>
    </row>
    <row r="1656" spans="1:11" x14ac:dyDescent="0.35">
      <c r="A1656" s="5">
        <v>45558</v>
      </c>
      <c r="B1656" s="3">
        <v>0.41964120370370372</v>
      </c>
      <c r="C1656" t="s">
        <v>8</v>
      </c>
      <c r="D1656" t="s">
        <v>40</v>
      </c>
      <c r="E1656" s="4">
        <v>23.02</v>
      </c>
      <c r="F1656" t="s">
        <v>20</v>
      </c>
      <c r="G1656" s="10" t="str">
        <f>TEXT(Transform_Data[[#This Row],[Date]],"mmm yyyy")</f>
        <v>Sep 2024</v>
      </c>
      <c r="H1656" s="10">
        <f>HOUR(Transform_Data[[#This Row],[Time]])</f>
        <v>10</v>
      </c>
      <c r="I1656" s="10" t="str">
        <f>IF(COUNTIF('Transform Data'!$D:$D,'Transform Data'!D1656)&gt;1,"Repeat","Single")</f>
        <v>Repeat</v>
      </c>
      <c r="J1656" s="10" t="str">
        <f>IF('Transform Data'!D1656="Cash","Cash",IF(COUNTIF('Transform Data'!$D:$D,'Transform Data'!D1656)&gt;1,"Repeat","Single"))</f>
        <v>Repeat</v>
      </c>
      <c r="K1656" s="10" t="str">
        <f t="shared" si="25"/>
        <v>TRANS-1655</v>
      </c>
    </row>
    <row r="1657" spans="1:11" x14ac:dyDescent="0.35">
      <c r="A1657" s="5">
        <v>45558</v>
      </c>
      <c r="B1657" s="3">
        <v>0.50768518518518524</v>
      </c>
      <c r="C1657" t="s">
        <v>8</v>
      </c>
      <c r="D1657" t="s">
        <v>636</v>
      </c>
      <c r="E1657" s="4">
        <v>23.02</v>
      </c>
      <c r="F1657" t="s">
        <v>28</v>
      </c>
      <c r="G1657" s="10" t="str">
        <f>TEXT(Transform_Data[[#This Row],[Date]],"mmm yyyy")</f>
        <v>Sep 2024</v>
      </c>
      <c r="H1657" s="10">
        <f>HOUR(Transform_Data[[#This Row],[Time]])</f>
        <v>12</v>
      </c>
      <c r="I1657" s="10" t="str">
        <f>IF(COUNTIF('Transform Data'!$D:$D,'Transform Data'!D1657)&gt;1,"Repeat","Single")</f>
        <v>Repeat</v>
      </c>
      <c r="J1657" s="10" t="str">
        <f>IF('Transform Data'!D1657="Cash","Cash",IF(COUNTIF('Transform Data'!$D:$D,'Transform Data'!D1657)&gt;1,"Repeat","Single"))</f>
        <v>Repeat</v>
      </c>
      <c r="K1657" s="10" t="str">
        <f t="shared" si="25"/>
        <v>TRANS-1656</v>
      </c>
    </row>
    <row r="1658" spans="1:11" x14ac:dyDescent="0.35">
      <c r="A1658" s="5">
        <v>45558</v>
      </c>
      <c r="B1658" s="3">
        <v>0.58947916666666667</v>
      </c>
      <c r="C1658" t="s">
        <v>8</v>
      </c>
      <c r="D1658" t="s">
        <v>625</v>
      </c>
      <c r="E1658" s="4">
        <v>27.92</v>
      </c>
      <c r="F1658" t="s">
        <v>36</v>
      </c>
      <c r="G1658" s="10" t="str">
        <f>TEXT(Transform_Data[[#This Row],[Date]],"mmm yyyy")</f>
        <v>Sep 2024</v>
      </c>
      <c r="H1658" s="10">
        <f>HOUR(Transform_Data[[#This Row],[Time]])</f>
        <v>14</v>
      </c>
      <c r="I1658" s="10" t="str">
        <f>IF(COUNTIF('Transform Data'!$D:$D,'Transform Data'!D1658)&gt;1,"Repeat","Single")</f>
        <v>Repeat</v>
      </c>
      <c r="J1658" s="10" t="str">
        <f>IF('Transform Data'!D1658="Cash","Cash",IF(COUNTIF('Transform Data'!$D:$D,'Transform Data'!D1658)&gt;1,"Repeat","Single"))</f>
        <v>Repeat</v>
      </c>
      <c r="K1658" s="10" t="str">
        <f t="shared" si="25"/>
        <v>TRANS-1657</v>
      </c>
    </row>
    <row r="1659" spans="1:11" x14ac:dyDescent="0.35">
      <c r="A1659" s="5">
        <v>45558</v>
      </c>
      <c r="B1659" s="3">
        <v>0.7276273148148148</v>
      </c>
      <c r="C1659" t="s">
        <v>8</v>
      </c>
      <c r="D1659" t="s">
        <v>710</v>
      </c>
      <c r="E1659" s="4">
        <v>32.82</v>
      </c>
      <c r="F1659" t="s">
        <v>24</v>
      </c>
      <c r="G1659" s="10" t="str">
        <f>TEXT(Transform_Data[[#This Row],[Date]],"mmm yyyy")</f>
        <v>Sep 2024</v>
      </c>
      <c r="H1659" s="10">
        <f>HOUR(Transform_Data[[#This Row],[Time]])</f>
        <v>17</v>
      </c>
      <c r="I1659" s="10" t="str">
        <f>IF(COUNTIF('Transform Data'!$D:$D,'Transform Data'!D1659)&gt;1,"Repeat","Single")</f>
        <v>Repeat</v>
      </c>
      <c r="J1659" s="10" t="str">
        <f>IF('Transform Data'!D1659="Cash","Cash",IF(COUNTIF('Transform Data'!$D:$D,'Transform Data'!D1659)&gt;1,"Repeat","Single"))</f>
        <v>Repeat</v>
      </c>
      <c r="K1659" s="10" t="str">
        <f t="shared" si="25"/>
        <v>TRANS-1658</v>
      </c>
    </row>
    <row r="1660" spans="1:11" x14ac:dyDescent="0.35">
      <c r="A1660" s="5">
        <v>45558</v>
      </c>
      <c r="B1660" s="3">
        <v>0.7836805555555556</v>
      </c>
      <c r="C1660" t="s">
        <v>8</v>
      </c>
      <c r="D1660" t="s">
        <v>711</v>
      </c>
      <c r="E1660" s="4">
        <v>23.02</v>
      </c>
      <c r="F1660" t="s">
        <v>28</v>
      </c>
      <c r="G1660" s="10" t="str">
        <f>TEXT(Transform_Data[[#This Row],[Date]],"mmm yyyy")</f>
        <v>Sep 2024</v>
      </c>
      <c r="H1660" s="10">
        <f>HOUR(Transform_Data[[#This Row],[Time]])</f>
        <v>18</v>
      </c>
      <c r="I1660" s="10" t="str">
        <f>IF(COUNTIF('Transform Data'!$D:$D,'Transform Data'!D1660)&gt;1,"Repeat","Single")</f>
        <v>Single</v>
      </c>
      <c r="J1660" s="10" t="str">
        <f>IF('Transform Data'!D1660="Cash","Cash",IF(COUNTIF('Transform Data'!$D:$D,'Transform Data'!D1660)&gt;1,"Repeat","Single"))</f>
        <v>Single</v>
      </c>
      <c r="K1660" s="10" t="str">
        <f t="shared" si="25"/>
        <v>TRANS-1659</v>
      </c>
    </row>
    <row r="1661" spans="1:11" x14ac:dyDescent="0.35">
      <c r="A1661" s="5">
        <v>45558</v>
      </c>
      <c r="B1661" s="3">
        <v>0.82454861111111111</v>
      </c>
      <c r="C1661" t="s">
        <v>8</v>
      </c>
      <c r="D1661" t="s">
        <v>21</v>
      </c>
      <c r="E1661" s="4">
        <v>32.82</v>
      </c>
      <c r="F1661" t="s">
        <v>32</v>
      </c>
      <c r="G1661" s="10" t="str">
        <f>TEXT(Transform_Data[[#This Row],[Date]],"mmm yyyy")</f>
        <v>Sep 2024</v>
      </c>
      <c r="H1661" s="10">
        <f>HOUR(Transform_Data[[#This Row],[Time]])</f>
        <v>19</v>
      </c>
      <c r="I1661" s="10" t="str">
        <f>IF(COUNTIF('Transform Data'!$D:$D,'Transform Data'!D1661)&gt;1,"Repeat","Single")</f>
        <v>Repeat</v>
      </c>
      <c r="J1661" s="10" t="str">
        <f>IF('Transform Data'!D1661="Cash","Cash",IF(COUNTIF('Transform Data'!$D:$D,'Transform Data'!D1661)&gt;1,"Repeat","Single"))</f>
        <v>Repeat</v>
      </c>
      <c r="K1661" s="10" t="str">
        <f t="shared" si="25"/>
        <v>TRANS-1660</v>
      </c>
    </row>
    <row r="1662" spans="1:11" x14ac:dyDescent="0.35">
      <c r="A1662" s="5">
        <v>45558</v>
      </c>
      <c r="B1662" s="3">
        <v>0.84010416666666665</v>
      </c>
      <c r="C1662" t="s">
        <v>8</v>
      </c>
      <c r="D1662" t="s">
        <v>260</v>
      </c>
      <c r="E1662" s="4">
        <v>32.82</v>
      </c>
      <c r="F1662" t="s">
        <v>24</v>
      </c>
      <c r="G1662" s="10" t="str">
        <f>TEXT(Transform_Data[[#This Row],[Date]],"mmm yyyy")</f>
        <v>Sep 2024</v>
      </c>
      <c r="H1662" s="10">
        <f>HOUR(Transform_Data[[#This Row],[Time]])</f>
        <v>20</v>
      </c>
      <c r="I1662" s="10" t="str">
        <f>IF(COUNTIF('Transform Data'!$D:$D,'Transform Data'!D1662)&gt;1,"Repeat","Single")</f>
        <v>Repeat</v>
      </c>
      <c r="J1662" s="10" t="str">
        <f>IF('Transform Data'!D1662="Cash","Cash",IF(COUNTIF('Transform Data'!$D:$D,'Transform Data'!D1662)&gt;1,"Repeat","Single"))</f>
        <v>Repeat</v>
      </c>
      <c r="K1662" s="10" t="str">
        <f t="shared" si="25"/>
        <v>TRANS-1661</v>
      </c>
    </row>
    <row r="1663" spans="1:11" x14ac:dyDescent="0.35">
      <c r="A1663" s="5">
        <v>45558</v>
      </c>
      <c r="B1663" s="3">
        <v>0.92604166666666665</v>
      </c>
      <c r="C1663" t="s">
        <v>8</v>
      </c>
      <c r="D1663" t="s">
        <v>693</v>
      </c>
      <c r="E1663" s="4">
        <v>27.92</v>
      </c>
      <c r="F1663" t="s">
        <v>36</v>
      </c>
      <c r="G1663" s="10" t="str">
        <f>TEXT(Transform_Data[[#This Row],[Date]],"mmm yyyy")</f>
        <v>Sep 2024</v>
      </c>
      <c r="H1663" s="10">
        <f>HOUR(Transform_Data[[#This Row],[Time]])</f>
        <v>22</v>
      </c>
      <c r="I1663" s="10" t="str">
        <f>IF(COUNTIF('Transform Data'!$D:$D,'Transform Data'!D1663)&gt;1,"Repeat","Single")</f>
        <v>Repeat</v>
      </c>
      <c r="J1663" s="10" t="str">
        <f>IF('Transform Data'!D1663="Cash","Cash",IF(COUNTIF('Transform Data'!$D:$D,'Transform Data'!D1663)&gt;1,"Repeat","Single"))</f>
        <v>Repeat</v>
      </c>
      <c r="K1663" s="10" t="str">
        <f t="shared" si="25"/>
        <v>TRANS-1662</v>
      </c>
    </row>
    <row r="1664" spans="1:11" x14ac:dyDescent="0.35">
      <c r="A1664" s="5">
        <v>45558</v>
      </c>
      <c r="B1664" s="3">
        <v>0.92724537037037036</v>
      </c>
      <c r="C1664" t="s">
        <v>8</v>
      </c>
      <c r="D1664" t="s">
        <v>693</v>
      </c>
      <c r="E1664" s="4">
        <v>27.92</v>
      </c>
      <c r="F1664" t="s">
        <v>36</v>
      </c>
      <c r="G1664" s="10" t="str">
        <f>TEXT(Transform_Data[[#This Row],[Date]],"mmm yyyy")</f>
        <v>Sep 2024</v>
      </c>
      <c r="H1664" s="10">
        <f>HOUR(Transform_Data[[#This Row],[Time]])</f>
        <v>22</v>
      </c>
      <c r="I1664" s="10" t="str">
        <f>IF(COUNTIF('Transform Data'!$D:$D,'Transform Data'!D1664)&gt;1,"Repeat","Single")</f>
        <v>Repeat</v>
      </c>
      <c r="J1664" s="10" t="str">
        <f>IF('Transform Data'!D1664="Cash","Cash",IF(COUNTIF('Transform Data'!$D:$D,'Transform Data'!D1664)&gt;1,"Repeat","Single"))</f>
        <v>Repeat</v>
      </c>
      <c r="K1664" s="10" t="str">
        <f t="shared" si="25"/>
        <v>TRANS-1663</v>
      </c>
    </row>
    <row r="1665" spans="1:11" x14ac:dyDescent="0.35">
      <c r="A1665" s="5">
        <v>45559</v>
      </c>
      <c r="B1665" s="3">
        <v>0.35662037037037037</v>
      </c>
      <c r="C1665" t="s">
        <v>8</v>
      </c>
      <c r="D1665" t="s">
        <v>29</v>
      </c>
      <c r="E1665" s="4">
        <v>27.92</v>
      </c>
      <c r="F1665" t="s">
        <v>36</v>
      </c>
      <c r="G1665" s="10" t="str">
        <f>TEXT(Transform_Data[[#This Row],[Date]],"mmm yyyy")</f>
        <v>Sep 2024</v>
      </c>
      <c r="H1665" s="10">
        <f>HOUR(Transform_Data[[#This Row],[Time]])</f>
        <v>8</v>
      </c>
      <c r="I1665" s="10" t="str">
        <f>IF(COUNTIF('Transform Data'!$D:$D,'Transform Data'!D1665)&gt;1,"Repeat","Single")</f>
        <v>Repeat</v>
      </c>
      <c r="J1665" s="10" t="str">
        <f>IF('Transform Data'!D1665="Cash","Cash",IF(COUNTIF('Transform Data'!$D:$D,'Transform Data'!D1665)&gt;1,"Repeat","Single"))</f>
        <v>Repeat</v>
      </c>
      <c r="K1665" s="10" t="str">
        <f t="shared" si="25"/>
        <v>TRANS-1664</v>
      </c>
    </row>
    <row r="1666" spans="1:11" x14ac:dyDescent="0.35">
      <c r="A1666" s="5">
        <v>45559</v>
      </c>
      <c r="B1666" s="3">
        <v>0.51662037037037034</v>
      </c>
      <c r="C1666" t="s">
        <v>8</v>
      </c>
      <c r="D1666" t="s">
        <v>686</v>
      </c>
      <c r="E1666" s="4">
        <v>32.82</v>
      </c>
      <c r="F1666" t="s">
        <v>32</v>
      </c>
      <c r="G1666" s="10" t="str">
        <f>TEXT(Transform_Data[[#This Row],[Date]],"mmm yyyy")</f>
        <v>Sep 2024</v>
      </c>
      <c r="H1666" s="10">
        <f>HOUR(Transform_Data[[#This Row],[Time]])</f>
        <v>12</v>
      </c>
      <c r="I1666" s="10" t="str">
        <f>IF(COUNTIF('Transform Data'!$D:$D,'Transform Data'!D1666)&gt;1,"Repeat","Single")</f>
        <v>Repeat</v>
      </c>
      <c r="J1666" s="10" t="str">
        <f>IF('Transform Data'!D1666="Cash","Cash",IF(COUNTIF('Transform Data'!$D:$D,'Transform Data'!D1666)&gt;1,"Repeat","Single"))</f>
        <v>Repeat</v>
      </c>
      <c r="K1666" s="10" t="str">
        <f t="shared" ref="K1666:K1729" si="26">"TRANS-"&amp;TEXT(ROW(A1665),"0000")</f>
        <v>TRANS-1665</v>
      </c>
    </row>
    <row r="1667" spans="1:11" x14ac:dyDescent="0.35">
      <c r="A1667" s="5">
        <v>45559</v>
      </c>
      <c r="B1667" s="3">
        <v>0.51729166666666671</v>
      </c>
      <c r="C1667" t="s">
        <v>8</v>
      </c>
      <c r="D1667" t="s">
        <v>686</v>
      </c>
      <c r="E1667" s="4">
        <v>32.82</v>
      </c>
      <c r="F1667" t="s">
        <v>32</v>
      </c>
      <c r="G1667" s="10" t="str">
        <f>TEXT(Transform_Data[[#This Row],[Date]],"mmm yyyy")</f>
        <v>Sep 2024</v>
      </c>
      <c r="H1667" s="10">
        <f>HOUR(Transform_Data[[#This Row],[Time]])</f>
        <v>12</v>
      </c>
      <c r="I1667" s="10" t="str">
        <f>IF(COUNTIF('Transform Data'!$D:$D,'Transform Data'!D1667)&gt;1,"Repeat","Single")</f>
        <v>Repeat</v>
      </c>
      <c r="J1667" s="10" t="str">
        <f>IF('Transform Data'!D1667="Cash","Cash",IF(COUNTIF('Transform Data'!$D:$D,'Transform Data'!D1667)&gt;1,"Repeat","Single"))</f>
        <v>Repeat</v>
      </c>
      <c r="K1667" s="10" t="str">
        <f t="shared" si="26"/>
        <v>TRANS-1666</v>
      </c>
    </row>
    <row r="1668" spans="1:11" x14ac:dyDescent="0.35">
      <c r="A1668" s="5">
        <v>45559</v>
      </c>
      <c r="B1668" s="3">
        <v>0.53245370370370371</v>
      </c>
      <c r="C1668" t="s">
        <v>8</v>
      </c>
      <c r="D1668" t="s">
        <v>712</v>
      </c>
      <c r="E1668" s="4">
        <v>32.82</v>
      </c>
      <c r="F1668" t="s">
        <v>32</v>
      </c>
      <c r="G1668" s="10" t="str">
        <f>TEXT(Transform_Data[[#This Row],[Date]],"mmm yyyy")</f>
        <v>Sep 2024</v>
      </c>
      <c r="H1668" s="10">
        <f>HOUR(Transform_Data[[#This Row],[Time]])</f>
        <v>12</v>
      </c>
      <c r="I1668" s="10" t="str">
        <f>IF(COUNTIF('Transform Data'!$D:$D,'Transform Data'!D1668)&gt;1,"Repeat","Single")</f>
        <v>Repeat</v>
      </c>
      <c r="J1668" s="10" t="str">
        <f>IF('Transform Data'!D1668="Cash","Cash",IF(COUNTIF('Transform Data'!$D:$D,'Transform Data'!D1668)&gt;1,"Repeat","Single"))</f>
        <v>Repeat</v>
      </c>
      <c r="K1668" s="10" t="str">
        <f t="shared" si="26"/>
        <v>TRANS-1667</v>
      </c>
    </row>
    <row r="1669" spans="1:11" x14ac:dyDescent="0.35">
      <c r="A1669" s="5">
        <v>45559</v>
      </c>
      <c r="B1669" s="3">
        <v>0.53320601851851857</v>
      </c>
      <c r="C1669" t="s">
        <v>8</v>
      </c>
      <c r="D1669" t="s">
        <v>712</v>
      </c>
      <c r="E1669" s="4">
        <v>32.82</v>
      </c>
      <c r="F1669" t="s">
        <v>32</v>
      </c>
      <c r="G1669" s="10" t="str">
        <f>TEXT(Transform_Data[[#This Row],[Date]],"mmm yyyy")</f>
        <v>Sep 2024</v>
      </c>
      <c r="H1669" s="10">
        <f>HOUR(Transform_Data[[#This Row],[Time]])</f>
        <v>12</v>
      </c>
      <c r="I1669" s="10" t="str">
        <f>IF(COUNTIF('Transform Data'!$D:$D,'Transform Data'!D1669)&gt;1,"Repeat","Single")</f>
        <v>Repeat</v>
      </c>
      <c r="J1669" s="10" t="str">
        <f>IF('Transform Data'!D1669="Cash","Cash",IF(COUNTIF('Transform Data'!$D:$D,'Transform Data'!D1669)&gt;1,"Repeat","Single"))</f>
        <v>Repeat</v>
      </c>
      <c r="K1669" s="10" t="str">
        <f t="shared" si="26"/>
        <v>TRANS-1668</v>
      </c>
    </row>
    <row r="1670" spans="1:11" x14ac:dyDescent="0.35">
      <c r="A1670" s="5">
        <v>45559</v>
      </c>
      <c r="B1670" s="3">
        <v>0.59142361111111108</v>
      </c>
      <c r="C1670" t="s">
        <v>8</v>
      </c>
      <c r="D1670" t="s">
        <v>713</v>
      </c>
      <c r="E1670" s="4">
        <v>32.82</v>
      </c>
      <c r="F1670" t="s">
        <v>32</v>
      </c>
      <c r="G1670" s="10" t="str">
        <f>TEXT(Transform_Data[[#This Row],[Date]],"mmm yyyy")</f>
        <v>Sep 2024</v>
      </c>
      <c r="H1670" s="10">
        <f>HOUR(Transform_Data[[#This Row],[Time]])</f>
        <v>14</v>
      </c>
      <c r="I1670" s="10" t="str">
        <f>IF(COUNTIF('Transform Data'!$D:$D,'Transform Data'!D1670)&gt;1,"Repeat","Single")</f>
        <v>Single</v>
      </c>
      <c r="J1670" s="10" t="str">
        <f>IF('Transform Data'!D1670="Cash","Cash",IF(COUNTIF('Transform Data'!$D:$D,'Transform Data'!D1670)&gt;1,"Repeat","Single"))</f>
        <v>Single</v>
      </c>
      <c r="K1670" s="10" t="str">
        <f t="shared" si="26"/>
        <v>TRANS-1669</v>
      </c>
    </row>
    <row r="1671" spans="1:11" x14ac:dyDescent="0.35">
      <c r="A1671" s="5">
        <v>45559</v>
      </c>
      <c r="B1671" s="3">
        <v>0.60518518518518516</v>
      </c>
      <c r="C1671" t="s">
        <v>8</v>
      </c>
      <c r="D1671" t="s">
        <v>714</v>
      </c>
      <c r="E1671" s="4">
        <v>23.02</v>
      </c>
      <c r="F1671" t="s">
        <v>20</v>
      </c>
      <c r="G1671" s="10" t="str">
        <f>TEXT(Transform_Data[[#This Row],[Date]],"mmm yyyy")</f>
        <v>Sep 2024</v>
      </c>
      <c r="H1671" s="10">
        <f>HOUR(Transform_Data[[#This Row],[Time]])</f>
        <v>14</v>
      </c>
      <c r="I1671" s="10" t="str">
        <f>IF(COUNTIF('Transform Data'!$D:$D,'Transform Data'!D1671)&gt;1,"Repeat","Single")</f>
        <v>Single</v>
      </c>
      <c r="J1671" s="10" t="str">
        <f>IF('Transform Data'!D1671="Cash","Cash",IF(COUNTIF('Transform Data'!$D:$D,'Transform Data'!D1671)&gt;1,"Repeat","Single"))</f>
        <v>Single</v>
      </c>
      <c r="K1671" s="10" t="str">
        <f t="shared" si="26"/>
        <v>TRANS-1670</v>
      </c>
    </row>
    <row r="1672" spans="1:11" x14ac:dyDescent="0.35">
      <c r="A1672" s="5">
        <v>45559</v>
      </c>
      <c r="B1672" s="3">
        <v>0.65096064814814814</v>
      </c>
      <c r="C1672" t="s">
        <v>8</v>
      </c>
      <c r="D1672" t="s">
        <v>562</v>
      </c>
      <c r="E1672" s="4">
        <v>32.82</v>
      </c>
      <c r="F1672" t="s">
        <v>24</v>
      </c>
      <c r="G1672" s="10" t="str">
        <f>TEXT(Transform_Data[[#This Row],[Date]],"mmm yyyy")</f>
        <v>Sep 2024</v>
      </c>
      <c r="H1672" s="10">
        <f>HOUR(Transform_Data[[#This Row],[Time]])</f>
        <v>15</v>
      </c>
      <c r="I1672" s="10" t="str">
        <f>IF(COUNTIF('Transform Data'!$D:$D,'Transform Data'!D1672)&gt;1,"Repeat","Single")</f>
        <v>Repeat</v>
      </c>
      <c r="J1672" s="10" t="str">
        <f>IF('Transform Data'!D1672="Cash","Cash",IF(COUNTIF('Transform Data'!$D:$D,'Transform Data'!D1672)&gt;1,"Repeat","Single"))</f>
        <v>Repeat</v>
      </c>
      <c r="K1672" s="10" t="str">
        <f t="shared" si="26"/>
        <v>TRANS-1671</v>
      </c>
    </row>
    <row r="1673" spans="1:11" x14ac:dyDescent="0.35">
      <c r="A1673" s="5">
        <v>45559</v>
      </c>
      <c r="B1673" s="3">
        <v>0.69361111111111107</v>
      </c>
      <c r="C1673" t="s">
        <v>8</v>
      </c>
      <c r="D1673" t="s">
        <v>635</v>
      </c>
      <c r="E1673" s="4">
        <v>32.82</v>
      </c>
      <c r="F1673" t="s">
        <v>32</v>
      </c>
      <c r="G1673" s="10" t="str">
        <f>TEXT(Transform_Data[[#This Row],[Date]],"mmm yyyy")</f>
        <v>Sep 2024</v>
      </c>
      <c r="H1673" s="10">
        <f>HOUR(Transform_Data[[#This Row],[Time]])</f>
        <v>16</v>
      </c>
      <c r="I1673" s="10" t="str">
        <f>IF(COUNTIF('Transform Data'!$D:$D,'Transform Data'!D1673)&gt;1,"Repeat","Single")</f>
        <v>Repeat</v>
      </c>
      <c r="J1673" s="10" t="str">
        <f>IF('Transform Data'!D1673="Cash","Cash",IF(COUNTIF('Transform Data'!$D:$D,'Transform Data'!D1673)&gt;1,"Repeat","Single"))</f>
        <v>Repeat</v>
      </c>
      <c r="K1673" s="10" t="str">
        <f t="shared" si="26"/>
        <v>TRANS-1672</v>
      </c>
    </row>
    <row r="1674" spans="1:11" x14ac:dyDescent="0.35">
      <c r="A1674" s="5">
        <v>45559</v>
      </c>
      <c r="B1674" s="3">
        <v>0.7798842592592593</v>
      </c>
      <c r="C1674" t="s">
        <v>8</v>
      </c>
      <c r="D1674" t="s">
        <v>461</v>
      </c>
      <c r="E1674" s="4">
        <v>23.02</v>
      </c>
      <c r="F1674" t="s">
        <v>28</v>
      </c>
      <c r="G1674" s="10" t="str">
        <f>TEXT(Transform_Data[[#This Row],[Date]],"mmm yyyy")</f>
        <v>Sep 2024</v>
      </c>
      <c r="H1674" s="10">
        <f>HOUR(Transform_Data[[#This Row],[Time]])</f>
        <v>18</v>
      </c>
      <c r="I1674" s="10" t="str">
        <f>IF(COUNTIF('Transform Data'!$D:$D,'Transform Data'!D1674)&gt;1,"Repeat","Single")</f>
        <v>Repeat</v>
      </c>
      <c r="J1674" s="10" t="str">
        <f>IF('Transform Data'!D1674="Cash","Cash",IF(COUNTIF('Transform Data'!$D:$D,'Transform Data'!D1674)&gt;1,"Repeat","Single"))</f>
        <v>Repeat</v>
      </c>
      <c r="K1674" s="10" t="str">
        <f t="shared" si="26"/>
        <v>TRANS-1673</v>
      </c>
    </row>
    <row r="1675" spans="1:11" x14ac:dyDescent="0.35">
      <c r="A1675" s="5">
        <v>45559</v>
      </c>
      <c r="B1675" s="3">
        <v>0.7804861111111111</v>
      </c>
      <c r="C1675" t="s">
        <v>8</v>
      </c>
      <c r="D1675" t="s">
        <v>461</v>
      </c>
      <c r="E1675" s="4">
        <v>23.02</v>
      </c>
      <c r="F1675" t="s">
        <v>28</v>
      </c>
      <c r="G1675" s="10" t="str">
        <f>TEXT(Transform_Data[[#This Row],[Date]],"mmm yyyy")</f>
        <v>Sep 2024</v>
      </c>
      <c r="H1675" s="10">
        <f>HOUR(Transform_Data[[#This Row],[Time]])</f>
        <v>18</v>
      </c>
      <c r="I1675" s="10" t="str">
        <f>IF(COUNTIF('Transform Data'!$D:$D,'Transform Data'!D1675)&gt;1,"Repeat","Single")</f>
        <v>Repeat</v>
      </c>
      <c r="J1675" s="10" t="str">
        <f>IF('Transform Data'!D1675="Cash","Cash",IF(COUNTIF('Transform Data'!$D:$D,'Transform Data'!D1675)&gt;1,"Repeat","Single"))</f>
        <v>Repeat</v>
      </c>
      <c r="K1675" s="10" t="str">
        <f t="shared" si="26"/>
        <v>TRANS-1674</v>
      </c>
    </row>
    <row r="1676" spans="1:11" x14ac:dyDescent="0.35">
      <c r="A1676" s="5">
        <v>45559</v>
      </c>
      <c r="B1676" s="3">
        <v>0.84432870370370372</v>
      </c>
      <c r="C1676" t="s">
        <v>8</v>
      </c>
      <c r="D1676" t="s">
        <v>715</v>
      </c>
      <c r="E1676" s="4">
        <v>32.82</v>
      </c>
      <c r="F1676" t="s">
        <v>15</v>
      </c>
      <c r="G1676" s="10" t="str">
        <f>TEXT(Transform_Data[[#This Row],[Date]],"mmm yyyy")</f>
        <v>Sep 2024</v>
      </c>
      <c r="H1676" s="10">
        <f>HOUR(Transform_Data[[#This Row],[Time]])</f>
        <v>20</v>
      </c>
      <c r="I1676" s="10" t="str">
        <f>IF(COUNTIF('Transform Data'!$D:$D,'Transform Data'!D1676)&gt;1,"Repeat","Single")</f>
        <v>Single</v>
      </c>
      <c r="J1676" s="10" t="str">
        <f>IF('Transform Data'!D1676="Cash","Cash",IF(COUNTIF('Transform Data'!$D:$D,'Transform Data'!D1676)&gt;1,"Repeat","Single"))</f>
        <v>Single</v>
      </c>
      <c r="K1676" s="10" t="str">
        <f t="shared" si="26"/>
        <v>TRANS-1675</v>
      </c>
    </row>
    <row r="1677" spans="1:11" x14ac:dyDescent="0.35">
      <c r="A1677" s="5">
        <v>45559</v>
      </c>
      <c r="B1677" s="3">
        <v>0.87863425925925931</v>
      </c>
      <c r="C1677" t="s">
        <v>8</v>
      </c>
      <c r="D1677" t="s">
        <v>683</v>
      </c>
      <c r="E1677" s="4">
        <v>32.82</v>
      </c>
      <c r="F1677" t="s">
        <v>32</v>
      </c>
      <c r="G1677" s="10" t="str">
        <f>TEXT(Transform_Data[[#This Row],[Date]],"mmm yyyy")</f>
        <v>Sep 2024</v>
      </c>
      <c r="H1677" s="10">
        <f>HOUR(Transform_Data[[#This Row],[Time]])</f>
        <v>21</v>
      </c>
      <c r="I1677" s="10" t="str">
        <f>IF(COUNTIF('Transform Data'!$D:$D,'Transform Data'!D1677)&gt;1,"Repeat","Single")</f>
        <v>Repeat</v>
      </c>
      <c r="J1677" s="10" t="str">
        <f>IF('Transform Data'!D1677="Cash","Cash",IF(COUNTIF('Transform Data'!$D:$D,'Transform Data'!D1677)&gt;1,"Repeat","Single"))</f>
        <v>Repeat</v>
      </c>
      <c r="K1677" s="10" t="str">
        <f t="shared" si="26"/>
        <v>TRANS-1676</v>
      </c>
    </row>
    <row r="1678" spans="1:11" x14ac:dyDescent="0.35">
      <c r="A1678" s="5">
        <v>45559</v>
      </c>
      <c r="B1678" s="3">
        <v>0.87953703703703701</v>
      </c>
      <c r="C1678" t="s">
        <v>8</v>
      </c>
      <c r="D1678" t="s">
        <v>583</v>
      </c>
      <c r="E1678" s="4">
        <v>27.92</v>
      </c>
      <c r="F1678" t="s">
        <v>36</v>
      </c>
      <c r="G1678" s="10" t="str">
        <f>TEXT(Transform_Data[[#This Row],[Date]],"mmm yyyy")</f>
        <v>Sep 2024</v>
      </c>
      <c r="H1678" s="10">
        <f>HOUR(Transform_Data[[#This Row],[Time]])</f>
        <v>21</v>
      </c>
      <c r="I1678" s="10" t="str">
        <f>IF(COUNTIF('Transform Data'!$D:$D,'Transform Data'!D1678)&gt;1,"Repeat","Single")</f>
        <v>Repeat</v>
      </c>
      <c r="J1678" s="10" t="str">
        <f>IF('Transform Data'!D1678="Cash","Cash",IF(COUNTIF('Transform Data'!$D:$D,'Transform Data'!D1678)&gt;1,"Repeat","Single"))</f>
        <v>Repeat</v>
      </c>
      <c r="K1678" s="10" t="str">
        <f t="shared" si="26"/>
        <v>TRANS-1677</v>
      </c>
    </row>
    <row r="1679" spans="1:11" x14ac:dyDescent="0.35">
      <c r="A1679" s="5">
        <v>45559</v>
      </c>
      <c r="B1679" s="3">
        <v>0.88025462962962964</v>
      </c>
      <c r="C1679" t="s">
        <v>8</v>
      </c>
      <c r="D1679" t="s">
        <v>583</v>
      </c>
      <c r="E1679" s="4">
        <v>27.92</v>
      </c>
      <c r="F1679" t="s">
        <v>36</v>
      </c>
      <c r="G1679" s="10" t="str">
        <f>TEXT(Transform_Data[[#This Row],[Date]],"mmm yyyy")</f>
        <v>Sep 2024</v>
      </c>
      <c r="H1679" s="10">
        <f>HOUR(Transform_Data[[#This Row],[Time]])</f>
        <v>21</v>
      </c>
      <c r="I1679" s="10" t="str">
        <f>IF(COUNTIF('Transform Data'!$D:$D,'Transform Data'!D1679)&gt;1,"Repeat","Single")</f>
        <v>Repeat</v>
      </c>
      <c r="J1679" s="10" t="str">
        <f>IF('Transform Data'!D1679="Cash","Cash",IF(COUNTIF('Transform Data'!$D:$D,'Transform Data'!D1679)&gt;1,"Repeat","Single"))</f>
        <v>Repeat</v>
      </c>
      <c r="K1679" s="10" t="str">
        <f t="shared" si="26"/>
        <v>TRANS-1678</v>
      </c>
    </row>
    <row r="1680" spans="1:11" x14ac:dyDescent="0.35">
      <c r="A1680" s="5">
        <v>45560</v>
      </c>
      <c r="B1680" s="3">
        <v>0.32732638888888888</v>
      </c>
      <c r="C1680" t="s">
        <v>8</v>
      </c>
      <c r="D1680" t="s">
        <v>716</v>
      </c>
      <c r="E1680" s="4">
        <v>32.82</v>
      </c>
      <c r="F1680" t="s">
        <v>24</v>
      </c>
      <c r="G1680" s="10" t="str">
        <f>TEXT(Transform_Data[[#This Row],[Date]],"mmm yyyy")</f>
        <v>Sep 2024</v>
      </c>
      <c r="H1680" s="10">
        <f>HOUR(Transform_Data[[#This Row],[Time]])</f>
        <v>7</v>
      </c>
      <c r="I1680" s="10" t="str">
        <f>IF(COUNTIF('Transform Data'!$D:$D,'Transform Data'!D1680)&gt;1,"Repeat","Single")</f>
        <v>Repeat</v>
      </c>
      <c r="J1680" s="10" t="str">
        <f>IF('Transform Data'!D1680="Cash","Cash",IF(COUNTIF('Transform Data'!$D:$D,'Transform Data'!D1680)&gt;1,"Repeat","Single"))</f>
        <v>Repeat</v>
      </c>
      <c r="K1680" s="10" t="str">
        <f t="shared" si="26"/>
        <v>TRANS-1679</v>
      </c>
    </row>
    <row r="1681" spans="1:11" x14ac:dyDescent="0.35">
      <c r="A1681" s="5">
        <v>45560</v>
      </c>
      <c r="B1681" s="3">
        <v>0.48300925925925925</v>
      </c>
      <c r="C1681" t="s">
        <v>8</v>
      </c>
      <c r="D1681" t="s">
        <v>40</v>
      </c>
      <c r="E1681" s="4">
        <v>23.02</v>
      </c>
      <c r="F1681" t="s">
        <v>20</v>
      </c>
      <c r="G1681" s="10" t="str">
        <f>TEXT(Transform_Data[[#This Row],[Date]],"mmm yyyy")</f>
        <v>Sep 2024</v>
      </c>
      <c r="H1681" s="10">
        <f>HOUR(Transform_Data[[#This Row],[Time]])</f>
        <v>11</v>
      </c>
      <c r="I1681" s="10" t="str">
        <f>IF(COUNTIF('Transform Data'!$D:$D,'Transform Data'!D1681)&gt;1,"Repeat","Single")</f>
        <v>Repeat</v>
      </c>
      <c r="J1681" s="10" t="str">
        <f>IF('Transform Data'!D1681="Cash","Cash",IF(COUNTIF('Transform Data'!$D:$D,'Transform Data'!D1681)&gt;1,"Repeat","Single"))</f>
        <v>Repeat</v>
      </c>
      <c r="K1681" s="10" t="str">
        <f t="shared" si="26"/>
        <v>TRANS-1680</v>
      </c>
    </row>
    <row r="1682" spans="1:11" x14ac:dyDescent="0.35">
      <c r="A1682" s="5">
        <v>45560</v>
      </c>
      <c r="B1682" s="3">
        <v>0.4939236111111111</v>
      </c>
      <c r="C1682" t="s">
        <v>8</v>
      </c>
      <c r="D1682" t="s">
        <v>717</v>
      </c>
      <c r="E1682" s="4">
        <v>27.92</v>
      </c>
      <c r="F1682" t="s">
        <v>36</v>
      </c>
      <c r="G1682" s="10" t="str">
        <f>TEXT(Transform_Data[[#This Row],[Date]],"mmm yyyy")</f>
        <v>Sep 2024</v>
      </c>
      <c r="H1682" s="10">
        <f>HOUR(Transform_Data[[#This Row],[Time]])</f>
        <v>11</v>
      </c>
      <c r="I1682" s="10" t="str">
        <f>IF(COUNTIF('Transform Data'!$D:$D,'Transform Data'!D1682)&gt;1,"Repeat","Single")</f>
        <v>Repeat</v>
      </c>
      <c r="J1682" s="10" t="str">
        <f>IF('Transform Data'!D1682="Cash","Cash",IF(COUNTIF('Transform Data'!$D:$D,'Transform Data'!D1682)&gt;1,"Repeat","Single"))</f>
        <v>Repeat</v>
      </c>
      <c r="K1682" s="10" t="str">
        <f t="shared" si="26"/>
        <v>TRANS-1681</v>
      </c>
    </row>
    <row r="1683" spans="1:11" x14ac:dyDescent="0.35">
      <c r="A1683" s="5">
        <v>45560</v>
      </c>
      <c r="B1683" s="3">
        <v>0.49505787037037036</v>
      </c>
      <c r="C1683" t="s">
        <v>8</v>
      </c>
      <c r="D1683" t="s">
        <v>717</v>
      </c>
      <c r="E1683" s="4">
        <v>32.82</v>
      </c>
      <c r="F1683" t="s">
        <v>32</v>
      </c>
      <c r="G1683" s="10" t="str">
        <f>TEXT(Transform_Data[[#This Row],[Date]],"mmm yyyy")</f>
        <v>Sep 2024</v>
      </c>
      <c r="H1683" s="10">
        <f>HOUR(Transform_Data[[#This Row],[Time]])</f>
        <v>11</v>
      </c>
      <c r="I1683" s="10" t="str">
        <f>IF(COUNTIF('Transform Data'!$D:$D,'Transform Data'!D1683)&gt;1,"Repeat","Single")</f>
        <v>Repeat</v>
      </c>
      <c r="J1683" s="10" t="str">
        <f>IF('Transform Data'!D1683="Cash","Cash",IF(COUNTIF('Transform Data'!$D:$D,'Transform Data'!D1683)&gt;1,"Repeat","Single"))</f>
        <v>Repeat</v>
      </c>
      <c r="K1683" s="10" t="str">
        <f t="shared" si="26"/>
        <v>TRANS-1682</v>
      </c>
    </row>
    <row r="1684" spans="1:11" x14ac:dyDescent="0.35">
      <c r="A1684" s="5">
        <v>45560</v>
      </c>
      <c r="B1684" s="3">
        <v>0.57975694444444448</v>
      </c>
      <c r="C1684" t="s">
        <v>8</v>
      </c>
      <c r="D1684" t="s">
        <v>718</v>
      </c>
      <c r="E1684" s="4">
        <v>27.92</v>
      </c>
      <c r="F1684" t="s">
        <v>36</v>
      </c>
      <c r="G1684" s="10" t="str">
        <f>TEXT(Transform_Data[[#This Row],[Date]],"mmm yyyy")</f>
        <v>Sep 2024</v>
      </c>
      <c r="H1684" s="10">
        <f>HOUR(Transform_Data[[#This Row],[Time]])</f>
        <v>13</v>
      </c>
      <c r="I1684" s="10" t="str">
        <f>IF(COUNTIF('Transform Data'!$D:$D,'Transform Data'!D1684)&gt;1,"Repeat","Single")</f>
        <v>Repeat</v>
      </c>
      <c r="J1684" s="10" t="str">
        <f>IF('Transform Data'!D1684="Cash","Cash",IF(COUNTIF('Transform Data'!$D:$D,'Transform Data'!D1684)&gt;1,"Repeat","Single"))</f>
        <v>Repeat</v>
      </c>
      <c r="K1684" s="10" t="str">
        <f t="shared" si="26"/>
        <v>TRANS-1683</v>
      </c>
    </row>
    <row r="1685" spans="1:11" x14ac:dyDescent="0.35">
      <c r="A1685" s="5">
        <v>45560</v>
      </c>
      <c r="B1685" s="3">
        <v>0.58054398148148145</v>
      </c>
      <c r="C1685" t="s">
        <v>8</v>
      </c>
      <c r="D1685" t="s">
        <v>718</v>
      </c>
      <c r="E1685" s="4">
        <v>27.92</v>
      </c>
      <c r="F1685" t="s">
        <v>36</v>
      </c>
      <c r="G1685" s="10" t="str">
        <f>TEXT(Transform_Data[[#This Row],[Date]],"mmm yyyy")</f>
        <v>Sep 2024</v>
      </c>
      <c r="H1685" s="10">
        <f>HOUR(Transform_Data[[#This Row],[Time]])</f>
        <v>13</v>
      </c>
      <c r="I1685" s="10" t="str">
        <f>IF(COUNTIF('Transform Data'!$D:$D,'Transform Data'!D1685)&gt;1,"Repeat","Single")</f>
        <v>Repeat</v>
      </c>
      <c r="J1685" s="10" t="str">
        <f>IF('Transform Data'!D1685="Cash","Cash",IF(COUNTIF('Transform Data'!$D:$D,'Transform Data'!D1685)&gt;1,"Repeat","Single"))</f>
        <v>Repeat</v>
      </c>
      <c r="K1685" s="10" t="str">
        <f t="shared" si="26"/>
        <v>TRANS-1684</v>
      </c>
    </row>
    <row r="1686" spans="1:11" x14ac:dyDescent="0.35">
      <c r="A1686" s="5">
        <v>45560</v>
      </c>
      <c r="B1686" s="3">
        <v>0.73376157407407405</v>
      </c>
      <c r="C1686" t="s">
        <v>8</v>
      </c>
      <c r="D1686" t="s">
        <v>719</v>
      </c>
      <c r="E1686" s="4">
        <v>27.92</v>
      </c>
      <c r="F1686" t="s">
        <v>36</v>
      </c>
      <c r="G1686" s="10" t="str">
        <f>TEXT(Transform_Data[[#This Row],[Date]],"mmm yyyy")</f>
        <v>Sep 2024</v>
      </c>
      <c r="H1686" s="10">
        <f>HOUR(Transform_Data[[#This Row],[Time]])</f>
        <v>17</v>
      </c>
      <c r="I1686" s="10" t="str">
        <f>IF(COUNTIF('Transform Data'!$D:$D,'Transform Data'!D1686)&gt;1,"Repeat","Single")</f>
        <v>Repeat</v>
      </c>
      <c r="J1686" s="10" t="str">
        <f>IF('Transform Data'!D1686="Cash","Cash",IF(COUNTIF('Transform Data'!$D:$D,'Transform Data'!D1686)&gt;1,"Repeat","Single"))</f>
        <v>Repeat</v>
      </c>
      <c r="K1686" s="10" t="str">
        <f t="shared" si="26"/>
        <v>TRANS-1685</v>
      </c>
    </row>
    <row r="1687" spans="1:11" x14ac:dyDescent="0.35">
      <c r="A1687" s="5">
        <v>45560</v>
      </c>
      <c r="B1687" s="3">
        <v>0.73438657407407404</v>
      </c>
      <c r="C1687" t="s">
        <v>8</v>
      </c>
      <c r="D1687" t="s">
        <v>719</v>
      </c>
      <c r="E1687" s="4">
        <v>27.92</v>
      </c>
      <c r="F1687" t="s">
        <v>36</v>
      </c>
      <c r="G1687" s="10" t="str">
        <f>TEXT(Transform_Data[[#This Row],[Date]],"mmm yyyy")</f>
        <v>Sep 2024</v>
      </c>
      <c r="H1687" s="10">
        <f>HOUR(Transform_Data[[#This Row],[Time]])</f>
        <v>17</v>
      </c>
      <c r="I1687" s="10" t="str">
        <f>IF(COUNTIF('Transform Data'!$D:$D,'Transform Data'!D1687)&gt;1,"Repeat","Single")</f>
        <v>Repeat</v>
      </c>
      <c r="J1687" s="10" t="str">
        <f>IF('Transform Data'!D1687="Cash","Cash",IF(COUNTIF('Transform Data'!$D:$D,'Transform Data'!D1687)&gt;1,"Repeat","Single"))</f>
        <v>Repeat</v>
      </c>
      <c r="K1687" s="10" t="str">
        <f t="shared" si="26"/>
        <v>TRANS-1686</v>
      </c>
    </row>
    <row r="1688" spans="1:11" x14ac:dyDescent="0.35">
      <c r="A1688" s="5">
        <v>45560</v>
      </c>
      <c r="B1688" s="3">
        <v>0.89908564814814818</v>
      </c>
      <c r="C1688" t="s">
        <v>8</v>
      </c>
      <c r="D1688" t="s">
        <v>720</v>
      </c>
      <c r="E1688" s="4">
        <v>23.02</v>
      </c>
      <c r="F1688" t="s">
        <v>28</v>
      </c>
      <c r="G1688" s="10" t="str">
        <f>TEXT(Transform_Data[[#This Row],[Date]],"mmm yyyy")</f>
        <v>Sep 2024</v>
      </c>
      <c r="H1688" s="10">
        <f>HOUR(Transform_Data[[#This Row],[Time]])</f>
        <v>21</v>
      </c>
      <c r="I1688" s="10" t="str">
        <f>IF(COUNTIF('Transform Data'!$D:$D,'Transform Data'!D1688)&gt;1,"Repeat","Single")</f>
        <v>Single</v>
      </c>
      <c r="J1688" s="10" t="str">
        <f>IF('Transform Data'!D1688="Cash","Cash",IF(COUNTIF('Transform Data'!$D:$D,'Transform Data'!D1688)&gt;1,"Repeat","Single"))</f>
        <v>Single</v>
      </c>
      <c r="K1688" s="10" t="str">
        <f t="shared" si="26"/>
        <v>TRANS-1687</v>
      </c>
    </row>
    <row r="1689" spans="1:11" x14ac:dyDescent="0.35">
      <c r="A1689" s="5">
        <v>45560</v>
      </c>
      <c r="B1689" s="3">
        <v>0.92975694444444446</v>
      </c>
      <c r="C1689" t="s">
        <v>8</v>
      </c>
      <c r="D1689" t="s">
        <v>528</v>
      </c>
      <c r="E1689" s="4">
        <v>27.92</v>
      </c>
      <c r="F1689" t="s">
        <v>36</v>
      </c>
      <c r="G1689" s="10" t="str">
        <f>TEXT(Transform_Data[[#This Row],[Date]],"mmm yyyy")</f>
        <v>Sep 2024</v>
      </c>
      <c r="H1689" s="10">
        <f>HOUR(Transform_Data[[#This Row],[Time]])</f>
        <v>22</v>
      </c>
      <c r="I1689" s="10" t="str">
        <f>IF(COUNTIF('Transform Data'!$D:$D,'Transform Data'!D1689)&gt;1,"Repeat","Single")</f>
        <v>Repeat</v>
      </c>
      <c r="J1689" s="10" t="str">
        <f>IF('Transform Data'!D1689="Cash","Cash",IF(COUNTIF('Transform Data'!$D:$D,'Transform Data'!D1689)&gt;1,"Repeat","Single"))</f>
        <v>Repeat</v>
      </c>
      <c r="K1689" s="10" t="str">
        <f t="shared" si="26"/>
        <v>TRANS-1688</v>
      </c>
    </row>
    <row r="1690" spans="1:11" x14ac:dyDescent="0.35">
      <c r="A1690" s="5">
        <v>45561</v>
      </c>
      <c r="B1690" s="3">
        <v>0.36359953703703701</v>
      </c>
      <c r="C1690" t="s">
        <v>8</v>
      </c>
      <c r="D1690" t="s">
        <v>622</v>
      </c>
      <c r="E1690" s="4">
        <v>32.82</v>
      </c>
      <c r="F1690" t="s">
        <v>32</v>
      </c>
      <c r="G1690" s="10" t="str">
        <f>TEXT(Transform_Data[[#This Row],[Date]],"mmm yyyy")</f>
        <v>Sep 2024</v>
      </c>
      <c r="H1690" s="10">
        <f>HOUR(Transform_Data[[#This Row],[Time]])</f>
        <v>8</v>
      </c>
      <c r="I1690" s="10" t="str">
        <f>IF(COUNTIF('Transform Data'!$D:$D,'Transform Data'!D1690)&gt;1,"Repeat","Single")</f>
        <v>Repeat</v>
      </c>
      <c r="J1690" s="10" t="str">
        <f>IF('Transform Data'!D1690="Cash","Cash",IF(COUNTIF('Transform Data'!$D:$D,'Transform Data'!D1690)&gt;1,"Repeat","Single"))</f>
        <v>Repeat</v>
      </c>
      <c r="K1690" s="10" t="str">
        <f t="shared" si="26"/>
        <v>TRANS-1689</v>
      </c>
    </row>
    <row r="1691" spans="1:11" x14ac:dyDescent="0.35">
      <c r="A1691" s="5">
        <v>45561</v>
      </c>
      <c r="B1691" s="3">
        <v>0.44243055555555555</v>
      </c>
      <c r="C1691" t="s">
        <v>8</v>
      </c>
      <c r="D1691" t="s">
        <v>386</v>
      </c>
      <c r="E1691" s="4">
        <v>27.92</v>
      </c>
      <c r="F1691" t="s">
        <v>36</v>
      </c>
      <c r="G1691" s="10" t="str">
        <f>TEXT(Transform_Data[[#This Row],[Date]],"mmm yyyy")</f>
        <v>Sep 2024</v>
      </c>
      <c r="H1691" s="10">
        <f>HOUR(Transform_Data[[#This Row],[Time]])</f>
        <v>10</v>
      </c>
      <c r="I1691" s="10" t="str">
        <f>IF(COUNTIF('Transform Data'!$D:$D,'Transform Data'!D1691)&gt;1,"Repeat","Single")</f>
        <v>Repeat</v>
      </c>
      <c r="J1691" s="10" t="str">
        <f>IF('Transform Data'!D1691="Cash","Cash",IF(COUNTIF('Transform Data'!$D:$D,'Transform Data'!D1691)&gt;1,"Repeat","Single"))</f>
        <v>Repeat</v>
      </c>
      <c r="K1691" s="10" t="str">
        <f t="shared" si="26"/>
        <v>TRANS-1690</v>
      </c>
    </row>
    <row r="1692" spans="1:11" x14ac:dyDescent="0.35">
      <c r="A1692" s="5">
        <v>45561</v>
      </c>
      <c r="B1692" s="3">
        <v>0.45546296296296296</v>
      </c>
      <c r="C1692" t="s">
        <v>8</v>
      </c>
      <c r="D1692" t="s">
        <v>721</v>
      </c>
      <c r="E1692" s="4">
        <v>18.12</v>
      </c>
      <c r="F1692" t="s">
        <v>5</v>
      </c>
      <c r="G1692" s="10" t="str">
        <f>TEXT(Transform_Data[[#This Row],[Date]],"mmm yyyy")</f>
        <v>Sep 2024</v>
      </c>
      <c r="H1692" s="10">
        <f>HOUR(Transform_Data[[#This Row],[Time]])</f>
        <v>10</v>
      </c>
      <c r="I1692" s="10" t="str">
        <f>IF(COUNTIF('Transform Data'!$D:$D,'Transform Data'!D1692)&gt;1,"Repeat","Single")</f>
        <v>Single</v>
      </c>
      <c r="J1692" s="10" t="str">
        <f>IF('Transform Data'!D1692="Cash","Cash",IF(COUNTIF('Transform Data'!$D:$D,'Transform Data'!D1692)&gt;1,"Repeat","Single"))</f>
        <v>Single</v>
      </c>
      <c r="K1692" s="10" t="str">
        <f t="shared" si="26"/>
        <v>TRANS-1691</v>
      </c>
    </row>
    <row r="1693" spans="1:11" x14ac:dyDescent="0.35">
      <c r="A1693" s="5">
        <v>45561</v>
      </c>
      <c r="B1693" s="3">
        <v>0.48249999999999998</v>
      </c>
      <c r="C1693" t="s">
        <v>8</v>
      </c>
      <c r="D1693" t="s">
        <v>722</v>
      </c>
      <c r="E1693" s="4">
        <v>32.82</v>
      </c>
      <c r="F1693" t="s">
        <v>24</v>
      </c>
      <c r="G1693" s="10" t="str">
        <f>TEXT(Transform_Data[[#This Row],[Date]],"mmm yyyy")</f>
        <v>Sep 2024</v>
      </c>
      <c r="H1693" s="10">
        <f>HOUR(Transform_Data[[#This Row],[Time]])</f>
        <v>11</v>
      </c>
      <c r="I1693" s="10" t="str">
        <f>IF(COUNTIF('Transform Data'!$D:$D,'Transform Data'!D1693)&gt;1,"Repeat","Single")</f>
        <v>Single</v>
      </c>
      <c r="J1693" s="10" t="str">
        <f>IF('Transform Data'!D1693="Cash","Cash",IF(COUNTIF('Transform Data'!$D:$D,'Transform Data'!D1693)&gt;1,"Repeat","Single"))</f>
        <v>Single</v>
      </c>
      <c r="K1693" s="10" t="str">
        <f t="shared" si="26"/>
        <v>TRANS-1692</v>
      </c>
    </row>
    <row r="1694" spans="1:11" x14ac:dyDescent="0.35">
      <c r="A1694" s="5">
        <v>45561</v>
      </c>
      <c r="B1694" s="3">
        <v>0.53334490740740736</v>
      </c>
      <c r="C1694" t="s">
        <v>8</v>
      </c>
      <c r="D1694" t="s">
        <v>723</v>
      </c>
      <c r="E1694" s="4">
        <v>32.82</v>
      </c>
      <c r="F1694" t="s">
        <v>32</v>
      </c>
      <c r="G1694" s="10" t="str">
        <f>TEXT(Transform_Data[[#This Row],[Date]],"mmm yyyy")</f>
        <v>Sep 2024</v>
      </c>
      <c r="H1694" s="10">
        <f>HOUR(Transform_Data[[#This Row],[Time]])</f>
        <v>12</v>
      </c>
      <c r="I1694" s="10" t="str">
        <f>IF(COUNTIF('Transform Data'!$D:$D,'Transform Data'!D1694)&gt;1,"Repeat","Single")</f>
        <v>Single</v>
      </c>
      <c r="J1694" s="10" t="str">
        <f>IF('Transform Data'!D1694="Cash","Cash",IF(COUNTIF('Transform Data'!$D:$D,'Transform Data'!D1694)&gt;1,"Repeat","Single"))</f>
        <v>Single</v>
      </c>
      <c r="K1694" s="10" t="str">
        <f t="shared" si="26"/>
        <v>TRANS-1693</v>
      </c>
    </row>
    <row r="1695" spans="1:11" x14ac:dyDescent="0.35">
      <c r="A1695" s="5">
        <v>45561</v>
      </c>
      <c r="B1695" s="3">
        <v>0.76521990740740742</v>
      </c>
      <c r="C1695" t="s">
        <v>8</v>
      </c>
      <c r="D1695" t="s">
        <v>724</v>
      </c>
      <c r="E1695" s="4">
        <v>32.82</v>
      </c>
      <c r="F1695" t="s">
        <v>32</v>
      </c>
      <c r="G1695" s="10" t="str">
        <f>TEXT(Transform_Data[[#This Row],[Date]],"mmm yyyy")</f>
        <v>Sep 2024</v>
      </c>
      <c r="H1695" s="10">
        <f>HOUR(Transform_Data[[#This Row],[Time]])</f>
        <v>18</v>
      </c>
      <c r="I1695" s="10" t="str">
        <f>IF(COUNTIF('Transform Data'!$D:$D,'Transform Data'!D1695)&gt;1,"Repeat","Single")</f>
        <v>Single</v>
      </c>
      <c r="J1695" s="10" t="str">
        <f>IF('Transform Data'!D1695="Cash","Cash",IF(COUNTIF('Transform Data'!$D:$D,'Transform Data'!D1695)&gt;1,"Repeat","Single"))</f>
        <v>Single</v>
      </c>
      <c r="K1695" s="10" t="str">
        <f t="shared" si="26"/>
        <v>TRANS-1694</v>
      </c>
    </row>
    <row r="1696" spans="1:11" x14ac:dyDescent="0.35">
      <c r="A1696" s="5">
        <v>45561</v>
      </c>
      <c r="B1696" s="3">
        <v>0.94809027777777777</v>
      </c>
      <c r="C1696" t="s">
        <v>8</v>
      </c>
      <c r="D1696" t="s">
        <v>725</v>
      </c>
      <c r="E1696" s="4">
        <v>32.82</v>
      </c>
      <c r="F1696" t="s">
        <v>32</v>
      </c>
      <c r="G1696" s="10" t="str">
        <f>TEXT(Transform_Data[[#This Row],[Date]],"mmm yyyy")</f>
        <v>Sep 2024</v>
      </c>
      <c r="H1696" s="10">
        <f>HOUR(Transform_Data[[#This Row],[Time]])</f>
        <v>22</v>
      </c>
      <c r="I1696" s="10" t="str">
        <f>IF(COUNTIF('Transform Data'!$D:$D,'Transform Data'!D1696)&gt;1,"Repeat","Single")</f>
        <v>Repeat</v>
      </c>
      <c r="J1696" s="10" t="str">
        <f>IF('Transform Data'!D1696="Cash","Cash",IF(COUNTIF('Transform Data'!$D:$D,'Transform Data'!D1696)&gt;1,"Repeat","Single"))</f>
        <v>Repeat</v>
      </c>
      <c r="K1696" s="10" t="str">
        <f t="shared" si="26"/>
        <v>TRANS-1695</v>
      </c>
    </row>
    <row r="1697" spans="1:11" x14ac:dyDescent="0.35">
      <c r="A1697" s="5">
        <v>45561</v>
      </c>
      <c r="B1697" s="3">
        <v>0.9488078703703704</v>
      </c>
      <c r="C1697" t="s">
        <v>8</v>
      </c>
      <c r="D1697" t="s">
        <v>725</v>
      </c>
      <c r="E1697" s="4">
        <v>23.02</v>
      </c>
      <c r="F1697" t="s">
        <v>20</v>
      </c>
      <c r="G1697" s="10" t="str">
        <f>TEXT(Transform_Data[[#This Row],[Date]],"mmm yyyy")</f>
        <v>Sep 2024</v>
      </c>
      <c r="H1697" s="10">
        <f>HOUR(Transform_Data[[#This Row],[Time]])</f>
        <v>22</v>
      </c>
      <c r="I1697" s="10" t="str">
        <f>IF(COUNTIF('Transform Data'!$D:$D,'Transform Data'!D1697)&gt;1,"Repeat","Single")</f>
        <v>Repeat</v>
      </c>
      <c r="J1697" s="10" t="str">
        <f>IF('Transform Data'!D1697="Cash","Cash",IF(COUNTIF('Transform Data'!$D:$D,'Transform Data'!D1697)&gt;1,"Repeat","Single"))</f>
        <v>Repeat</v>
      </c>
      <c r="K1697" s="10" t="str">
        <f t="shared" si="26"/>
        <v>TRANS-1696</v>
      </c>
    </row>
    <row r="1698" spans="1:11" x14ac:dyDescent="0.35">
      <c r="A1698" s="5">
        <v>45561</v>
      </c>
      <c r="B1698" s="3">
        <v>0.94958333333333333</v>
      </c>
      <c r="C1698" t="s">
        <v>8</v>
      </c>
      <c r="D1698" t="s">
        <v>525</v>
      </c>
      <c r="E1698" s="4">
        <v>27.92</v>
      </c>
      <c r="F1698" t="s">
        <v>36</v>
      </c>
      <c r="G1698" s="10" t="str">
        <f>TEXT(Transform_Data[[#This Row],[Date]],"mmm yyyy")</f>
        <v>Sep 2024</v>
      </c>
      <c r="H1698" s="10">
        <f>HOUR(Transform_Data[[#This Row],[Time]])</f>
        <v>22</v>
      </c>
      <c r="I1698" s="10" t="str">
        <f>IF(COUNTIF('Transform Data'!$D:$D,'Transform Data'!D1698)&gt;1,"Repeat","Single")</f>
        <v>Repeat</v>
      </c>
      <c r="J1698" s="10" t="str">
        <f>IF('Transform Data'!D1698="Cash","Cash",IF(COUNTIF('Transform Data'!$D:$D,'Transform Data'!D1698)&gt;1,"Repeat","Single"))</f>
        <v>Repeat</v>
      </c>
      <c r="K1698" s="10" t="str">
        <f t="shared" si="26"/>
        <v>TRANS-1697</v>
      </c>
    </row>
    <row r="1699" spans="1:11" x14ac:dyDescent="0.35">
      <c r="A1699" s="5">
        <v>45562</v>
      </c>
      <c r="B1699" s="3">
        <v>0.39565972222222223</v>
      </c>
      <c r="C1699" t="s">
        <v>8</v>
      </c>
      <c r="D1699" t="s">
        <v>29</v>
      </c>
      <c r="E1699" s="4">
        <v>27.92</v>
      </c>
      <c r="F1699" t="s">
        <v>36</v>
      </c>
      <c r="G1699" s="10" t="str">
        <f>TEXT(Transform_Data[[#This Row],[Date]],"mmm yyyy")</f>
        <v>Sep 2024</v>
      </c>
      <c r="H1699" s="10">
        <f>HOUR(Transform_Data[[#This Row],[Time]])</f>
        <v>9</v>
      </c>
      <c r="I1699" s="10" t="str">
        <f>IF(COUNTIF('Transform Data'!$D:$D,'Transform Data'!D1699)&gt;1,"Repeat","Single")</f>
        <v>Repeat</v>
      </c>
      <c r="J1699" s="10" t="str">
        <f>IF('Transform Data'!D1699="Cash","Cash",IF(COUNTIF('Transform Data'!$D:$D,'Transform Data'!D1699)&gt;1,"Repeat","Single"))</f>
        <v>Repeat</v>
      </c>
      <c r="K1699" s="10" t="str">
        <f t="shared" si="26"/>
        <v>TRANS-1698</v>
      </c>
    </row>
    <row r="1700" spans="1:11" x14ac:dyDescent="0.35">
      <c r="A1700" s="5">
        <v>45562</v>
      </c>
      <c r="B1700" s="3">
        <v>0.39841435185185187</v>
      </c>
      <c r="C1700" t="s">
        <v>8</v>
      </c>
      <c r="D1700" t="s">
        <v>40</v>
      </c>
      <c r="E1700" s="4">
        <v>23.02</v>
      </c>
      <c r="F1700" t="s">
        <v>20</v>
      </c>
      <c r="G1700" s="10" t="str">
        <f>TEXT(Transform_Data[[#This Row],[Date]],"mmm yyyy")</f>
        <v>Sep 2024</v>
      </c>
      <c r="H1700" s="10">
        <f>HOUR(Transform_Data[[#This Row],[Time]])</f>
        <v>9</v>
      </c>
      <c r="I1700" s="10" t="str">
        <f>IF(COUNTIF('Transform Data'!$D:$D,'Transform Data'!D1700)&gt;1,"Repeat","Single")</f>
        <v>Repeat</v>
      </c>
      <c r="J1700" s="10" t="str">
        <f>IF('Transform Data'!D1700="Cash","Cash",IF(COUNTIF('Transform Data'!$D:$D,'Transform Data'!D1700)&gt;1,"Repeat","Single"))</f>
        <v>Repeat</v>
      </c>
      <c r="K1700" s="10" t="str">
        <f t="shared" si="26"/>
        <v>TRANS-1699</v>
      </c>
    </row>
    <row r="1701" spans="1:11" x14ac:dyDescent="0.35">
      <c r="A1701" s="5">
        <v>45562</v>
      </c>
      <c r="B1701" s="3">
        <v>0.4035185185185185</v>
      </c>
      <c r="C1701" t="s">
        <v>8</v>
      </c>
      <c r="D1701" t="s">
        <v>726</v>
      </c>
      <c r="E1701" s="4">
        <v>32.82</v>
      </c>
      <c r="F1701" t="s">
        <v>24</v>
      </c>
      <c r="G1701" s="10" t="str">
        <f>TEXT(Transform_Data[[#This Row],[Date]],"mmm yyyy")</f>
        <v>Sep 2024</v>
      </c>
      <c r="H1701" s="10">
        <f>HOUR(Transform_Data[[#This Row],[Time]])</f>
        <v>9</v>
      </c>
      <c r="I1701" s="10" t="str">
        <f>IF(COUNTIF('Transform Data'!$D:$D,'Transform Data'!D1701)&gt;1,"Repeat","Single")</f>
        <v>Single</v>
      </c>
      <c r="J1701" s="10" t="str">
        <f>IF('Transform Data'!D1701="Cash","Cash",IF(COUNTIF('Transform Data'!$D:$D,'Transform Data'!D1701)&gt;1,"Repeat","Single"))</f>
        <v>Single</v>
      </c>
      <c r="K1701" s="10" t="str">
        <f t="shared" si="26"/>
        <v>TRANS-1700</v>
      </c>
    </row>
    <row r="1702" spans="1:11" x14ac:dyDescent="0.35">
      <c r="A1702" s="5">
        <v>45562</v>
      </c>
      <c r="B1702" s="3">
        <v>0.44925925925925925</v>
      </c>
      <c r="C1702" t="s">
        <v>8</v>
      </c>
      <c r="D1702" t="s">
        <v>386</v>
      </c>
      <c r="E1702" s="4">
        <v>27.92</v>
      </c>
      <c r="F1702" t="s">
        <v>36</v>
      </c>
      <c r="G1702" s="10" t="str">
        <f>TEXT(Transform_Data[[#This Row],[Date]],"mmm yyyy")</f>
        <v>Sep 2024</v>
      </c>
      <c r="H1702" s="10">
        <f>HOUR(Transform_Data[[#This Row],[Time]])</f>
        <v>10</v>
      </c>
      <c r="I1702" s="10" t="str">
        <f>IF(COUNTIF('Transform Data'!$D:$D,'Transform Data'!D1702)&gt;1,"Repeat","Single")</f>
        <v>Repeat</v>
      </c>
      <c r="J1702" s="10" t="str">
        <f>IF('Transform Data'!D1702="Cash","Cash",IF(COUNTIF('Transform Data'!$D:$D,'Transform Data'!D1702)&gt;1,"Repeat","Single"))</f>
        <v>Repeat</v>
      </c>
      <c r="K1702" s="10" t="str">
        <f t="shared" si="26"/>
        <v>TRANS-1701</v>
      </c>
    </row>
    <row r="1703" spans="1:11" x14ac:dyDescent="0.35">
      <c r="A1703" s="5">
        <v>45562</v>
      </c>
      <c r="B1703" s="3">
        <v>0.4826388888888889</v>
      </c>
      <c r="C1703" t="s">
        <v>8</v>
      </c>
      <c r="D1703" t="s">
        <v>386</v>
      </c>
      <c r="E1703" s="4">
        <v>27.92</v>
      </c>
      <c r="F1703" t="s">
        <v>36</v>
      </c>
      <c r="G1703" s="10" t="str">
        <f>TEXT(Transform_Data[[#This Row],[Date]],"mmm yyyy")</f>
        <v>Sep 2024</v>
      </c>
      <c r="H1703" s="10">
        <f>HOUR(Transform_Data[[#This Row],[Time]])</f>
        <v>11</v>
      </c>
      <c r="I1703" s="10" t="str">
        <f>IF(COUNTIF('Transform Data'!$D:$D,'Transform Data'!D1703)&gt;1,"Repeat","Single")</f>
        <v>Repeat</v>
      </c>
      <c r="J1703" s="10" t="str">
        <f>IF('Transform Data'!D1703="Cash","Cash",IF(COUNTIF('Transform Data'!$D:$D,'Transform Data'!D1703)&gt;1,"Repeat","Single"))</f>
        <v>Repeat</v>
      </c>
      <c r="K1703" s="10" t="str">
        <f t="shared" si="26"/>
        <v>TRANS-1702</v>
      </c>
    </row>
    <row r="1704" spans="1:11" x14ac:dyDescent="0.35">
      <c r="A1704" s="5">
        <v>45562</v>
      </c>
      <c r="B1704" s="3">
        <v>0.5559143518518519</v>
      </c>
      <c r="C1704" t="s">
        <v>8</v>
      </c>
      <c r="D1704" t="s">
        <v>727</v>
      </c>
      <c r="E1704" s="4">
        <v>32.82</v>
      </c>
      <c r="F1704" t="s">
        <v>24</v>
      </c>
      <c r="G1704" s="10" t="str">
        <f>TEXT(Transform_Data[[#This Row],[Date]],"mmm yyyy")</f>
        <v>Sep 2024</v>
      </c>
      <c r="H1704" s="10">
        <f>HOUR(Transform_Data[[#This Row],[Time]])</f>
        <v>13</v>
      </c>
      <c r="I1704" s="10" t="str">
        <f>IF(COUNTIF('Transform Data'!$D:$D,'Transform Data'!D1704)&gt;1,"Repeat","Single")</f>
        <v>Single</v>
      </c>
      <c r="J1704" s="10" t="str">
        <f>IF('Transform Data'!D1704="Cash","Cash",IF(COUNTIF('Transform Data'!$D:$D,'Transform Data'!D1704)&gt;1,"Repeat","Single"))</f>
        <v>Single</v>
      </c>
      <c r="K1704" s="10" t="str">
        <f t="shared" si="26"/>
        <v>TRANS-1703</v>
      </c>
    </row>
    <row r="1705" spans="1:11" x14ac:dyDescent="0.35">
      <c r="A1705" s="5">
        <v>45562</v>
      </c>
      <c r="B1705" s="3">
        <v>0.5590856481481481</v>
      </c>
      <c r="C1705" t="s">
        <v>8</v>
      </c>
      <c r="D1705" t="s">
        <v>728</v>
      </c>
      <c r="E1705" s="4">
        <v>32.82</v>
      </c>
      <c r="F1705" t="s">
        <v>24</v>
      </c>
      <c r="G1705" s="10" t="str">
        <f>TEXT(Transform_Data[[#This Row],[Date]],"mmm yyyy")</f>
        <v>Sep 2024</v>
      </c>
      <c r="H1705" s="10">
        <f>HOUR(Transform_Data[[#This Row],[Time]])</f>
        <v>13</v>
      </c>
      <c r="I1705" s="10" t="str">
        <f>IF(COUNTIF('Transform Data'!$D:$D,'Transform Data'!D1705)&gt;1,"Repeat","Single")</f>
        <v>Repeat</v>
      </c>
      <c r="J1705" s="10" t="str">
        <f>IF('Transform Data'!D1705="Cash","Cash",IF(COUNTIF('Transform Data'!$D:$D,'Transform Data'!D1705)&gt;1,"Repeat","Single"))</f>
        <v>Repeat</v>
      </c>
      <c r="K1705" s="10" t="str">
        <f t="shared" si="26"/>
        <v>TRANS-1704</v>
      </c>
    </row>
    <row r="1706" spans="1:11" x14ac:dyDescent="0.35">
      <c r="A1706" s="5">
        <v>45562</v>
      </c>
      <c r="B1706" s="3">
        <v>0.56149305555555551</v>
      </c>
      <c r="C1706" t="s">
        <v>8</v>
      </c>
      <c r="D1706" t="s">
        <v>728</v>
      </c>
      <c r="E1706" s="4">
        <v>23.02</v>
      </c>
      <c r="F1706" t="s">
        <v>28</v>
      </c>
      <c r="G1706" s="10" t="str">
        <f>TEXT(Transform_Data[[#This Row],[Date]],"mmm yyyy")</f>
        <v>Sep 2024</v>
      </c>
      <c r="H1706" s="10">
        <f>HOUR(Transform_Data[[#This Row],[Time]])</f>
        <v>13</v>
      </c>
      <c r="I1706" s="10" t="str">
        <f>IF(COUNTIF('Transform Data'!$D:$D,'Transform Data'!D1706)&gt;1,"Repeat","Single")</f>
        <v>Repeat</v>
      </c>
      <c r="J1706" s="10" t="str">
        <f>IF('Transform Data'!D1706="Cash","Cash",IF(COUNTIF('Transform Data'!$D:$D,'Transform Data'!D1706)&gt;1,"Repeat","Single"))</f>
        <v>Repeat</v>
      </c>
      <c r="K1706" s="10" t="str">
        <f t="shared" si="26"/>
        <v>TRANS-1705</v>
      </c>
    </row>
    <row r="1707" spans="1:11" x14ac:dyDescent="0.35">
      <c r="A1707" s="5">
        <v>45562</v>
      </c>
      <c r="B1707" s="3">
        <v>0.56518518518518523</v>
      </c>
      <c r="C1707" t="s">
        <v>8</v>
      </c>
      <c r="D1707" t="s">
        <v>729</v>
      </c>
      <c r="E1707" s="4">
        <v>27.92</v>
      </c>
      <c r="F1707" t="s">
        <v>36</v>
      </c>
      <c r="G1707" s="10" t="str">
        <f>TEXT(Transform_Data[[#This Row],[Date]],"mmm yyyy")</f>
        <v>Sep 2024</v>
      </c>
      <c r="H1707" s="10">
        <f>HOUR(Transform_Data[[#This Row],[Time]])</f>
        <v>13</v>
      </c>
      <c r="I1707" s="10" t="str">
        <f>IF(COUNTIF('Transform Data'!$D:$D,'Transform Data'!D1707)&gt;1,"Repeat","Single")</f>
        <v>Single</v>
      </c>
      <c r="J1707" s="10" t="str">
        <f>IF('Transform Data'!D1707="Cash","Cash",IF(COUNTIF('Transform Data'!$D:$D,'Transform Data'!D1707)&gt;1,"Repeat","Single"))</f>
        <v>Single</v>
      </c>
      <c r="K1707" s="10" t="str">
        <f t="shared" si="26"/>
        <v>TRANS-1706</v>
      </c>
    </row>
    <row r="1708" spans="1:11" x14ac:dyDescent="0.35">
      <c r="A1708" s="5">
        <v>45562</v>
      </c>
      <c r="B1708" s="3">
        <v>0.75535879629629632</v>
      </c>
      <c r="C1708" t="s">
        <v>8</v>
      </c>
      <c r="D1708" t="s">
        <v>730</v>
      </c>
      <c r="E1708" s="4">
        <v>32.82</v>
      </c>
      <c r="F1708" t="s">
        <v>32</v>
      </c>
      <c r="G1708" s="10" t="str">
        <f>TEXT(Transform_Data[[#This Row],[Date]],"mmm yyyy")</f>
        <v>Sep 2024</v>
      </c>
      <c r="H1708" s="10">
        <f>HOUR(Transform_Data[[#This Row],[Time]])</f>
        <v>18</v>
      </c>
      <c r="I1708" s="10" t="str">
        <f>IF(COUNTIF('Transform Data'!$D:$D,'Transform Data'!D1708)&gt;1,"Repeat","Single")</f>
        <v>Repeat</v>
      </c>
      <c r="J1708" s="10" t="str">
        <f>IF('Transform Data'!D1708="Cash","Cash",IF(COUNTIF('Transform Data'!$D:$D,'Transform Data'!D1708)&gt;1,"Repeat","Single"))</f>
        <v>Repeat</v>
      </c>
      <c r="K1708" s="10" t="str">
        <f t="shared" si="26"/>
        <v>TRANS-1707</v>
      </c>
    </row>
    <row r="1709" spans="1:11" x14ac:dyDescent="0.35">
      <c r="A1709" s="5">
        <v>45562</v>
      </c>
      <c r="B1709" s="3">
        <v>0.7562268518518519</v>
      </c>
      <c r="C1709" t="s">
        <v>8</v>
      </c>
      <c r="D1709" t="s">
        <v>730</v>
      </c>
      <c r="E1709" s="4">
        <v>32.82</v>
      </c>
      <c r="F1709" t="s">
        <v>32</v>
      </c>
      <c r="G1709" s="10" t="str">
        <f>TEXT(Transform_Data[[#This Row],[Date]],"mmm yyyy")</f>
        <v>Sep 2024</v>
      </c>
      <c r="H1709" s="10">
        <f>HOUR(Transform_Data[[#This Row],[Time]])</f>
        <v>18</v>
      </c>
      <c r="I1709" s="10" t="str">
        <f>IF(COUNTIF('Transform Data'!$D:$D,'Transform Data'!D1709)&gt;1,"Repeat","Single")</f>
        <v>Repeat</v>
      </c>
      <c r="J1709" s="10" t="str">
        <f>IF('Transform Data'!D1709="Cash","Cash",IF(COUNTIF('Transform Data'!$D:$D,'Transform Data'!D1709)&gt;1,"Repeat","Single"))</f>
        <v>Repeat</v>
      </c>
      <c r="K1709" s="10" t="str">
        <f t="shared" si="26"/>
        <v>TRANS-1708</v>
      </c>
    </row>
    <row r="1710" spans="1:11" x14ac:dyDescent="0.35">
      <c r="A1710" s="5">
        <v>45562</v>
      </c>
      <c r="B1710" s="3">
        <v>0.77621527777777777</v>
      </c>
      <c r="C1710" t="s">
        <v>8</v>
      </c>
      <c r="D1710" t="s">
        <v>731</v>
      </c>
      <c r="E1710" s="4">
        <v>32.82</v>
      </c>
      <c r="F1710" t="s">
        <v>24</v>
      </c>
      <c r="G1710" s="10" t="str">
        <f>TEXT(Transform_Data[[#This Row],[Date]],"mmm yyyy")</f>
        <v>Sep 2024</v>
      </c>
      <c r="H1710" s="10">
        <f>HOUR(Transform_Data[[#This Row],[Time]])</f>
        <v>18</v>
      </c>
      <c r="I1710" s="10" t="str">
        <f>IF(COUNTIF('Transform Data'!$D:$D,'Transform Data'!D1710)&gt;1,"Repeat","Single")</f>
        <v>Single</v>
      </c>
      <c r="J1710" s="10" t="str">
        <f>IF('Transform Data'!D1710="Cash","Cash",IF(COUNTIF('Transform Data'!$D:$D,'Transform Data'!D1710)&gt;1,"Repeat","Single"))</f>
        <v>Single</v>
      </c>
      <c r="K1710" s="10" t="str">
        <f t="shared" si="26"/>
        <v>TRANS-1709</v>
      </c>
    </row>
    <row r="1711" spans="1:11" x14ac:dyDescent="0.35">
      <c r="A1711" s="5">
        <v>45562</v>
      </c>
      <c r="B1711" s="3">
        <v>0.77839120370370374</v>
      </c>
      <c r="C1711" t="s">
        <v>8</v>
      </c>
      <c r="D1711" t="s">
        <v>732</v>
      </c>
      <c r="E1711" s="4">
        <v>32.82</v>
      </c>
      <c r="F1711" t="s">
        <v>24</v>
      </c>
      <c r="G1711" s="10" t="str">
        <f>TEXT(Transform_Data[[#This Row],[Date]],"mmm yyyy")</f>
        <v>Sep 2024</v>
      </c>
      <c r="H1711" s="10">
        <f>HOUR(Transform_Data[[#This Row],[Time]])</f>
        <v>18</v>
      </c>
      <c r="I1711" s="10" t="str">
        <f>IF(COUNTIF('Transform Data'!$D:$D,'Transform Data'!D1711)&gt;1,"Repeat","Single")</f>
        <v>Single</v>
      </c>
      <c r="J1711" s="10" t="str">
        <f>IF('Transform Data'!D1711="Cash","Cash",IF(COUNTIF('Transform Data'!$D:$D,'Transform Data'!D1711)&gt;1,"Repeat","Single"))</f>
        <v>Single</v>
      </c>
      <c r="K1711" s="10" t="str">
        <f t="shared" si="26"/>
        <v>TRANS-1710</v>
      </c>
    </row>
    <row r="1712" spans="1:11" x14ac:dyDescent="0.35">
      <c r="A1712" s="5">
        <v>45562</v>
      </c>
      <c r="B1712" s="3">
        <v>0.84598379629629628</v>
      </c>
      <c r="C1712" t="s">
        <v>8</v>
      </c>
      <c r="D1712" t="s">
        <v>461</v>
      </c>
      <c r="E1712" s="4">
        <v>32.82</v>
      </c>
      <c r="F1712" t="s">
        <v>24</v>
      </c>
      <c r="G1712" s="10" t="str">
        <f>TEXT(Transform_Data[[#This Row],[Date]],"mmm yyyy")</f>
        <v>Sep 2024</v>
      </c>
      <c r="H1712" s="10">
        <f>HOUR(Transform_Data[[#This Row],[Time]])</f>
        <v>20</v>
      </c>
      <c r="I1712" s="10" t="str">
        <f>IF(COUNTIF('Transform Data'!$D:$D,'Transform Data'!D1712)&gt;1,"Repeat","Single")</f>
        <v>Repeat</v>
      </c>
      <c r="J1712" s="10" t="str">
        <f>IF('Transform Data'!D1712="Cash","Cash",IF(COUNTIF('Transform Data'!$D:$D,'Transform Data'!D1712)&gt;1,"Repeat","Single"))</f>
        <v>Repeat</v>
      </c>
      <c r="K1712" s="10" t="str">
        <f t="shared" si="26"/>
        <v>TRANS-1711</v>
      </c>
    </row>
    <row r="1713" spans="1:11" x14ac:dyDescent="0.35">
      <c r="A1713" s="5">
        <v>45562</v>
      </c>
      <c r="B1713" s="3">
        <v>0.84668981481481487</v>
      </c>
      <c r="C1713" t="s">
        <v>8</v>
      </c>
      <c r="D1713" t="s">
        <v>461</v>
      </c>
      <c r="E1713" s="4">
        <v>32.82</v>
      </c>
      <c r="F1713" t="s">
        <v>24</v>
      </c>
      <c r="G1713" s="10" t="str">
        <f>TEXT(Transform_Data[[#This Row],[Date]],"mmm yyyy")</f>
        <v>Sep 2024</v>
      </c>
      <c r="H1713" s="10">
        <f>HOUR(Transform_Data[[#This Row],[Time]])</f>
        <v>20</v>
      </c>
      <c r="I1713" s="10" t="str">
        <f>IF(COUNTIF('Transform Data'!$D:$D,'Transform Data'!D1713)&gt;1,"Repeat","Single")</f>
        <v>Repeat</v>
      </c>
      <c r="J1713" s="10" t="str">
        <f>IF('Transform Data'!D1713="Cash","Cash",IF(COUNTIF('Transform Data'!$D:$D,'Transform Data'!D1713)&gt;1,"Repeat","Single"))</f>
        <v>Repeat</v>
      </c>
      <c r="K1713" s="10" t="str">
        <f t="shared" si="26"/>
        <v>TRANS-1712</v>
      </c>
    </row>
    <row r="1714" spans="1:11" x14ac:dyDescent="0.35">
      <c r="A1714" s="5">
        <v>45562</v>
      </c>
      <c r="B1714" s="3">
        <v>0.8737731481481481</v>
      </c>
      <c r="C1714" t="s">
        <v>8</v>
      </c>
      <c r="D1714" t="s">
        <v>733</v>
      </c>
      <c r="E1714" s="4">
        <v>27.92</v>
      </c>
      <c r="F1714" t="s">
        <v>36</v>
      </c>
      <c r="G1714" s="10" t="str">
        <f>TEXT(Transform_Data[[#This Row],[Date]],"mmm yyyy")</f>
        <v>Sep 2024</v>
      </c>
      <c r="H1714" s="10">
        <f>HOUR(Transform_Data[[#This Row],[Time]])</f>
        <v>20</v>
      </c>
      <c r="I1714" s="10" t="str">
        <f>IF(COUNTIF('Transform Data'!$D:$D,'Transform Data'!D1714)&gt;1,"Repeat","Single")</f>
        <v>Single</v>
      </c>
      <c r="J1714" s="10" t="str">
        <f>IF('Transform Data'!D1714="Cash","Cash",IF(COUNTIF('Transform Data'!$D:$D,'Transform Data'!D1714)&gt;1,"Repeat","Single"))</f>
        <v>Single</v>
      </c>
      <c r="K1714" s="10" t="str">
        <f t="shared" si="26"/>
        <v>TRANS-1713</v>
      </c>
    </row>
    <row r="1715" spans="1:11" x14ac:dyDescent="0.35">
      <c r="A1715" s="5">
        <v>45563</v>
      </c>
      <c r="B1715" s="3">
        <v>0.33802083333333333</v>
      </c>
      <c r="C1715" t="s">
        <v>8</v>
      </c>
      <c r="D1715" t="s">
        <v>718</v>
      </c>
      <c r="E1715" s="4">
        <v>27.92</v>
      </c>
      <c r="F1715" t="s">
        <v>36</v>
      </c>
      <c r="G1715" s="10" t="str">
        <f>TEXT(Transform_Data[[#This Row],[Date]],"mmm yyyy")</f>
        <v>Sep 2024</v>
      </c>
      <c r="H1715" s="10">
        <f>HOUR(Transform_Data[[#This Row],[Time]])</f>
        <v>8</v>
      </c>
      <c r="I1715" s="10" t="str">
        <f>IF(COUNTIF('Transform Data'!$D:$D,'Transform Data'!D1715)&gt;1,"Repeat","Single")</f>
        <v>Repeat</v>
      </c>
      <c r="J1715" s="10" t="str">
        <f>IF('Transform Data'!D1715="Cash","Cash",IF(COUNTIF('Transform Data'!$D:$D,'Transform Data'!D1715)&gt;1,"Repeat","Single"))</f>
        <v>Repeat</v>
      </c>
      <c r="K1715" s="10" t="str">
        <f t="shared" si="26"/>
        <v>TRANS-1714</v>
      </c>
    </row>
    <row r="1716" spans="1:11" x14ac:dyDescent="0.35">
      <c r="A1716" s="5">
        <v>45563</v>
      </c>
      <c r="B1716" s="3">
        <v>0.3966898148148148</v>
      </c>
      <c r="C1716" t="s">
        <v>8</v>
      </c>
      <c r="D1716" t="s">
        <v>734</v>
      </c>
      <c r="E1716" s="4">
        <v>27.92</v>
      </c>
      <c r="F1716" t="s">
        <v>36</v>
      </c>
      <c r="G1716" s="10" t="str">
        <f>TEXT(Transform_Data[[#This Row],[Date]],"mmm yyyy")</f>
        <v>Sep 2024</v>
      </c>
      <c r="H1716" s="10">
        <f>HOUR(Transform_Data[[#This Row],[Time]])</f>
        <v>9</v>
      </c>
      <c r="I1716" s="10" t="str">
        <f>IF(COUNTIF('Transform Data'!$D:$D,'Transform Data'!D1716)&gt;1,"Repeat","Single")</f>
        <v>Repeat</v>
      </c>
      <c r="J1716" s="10" t="str">
        <f>IF('Transform Data'!D1716="Cash","Cash",IF(COUNTIF('Transform Data'!$D:$D,'Transform Data'!D1716)&gt;1,"Repeat","Single"))</f>
        <v>Repeat</v>
      </c>
      <c r="K1716" s="10" t="str">
        <f t="shared" si="26"/>
        <v>TRANS-1715</v>
      </c>
    </row>
    <row r="1717" spans="1:11" x14ac:dyDescent="0.35">
      <c r="A1717" s="5">
        <v>45563</v>
      </c>
      <c r="B1717" s="3">
        <v>0.60123842592592591</v>
      </c>
      <c r="C1717" t="s">
        <v>8</v>
      </c>
      <c r="D1717" t="s">
        <v>21</v>
      </c>
      <c r="E1717" s="4">
        <v>35.76</v>
      </c>
      <c r="F1717" t="s">
        <v>32</v>
      </c>
      <c r="G1717" s="10" t="str">
        <f>TEXT(Transform_Data[[#This Row],[Date]],"mmm yyyy")</f>
        <v>Sep 2024</v>
      </c>
      <c r="H1717" s="10">
        <f>HOUR(Transform_Data[[#This Row],[Time]])</f>
        <v>14</v>
      </c>
      <c r="I1717" s="10" t="str">
        <f>IF(COUNTIF('Transform Data'!$D:$D,'Transform Data'!D1717)&gt;1,"Repeat","Single")</f>
        <v>Repeat</v>
      </c>
      <c r="J1717" s="10" t="str">
        <f>IF('Transform Data'!D1717="Cash","Cash",IF(COUNTIF('Transform Data'!$D:$D,'Transform Data'!D1717)&gt;1,"Repeat","Single"))</f>
        <v>Repeat</v>
      </c>
      <c r="K1717" s="10" t="str">
        <f t="shared" si="26"/>
        <v>TRANS-1716</v>
      </c>
    </row>
    <row r="1718" spans="1:11" x14ac:dyDescent="0.35">
      <c r="A1718" s="5">
        <v>45563</v>
      </c>
      <c r="B1718" s="3">
        <v>0.70648148148148149</v>
      </c>
      <c r="C1718" t="s">
        <v>8</v>
      </c>
      <c r="D1718" t="s">
        <v>735</v>
      </c>
      <c r="E1718" s="4">
        <v>35.76</v>
      </c>
      <c r="F1718" t="s">
        <v>32</v>
      </c>
      <c r="G1718" s="10" t="str">
        <f>TEXT(Transform_Data[[#This Row],[Date]],"mmm yyyy")</f>
        <v>Sep 2024</v>
      </c>
      <c r="H1718" s="10">
        <f>HOUR(Transform_Data[[#This Row],[Time]])</f>
        <v>16</v>
      </c>
      <c r="I1718" s="10" t="str">
        <f>IF(COUNTIF('Transform Data'!$D:$D,'Transform Data'!D1718)&gt;1,"Repeat","Single")</f>
        <v>Repeat</v>
      </c>
      <c r="J1718" s="10" t="str">
        <f>IF('Transform Data'!D1718="Cash","Cash",IF(COUNTIF('Transform Data'!$D:$D,'Transform Data'!D1718)&gt;1,"Repeat","Single"))</f>
        <v>Repeat</v>
      </c>
      <c r="K1718" s="10" t="str">
        <f t="shared" si="26"/>
        <v>TRANS-1717</v>
      </c>
    </row>
    <row r="1719" spans="1:11" x14ac:dyDescent="0.35">
      <c r="A1719" s="5">
        <v>45563</v>
      </c>
      <c r="B1719" s="3">
        <v>0.72657407407407404</v>
      </c>
      <c r="C1719" t="s">
        <v>8</v>
      </c>
      <c r="D1719" t="s">
        <v>736</v>
      </c>
      <c r="E1719" s="4">
        <v>30.86</v>
      </c>
      <c r="F1719" t="s">
        <v>36</v>
      </c>
      <c r="G1719" s="10" t="str">
        <f>TEXT(Transform_Data[[#This Row],[Date]],"mmm yyyy")</f>
        <v>Sep 2024</v>
      </c>
      <c r="H1719" s="10">
        <f>HOUR(Transform_Data[[#This Row],[Time]])</f>
        <v>17</v>
      </c>
      <c r="I1719" s="10" t="str">
        <f>IF(COUNTIF('Transform Data'!$D:$D,'Transform Data'!D1719)&gt;1,"Repeat","Single")</f>
        <v>Single</v>
      </c>
      <c r="J1719" s="10" t="str">
        <f>IF('Transform Data'!D1719="Cash","Cash",IF(COUNTIF('Transform Data'!$D:$D,'Transform Data'!D1719)&gt;1,"Repeat","Single"))</f>
        <v>Single</v>
      </c>
      <c r="K1719" s="10" t="str">
        <f t="shared" si="26"/>
        <v>TRANS-1718</v>
      </c>
    </row>
    <row r="1720" spans="1:11" x14ac:dyDescent="0.35">
      <c r="A1720" s="5">
        <v>45563</v>
      </c>
      <c r="B1720" s="3">
        <v>0.85730324074074071</v>
      </c>
      <c r="C1720" t="s">
        <v>8</v>
      </c>
      <c r="D1720" t="s">
        <v>498</v>
      </c>
      <c r="E1720" s="4">
        <v>35.76</v>
      </c>
      <c r="F1720" t="s">
        <v>32</v>
      </c>
      <c r="G1720" s="10" t="str">
        <f>TEXT(Transform_Data[[#This Row],[Date]],"mmm yyyy")</f>
        <v>Sep 2024</v>
      </c>
      <c r="H1720" s="10">
        <f>HOUR(Transform_Data[[#This Row],[Time]])</f>
        <v>20</v>
      </c>
      <c r="I1720" s="10" t="str">
        <f>IF(COUNTIF('Transform Data'!$D:$D,'Transform Data'!D1720)&gt;1,"Repeat","Single")</f>
        <v>Repeat</v>
      </c>
      <c r="J1720" s="10" t="str">
        <f>IF('Transform Data'!D1720="Cash","Cash",IF(COUNTIF('Transform Data'!$D:$D,'Transform Data'!D1720)&gt;1,"Repeat","Single"))</f>
        <v>Repeat</v>
      </c>
      <c r="K1720" s="10" t="str">
        <f t="shared" si="26"/>
        <v>TRANS-1719</v>
      </c>
    </row>
    <row r="1721" spans="1:11" x14ac:dyDescent="0.35">
      <c r="A1721" s="5">
        <v>45563</v>
      </c>
      <c r="B1721" s="3">
        <v>0.8601388888888889</v>
      </c>
      <c r="C1721" t="s">
        <v>8</v>
      </c>
      <c r="D1721" t="s">
        <v>737</v>
      </c>
      <c r="E1721" s="4">
        <v>35.76</v>
      </c>
      <c r="F1721" t="s">
        <v>32</v>
      </c>
      <c r="G1721" s="10" t="str">
        <f>TEXT(Transform_Data[[#This Row],[Date]],"mmm yyyy")</f>
        <v>Sep 2024</v>
      </c>
      <c r="H1721" s="10">
        <f>HOUR(Transform_Data[[#This Row],[Time]])</f>
        <v>20</v>
      </c>
      <c r="I1721" s="10" t="str">
        <f>IF(COUNTIF('Transform Data'!$D:$D,'Transform Data'!D1721)&gt;1,"Repeat","Single")</f>
        <v>Repeat</v>
      </c>
      <c r="J1721" s="10" t="str">
        <f>IF('Transform Data'!D1721="Cash","Cash",IF(COUNTIF('Transform Data'!$D:$D,'Transform Data'!D1721)&gt;1,"Repeat","Single"))</f>
        <v>Repeat</v>
      </c>
      <c r="K1721" s="10" t="str">
        <f t="shared" si="26"/>
        <v>TRANS-1720</v>
      </c>
    </row>
    <row r="1722" spans="1:11" x14ac:dyDescent="0.35">
      <c r="A1722" s="5">
        <v>45563</v>
      </c>
      <c r="B1722" s="3">
        <v>0.92819444444444443</v>
      </c>
      <c r="C1722" t="s">
        <v>8</v>
      </c>
      <c r="D1722" t="s">
        <v>738</v>
      </c>
      <c r="E1722" s="4">
        <v>35.76</v>
      </c>
      <c r="F1722" t="s">
        <v>24</v>
      </c>
      <c r="G1722" s="10" t="str">
        <f>TEXT(Transform_Data[[#This Row],[Date]],"mmm yyyy")</f>
        <v>Sep 2024</v>
      </c>
      <c r="H1722" s="10">
        <f>HOUR(Transform_Data[[#This Row],[Time]])</f>
        <v>22</v>
      </c>
      <c r="I1722" s="10" t="str">
        <f>IF(COUNTIF('Transform Data'!$D:$D,'Transform Data'!D1722)&gt;1,"Repeat","Single")</f>
        <v>Repeat</v>
      </c>
      <c r="J1722" s="10" t="str">
        <f>IF('Transform Data'!D1722="Cash","Cash",IF(COUNTIF('Transform Data'!$D:$D,'Transform Data'!D1722)&gt;1,"Repeat","Single"))</f>
        <v>Repeat</v>
      </c>
      <c r="K1722" s="10" t="str">
        <f t="shared" si="26"/>
        <v>TRANS-1721</v>
      </c>
    </row>
    <row r="1723" spans="1:11" x14ac:dyDescent="0.35">
      <c r="A1723" s="5">
        <v>45563</v>
      </c>
      <c r="B1723" s="3">
        <v>0.92880787037037038</v>
      </c>
      <c r="C1723" t="s">
        <v>8</v>
      </c>
      <c r="D1723" t="s">
        <v>738</v>
      </c>
      <c r="E1723" s="4">
        <v>35.76</v>
      </c>
      <c r="F1723" t="s">
        <v>10</v>
      </c>
      <c r="G1723" s="10" t="str">
        <f>TEXT(Transform_Data[[#This Row],[Date]],"mmm yyyy")</f>
        <v>Sep 2024</v>
      </c>
      <c r="H1723" s="10">
        <f>HOUR(Transform_Data[[#This Row],[Time]])</f>
        <v>22</v>
      </c>
      <c r="I1723" s="10" t="str">
        <f>IF(COUNTIF('Transform Data'!$D:$D,'Transform Data'!D1723)&gt;1,"Repeat","Single")</f>
        <v>Repeat</v>
      </c>
      <c r="J1723" s="10" t="str">
        <f>IF('Transform Data'!D1723="Cash","Cash",IF(COUNTIF('Transform Data'!$D:$D,'Transform Data'!D1723)&gt;1,"Repeat","Single"))</f>
        <v>Repeat</v>
      </c>
      <c r="K1723" s="10" t="str">
        <f t="shared" si="26"/>
        <v>TRANS-1722</v>
      </c>
    </row>
    <row r="1724" spans="1:11" x14ac:dyDescent="0.35">
      <c r="A1724" s="5">
        <v>45563</v>
      </c>
      <c r="B1724" s="3">
        <v>0.92935185185185187</v>
      </c>
      <c r="C1724" t="s">
        <v>8</v>
      </c>
      <c r="D1724" t="s">
        <v>739</v>
      </c>
      <c r="E1724" s="4">
        <v>25.96</v>
      </c>
      <c r="F1724" t="s">
        <v>20</v>
      </c>
      <c r="G1724" s="10" t="str">
        <f>TEXT(Transform_Data[[#This Row],[Date]],"mmm yyyy")</f>
        <v>Sep 2024</v>
      </c>
      <c r="H1724" s="10">
        <f>HOUR(Transform_Data[[#This Row],[Time]])</f>
        <v>22</v>
      </c>
      <c r="I1724" s="10" t="str">
        <f>IF(COUNTIF('Transform Data'!$D:$D,'Transform Data'!D1724)&gt;1,"Repeat","Single")</f>
        <v>Repeat</v>
      </c>
      <c r="J1724" s="10" t="str">
        <f>IF('Transform Data'!D1724="Cash","Cash",IF(COUNTIF('Transform Data'!$D:$D,'Transform Data'!D1724)&gt;1,"Repeat","Single"))</f>
        <v>Repeat</v>
      </c>
      <c r="K1724" s="10" t="str">
        <f t="shared" si="26"/>
        <v>TRANS-1723</v>
      </c>
    </row>
    <row r="1725" spans="1:11" x14ac:dyDescent="0.35">
      <c r="A1725" s="5">
        <v>45563</v>
      </c>
      <c r="B1725" s="3">
        <v>0.93001157407407409</v>
      </c>
      <c r="C1725" t="s">
        <v>8</v>
      </c>
      <c r="D1725" t="s">
        <v>739</v>
      </c>
      <c r="E1725" s="4">
        <v>35.76</v>
      </c>
      <c r="F1725" t="s">
        <v>15</v>
      </c>
      <c r="G1725" s="10" t="str">
        <f>TEXT(Transform_Data[[#This Row],[Date]],"mmm yyyy")</f>
        <v>Sep 2024</v>
      </c>
      <c r="H1725" s="10">
        <f>HOUR(Transform_Data[[#This Row],[Time]])</f>
        <v>22</v>
      </c>
      <c r="I1725" s="10" t="str">
        <f>IF(COUNTIF('Transform Data'!$D:$D,'Transform Data'!D1725)&gt;1,"Repeat","Single")</f>
        <v>Repeat</v>
      </c>
      <c r="J1725" s="10" t="str">
        <f>IF('Transform Data'!D1725="Cash","Cash",IF(COUNTIF('Transform Data'!$D:$D,'Transform Data'!D1725)&gt;1,"Repeat","Single"))</f>
        <v>Repeat</v>
      </c>
      <c r="K1725" s="10" t="str">
        <f t="shared" si="26"/>
        <v>TRANS-1724</v>
      </c>
    </row>
    <row r="1726" spans="1:11" x14ac:dyDescent="0.35">
      <c r="A1726" s="5">
        <v>45564</v>
      </c>
      <c r="B1726" s="3">
        <v>0.45052083333333331</v>
      </c>
      <c r="C1726" t="s">
        <v>8</v>
      </c>
      <c r="D1726" t="s">
        <v>520</v>
      </c>
      <c r="E1726" s="4">
        <v>25.96</v>
      </c>
      <c r="F1726" t="s">
        <v>28</v>
      </c>
      <c r="G1726" s="10" t="str">
        <f>TEXT(Transform_Data[[#This Row],[Date]],"mmm yyyy")</f>
        <v>Sep 2024</v>
      </c>
      <c r="H1726" s="10">
        <f>HOUR(Transform_Data[[#This Row],[Time]])</f>
        <v>10</v>
      </c>
      <c r="I1726" s="10" t="str">
        <f>IF(COUNTIF('Transform Data'!$D:$D,'Transform Data'!D1726)&gt;1,"Repeat","Single")</f>
        <v>Repeat</v>
      </c>
      <c r="J1726" s="10" t="str">
        <f>IF('Transform Data'!D1726="Cash","Cash",IF(COUNTIF('Transform Data'!$D:$D,'Transform Data'!D1726)&gt;1,"Repeat","Single"))</f>
        <v>Repeat</v>
      </c>
      <c r="K1726" s="10" t="str">
        <f t="shared" si="26"/>
        <v>TRANS-1725</v>
      </c>
    </row>
    <row r="1727" spans="1:11" x14ac:dyDescent="0.35">
      <c r="A1727" s="5">
        <v>45564</v>
      </c>
      <c r="B1727" s="3">
        <v>0.45144675925925926</v>
      </c>
      <c r="C1727" t="s">
        <v>8</v>
      </c>
      <c r="D1727" t="s">
        <v>226</v>
      </c>
      <c r="E1727" s="4">
        <v>35.76</v>
      </c>
      <c r="F1727" t="s">
        <v>24</v>
      </c>
      <c r="G1727" s="10" t="str">
        <f>TEXT(Transform_Data[[#This Row],[Date]],"mmm yyyy")</f>
        <v>Sep 2024</v>
      </c>
      <c r="H1727" s="10">
        <f>HOUR(Transform_Data[[#This Row],[Time]])</f>
        <v>10</v>
      </c>
      <c r="I1727" s="10" t="str">
        <f>IF(COUNTIF('Transform Data'!$D:$D,'Transform Data'!D1727)&gt;1,"Repeat","Single")</f>
        <v>Repeat</v>
      </c>
      <c r="J1727" s="10" t="str">
        <f>IF('Transform Data'!D1727="Cash","Cash",IF(COUNTIF('Transform Data'!$D:$D,'Transform Data'!D1727)&gt;1,"Repeat","Single"))</f>
        <v>Repeat</v>
      </c>
      <c r="K1727" s="10" t="str">
        <f t="shared" si="26"/>
        <v>TRANS-1726</v>
      </c>
    </row>
    <row r="1728" spans="1:11" x14ac:dyDescent="0.35">
      <c r="A1728" s="5">
        <v>45564</v>
      </c>
      <c r="B1728" s="3">
        <v>0.45211805555555556</v>
      </c>
      <c r="C1728" t="s">
        <v>8</v>
      </c>
      <c r="D1728" t="s">
        <v>226</v>
      </c>
      <c r="E1728" s="4">
        <v>35.76</v>
      </c>
      <c r="F1728" t="s">
        <v>24</v>
      </c>
      <c r="G1728" s="10" t="str">
        <f>TEXT(Transform_Data[[#This Row],[Date]],"mmm yyyy")</f>
        <v>Sep 2024</v>
      </c>
      <c r="H1728" s="10">
        <f>HOUR(Transform_Data[[#This Row],[Time]])</f>
        <v>10</v>
      </c>
      <c r="I1728" s="10" t="str">
        <f>IF(COUNTIF('Transform Data'!$D:$D,'Transform Data'!D1728)&gt;1,"Repeat","Single")</f>
        <v>Repeat</v>
      </c>
      <c r="J1728" s="10" t="str">
        <f>IF('Transform Data'!D1728="Cash","Cash",IF(COUNTIF('Transform Data'!$D:$D,'Transform Data'!D1728)&gt;1,"Repeat","Single"))</f>
        <v>Repeat</v>
      </c>
      <c r="K1728" s="10" t="str">
        <f t="shared" si="26"/>
        <v>TRANS-1727</v>
      </c>
    </row>
    <row r="1729" spans="1:11" x14ac:dyDescent="0.35">
      <c r="A1729" s="5">
        <v>45564</v>
      </c>
      <c r="B1729" s="3">
        <v>0.45304398148148151</v>
      </c>
      <c r="C1729" t="s">
        <v>8</v>
      </c>
      <c r="D1729" t="s">
        <v>226</v>
      </c>
      <c r="E1729" s="4">
        <v>35.76</v>
      </c>
      <c r="F1729" t="s">
        <v>24</v>
      </c>
      <c r="G1729" s="10" t="str">
        <f>TEXT(Transform_Data[[#This Row],[Date]],"mmm yyyy")</f>
        <v>Sep 2024</v>
      </c>
      <c r="H1729" s="10">
        <f>HOUR(Transform_Data[[#This Row],[Time]])</f>
        <v>10</v>
      </c>
      <c r="I1729" s="10" t="str">
        <f>IF(COUNTIF('Transform Data'!$D:$D,'Transform Data'!D1729)&gt;1,"Repeat","Single")</f>
        <v>Repeat</v>
      </c>
      <c r="J1729" s="10" t="str">
        <f>IF('Transform Data'!D1729="Cash","Cash",IF(COUNTIF('Transform Data'!$D:$D,'Transform Data'!D1729)&gt;1,"Repeat","Single"))</f>
        <v>Repeat</v>
      </c>
      <c r="K1729" s="10" t="str">
        <f t="shared" si="26"/>
        <v>TRANS-1728</v>
      </c>
    </row>
    <row r="1730" spans="1:11" x14ac:dyDescent="0.35">
      <c r="A1730" s="5">
        <v>45564</v>
      </c>
      <c r="B1730" s="3">
        <v>0.45395833333333335</v>
      </c>
      <c r="C1730" t="s">
        <v>8</v>
      </c>
      <c r="D1730" t="s">
        <v>386</v>
      </c>
      <c r="E1730" s="4">
        <v>30.86</v>
      </c>
      <c r="F1730" t="s">
        <v>36</v>
      </c>
      <c r="G1730" s="10" t="str">
        <f>TEXT(Transform_Data[[#This Row],[Date]],"mmm yyyy")</f>
        <v>Sep 2024</v>
      </c>
      <c r="H1730" s="10">
        <f>HOUR(Transform_Data[[#This Row],[Time]])</f>
        <v>10</v>
      </c>
      <c r="I1730" s="10" t="str">
        <f>IF(COUNTIF('Transform Data'!$D:$D,'Transform Data'!D1730)&gt;1,"Repeat","Single")</f>
        <v>Repeat</v>
      </c>
      <c r="J1730" s="10" t="str">
        <f>IF('Transform Data'!D1730="Cash","Cash",IF(COUNTIF('Transform Data'!$D:$D,'Transform Data'!D1730)&gt;1,"Repeat","Single"))</f>
        <v>Repeat</v>
      </c>
      <c r="K1730" s="10" t="str">
        <f t="shared" ref="K1730:K1793" si="27">"TRANS-"&amp;TEXT(ROW(A1729),"0000")</f>
        <v>TRANS-1729</v>
      </c>
    </row>
    <row r="1731" spans="1:11" x14ac:dyDescent="0.35">
      <c r="A1731" s="5">
        <v>45564</v>
      </c>
      <c r="B1731" s="3">
        <v>0.5248032407407407</v>
      </c>
      <c r="C1731" t="s">
        <v>8</v>
      </c>
      <c r="D1731" t="s">
        <v>735</v>
      </c>
      <c r="E1731" s="4">
        <v>35.76</v>
      </c>
      <c r="F1731" t="s">
        <v>32</v>
      </c>
      <c r="G1731" s="10" t="str">
        <f>TEXT(Transform_Data[[#This Row],[Date]],"mmm yyyy")</f>
        <v>Sep 2024</v>
      </c>
      <c r="H1731" s="10">
        <f>HOUR(Transform_Data[[#This Row],[Time]])</f>
        <v>12</v>
      </c>
      <c r="I1731" s="10" t="str">
        <f>IF(COUNTIF('Transform Data'!$D:$D,'Transform Data'!D1731)&gt;1,"Repeat","Single")</f>
        <v>Repeat</v>
      </c>
      <c r="J1731" s="10" t="str">
        <f>IF('Transform Data'!D1731="Cash","Cash",IF(COUNTIF('Transform Data'!$D:$D,'Transform Data'!D1731)&gt;1,"Repeat","Single"))</f>
        <v>Repeat</v>
      </c>
      <c r="K1731" s="10" t="str">
        <f t="shared" si="27"/>
        <v>TRANS-1730</v>
      </c>
    </row>
    <row r="1732" spans="1:11" x14ac:dyDescent="0.35">
      <c r="A1732" s="5">
        <v>45564</v>
      </c>
      <c r="B1732" s="3">
        <v>0.53539351851851846</v>
      </c>
      <c r="C1732" t="s">
        <v>8</v>
      </c>
      <c r="D1732" t="s">
        <v>40</v>
      </c>
      <c r="E1732" s="4">
        <v>25.96</v>
      </c>
      <c r="F1732" t="s">
        <v>20</v>
      </c>
      <c r="G1732" s="10" t="str">
        <f>TEXT(Transform_Data[[#This Row],[Date]],"mmm yyyy")</f>
        <v>Sep 2024</v>
      </c>
      <c r="H1732" s="10">
        <f>HOUR(Transform_Data[[#This Row],[Time]])</f>
        <v>12</v>
      </c>
      <c r="I1732" s="10" t="str">
        <f>IF(COUNTIF('Transform Data'!$D:$D,'Transform Data'!D1732)&gt;1,"Repeat","Single")</f>
        <v>Repeat</v>
      </c>
      <c r="J1732" s="10" t="str">
        <f>IF('Transform Data'!D1732="Cash","Cash",IF(COUNTIF('Transform Data'!$D:$D,'Transform Data'!D1732)&gt;1,"Repeat","Single"))</f>
        <v>Repeat</v>
      </c>
      <c r="K1732" s="10" t="str">
        <f t="shared" si="27"/>
        <v>TRANS-1731</v>
      </c>
    </row>
    <row r="1733" spans="1:11" x14ac:dyDescent="0.35">
      <c r="A1733" s="5">
        <v>45564</v>
      </c>
      <c r="B1733" s="3">
        <v>0.53767361111111112</v>
      </c>
      <c r="C1733" t="s">
        <v>8</v>
      </c>
      <c r="D1733" t="s">
        <v>654</v>
      </c>
      <c r="E1733" s="4">
        <v>35.76</v>
      </c>
      <c r="F1733" t="s">
        <v>32</v>
      </c>
      <c r="G1733" s="10" t="str">
        <f>TEXT(Transform_Data[[#This Row],[Date]],"mmm yyyy")</f>
        <v>Sep 2024</v>
      </c>
      <c r="H1733" s="10">
        <f>HOUR(Transform_Data[[#This Row],[Time]])</f>
        <v>12</v>
      </c>
      <c r="I1733" s="10" t="str">
        <f>IF(COUNTIF('Transform Data'!$D:$D,'Transform Data'!D1733)&gt;1,"Repeat","Single")</f>
        <v>Repeat</v>
      </c>
      <c r="J1733" s="10" t="str">
        <f>IF('Transform Data'!D1733="Cash","Cash",IF(COUNTIF('Transform Data'!$D:$D,'Transform Data'!D1733)&gt;1,"Repeat","Single"))</f>
        <v>Repeat</v>
      </c>
      <c r="K1733" s="10" t="str">
        <f t="shared" si="27"/>
        <v>TRANS-1732</v>
      </c>
    </row>
    <row r="1734" spans="1:11" x14ac:dyDescent="0.35">
      <c r="A1734" s="5">
        <v>45564</v>
      </c>
      <c r="B1734" s="3">
        <v>0.53843750000000001</v>
      </c>
      <c r="C1734" t="s">
        <v>8</v>
      </c>
      <c r="D1734" t="s">
        <v>740</v>
      </c>
      <c r="E1734" s="4">
        <v>35.76</v>
      </c>
      <c r="F1734" t="s">
        <v>32</v>
      </c>
      <c r="G1734" s="10" t="str">
        <f>TEXT(Transform_Data[[#This Row],[Date]],"mmm yyyy")</f>
        <v>Sep 2024</v>
      </c>
      <c r="H1734" s="10">
        <f>HOUR(Transform_Data[[#This Row],[Time]])</f>
        <v>12</v>
      </c>
      <c r="I1734" s="10" t="str">
        <f>IF(COUNTIF('Transform Data'!$D:$D,'Transform Data'!D1734)&gt;1,"Repeat","Single")</f>
        <v>Single</v>
      </c>
      <c r="J1734" s="10" t="str">
        <f>IF('Transform Data'!D1734="Cash","Cash",IF(COUNTIF('Transform Data'!$D:$D,'Transform Data'!D1734)&gt;1,"Repeat","Single"))</f>
        <v>Single</v>
      </c>
      <c r="K1734" s="10" t="str">
        <f t="shared" si="27"/>
        <v>TRANS-1733</v>
      </c>
    </row>
    <row r="1735" spans="1:11" x14ac:dyDescent="0.35">
      <c r="A1735" s="5">
        <v>45564</v>
      </c>
      <c r="B1735" s="3">
        <v>0.75170138888888893</v>
      </c>
      <c r="C1735" t="s">
        <v>8</v>
      </c>
      <c r="D1735" t="s">
        <v>741</v>
      </c>
      <c r="E1735" s="4">
        <v>35.76</v>
      </c>
      <c r="F1735" t="s">
        <v>24</v>
      </c>
      <c r="G1735" s="10" t="str">
        <f>TEXT(Transform_Data[[#This Row],[Date]],"mmm yyyy")</f>
        <v>Sep 2024</v>
      </c>
      <c r="H1735" s="10">
        <f>HOUR(Transform_Data[[#This Row],[Time]])</f>
        <v>18</v>
      </c>
      <c r="I1735" s="10" t="str">
        <f>IF(COUNTIF('Transform Data'!$D:$D,'Transform Data'!D1735)&gt;1,"Repeat","Single")</f>
        <v>Single</v>
      </c>
      <c r="J1735" s="10" t="str">
        <f>IF('Transform Data'!D1735="Cash","Cash",IF(COUNTIF('Transform Data'!$D:$D,'Transform Data'!D1735)&gt;1,"Repeat","Single"))</f>
        <v>Single</v>
      </c>
      <c r="K1735" s="10" t="str">
        <f t="shared" si="27"/>
        <v>TRANS-1734</v>
      </c>
    </row>
    <row r="1736" spans="1:11" x14ac:dyDescent="0.35">
      <c r="A1736" s="5">
        <v>45564</v>
      </c>
      <c r="B1736" s="3">
        <v>0.93821759259259263</v>
      </c>
      <c r="C1736" t="s">
        <v>8</v>
      </c>
      <c r="D1736" t="s">
        <v>742</v>
      </c>
      <c r="E1736" s="4">
        <v>35.76</v>
      </c>
      <c r="F1736" t="s">
        <v>32</v>
      </c>
      <c r="G1736" s="10" t="str">
        <f>TEXT(Transform_Data[[#This Row],[Date]],"mmm yyyy")</f>
        <v>Sep 2024</v>
      </c>
      <c r="H1736" s="10">
        <f>HOUR(Transform_Data[[#This Row],[Time]])</f>
        <v>22</v>
      </c>
      <c r="I1736" s="10" t="str">
        <f>IF(COUNTIF('Transform Data'!$D:$D,'Transform Data'!D1736)&gt;1,"Repeat","Single")</f>
        <v>Repeat</v>
      </c>
      <c r="J1736" s="10" t="str">
        <f>IF('Transform Data'!D1736="Cash","Cash",IF(COUNTIF('Transform Data'!$D:$D,'Transform Data'!D1736)&gt;1,"Repeat","Single"))</f>
        <v>Repeat</v>
      </c>
      <c r="K1736" s="10" t="str">
        <f t="shared" si="27"/>
        <v>TRANS-1735</v>
      </c>
    </row>
    <row r="1737" spans="1:11" x14ac:dyDescent="0.35">
      <c r="A1737" s="5">
        <v>45565</v>
      </c>
      <c r="B1737" s="3">
        <v>0.33943287037037034</v>
      </c>
      <c r="C1737" t="s">
        <v>8</v>
      </c>
      <c r="D1737" t="s">
        <v>40</v>
      </c>
      <c r="E1737" s="4">
        <v>25.96</v>
      </c>
      <c r="F1737" t="s">
        <v>20</v>
      </c>
      <c r="G1737" s="10" t="str">
        <f>TEXT(Transform_Data[[#This Row],[Date]],"mmm yyyy")</f>
        <v>Sep 2024</v>
      </c>
      <c r="H1737" s="10">
        <f>HOUR(Transform_Data[[#This Row],[Time]])</f>
        <v>8</v>
      </c>
      <c r="I1737" s="10" t="str">
        <f>IF(COUNTIF('Transform Data'!$D:$D,'Transform Data'!D1737)&gt;1,"Repeat","Single")</f>
        <v>Repeat</v>
      </c>
      <c r="J1737" s="10" t="str">
        <f>IF('Transform Data'!D1737="Cash","Cash",IF(COUNTIF('Transform Data'!$D:$D,'Transform Data'!D1737)&gt;1,"Repeat","Single"))</f>
        <v>Repeat</v>
      </c>
      <c r="K1737" s="10" t="str">
        <f t="shared" si="27"/>
        <v>TRANS-1736</v>
      </c>
    </row>
    <row r="1738" spans="1:11" x14ac:dyDescent="0.35">
      <c r="A1738" s="5">
        <v>45565</v>
      </c>
      <c r="B1738" s="3">
        <v>0.3742361111111111</v>
      </c>
      <c r="C1738" t="s">
        <v>8</v>
      </c>
      <c r="D1738" t="s">
        <v>743</v>
      </c>
      <c r="E1738" s="4">
        <v>25.96</v>
      </c>
      <c r="F1738" t="s">
        <v>20</v>
      </c>
      <c r="G1738" s="10" t="str">
        <f>TEXT(Transform_Data[[#This Row],[Date]],"mmm yyyy")</f>
        <v>Sep 2024</v>
      </c>
      <c r="H1738" s="10">
        <f>HOUR(Transform_Data[[#This Row],[Time]])</f>
        <v>8</v>
      </c>
      <c r="I1738" s="10" t="str">
        <f>IF(COUNTIF('Transform Data'!$D:$D,'Transform Data'!D1738)&gt;1,"Repeat","Single")</f>
        <v>Repeat</v>
      </c>
      <c r="J1738" s="10" t="str">
        <f>IF('Transform Data'!D1738="Cash","Cash",IF(COUNTIF('Transform Data'!$D:$D,'Transform Data'!D1738)&gt;1,"Repeat","Single"))</f>
        <v>Repeat</v>
      </c>
      <c r="K1738" s="10" t="str">
        <f t="shared" si="27"/>
        <v>TRANS-1737</v>
      </c>
    </row>
    <row r="1739" spans="1:11" x14ac:dyDescent="0.35">
      <c r="A1739" s="5">
        <v>45565</v>
      </c>
      <c r="B1739" s="3">
        <v>0.37504629629629632</v>
      </c>
      <c r="C1739" t="s">
        <v>8</v>
      </c>
      <c r="D1739" t="s">
        <v>744</v>
      </c>
      <c r="E1739" s="4">
        <v>35.76</v>
      </c>
      <c r="F1739" t="s">
        <v>15</v>
      </c>
      <c r="G1739" s="10" t="str">
        <f>TEXT(Transform_Data[[#This Row],[Date]],"mmm yyyy")</f>
        <v>Sep 2024</v>
      </c>
      <c r="H1739" s="10">
        <f>HOUR(Transform_Data[[#This Row],[Time]])</f>
        <v>9</v>
      </c>
      <c r="I1739" s="10" t="str">
        <f>IF(COUNTIF('Transform Data'!$D:$D,'Transform Data'!D1739)&gt;1,"Repeat","Single")</f>
        <v>Single</v>
      </c>
      <c r="J1739" s="10" t="str">
        <f>IF('Transform Data'!D1739="Cash","Cash",IF(COUNTIF('Transform Data'!$D:$D,'Transform Data'!D1739)&gt;1,"Repeat","Single"))</f>
        <v>Single</v>
      </c>
      <c r="K1739" s="10" t="str">
        <f t="shared" si="27"/>
        <v>TRANS-1738</v>
      </c>
    </row>
    <row r="1740" spans="1:11" x14ac:dyDescent="0.35">
      <c r="A1740" s="5">
        <v>45565</v>
      </c>
      <c r="B1740" s="3">
        <v>0.41746527777777775</v>
      </c>
      <c r="C1740" t="s">
        <v>8</v>
      </c>
      <c r="D1740" t="s">
        <v>29</v>
      </c>
      <c r="E1740" s="4">
        <v>30.86</v>
      </c>
      <c r="F1740" t="s">
        <v>36</v>
      </c>
      <c r="G1740" s="10" t="str">
        <f>TEXT(Transform_Data[[#This Row],[Date]],"mmm yyyy")</f>
        <v>Sep 2024</v>
      </c>
      <c r="H1740" s="10">
        <f>HOUR(Transform_Data[[#This Row],[Time]])</f>
        <v>10</v>
      </c>
      <c r="I1740" s="10" t="str">
        <f>IF(COUNTIF('Transform Data'!$D:$D,'Transform Data'!D1740)&gt;1,"Repeat","Single")</f>
        <v>Repeat</v>
      </c>
      <c r="J1740" s="10" t="str">
        <f>IF('Transform Data'!D1740="Cash","Cash",IF(COUNTIF('Transform Data'!$D:$D,'Transform Data'!D1740)&gt;1,"Repeat","Single"))</f>
        <v>Repeat</v>
      </c>
      <c r="K1740" s="10" t="str">
        <f t="shared" si="27"/>
        <v>TRANS-1739</v>
      </c>
    </row>
    <row r="1741" spans="1:11" x14ac:dyDescent="0.35">
      <c r="A1741" s="5">
        <v>45565</v>
      </c>
      <c r="B1741" s="3">
        <v>0.42034722222222221</v>
      </c>
      <c r="C1741" t="s">
        <v>8</v>
      </c>
      <c r="D1741" t="s">
        <v>40</v>
      </c>
      <c r="E1741" s="4">
        <v>25.96</v>
      </c>
      <c r="F1741" t="s">
        <v>20</v>
      </c>
      <c r="G1741" s="10" t="str">
        <f>TEXT(Transform_Data[[#This Row],[Date]],"mmm yyyy")</f>
        <v>Sep 2024</v>
      </c>
      <c r="H1741" s="10">
        <f>HOUR(Transform_Data[[#This Row],[Time]])</f>
        <v>10</v>
      </c>
      <c r="I1741" s="10" t="str">
        <f>IF(COUNTIF('Transform Data'!$D:$D,'Transform Data'!D1741)&gt;1,"Repeat","Single")</f>
        <v>Repeat</v>
      </c>
      <c r="J1741" s="10" t="str">
        <f>IF('Transform Data'!D1741="Cash","Cash",IF(COUNTIF('Transform Data'!$D:$D,'Transform Data'!D1741)&gt;1,"Repeat","Single"))</f>
        <v>Repeat</v>
      </c>
      <c r="K1741" s="10" t="str">
        <f t="shared" si="27"/>
        <v>TRANS-1740</v>
      </c>
    </row>
    <row r="1742" spans="1:11" x14ac:dyDescent="0.35">
      <c r="A1742" s="5">
        <v>45565</v>
      </c>
      <c r="B1742" s="3">
        <v>0.48118055555555556</v>
      </c>
      <c r="C1742" t="s">
        <v>8</v>
      </c>
      <c r="D1742" t="s">
        <v>745</v>
      </c>
      <c r="E1742" s="4">
        <v>30.86</v>
      </c>
      <c r="F1742" t="s">
        <v>36</v>
      </c>
      <c r="G1742" s="10" t="str">
        <f>TEXT(Transform_Data[[#This Row],[Date]],"mmm yyyy")</f>
        <v>Sep 2024</v>
      </c>
      <c r="H1742" s="10">
        <f>HOUR(Transform_Data[[#This Row],[Time]])</f>
        <v>11</v>
      </c>
      <c r="I1742" s="10" t="str">
        <f>IF(COUNTIF('Transform Data'!$D:$D,'Transform Data'!D1742)&gt;1,"Repeat","Single")</f>
        <v>Single</v>
      </c>
      <c r="J1742" s="10" t="str">
        <f>IF('Transform Data'!D1742="Cash","Cash",IF(COUNTIF('Transform Data'!$D:$D,'Transform Data'!D1742)&gt;1,"Repeat","Single"))</f>
        <v>Single</v>
      </c>
      <c r="K1742" s="10" t="str">
        <f t="shared" si="27"/>
        <v>TRANS-1741</v>
      </c>
    </row>
    <row r="1743" spans="1:11" x14ac:dyDescent="0.35">
      <c r="A1743" s="5">
        <v>45565</v>
      </c>
      <c r="B1743" s="3">
        <v>0.69842592592592589</v>
      </c>
      <c r="C1743" t="s">
        <v>8</v>
      </c>
      <c r="D1743" t="s">
        <v>386</v>
      </c>
      <c r="E1743" s="4">
        <v>30.86</v>
      </c>
      <c r="F1743" t="s">
        <v>36</v>
      </c>
      <c r="G1743" s="10" t="str">
        <f>TEXT(Transform_Data[[#This Row],[Date]],"mmm yyyy")</f>
        <v>Sep 2024</v>
      </c>
      <c r="H1743" s="10">
        <f>HOUR(Transform_Data[[#This Row],[Time]])</f>
        <v>16</v>
      </c>
      <c r="I1743" s="10" t="str">
        <f>IF(COUNTIF('Transform Data'!$D:$D,'Transform Data'!D1743)&gt;1,"Repeat","Single")</f>
        <v>Repeat</v>
      </c>
      <c r="J1743" s="10" t="str">
        <f>IF('Transform Data'!D1743="Cash","Cash",IF(COUNTIF('Transform Data'!$D:$D,'Transform Data'!D1743)&gt;1,"Repeat","Single"))</f>
        <v>Repeat</v>
      </c>
      <c r="K1743" s="10" t="str">
        <f t="shared" si="27"/>
        <v>TRANS-1742</v>
      </c>
    </row>
    <row r="1744" spans="1:11" x14ac:dyDescent="0.35">
      <c r="A1744" s="5">
        <v>45565</v>
      </c>
      <c r="B1744" s="3">
        <v>0.81409722222222225</v>
      </c>
      <c r="C1744" t="s">
        <v>8</v>
      </c>
      <c r="D1744" t="s">
        <v>21</v>
      </c>
      <c r="E1744" s="4">
        <v>35.76</v>
      </c>
      <c r="F1744" t="s">
        <v>32</v>
      </c>
      <c r="G1744" s="10" t="str">
        <f>TEXT(Transform_Data[[#This Row],[Date]],"mmm yyyy")</f>
        <v>Sep 2024</v>
      </c>
      <c r="H1744" s="10">
        <f>HOUR(Transform_Data[[#This Row],[Time]])</f>
        <v>19</v>
      </c>
      <c r="I1744" s="10" t="str">
        <f>IF(COUNTIF('Transform Data'!$D:$D,'Transform Data'!D1744)&gt;1,"Repeat","Single")</f>
        <v>Repeat</v>
      </c>
      <c r="J1744" s="10" t="str">
        <f>IF('Transform Data'!D1744="Cash","Cash",IF(COUNTIF('Transform Data'!$D:$D,'Transform Data'!D1744)&gt;1,"Repeat","Single"))</f>
        <v>Repeat</v>
      </c>
      <c r="K1744" s="10" t="str">
        <f t="shared" si="27"/>
        <v>TRANS-1743</v>
      </c>
    </row>
    <row r="1745" spans="1:11" x14ac:dyDescent="0.35">
      <c r="A1745" s="5">
        <v>45565</v>
      </c>
      <c r="B1745" s="3">
        <v>0.82863425925925926</v>
      </c>
      <c r="C1745" t="s">
        <v>8</v>
      </c>
      <c r="D1745" t="s">
        <v>746</v>
      </c>
      <c r="E1745" s="4">
        <v>30.86</v>
      </c>
      <c r="F1745" t="s">
        <v>36</v>
      </c>
      <c r="G1745" s="10" t="str">
        <f>TEXT(Transform_Data[[#This Row],[Date]],"mmm yyyy")</f>
        <v>Sep 2024</v>
      </c>
      <c r="H1745" s="10">
        <f>HOUR(Transform_Data[[#This Row],[Time]])</f>
        <v>19</v>
      </c>
      <c r="I1745" s="10" t="str">
        <f>IF(COUNTIF('Transform Data'!$D:$D,'Transform Data'!D1745)&gt;1,"Repeat","Single")</f>
        <v>Repeat</v>
      </c>
      <c r="J1745" s="10" t="str">
        <f>IF('Transform Data'!D1745="Cash","Cash",IF(COUNTIF('Transform Data'!$D:$D,'Transform Data'!D1745)&gt;1,"Repeat","Single"))</f>
        <v>Repeat</v>
      </c>
      <c r="K1745" s="10" t="str">
        <f t="shared" si="27"/>
        <v>TRANS-1744</v>
      </c>
    </row>
    <row r="1746" spans="1:11" x14ac:dyDescent="0.35">
      <c r="A1746" s="5">
        <v>45565</v>
      </c>
      <c r="B1746" s="3">
        <v>0.82936342592592593</v>
      </c>
      <c r="C1746" t="s">
        <v>8</v>
      </c>
      <c r="D1746" t="s">
        <v>746</v>
      </c>
      <c r="E1746" s="4">
        <v>25.96</v>
      </c>
      <c r="F1746" t="s">
        <v>20</v>
      </c>
      <c r="G1746" s="10" t="str">
        <f>TEXT(Transform_Data[[#This Row],[Date]],"mmm yyyy")</f>
        <v>Sep 2024</v>
      </c>
      <c r="H1746" s="10">
        <f>HOUR(Transform_Data[[#This Row],[Time]])</f>
        <v>19</v>
      </c>
      <c r="I1746" s="10" t="str">
        <f>IF(COUNTIF('Transform Data'!$D:$D,'Transform Data'!D1746)&gt;1,"Repeat","Single")</f>
        <v>Repeat</v>
      </c>
      <c r="J1746" s="10" t="str">
        <f>IF('Transform Data'!D1746="Cash","Cash",IF(COUNTIF('Transform Data'!$D:$D,'Transform Data'!D1746)&gt;1,"Repeat","Single"))</f>
        <v>Repeat</v>
      </c>
      <c r="K1746" s="10" t="str">
        <f t="shared" si="27"/>
        <v>TRANS-1745</v>
      </c>
    </row>
    <row r="1747" spans="1:11" x14ac:dyDescent="0.35">
      <c r="A1747" s="5">
        <v>45565</v>
      </c>
      <c r="B1747" s="3">
        <v>0.83284722222222218</v>
      </c>
      <c r="C1747" t="s">
        <v>8</v>
      </c>
      <c r="D1747" t="s">
        <v>683</v>
      </c>
      <c r="E1747" s="4">
        <v>35.76</v>
      </c>
      <c r="F1747" t="s">
        <v>32</v>
      </c>
      <c r="G1747" s="10" t="str">
        <f>TEXT(Transform_Data[[#This Row],[Date]],"mmm yyyy")</f>
        <v>Sep 2024</v>
      </c>
      <c r="H1747" s="10">
        <f>HOUR(Transform_Data[[#This Row],[Time]])</f>
        <v>19</v>
      </c>
      <c r="I1747" s="10" t="str">
        <f>IF(COUNTIF('Transform Data'!$D:$D,'Transform Data'!D1747)&gt;1,"Repeat","Single")</f>
        <v>Repeat</v>
      </c>
      <c r="J1747" s="10" t="str">
        <f>IF('Transform Data'!D1747="Cash","Cash",IF(COUNTIF('Transform Data'!$D:$D,'Transform Data'!D1747)&gt;1,"Repeat","Single"))</f>
        <v>Repeat</v>
      </c>
      <c r="K1747" s="10" t="str">
        <f t="shared" si="27"/>
        <v>TRANS-1746</v>
      </c>
    </row>
    <row r="1748" spans="1:11" x14ac:dyDescent="0.35">
      <c r="A1748" s="5">
        <v>45565</v>
      </c>
      <c r="B1748" s="3">
        <v>0.83381944444444445</v>
      </c>
      <c r="C1748" t="s">
        <v>8</v>
      </c>
      <c r="D1748" t="s">
        <v>583</v>
      </c>
      <c r="E1748" s="4">
        <v>30.86</v>
      </c>
      <c r="F1748" t="s">
        <v>36</v>
      </c>
      <c r="G1748" s="10" t="str">
        <f>TEXT(Transform_Data[[#This Row],[Date]],"mmm yyyy")</f>
        <v>Sep 2024</v>
      </c>
      <c r="H1748" s="10">
        <f>HOUR(Transform_Data[[#This Row],[Time]])</f>
        <v>20</v>
      </c>
      <c r="I1748" s="10" t="str">
        <f>IF(COUNTIF('Transform Data'!$D:$D,'Transform Data'!D1748)&gt;1,"Repeat","Single")</f>
        <v>Repeat</v>
      </c>
      <c r="J1748" s="10" t="str">
        <f>IF('Transform Data'!D1748="Cash","Cash",IF(COUNTIF('Transform Data'!$D:$D,'Transform Data'!D1748)&gt;1,"Repeat","Single"))</f>
        <v>Repeat</v>
      </c>
      <c r="K1748" s="10" t="str">
        <f t="shared" si="27"/>
        <v>TRANS-1747</v>
      </c>
    </row>
    <row r="1749" spans="1:11" x14ac:dyDescent="0.35">
      <c r="A1749" s="5">
        <v>45565</v>
      </c>
      <c r="B1749" s="3">
        <v>0.83451388888888889</v>
      </c>
      <c r="C1749" t="s">
        <v>8</v>
      </c>
      <c r="D1749" t="s">
        <v>685</v>
      </c>
      <c r="E1749" s="4">
        <v>30.86</v>
      </c>
      <c r="F1749" t="s">
        <v>36</v>
      </c>
      <c r="G1749" s="10" t="str">
        <f>TEXT(Transform_Data[[#This Row],[Date]],"mmm yyyy")</f>
        <v>Sep 2024</v>
      </c>
      <c r="H1749" s="10">
        <f>HOUR(Transform_Data[[#This Row],[Time]])</f>
        <v>20</v>
      </c>
      <c r="I1749" s="10" t="str">
        <f>IF(COUNTIF('Transform Data'!$D:$D,'Transform Data'!D1749)&gt;1,"Repeat","Single")</f>
        <v>Repeat</v>
      </c>
      <c r="J1749" s="10" t="str">
        <f>IF('Transform Data'!D1749="Cash","Cash",IF(COUNTIF('Transform Data'!$D:$D,'Transform Data'!D1749)&gt;1,"Repeat","Single"))</f>
        <v>Repeat</v>
      </c>
      <c r="K1749" s="10" t="str">
        <f t="shared" si="27"/>
        <v>TRANS-1748</v>
      </c>
    </row>
    <row r="1750" spans="1:11" x14ac:dyDescent="0.35">
      <c r="A1750" s="5">
        <v>45565</v>
      </c>
      <c r="B1750" s="3">
        <v>0.90355324074074073</v>
      </c>
      <c r="C1750" t="s">
        <v>8</v>
      </c>
      <c r="D1750" t="s">
        <v>747</v>
      </c>
      <c r="E1750" s="4">
        <v>30.86</v>
      </c>
      <c r="F1750" t="s">
        <v>36</v>
      </c>
      <c r="G1750" s="10" t="str">
        <f>TEXT(Transform_Data[[#This Row],[Date]],"mmm yyyy")</f>
        <v>Sep 2024</v>
      </c>
      <c r="H1750" s="10">
        <f>HOUR(Transform_Data[[#This Row],[Time]])</f>
        <v>21</v>
      </c>
      <c r="I1750" s="10" t="str">
        <f>IF(COUNTIF('Transform Data'!$D:$D,'Transform Data'!D1750)&gt;1,"Repeat","Single")</f>
        <v>Repeat</v>
      </c>
      <c r="J1750" s="10" t="str">
        <f>IF('Transform Data'!D1750="Cash","Cash",IF(COUNTIF('Transform Data'!$D:$D,'Transform Data'!D1750)&gt;1,"Repeat","Single"))</f>
        <v>Repeat</v>
      </c>
      <c r="K1750" s="10" t="str">
        <f t="shared" si="27"/>
        <v>TRANS-1749</v>
      </c>
    </row>
    <row r="1751" spans="1:11" x14ac:dyDescent="0.35">
      <c r="A1751" s="5">
        <v>45566</v>
      </c>
      <c r="B1751" s="3">
        <v>0.32439814814814816</v>
      </c>
      <c r="C1751" t="s">
        <v>8</v>
      </c>
      <c r="D1751" t="s">
        <v>748</v>
      </c>
      <c r="E1751" s="4">
        <v>35.76</v>
      </c>
      <c r="F1751" t="s">
        <v>32</v>
      </c>
      <c r="G1751" s="10" t="str">
        <f>TEXT(Transform_Data[[#This Row],[Date]],"mmm yyyy")</f>
        <v>Oct 2024</v>
      </c>
      <c r="H1751" s="10">
        <f>HOUR(Transform_Data[[#This Row],[Time]])</f>
        <v>7</v>
      </c>
      <c r="I1751" s="10" t="str">
        <f>IF(COUNTIF('Transform Data'!$D:$D,'Transform Data'!D1751)&gt;1,"Repeat","Single")</f>
        <v>Repeat</v>
      </c>
      <c r="J1751" s="10" t="str">
        <f>IF('Transform Data'!D1751="Cash","Cash",IF(COUNTIF('Transform Data'!$D:$D,'Transform Data'!D1751)&gt;1,"Repeat","Single"))</f>
        <v>Repeat</v>
      </c>
      <c r="K1751" s="10" t="str">
        <f t="shared" si="27"/>
        <v>TRANS-1750</v>
      </c>
    </row>
    <row r="1752" spans="1:11" x14ac:dyDescent="0.35">
      <c r="A1752" s="5">
        <v>45566</v>
      </c>
      <c r="B1752" s="3">
        <v>0.40868055555555555</v>
      </c>
      <c r="C1752" t="s">
        <v>8</v>
      </c>
      <c r="D1752" t="s">
        <v>29</v>
      </c>
      <c r="E1752" s="4">
        <v>30.86</v>
      </c>
      <c r="F1752" t="s">
        <v>36</v>
      </c>
      <c r="G1752" s="10" t="str">
        <f>TEXT(Transform_Data[[#This Row],[Date]],"mmm yyyy")</f>
        <v>Oct 2024</v>
      </c>
      <c r="H1752" s="10">
        <f>HOUR(Transform_Data[[#This Row],[Time]])</f>
        <v>9</v>
      </c>
      <c r="I1752" s="10" t="str">
        <f>IF(COUNTIF('Transform Data'!$D:$D,'Transform Data'!D1752)&gt;1,"Repeat","Single")</f>
        <v>Repeat</v>
      </c>
      <c r="J1752" s="10" t="str">
        <f>IF('Transform Data'!D1752="Cash","Cash",IF(COUNTIF('Transform Data'!$D:$D,'Transform Data'!D1752)&gt;1,"Repeat","Single"))</f>
        <v>Repeat</v>
      </c>
      <c r="K1752" s="10" t="str">
        <f t="shared" si="27"/>
        <v>TRANS-1751</v>
      </c>
    </row>
    <row r="1753" spans="1:11" x14ac:dyDescent="0.35">
      <c r="A1753" s="5">
        <v>45566</v>
      </c>
      <c r="B1753" s="3">
        <v>0.41835648148148147</v>
      </c>
      <c r="C1753" t="s">
        <v>8</v>
      </c>
      <c r="D1753" t="s">
        <v>386</v>
      </c>
      <c r="E1753" s="4">
        <v>30.86</v>
      </c>
      <c r="F1753" t="s">
        <v>36</v>
      </c>
      <c r="G1753" s="10" t="str">
        <f>TEXT(Transform_Data[[#This Row],[Date]],"mmm yyyy")</f>
        <v>Oct 2024</v>
      </c>
      <c r="H1753" s="10">
        <f>HOUR(Transform_Data[[#This Row],[Time]])</f>
        <v>10</v>
      </c>
      <c r="I1753" s="10" t="str">
        <f>IF(COUNTIF('Transform Data'!$D:$D,'Transform Data'!D1753)&gt;1,"Repeat","Single")</f>
        <v>Repeat</v>
      </c>
      <c r="J1753" s="10" t="str">
        <f>IF('Transform Data'!D1753="Cash","Cash",IF(COUNTIF('Transform Data'!$D:$D,'Transform Data'!D1753)&gt;1,"Repeat","Single"))</f>
        <v>Repeat</v>
      </c>
      <c r="K1753" s="10" t="str">
        <f t="shared" si="27"/>
        <v>TRANS-1752</v>
      </c>
    </row>
    <row r="1754" spans="1:11" x14ac:dyDescent="0.35">
      <c r="A1754" s="5">
        <v>45566</v>
      </c>
      <c r="B1754" s="3">
        <v>0.4192939814814815</v>
      </c>
      <c r="C1754" t="s">
        <v>8</v>
      </c>
      <c r="D1754" t="s">
        <v>386</v>
      </c>
      <c r="E1754" s="4">
        <v>30.86</v>
      </c>
      <c r="F1754" t="s">
        <v>36</v>
      </c>
      <c r="G1754" s="10" t="str">
        <f>TEXT(Transform_Data[[#This Row],[Date]],"mmm yyyy")</f>
        <v>Oct 2024</v>
      </c>
      <c r="H1754" s="10">
        <f>HOUR(Transform_Data[[#This Row],[Time]])</f>
        <v>10</v>
      </c>
      <c r="I1754" s="10" t="str">
        <f>IF(COUNTIF('Transform Data'!$D:$D,'Transform Data'!D1754)&gt;1,"Repeat","Single")</f>
        <v>Repeat</v>
      </c>
      <c r="J1754" s="10" t="str">
        <f>IF('Transform Data'!D1754="Cash","Cash",IF(COUNTIF('Transform Data'!$D:$D,'Transform Data'!D1754)&gt;1,"Repeat","Single"))</f>
        <v>Repeat</v>
      </c>
      <c r="K1754" s="10" t="str">
        <f t="shared" si="27"/>
        <v>TRANS-1753</v>
      </c>
    </row>
    <row r="1755" spans="1:11" x14ac:dyDescent="0.35">
      <c r="A1755" s="5">
        <v>45566</v>
      </c>
      <c r="B1755" s="3">
        <v>0.49688657407407405</v>
      </c>
      <c r="C1755" t="s">
        <v>8</v>
      </c>
      <c r="D1755" t="s">
        <v>749</v>
      </c>
      <c r="E1755" s="4">
        <v>30.86</v>
      </c>
      <c r="F1755" t="s">
        <v>36</v>
      </c>
      <c r="G1755" s="10" t="str">
        <f>TEXT(Transform_Data[[#This Row],[Date]],"mmm yyyy")</f>
        <v>Oct 2024</v>
      </c>
      <c r="H1755" s="10">
        <f>HOUR(Transform_Data[[#This Row],[Time]])</f>
        <v>11</v>
      </c>
      <c r="I1755" s="10" t="str">
        <f>IF(COUNTIF('Transform Data'!$D:$D,'Transform Data'!D1755)&gt;1,"Repeat","Single")</f>
        <v>Single</v>
      </c>
      <c r="J1755" s="10" t="str">
        <f>IF('Transform Data'!D1755="Cash","Cash",IF(COUNTIF('Transform Data'!$D:$D,'Transform Data'!D1755)&gt;1,"Repeat","Single"))</f>
        <v>Single</v>
      </c>
      <c r="K1755" s="10" t="str">
        <f t="shared" si="27"/>
        <v>TRANS-1754</v>
      </c>
    </row>
    <row r="1756" spans="1:11" x14ac:dyDescent="0.35">
      <c r="A1756" s="5">
        <v>45566</v>
      </c>
      <c r="B1756" s="3">
        <v>0.50888888888888884</v>
      </c>
      <c r="C1756" t="s">
        <v>8</v>
      </c>
      <c r="D1756" t="s">
        <v>750</v>
      </c>
      <c r="E1756" s="4">
        <v>30.86</v>
      </c>
      <c r="F1756" t="s">
        <v>36</v>
      </c>
      <c r="G1756" s="10" t="str">
        <f>TEXT(Transform_Data[[#This Row],[Date]],"mmm yyyy")</f>
        <v>Oct 2024</v>
      </c>
      <c r="H1756" s="10">
        <f>HOUR(Transform_Data[[#This Row],[Time]])</f>
        <v>12</v>
      </c>
      <c r="I1756" s="10" t="str">
        <f>IF(COUNTIF('Transform Data'!$D:$D,'Transform Data'!D1756)&gt;1,"Repeat","Single")</f>
        <v>Repeat</v>
      </c>
      <c r="J1756" s="10" t="str">
        <f>IF('Transform Data'!D1756="Cash","Cash",IF(COUNTIF('Transform Data'!$D:$D,'Transform Data'!D1756)&gt;1,"Repeat","Single"))</f>
        <v>Repeat</v>
      </c>
      <c r="K1756" s="10" t="str">
        <f t="shared" si="27"/>
        <v>TRANS-1755</v>
      </c>
    </row>
    <row r="1757" spans="1:11" x14ac:dyDescent="0.35">
      <c r="A1757" s="5">
        <v>45566</v>
      </c>
      <c r="B1757" s="3">
        <v>0.50998842592592597</v>
      </c>
      <c r="C1757" t="s">
        <v>8</v>
      </c>
      <c r="D1757" t="s">
        <v>750</v>
      </c>
      <c r="E1757" s="4">
        <v>30.86</v>
      </c>
      <c r="F1757" t="s">
        <v>36</v>
      </c>
      <c r="G1757" s="10" t="str">
        <f>TEXT(Transform_Data[[#This Row],[Date]],"mmm yyyy")</f>
        <v>Oct 2024</v>
      </c>
      <c r="H1757" s="10">
        <f>HOUR(Transform_Data[[#This Row],[Time]])</f>
        <v>12</v>
      </c>
      <c r="I1757" s="10" t="str">
        <f>IF(COUNTIF('Transform Data'!$D:$D,'Transform Data'!D1757)&gt;1,"Repeat","Single")</f>
        <v>Repeat</v>
      </c>
      <c r="J1757" s="10" t="str">
        <f>IF('Transform Data'!D1757="Cash","Cash",IF(COUNTIF('Transform Data'!$D:$D,'Transform Data'!D1757)&gt;1,"Repeat","Single"))</f>
        <v>Repeat</v>
      </c>
      <c r="K1757" s="10" t="str">
        <f t="shared" si="27"/>
        <v>TRANS-1756</v>
      </c>
    </row>
    <row r="1758" spans="1:11" x14ac:dyDescent="0.35">
      <c r="A1758" s="5">
        <v>45566</v>
      </c>
      <c r="B1758" s="3">
        <v>0.59553240740740743</v>
      </c>
      <c r="C1758" t="s">
        <v>8</v>
      </c>
      <c r="D1758" t="s">
        <v>751</v>
      </c>
      <c r="E1758" s="4">
        <v>25.96</v>
      </c>
      <c r="F1758" t="s">
        <v>28</v>
      </c>
      <c r="G1758" s="10" t="str">
        <f>TEXT(Transform_Data[[#This Row],[Date]],"mmm yyyy")</f>
        <v>Oct 2024</v>
      </c>
      <c r="H1758" s="10">
        <f>HOUR(Transform_Data[[#This Row],[Time]])</f>
        <v>14</v>
      </c>
      <c r="I1758" s="10" t="str">
        <f>IF(COUNTIF('Transform Data'!$D:$D,'Transform Data'!D1758)&gt;1,"Repeat","Single")</f>
        <v>Repeat</v>
      </c>
      <c r="J1758" s="10" t="str">
        <f>IF('Transform Data'!D1758="Cash","Cash",IF(COUNTIF('Transform Data'!$D:$D,'Transform Data'!D1758)&gt;1,"Repeat","Single"))</f>
        <v>Repeat</v>
      </c>
      <c r="K1758" s="10" t="str">
        <f t="shared" si="27"/>
        <v>TRANS-1757</v>
      </c>
    </row>
    <row r="1759" spans="1:11" x14ac:dyDescent="0.35">
      <c r="A1759" s="5">
        <v>45566</v>
      </c>
      <c r="B1759" s="3">
        <v>0.59643518518518523</v>
      </c>
      <c r="C1759" t="s">
        <v>8</v>
      </c>
      <c r="D1759" t="s">
        <v>751</v>
      </c>
      <c r="E1759" s="4">
        <v>30.86</v>
      </c>
      <c r="F1759" t="s">
        <v>36</v>
      </c>
      <c r="G1759" s="10" t="str">
        <f>TEXT(Transform_Data[[#This Row],[Date]],"mmm yyyy")</f>
        <v>Oct 2024</v>
      </c>
      <c r="H1759" s="10">
        <f>HOUR(Transform_Data[[#This Row],[Time]])</f>
        <v>14</v>
      </c>
      <c r="I1759" s="10" t="str">
        <f>IF(COUNTIF('Transform Data'!$D:$D,'Transform Data'!D1759)&gt;1,"Repeat","Single")</f>
        <v>Repeat</v>
      </c>
      <c r="J1759" s="10" t="str">
        <f>IF('Transform Data'!D1759="Cash","Cash",IF(COUNTIF('Transform Data'!$D:$D,'Transform Data'!D1759)&gt;1,"Repeat","Single"))</f>
        <v>Repeat</v>
      </c>
      <c r="K1759" s="10" t="str">
        <f t="shared" si="27"/>
        <v>TRANS-1758</v>
      </c>
    </row>
    <row r="1760" spans="1:11" x14ac:dyDescent="0.35">
      <c r="A1760" s="5">
        <v>45566</v>
      </c>
      <c r="B1760" s="3">
        <v>0.67266203703703709</v>
      </c>
      <c r="C1760" t="s">
        <v>8</v>
      </c>
      <c r="D1760" t="s">
        <v>689</v>
      </c>
      <c r="E1760" s="4">
        <v>35.76</v>
      </c>
      <c r="F1760" t="s">
        <v>15</v>
      </c>
      <c r="G1760" s="10" t="str">
        <f>TEXT(Transform_Data[[#This Row],[Date]],"mmm yyyy")</f>
        <v>Oct 2024</v>
      </c>
      <c r="H1760" s="10">
        <f>HOUR(Transform_Data[[#This Row],[Time]])</f>
        <v>16</v>
      </c>
      <c r="I1760" s="10" t="str">
        <f>IF(COUNTIF('Transform Data'!$D:$D,'Transform Data'!D1760)&gt;1,"Repeat","Single")</f>
        <v>Repeat</v>
      </c>
      <c r="J1760" s="10" t="str">
        <f>IF('Transform Data'!D1760="Cash","Cash",IF(COUNTIF('Transform Data'!$D:$D,'Transform Data'!D1760)&gt;1,"Repeat","Single"))</f>
        <v>Repeat</v>
      </c>
      <c r="K1760" s="10" t="str">
        <f t="shared" si="27"/>
        <v>TRANS-1759</v>
      </c>
    </row>
    <row r="1761" spans="1:11" x14ac:dyDescent="0.35">
      <c r="A1761" s="5">
        <v>45566</v>
      </c>
      <c r="B1761" s="3">
        <v>0.69576388888888885</v>
      </c>
      <c r="C1761" t="s">
        <v>8</v>
      </c>
      <c r="D1761" t="s">
        <v>752</v>
      </c>
      <c r="E1761" s="4">
        <v>25.96</v>
      </c>
      <c r="F1761" t="s">
        <v>28</v>
      </c>
      <c r="G1761" s="10" t="str">
        <f>TEXT(Transform_Data[[#This Row],[Date]],"mmm yyyy")</f>
        <v>Oct 2024</v>
      </c>
      <c r="H1761" s="10">
        <f>HOUR(Transform_Data[[#This Row],[Time]])</f>
        <v>16</v>
      </c>
      <c r="I1761" s="10" t="str">
        <f>IF(COUNTIF('Transform Data'!$D:$D,'Transform Data'!D1761)&gt;1,"Repeat","Single")</f>
        <v>Repeat</v>
      </c>
      <c r="J1761" s="10" t="str">
        <f>IF('Transform Data'!D1761="Cash","Cash",IF(COUNTIF('Transform Data'!$D:$D,'Transform Data'!D1761)&gt;1,"Repeat","Single"))</f>
        <v>Repeat</v>
      </c>
      <c r="K1761" s="10" t="str">
        <f t="shared" si="27"/>
        <v>TRANS-1760</v>
      </c>
    </row>
    <row r="1762" spans="1:11" x14ac:dyDescent="0.35">
      <c r="A1762" s="5">
        <v>45566</v>
      </c>
      <c r="B1762" s="3">
        <v>0.75585648148148143</v>
      </c>
      <c r="C1762" t="s">
        <v>8</v>
      </c>
      <c r="D1762" t="s">
        <v>753</v>
      </c>
      <c r="E1762" s="4">
        <v>35.76</v>
      </c>
      <c r="F1762" t="s">
        <v>32</v>
      </c>
      <c r="G1762" s="10" t="str">
        <f>TEXT(Transform_Data[[#This Row],[Date]],"mmm yyyy")</f>
        <v>Oct 2024</v>
      </c>
      <c r="H1762" s="10">
        <f>HOUR(Transform_Data[[#This Row],[Time]])</f>
        <v>18</v>
      </c>
      <c r="I1762" s="10" t="str">
        <f>IF(COUNTIF('Transform Data'!$D:$D,'Transform Data'!D1762)&gt;1,"Repeat","Single")</f>
        <v>Repeat</v>
      </c>
      <c r="J1762" s="10" t="str">
        <f>IF('Transform Data'!D1762="Cash","Cash",IF(COUNTIF('Transform Data'!$D:$D,'Transform Data'!D1762)&gt;1,"Repeat","Single"))</f>
        <v>Repeat</v>
      </c>
      <c r="K1762" s="10" t="str">
        <f t="shared" si="27"/>
        <v>TRANS-1761</v>
      </c>
    </row>
    <row r="1763" spans="1:11" x14ac:dyDescent="0.35">
      <c r="A1763" s="5">
        <v>45566</v>
      </c>
      <c r="B1763" s="3">
        <v>0.76609953703703704</v>
      </c>
      <c r="C1763" t="s">
        <v>8</v>
      </c>
      <c r="D1763" t="s">
        <v>754</v>
      </c>
      <c r="E1763" s="4">
        <v>35.76</v>
      </c>
      <c r="F1763" t="s">
        <v>32</v>
      </c>
      <c r="G1763" s="10" t="str">
        <f>TEXT(Transform_Data[[#This Row],[Date]],"mmm yyyy")</f>
        <v>Oct 2024</v>
      </c>
      <c r="H1763" s="10">
        <f>HOUR(Transform_Data[[#This Row],[Time]])</f>
        <v>18</v>
      </c>
      <c r="I1763" s="10" t="str">
        <f>IF(COUNTIF('Transform Data'!$D:$D,'Transform Data'!D1763)&gt;1,"Repeat","Single")</f>
        <v>Repeat</v>
      </c>
      <c r="J1763" s="10" t="str">
        <f>IF('Transform Data'!D1763="Cash","Cash",IF(COUNTIF('Transform Data'!$D:$D,'Transform Data'!D1763)&gt;1,"Repeat","Single"))</f>
        <v>Repeat</v>
      </c>
      <c r="K1763" s="10" t="str">
        <f t="shared" si="27"/>
        <v>TRANS-1762</v>
      </c>
    </row>
    <row r="1764" spans="1:11" x14ac:dyDescent="0.35">
      <c r="A1764" s="5">
        <v>45566</v>
      </c>
      <c r="B1764" s="3">
        <v>0.76682870370370371</v>
      </c>
      <c r="C1764" t="s">
        <v>8</v>
      </c>
      <c r="D1764" t="s">
        <v>754</v>
      </c>
      <c r="E1764" s="4">
        <v>35.76</v>
      </c>
      <c r="F1764" t="s">
        <v>15</v>
      </c>
      <c r="G1764" s="10" t="str">
        <f>TEXT(Transform_Data[[#This Row],[Date]],"mmm yyyy")</f>
        <v>Oct 2024</v>
      </c>
      <c r="H1764" s="10">
        <f>HOUR(Transform_Data[[#This Row],[Time]])</f>
        <v>18</v>
      </c>
      <c r="I1764" s="10" t="str">
        <f>IF(COUNTIF('Transform Data'!$D:$D,'Transform Data'!D1764)&gt;1,"Repeat","Single")</f>
        <v>Repeat</v>
      </c>
      <c r="J1764" s="10" t="str">
        <f>IF('Transform Data'!D1764="Cash","Cash",IF(COUNTIF('Transform Data'!$D:$D,'Transform Data'!D1764)&gt;1,"Repeat","Single"))</f>
        <v>Repeat</v>
      </c>
      <c r="K1764" s="10" t="str">
        <f t="shared" si="27"/>
        <v>TRANS-1763</v>
      </c>
    </row>
    <row r="1765" spans="1:11" x14ac:dyDescent="0.35">
      <c r="A1765" s="5">
        <v>45566</v>
      </c>
      <c r="B1765" s="3">
        <v>0.83567129629629633</v>
      </c>
      <c r="C1765" t="s">
        <v>8</v>
      </c>
      <c r="D1765" t="s">
        <v>637</v>
      </c>
      <c r="E1765" s="4">
        <v>35.76</v>
      </c>
      <c r="F1765" t="s">
        <v>15</v>
      </c>
      <c r="G1765" s="10" t="str">
        <f>TEXT(Transform_Data[[#This Row],[Date]],"mmm yyyy")</f>
        <v>Oct 2024</v>
      </c>
      <c r="H1765" s="10">
        <f>HOUR(Transform_Data[[#This Row],[Time]])</f>
        <v>20</v>
      </c>
      <c r="I1765" s="10" t="str">
        <f>IF(COUNTIF('Transform Data'!$D:$D,'Transform Data'!D1765)&gt;1,"Repeat","Single")</f>
        <v>Repeat</v>
      </c>
      <c r="J1765" s="10" t="str">
        <f>IF('Transform Data'!D1765="Cash","Cash",IF(COUNTIF('Transform Data'!$D:$D,'Transform Data'!D1765)&gt;1,"Repeat","Single"))</f>
        <v>Repeat</v>
      </c>
      <c r="K1765" s="10" t="str">
        <f t="shared" si="27"/>
        <v>TRANS-1764</v>
      </c>
    </row>
    <row r="1766" spans="1:11" x14ac:dyDescent="0.35">
      <c r="A1766" s="5">
        <v>45567</v>
      </c>
      <c r="B1766" s="3">
        <v>0.33145833333333335</v>
      </c>
      <c r="C1766" t="s">
        <v>8</v>
      </c>
      <c r="D1766" t="s">
        <v>755</v>
      </c>
      <c r="E1766" s="4">
        <v>35.76</v>
      </c>
      <c r="F1766" t="s">
        <v>32</v>
      </c>
      <c r="G1766" s="10" t="str">
        <f>TEXT(Transform_Data[[#This Row],[Date]],"mmm yyyy")</f>
        <v>Oct 2024</v>
      </c>
      <c r="H1766" s="10">
        <f>HOUR(Transform_Data[[#This Row],[Time]])</f>
        <v>7</v>
      </c>
      <c r="I1766" s="10" t="str">
        <f>IF(COUNTIF('Transform Data'!$D:$D,'Transform Data'!D1766)&gt;1,"Repeat","Single")</f>
        <v>Repeat</v>
      </c>
      <c r="J1766" s="10" t="str">
        <f>IF('Transform Data'!D1766="Cash","Cash",IF(COUNTIF('Transform Data'!$D:$D,'Transform Data'!D1766)&gt;1,"Repeat","Single"))</f>
        <v>Repeat</v>
      </c>
      <c r="K1766" s="10" t="str">
        <f t="shared" si="27"/>
        <v>TRANS-1765</v>
      </c>
    </row>
    <row r="1767" spans="1:11" x14ac:dyDescent="0.35">
      <c r="A1767" s="5">
        <v>45567</v>
      </c>
      <c r="B1767" s="3">
        <v>0.36300925925925925</v>
      </c>
      <c r="C1767" t="s">
        <v>8</v>
      </c>
      <c r="D1767" t="s">
        <v>40</v>
      </c>
      <c r="E1767" s="4">
        <v>25.96</v>
      </c>
      <c r="F1767" t="s">
        <v>20</v>
      </c>
      <c r="G1767" s="10" t="str">
        <f>TEXT(Transform_Data[[#This Row],[Date]],"mmm yyyy")</f>
        <v>Oct 2024</v>
      </c>
      <c r="H1767" s="10">
        <f>HOUR(Transform_Data[[#This Row],[Time]])</f>
        <v>8</v>
      </c>
      <c r="I1767" s="10" t="str">
        <f>IF(COUNTIF('Transform Data'!$D:$D,'Transform Data'!D1767)&gt;1,"Repeat","Single")</f>
        <v>Repeat</v>
      </c>
      <c r="J1767" s="10" t="str">
        <f>IF('Transform Data'!D1767="Cash","Cash",IF(COUNTIF('Transform Data'!$D:$D,'Transform Data'!D1767)&gt;1,"Repeat","Single"))</f>
        <v>Repeat</v>
      </c>
      <c r="K1767" s="10" t="str">
        <f t="shared" si="27"/>
        <v>TRANS-1766</v>
      </c>
    </row>
    <row r="1768" spans="1:11" x14ac:dyDescent="0.35">
      <c r="A1768" s="5">
        <v>45567</v>
      </c>
      <c r="B1768" s="3">
        <v>0.38839120370370372</v>
      </c>
      <c r="C1768" t="s">
        <v>8</v>
      </c>
      <c r="D1768" t="s">
        <v>29</v>
      </c>
      <c r="E1768" s="4">
        <v>30.86</v>
      </c>
      <c r="F1768" t="s">
        <v>36</v>
      </c>
      <c r="G1768" s="10" t="str">
        <f>TEXT(Transform_Data[[#This Row],[Date]],"mmm yyyy")</f>
        <v>Oct 2024</v>
      </c>
      <c r="H1768" s="10">
        <f>HOUR(Transform_Data[[#This Row],[Time]])</f>
        <v>9</v>
      </c>
      <c r="I1768" s="10" t="str">
        <f>IF(COUNTIF('Transform Data'!$D:$D,'Transform Data'!D1768)&gt;1,"Repeat","Single")</f>
        <v>Repeat</v>
      </c>
      <c r="J1768" s="10" t="str">
        <f>IF('Transform Data'!D1768="Cash","Cash",IF(COUNTIF('Transform Data'!$D:$D,'Transform Data'!D1768)&gt;1,"Repeat","Single"))</f>
        <v>Repeat</v>
      </c>
      <c r="K1768" s="10" t="str">
        <f t="shared" si="27"/>
        <v>TRANS-1767</v>
      </c>
    </row>
    <row r="1769" spans="1:11" x14ac:dyDescent="0.35">
      <c r="A1769" s="5">
        <v>45567</v>
      </c>
      <c r="B1769" s="3">
        <v>0.4319560185185185</v>
      </c>
      <c r="C1769" t="s">
        <v>8</v>
      </c>
      <c r="D1769" t="s">
        <v>428</v>
      </c>
      <c r="E1769" s="4">
        <v>35.76</v>
      </c>
      <c r="F1769" t="s">
        <v>32</v>
      </c>
      <c r="G1769" s="10" t="str">
        <f>TEXT(Transform_Data[[#This Row],[Date]],"mmm yyyy")</f>
        <v>Oct 2024</v>
      </c>
      <c r="H1769" s="10">
        <f>HOUR(Transform_Data[[#This Row],[Time]])</f>
        <v>10</v>
      </c>
      <c r="I1769" s="10" t="str">
        <f>IF(COUNTIF('Transform Data'!$D:$D,'Transform Data'!D1769)&gt;1,"Repeat","Single")</f>
        <v>Repeat</v>
      </c>
      <c r="J1769" s="10" t="str">
        <f>IF('Transform Data'!D1769="Cash","Cash",IF(COUNTIF('Transform Data'!$D:$D,'Transform Data'!D1769)&gt;1,"Repeat","Single"))</f>
        <v>Repeat</v>
      </c>
      <c r="K1769" s="10" t="str">
        <f t="shared" si="27"/>
        <v>TRANS-1768</v>
      </c>
    </row>
    <row r="1770" spans="1:11" x14ac:dyDescent="0.35">
      <c r="A1770" s="5">
        <v>45567</v>
      </c>
      <c r="B1770" s="3">
        <v>0.43327546296296299</v>
      </c>
      <c r="C1770" t="s">
        <v>8</v>
      </c>
      <c r="D1770" t="s">
        <v>756</v>
      </c>
      <c r="E1770" s="4">
        <v>30.86</v>
      </c>
      <c r="F1770" t="s">
        <v>36</v>
      </c>
      <c r="G1770" s="10" t="str">
        <f>TEXT(Transform_Data[[#This Row],[Date]],"mmm yyyy")</f>
        <v>Oct 2024</v>
      </c>
      <c r="H1770" s="10">
        <f>HOUR(Transform_Data[[#This Row],[Time]])</f>
        <v>10</v>
      </c>
      <c r="I1770" s="10" t="str">
        <f>IF(COUNTIF('Transform Data'!$D:$D,'Transform Data'!D1770)&gt;1,"Repeat","Single")</f>
        <v>Single</v>
      </c>
      <c r="J1770" s="10" t="str">
        <f>IF('Transform Data'!D1770="Cash","Cash",IF(COUNTIF('Transform Data'!$D:$D,'Transform Data'!D1770)&gt;1,"Repeat","Single"))</f>
        <v>Single</v>
      </c>
      <c r="K1770" s="10" t="str">
        <f t="shared" si="27"/>
        <v>TRANS-1769</v>
      </c>
    </row>
    <row r="1771" spans="1:11" x14ac:dyDescent="0.35">
      <c r="A1771" s="5">
        <v>45567</v>
      </c>
      <c r="B1771" s="3">
        <v>0.47839120370370369</v>
      </c>
      <c r="C1771" t="s">
        <v>8</v>
      </c>
      <c r="D1771" t="s">
        <v>757</v>
      </c>
      <c r="E1771" s="4">
        <v>35.76</v>
      </c>
      <c r="F1771" t="s">
        <v>24</v>
      </c>
      <c r="G1771" s="10" t="str">
        <f>TEXT(Transform_Data[[#This Row],[Date]],"mmm yyyy")</f>
        <v>Oct 2024</v>
      </c>
      <c r="H1771" s="10">
        <f>HOUR(Transform_Data[[#This Row],[Time]])</f>
        <v>11</v>
      </c>
      <c r="I1771" s="10" t="str">
        <f>IF(COUNTIF('Transform Data'!$D:$D,'Transform Data'!D1771)&gt;1,"Repeat","Single")</f>
        <v>Single</v>
      </c>
      <c r="J1771" s="10" t="str">
        <f>IF('Transform Data'!D1771="Cash","Cash",IF(COUNTIF('Transform Data'!$D:$D,'Transform Data'!D1771)&gt;1,"Repeat","Single"))</f>
        <v>Single</v>
      </c>
      <c r="K1771" s="10" t="str">
        <f t="shared" si="27"/>
        <v>TRANS-1770</v>
      </c>
    </row>
    <row r="1772" spans="1:11" x14ac:dyDescent="0.35">
      <c r="A1772" s="5">
        <v>45567</v>
      </c>
      <c r="B1772" s="3">
        <v>0.63451388888888893</v>
      </c>
      <c r="C1772" t="s">
        <v>8</v>
      </c>
      <c r="D1772" t="s">
        <v>758</v>
      </c>
      <c r="E1772" s="4">
        <v>35.76</v>
      </c>
      <c r="F1772" t="s">
        <v>24</v>
      </c>
      <c r="G1772" s="10" t="str">
        <f>TEXT(Transform_Data[[#This Row],[Date]],"mmm yyyy")</f>
        <v>Oct 2024</v>
      </c>
      <c r="H1772" s="10">
        <f>HOUR(Transform_Data[[#This Row],[Time]])</f>
        <v>15</v>
      </c>
      <c r="I1772" s="10" t="str">
        <f>IF(COUNTIF('Transform Data'!$D:$D,'Transform Data'!D1772)&gt;1,"Repeat","Single")</f>
        <v>Single</v>
      </c>
      <c r="J1772" s="10" t="str">
        <f>IF('Transform Data'!D1772="Cash","Cash",IF(COUNTIF('Transform Data'!$D:$D,'Transform Data'!D1772)&gt;1,"Repeat","Single"))</f>
        <v>Single</v>
      </c>
      <c r="K1772" s="10" t="str">
        <f t="shared" si="27"/>
        <v>TRANS-1771</v>
      </c>
    </row>
    <row r="1773" spans="1:11" x14ac:dyDescent="0.35">
      <c r="A1773" s="5">
        <v>45567</v>
      </c>
      <c r="B1773" s="3">
        <v>0.77160879629629631</v>
      </c>
      <c r="C1773" t="s">
        <v>8</v>
      </c>
      <c r="D1773" t="s">
        <v>309</v>
      </c>
      <c r="E1773" s="4">
        <v>35.76</v>
      </c>
      <c r="F1773" t="s">
        <v>15</v>
      </c>
      <c r="G1773" s="10" t="str">
        <f>TEXT(Transform_Data[[#This Row],[Date]],"mmm yyyy")</f>
        <v>Oct 2024</v>
      </c>
      <c r="H1773" s="10">
        <f>HOUR(Transform_Data[[#This Row],[Time]])</f>
        <v>18</v>
      </c>
      <c r="I1773" s="10" t="str">
        <f>IF(COUNTIF('Transform Data'!$D:$D,'Transform Data'!D1773)&gt;1,"Repeat","Single")</f>
        <v>Repeat</v>
      </c>
      <c r="J1773" s="10" t="str">
        <f>IF('Transform Data'!D1773="Cash","Cash",IF(COUNTIF('Transform Data'!$D:$D,'Transform Data'!D1773)&gt;1,"Repeat","Single"))</f>
        <v>Repeat</v>
      </c>
      <c r="K1773" s="10" t="str">
        <f t="shared" si="27"/>
        <v>TRANS-1772</v>
      </c>
    </row>
    <row r="1774" spans="1:11" x14ac:dyDescent="0.35">
      <c r="A1774" s="5">
        <v>45567</v>
      </c>
      <c r="B1774" s="3">
        <v>0.92980324074074072</v>
      </c>
      <c r="C1774" t="s">
        <v>8</v>
      </c>
      <c r="D1774" t="s">
        <v>689</v>
      </c>
      <c r="E1774" s="4">
        <v>35.76</v>
      </c>
      <c r="F1774" t="s">
        <v>15</v>
      </c>
      <c r="G1774" s="10" t="str">
        <f>TEXT(Transform_Data[[#This Row],[Date]],"mmm yyyy")</f>
        <v>Oct 2024</v>
      </c>
      <c r="H1774" s="10">
        <f>HOUR(Transform_Data[[#This Row],[Time]])</f>
        <v>22</v>
      </c>
      <c r="I1774" s="10" t="str">
        <f>IF(COUNTIF('Transform Data'!$D:$D,'Transform Data'!D1774)&gt;1,"Repeat","Single")</f>
        <v>Repeat</v>
      </c>
      <c r="J1774" s="10" t="str">
        <f>IF('Transform Data'!D1774="Cash","Cash",IF(COUNTIF('Transform Data'!$D:$D,'Transform Data'!D1774)&gt;1,"Repeat","Single"))</f>
        <v>Repeat</v>
      </c>
      <c r="K1774" s="10" t="str">
        <f t="shared" si="27"/>
        <v>TRANS-1773</v>
      </c>
    </row>
    <row r="1775" spans="1:11" x14ac:dyDescent="0.35">
      <c r="A1775" s="5">
        <v>45567</v>
      </c>
      <c r="B1775" s="3">
        <v>0.93032407407407403</v>
      </c>
      <c r="C1775" t="s">
        <v>8</v>
      </c>
      <c r="D1775" t="s">
        <v>689</v>
      </c>
      <c r="E1775" s="4">
        <v>35.76</v>
      </c>
      <c r="F1775" t="s">
        <v>15</v>
      </c>
      <c r="G1775" s="10" t="str">
        <f>TEXT(Transform_Data[[#This Row],[Date]],"mmm yyyy")</f>
        <v>Oct 2024</v>
      </c>
      <c r="H1775" s="10">
        <f>HOUR(Transform_Data[[#This Row],[Time]])</f>
        <v>22</v>
      </c>
      <c r="I1775" s="10" t="str">
        <f>IF(COUNTIF('Transform Data'!$D:$D,'Transform Data'!D1775)&gt;1,"Repeat","Single")</f>
        <v>Repeat</v>
      </c>
      <c r="J1775" s="10" t="str">
        <f>IF('Transform Data'!D1775="Cash","Cash",IF(COUNTIF('Transform Data'!$D:$D,'Transform Data'!D1775)&gt;1,"Repeat","Single"))</f>
        <v>Repeat</v>
      </c>
      <c r="K1775" s="10" t="str">
        <f t="shared" si="27"/>
        <v>TRANS-1774</v>
      </c>
    </row>
    <row r="1776" spans="1:11" x14ac:dyDescent="0.35">
      <c r="A1776" s="5">
        <v>45567</v>
      </c>
      <c r="B1776" s="3">
        <v>0.93082175925925925</v>
      </c>
      <c r="C1776" t="s">
        <v>8</v>
      </c>
      <c r="D1776" t="s">
        <v>759</v>
      </c>
      <c r="E1776" s="4">
        <v>35.76</v>
      </c>
      <c r="F1776" t="s">
        <v>15</v>
      </c>
      <c r="G1776" s="10" t="str">
        <f>TEXT(Transform_Data[[#This Row],[Date]],"mmm yyyy")</f>
        <v>Oct 2024</v>
      </c>
      <c r="H1776" s="10">
        <f>HOUR(Transform_Data[[#This Row],[Time]])</f>
        <v>22</v>
      </c>
      <c r="I1776" s="10" t="str">
        <f>IF(COUNTIF('Transform Data'!$D:$D,'Transform Data'!D1776)&gt;1,"Repeat","Single")</f>
        <v>Repeat</v>
      </c>
      <c r="J1776" s="10" t="str">
        <f>IF('Transform Data'!D1776="Cash","Cash",IF(COUNTIF('Transform Data'!$D:$D,'Transform Data'!D1776)&gt;1,"Repeat","Single"))</f>
        <v>Repeat</v>
      </c>
      <c r="K1776" s="10" t="str">
        <f t="shared" si="27"/>
        <v>TRANS-1775</v>
      </c>
    </row>
    <row r="1777" spans="1:11" x14ac:dyDescent="0.35">
      <c r="A1777" s="5">
        <v>45568</v>
      </c>
      <c r="B1777" s="3">
        <v>0.5747106481481481</v>
      </c>
      <c r="C1777" t="s">
        <v>8</v>
      </c>
      <c r="D1777" t="s">
        <v>760</v>
      </c>
      <c r="E1777" s="4">
        <v>35.76</v>
      </c>
      <c r="F1777" t="s">
        <v>10</v>
      </c>
      <c r="G1777" s="10" t="str">
        <f>TEXT(Transform_Data[[#This Row],[Date]],"mmm yyyy")</f>
        <v>Oct 2024</v>
      </c>
      <c r="H1777" s="10">
        <f>HOUR(Transform_Data[[#This Row],[Time]])</f>
        <v>13</v>
      </c>
      <c r="I1777" s="10" t="str">
        <f>IF(COUNTIF('Transform Data'!$D:$D,'Transform Data'!D1777)&gt;1,"Repeat","Single")</f>
        <v>Single</v>
      </c>
      <c r="J1777" s="10" t="str">
        <f>IF('Transform Data'!D1777="Cash","Cash",IF(COUNTIF('Transform Data'!$D:$D,'Transform Data'!D1777)&gt;1,"Repeat","Single"))</f>
        <v>Single</v>
      </c>
      <c r="K1777" s="10" t="str">
        <f t="shared" si="27"/>
        <v>TRANS-1776</v>
      </c>
    </row>
    <row r="1778" spans="1:11" x14ac:dyDescent="0.35">
      <c r="A1778" s="5">
        <v>45568</v>
      </c>
      <c r="B1778" s="3">
        <v>0.63339120370370372</v>
      </c>
      <c r="C1778" t="s">
        <v>8</v>
      </c>
      <c r="D1778" t="s">
        <v>761</v>
      </c>
      <c r="E1778" s="4">
        <v>30.86</v>
      </c>
      <c r="F1778" t="s">
        <v>36</v>
      </c>
      <c r="G1778" s="10" t="str">
        <f>TEXT(Transform_Data[[#This Row],[Date]],"mmm yyyy")</f>
        <v>Oct 2024</v>
      </c>
      <c r="H1778" s="10">
        <f>HOUR(Transform_Data[[#This Row],[Time]])</f>
        <v>15</v>
      </c>
      <c r="I1778" s="10" t="str">
        <f>IF(COUNTIF('Transform Data'!$D:$D,'Transform Data'!D1778)&gt;1,"Repeat","Single")</f>
        <v>Single</v>
      </c>
      <c r="J1778" s="10" t="str">
        <f>IF('Transform Data'!D1778="Cash","Cash",IF(COUNTIF('Transform Data'!$D:$D,'Transform Data'!D1778)&gt;1,"Repeat","Single"))</f>
        <v>Single</v>
      </c>
      <c r="K1778" s="10" t="str">
        <f t="shared" si="27"/>
        <v>TRANS-1777</v>
      </c>
    </row>
    <row r="1779" spans="1:11" x14ac:dyDescent="0.35">
      <c r="A1779" s="5">
        <v>45568</v>
      </c>
      <c r="B1779" s="3">
        <v>0.84232638888888889</v>
      </c>
      <c r="C1779" t="s">
        <v>8</v>
      </c>
      <c r="D1779" t="s">
        <v>762</v>
      </c>
      <c r="E1779" s="4">
        <v>25.96</v>
      </c>
      <c r="F1779" t="s">
        <v>20</v>
      </c>
      <c r="G1779" s="10" t="str">
        <f>TEXT(Transform_Data[[#This Row],[Date]],"mmm yyyy")</f>
        <v>Oct 2024</v>
      </c>
      <c r="H1779" s="10">
        <f>HOUR(Transform_Data[[#This Row],[Time]])</f>
        <v>20</v>
      </c>
      <c r="I1779" s="10" t="str">
        <f>IF(COUNTIF('Transform Data'!$D:$D,'Transform Data'!D1779)&gt;1,"Repeat","Single")</f>
        <v>Repeat</v>
      </c>
      <c r="J1779" s="10" t="str">
        <f>IF('Transform Data'!D1779="Cash","Cash",IF(COUNTIF('Transform Data'!$D:$D,'Transform Data'!D1779)&gt;1,"Repeat","Single"))</f>
        <v>Repeat</v>
      </c>
      <c r="K1779" s="10" t="str">
        <f t="shared" si="27"/>
        <v>TRANS-1778</v>
      </c>
    </row>
    <row r="1780" spans="1:11" x14ac:dyDescent="0.35">
      <c r="A1780" s="5">
        <v>45568</v>
      </c>
      <c r="B1780" s="3">
        <v>0.84310185185185182</v>
      </c>
      <c r="C1780" t="s">
        <v>8</v>
      </c>
      <c r="D1780" t="s">
        <v>762</v>
      </c>
      <c r="E1780" s="4">
        <v>35.76</v>
      </c>
      <c r="F1780" t="s">
        <v>15</v>
      </c>
      <c r="G1780" s="10" t="str">
        <f>TEXT(Transform_Data[[#This Row],[Date]],"mmm yyyy")</f>
        <v>Oct 2024</v>
      </c>
      <c r="H1780" s="10">
        <f>HOUR(Transform_Data[[#This Row],[Time]])</f>
        <v>20</v>
      </c>
      <c r="I1780" s="10" t="str">
        <f>IF(COUNTIF('Transform Data'!$D:$D,'Transform Data'!D1780)&gt;1,"Repeat","Single")</f>
        <v>Repeat</v>
      </c>
      <c r="J1780" s="10" t="str">
        <f>IF('Transform Data'!D1780="Cash","Cash",IF(COUNTIF('Transform Data'!$D:$D,'Transform Data'!D1780)&gt;1,"Repeat","Single"))</f>
        <v>Repeat</v>
      </c>
      <c r="K1780" s="10" t="str">
        <f t="shared" si="27"/>
        <v>TRANS-1779</v>
      </c>
    </row>
    <row r="1781" spans="1:11" x14ac:dyDescent="0.35">
      <c r="A1781" s="5">
        <v>45568</v>
      </c>
      <c r="B1781" s="3">
        <v>0.88965277777777774</v>
      </c>
      <c r="C1781" t="s">
        <v>8</v>
      </c>
      <c r="D1781" t="s">
        <v>689</v>
      </c>
      <c r="E1781" s="4">
        <v>35.76</v>
      </c>
      <c r="F1781" t="s">
        <v>15</v>
      </c>
      <c r="G1781" s="10" t="str">
        <f>TEXT(Transform_Data[[#This Row],[Date]],"mmm yyyy")</f>
        <v>Oct 2024</v>
      </c>
      <c r="H1781" s="10">
        <f>HOUR(Transform_Data[[#This Row],[Time]])</f>
        <v>21</v>
      </c>
      <c r="I1781" s="10" t="str">
        <f>IF(COUNTIF('Transform Data'!$D:$D,'Transform Data'!D1781)&gt;1,"Repeat","Single")</f>
        <v>Repeat</v>
      </c>
      <c r="J1781" s="10" t="str">
        <f>IF('Transform Data'!D1781="Cash","Cash",IF(COUNTIF('Transform Data'!$D:$D,'Transform Data'!D1781)&gt;1,"Repeat","Single"))</f>
        <v>Repeat</v>
      </c>
      <c r="K1781" s="10" t="str">
        <f t="shared" si="27"/>
        <v>TRANS-1780</v>
      </c>
    </row>
    <row r="1782" spans="1:11" x14ac:dyDescent="0.35">
      <c r="A1782" s="5">
        <v>45568</v>
      </c>
      <c r="B1782" s="3">
        <v>0.89011574074074074</v>
      </c>
      <c r="C1782" t="s">
        <v>8</v>
      </c>
      <c r="D1782" t="s">
        <v>689</v>
      </c>
      <c r="E1782" s="4">
        <v>35.76</v>
      </c>
      <c r="F1782" t="s">
        <v>15</v>
      </c>
      <c r="G1782" s="10" t="str">
        <f>TEXT(Transform_Data[[#This Row],[Date]],"mmm yyyy")</f>
        <v>Oct 2024</v>
      </c>
      <c r="H1782" s="10">
        <f>HOUR(Transform_Data[[#This Row],[Time]])</f>
        <v>21</v>
      </c>
      <c r="I1782" s="10" t="str">
        <f>IF(COUNTIF('Transform Data'!$D:$D,'Transform Data'!D1782)&gt;1,"Repeat","Single")</f>
        <v>Repeat</v>
      </c>
      <c r="J1782" s="10" t="str">
        <f>IF('Transform Data'!D1782="Cash","Cash",IF(COUNTIF('Transform Data'!$D:$D,'Transform Data'!D1782)&gt;1,"Repeat","Single"))</f>
        <v>Repeat</v>
      </c>
      <c r="K1782" s="10" t="str">
        <f t="shared" si="27"/>
        <v>TRANS-1781</v>
      </c>
    </row>
    <row r="1783" spans="1:11" x14ac:dyDescent="0.35">
      <c r="A1783" s="5">
        <v>45568</v>
      </c>
      <c r="B1783" s="3">
        <v>0.89517361111111116</v>
      </c>
      <c r="C1783" t="s">
        <v>8</v>
      </c>
      <c r="D1783" t="s">
        <v>763</v>
      </c>
      <c r="E1783" s="4">
        <v>35.76</v>
      </c>
      <c r="F1783" t="s">
        <v>24</v>
      </c>
      <c r="G1783" s="10" t="str">
        <f>TEXT(Transform_Data[[#This Row],[Date]],"mmm yyyy")</f>
        <v>Oct 2024</v>
      </c>
      <c r="H1783" s="10">
        <f>HOUR(Transform_Data[[#This Row],[Time]])</f>
        <v>21</v>
      </c>
      <c r="I1783" s="10" t="str">
        <f>IF(COUNTIF('Transform Data'!$D:$D,'Transform Data'!D1783)&gt;1,"Repeat","Single")</f>
        <v>Single</v>
      </c>
      <c r="J1783" s="10" t="str">
        <f>IF('Transform Data'!D1783="Cash","Cash",IF(COUNTIF('Transform Data'!$D:$D,'Transform Data'!D1783)&gt;1,"Repeat","Single"))</f>
        <v>Single</v>
      </c>
      <c r="K1783" s="10" t="str">
        <f t="shared" si="27"/>
        <v>TRANS-1782</v>
      </c>
    </row>
    <row r="1784" spans="1:11" x14ac:dyDescent="0.35">
      <c r="A1784" s="5">
        <v>45568</v>
      </c>
      <c r="B1784" s="3">
        <v>0.89652777777777781</v>
      </c>
      <c r="C1784" t="s">
        <v>8</v>
      </c>
      <c r="D1784" t="s">
        <v>764</v>
      </c>
      <c r="E1784" s="4">
        <v>35.76</v>
      </c>
      <c r="F1784" t="s">
        <v>15</v>
      </c>
      <c r="G1784" s="10" t="str">
        <f>TEXT(Transform_Data[[#This Row],[Date]],"mmm yyyy")</f>
        <v>Oct 2024</v>
      </c>
      <c r="H1784" s="10">
        <f>HOUR(Transform_Data[[#This Row],[Time]])</f>
        <v>21</v>
      </c>
      <c r="I1784" s="10" t="str">
        <f>IF(COUNTIF('Transform Data'!$D:$D,'Transform Data'!D1784)&gt;1,"Repeat","Single")</f>
        <v>Single</v>
      </c>
      <c r="J1784" s="10" t="str">
        <f>IF('Transform Data'!D1784="Cash","Cash",IF(COUNTIF('Transform Data'!$D:$D,'Transform Data'!D1784)&gt;1,"Repeat","Single"))</f>
        <v>Single</v>
      </c>
      <c r="K1784" s="10" t="str">
        <f t="shared" si="27"/>
        <v>TRANS-1783</v>
      </c>
    </row>
    <row r="1785" spans="1:11" x14ac:dyDescent="0.35">
      <c r="A1785" s="5">
        <v>45569</v>
      </c>
      <c r="B1785" s="3">
        <v>0.36388888888888887</v>
      </c>
      <c r="C1785" t="s">
        <v>8</v>
      </c>
      <c r="D1785" t="s">
        <v>493</v>
      </c>
      <c r="E1785" s="4">
        <v>25.96</v>
      </c>
      <c r="F1785" t="s">
        <v>28</v>
      </c>
      <c r="G1785" s="10" t="str">
        <f>TEXT(Transform_Data[[#This Row],[Date]],"mmm yyyy")</f>
        <v>Oct 2024</v>
      </c>
      <c r="H1785" s="10">
        <f>HOUR(Transform_Data[[#This Row],[Time]])</f>
        <v>8</v>
      </c>
      <c r="I1785" s="10" t="str">
        <f>IF(COUNTIF('Transform Data'!$D:$D,'Transform Data'!D1785)&gt;1,"Repeat","Single")</f>
        <v>Repeat</v>
      </c>
      <c r="J1785" s="10" t="str">
        <f>IF('Transform Data'!D1785="Cash","Cash",IF(COUNTIF('Transform Data'!$D:$D,'Transform Data'!D1785)&gt;1,"Repeat","Single"))</f>
        <v>Repeat</v>
      </c>
      <c r="K1785" s="10" t="str">
        <f t="shared" si="27"/>
        <v>TRANS-1784</v>
      </c>
    </row>
    <row r="1786" spans="1:11" x14ac:dyDescent="0.35">
      <c r="A1786" s="5">
        <v>45569</v>
      </c>
      <c r="B1786" s="3">
        <v>0.36502314814814812</v>
      </c>
      <c r="C1786" t="s">
        <v>8</v>
      </c>
      <c r="D1786" t="s">
        <v>493</v>
      </c>
      <c r="E1786" s="4">
        <v>25.96</v>
      </c>
      <c r="F1786" t="s">
        <v>28</v>
      </c>
      <c r="G1786" s="10" t="str">
        <f>TEXT(Transform_Data[[#This Row],[Date]],"mmm yyyy")</f>
        <v>Oct 2024</v>
      </c>
      <c r="H1786" s="10">
        <f>HOUR(Transform_Data[[#This Row],[Time]])</f>
        <v>8</v>
      </c>
      <c r="I1786" s="10" t="str">
        <f>IF(COUNTIF('Transform Data'!$D:$D,'Transform Data'!D1786)&gt;1,"Repeat","Single")</f>
        <v>Repeat</v>
      </c>
      <c r="J1786" s="10" t="str">
        <f>IF('Transform Data'!D1786="Cash","Cash",IF(COUNTIF('Transform Data'!$D:$D,'Transform Data'!D1786)&gt;1,"Repeat","Single"))</f>
        <v>Repeat</v>
      </c>
      <c r="K1786" s="10" t="str">
        <f t="shared" si="27"/>
        <v>TRANS-1785</v>
      </c>
    </row>
    <row r="1787" spans="1:11" x14ac:dyDescent="0.35">
      <c r="A1787" s="5">
        <v>45569</v>
      </c>
      <c r="B1787" s="3">
        <v>0.39608796296296295</v>
      </c>
      <c r="C1787" t="s">
        <v>8</v>
      </c>
      <c r="D1787" t="s">
        <v>63</v>
      </c>
      <c r="E1787" s="4">
        <v>30.86</v>
      </c>
      <c r="F1787" t="s">
        <v>36</v>
      </c>
      <c r="G1787" s="10" t="str">
        <f>TEXT(Transform_Data[[#This Row],[Date]],"mmm yyyy")</f>
        <v>Oct 2024</v>
      </c>
      <c r="H1787" s="10">
        <f>HOUR(Transform_Data[[#This Row],[Time]])</f>
        <v>9</v>
      </c>
      <c r="I1787" s="10" t="str">
        <f>IF(COUNTIF('Transform Data'!$D:$D,'Transform Data'!D1787)&gt;1,"Repeat","Single")</f>
        <v>Repeat</v>
      </c>
      <c r="J1787" s="10" t="str">
        <f>IF('Transform Data'!D1787="Cash","Cash",IF(COUNTIF('Transform Data'!$D:$D,'Transform Data'!D1787)&gt;1,"Repeat","Single"))</f>
        <v>Repeat</v>
      </c>
      <c r="K1787" s="10" t="str">
        <f t="shared" si="27"/>
        <v>TRANS-1786</v>
      </c>
    </row>
    <row r="1788" spans="1:11" x14ac:dyDescent="0.35">
      <c r="A1788" s="5">
        <v>45569</v>
      </c>
      <c r="B1788" s="3">
        <v>0.39684027777777775</v>
      </c>
      <c r="C1788" t="s">
        <v>8</v>
      </c>
      <c r="D1788" t="s">
        <v>62</v>
      </c>
      <c r="E1788" s="4">
        <v>25.96</v>
      </c>
      <c r="F1788" t="s">
        <v>28</v>
      </c>
      <c r="G1788" s="10" t="str">
        <f>TEXT(Transform_Data[[#This Row],[Date]],"mmm yyyy")</f>
        <v>Oct 2024</v>
      </c>
      <c r="H1788" s="10">
        <f>HOUR(Transform_Data[[#This Row],[Time]])</f>
        <v>9</v>
      </c>
      <c r="I1788" s="10" t="str">
        <f>IF(COUNTIF('Transform Data'!$D:$D,'Transform Data'!D1788)&gt;1,"Repeat","Single")</f>
        <v>Repeat</v>
      </c>
      <c r="J1788" s="10" t="str">
        <f>IF('Transform Data'!D1788="Cash","Cash",IF(COUNTIF('Transform Data'!$D:$D,'Transform Data'!D1788)&gt;1,"Repeat","Single"))</f>
        <v>Repeat</v>
      </c>
      <c r="K1788" s="10" t="str">
        <f t="shared" si="27"/>
        <v>TRANS-1787</v>
      </c>
    </row>
    <row r="1789" spans="1:11" x14ac:dyDescent="0.35">
      <c r="A1789" s="5">
        <v>45569</v>
      </c>
      <c r="B1789" s="3">
        <v>0.41247685185185184</v>
      </c>
      <c r="C1789" t="s">
        <v>8</v>
      </c>
      <c r="D1789" t="s">
        <v>702</v>
      </c>
      <c r="E1789" s="4">
        <v>25.96</v>
      </c>
      <c r="F1789" t="s">
        <v>20</v>
      </c>
      <c r="G1789" s="10" t="str">
        <f>TEXT(Transform_Data[[#This Row],[Date]],"mmm yyyy")</f>
        <v>Oct 2024</v>
      </c>
      <c r="H1789" s="10">
        <f>HOUR(Transform_Data[[#This Row],[Time]])</f>
        <v>9</v>
      </c>
      <c r="I1789" s="10" t="str">
        <f>IF(COUNTIF('Transform Data'!$D:$D,'Transform Data'!D1789)&gt;1,"Repeat","Single")</f>
        <v>Repeat</v>
      </c>
      <c r="J1789" s="10" t="str">
        <f>IF('Transform Data'!D1789="Cash","Cash",IF(COUNTIF('Transform Data'!$D:$D,'Transform Data'!D1789)&gt;1,"Repeat","Single"))</f>
        <v>Repeat</v>
      </c>
      <c r="K1789" s="10" t="str">
        <f t="shared" si="27"/>
        <v>TRANS-1788</v>
      </c>
    </row>
    <row r="1790" spans="1:11" x14ac:dyDescent="0.35">
      <c r="A1790" s="5">
        <v>45569</v>
      </c>
      <c r="B1790" s="3">
        <v>0.41324074074074074</v>
      </c>
      <c r="C1790" t="s">
        <v>8</v>
      </c>
      <c r="D1790" t="s">
        <v>702</v>
      </c>
      <c r="E1790" s="4">
        <v>25.96</v>
      </c>
      <c r="F1790" t="s">
        <v>20</v>
      </c>
      <c r="G1790" s="10" t="str">
        <f>TEXT(Transform_Data[[#This Row],[Date]],"mmm yyyy")</f>
        <v>Oct 2024</v>
      </c>
      <c r="H1790" s="10">
        <f>HOUR(Transform_Data[[#This Row],[Time]])</f>
        <v>9</v>
      </c>
      <c r="I1790" s="10" t="str">
        <f>IF(COUNTIF('Transform Data'!$D:$D,'Transform Data'!D1790)&gt;1,"Repeat","Single")</f>
        <v>Repeat</v>
      </c>
      <c r="J1790" s="10" t="str">
        <f>IF('Transform Data'!D1790="Cash","Cash",IF(COUNTIF('Transform Data'!$D:$D,'Transform Data'!D1790)&gt;1,"Repeat","Single"))</f>
        <v>Repeat</v>
      </c>
      <c r="K1790" s="10" t="str">
        <f t="shared" si="27"/>
        <v>TRANS-1789</v>
      </c>
    </row>
    <row r="1791" spans="1:11" x14ac:dyDescent="0.35">
      <c r="A1791" s="5">
        <v>45569</v>
      </c>
      <c r="B1791" s="3">
        <v>0.73280092592592594</v>
      </c>
      <c r="C1791" t="s">
        <v>8</v>
      </c>
      <c r="D1791" t="s">
        <v>765</v>
      </c>
      <c r="E1791" s="4">
        <v>35.76</v>
      </c>
      <c r="F1791" t="s">
        <v>32</v>
      </c>
      <c r="G1791" s="10" t="str">
        <f>TEXT(Transform_Data[[#This Row],[Date]],"mmm yyyy")</f>
        <v>Oct 2024</v>
      </c>
      <c r="H1791" s="10">
        <f>HOUR(Transform_Data[[#This Row],[Time]])</f>
        <v>17</v>
      </c>
      <c r="I1791" s="10" t="str">
        <f>IF(COUNTIF('Transform Data'!$D:$D,'Transform Data'!D1791)&gt;1,"Repeat","Single")</f>
        <v>Repeat</v>
      </c>
      <c r="J1791" s="10" t="str">
        <f>IF('Transform Data'!D1791="Cash","Cash",IF(COUNTIF('Transform Data'!$D:$D,'Transform Data'!D1791)&gt;1,"Repeat","Single"))</f>
        <v>Repeat</v>
      </c>
      <c r="K1791" s="10" t="str">
        <f t="shared" si="27"/>
        <v>TRANS-1790</v>
      </c>
    </row>
    <row r="1792" spans="1:11" x14ac:dyDescent="0.35">
      <c r="A1792" s="5">
        <v>45569</v>
      </c>
      <c r="B1792" s="3">
        <v>0.73775462962962968</v>
      </c>
      <c r="C1792" t="s">
        <v>8</v>
      </c>
      <c r="D1792" t="s">
        <v>766</v>
      </c>
      <c r="E1792" s="4">
        <v>35.76</v>
      </c>
      <c r="F1792" t="s">
        <v>15</v>
      </c>
      <c r="G1792" s="10" t="str">
        <f>TEXT(Transform_Data[[#This Row],[Date]],"mmm yyyy")</f>
        <v>Oct 2024</v>
      </c>
      <c r="H1792" s="10">
        <f>HOUR(Transform_Data[[#This Row],[Time]])</f>
        <v>17</v>
      </c>
      <c r="I1792" s="10" t="str">
        <f>IF(COUNTIF('Transform Data'!$D:$D,'Transform Data'!D1792)&gt;1,"Repeat","Single")</f>
        <v>Repeat</v>
      </c>
      <c r="J1792" s="10" t="str">
        <f>IF('Transform Data'!D1792="Cash","Cash",IF(COUNTIF('Transform Data'!$D:$D,'Transform Data'!D1792)&gt;1,"Repeat","Single"))</f>
        <v>Repeat</v>
      </c>
      <c r="K1792" s="10" t="str">
        <f t="shared" si="27"/>
        <v>TRANS-1791</v>
      </c>
    </row>
    <row r="1793" spans="1:11" x14ac:dyDescent="0.35">
      <c r="A1793" s="5">
        <v>45569</v>
      </c>
      <c r="B1793" s="3">
        <v>0.73930555555555555</v>
      </c>
      <c r="C1793" t="s">
        <v>8</v>
      </c>
      <c r="D1793" t="s">
        <v>766</v>
      </c>
      <c r="E1793" s="4">
        <v>35.76</v>
      </c>
      <c r="F1793" t="s">
        <v>10</v>
      </c>
      <c r="G1793" s="10" t="str">
        <f>TEXT(Transform_Data[[#This Row],[Date]],"mmm yyyy")</f>
        <v>Oct 2024</v>
      </c>
      <c r="H1793" s="10">
        <f>HOUR(Transform_Data[[#This Row],[Time]])</f>
        <v>17</v>
      </c>
      <c r="I1793" s="10" t="str">
        <f>IF(COUNTIF('Transform Data'!$D:$D,'Transform Data'!D1793)&gt;1,"Repeat","Single")</f>
        <v>Repeat</v>
      </c>
      <c r="J1793" s="10" t="str">
        <f>IF('Transform Data'!D1793="Cash","Cash",IF(COUNTIF('Transform Data'!$D:$D,'Transform Data'!D1793)&gt;1,"Repeat","Single"))</f>
        <v>Repeat</v>
      </c>
      <c r="K1793" s="10" t="str">
        <f t="shared" si="27"/>
        <v>TRANS-1792</v>
      </c>
    </row>
    <row r="1794" spans="1:11" x14ac:dyDescent="0.35">
      <c r="A1794" s="5">
        <v>45570</v>
      </c>
      <c r="B1794" s="3">
        <v>0.3755324074074074</v>
      </c>
      <c r="C1794" t="s">
        <v>8</v>
      </c>
      <c r="D1794" t="s">
        <v>40</v>
      </c>
      <c r="E1794" s="4">
        <v>25.96</v>
      </c>
      <c r="F1794" t="s">
        <v>20</v>
      </c>
      <c r="G1794" s="10" t="str">
        <f>TEXT(Transform_Data[[#This Row],[Date]],"mmm yyyy")</f>
        <v>Oct 2024</v>
      </c>
      <c r="H1794" s="10">
        <f>HOUR(Transform_Data[[#This Row],[Time]])</f>
        <v>9</v>
      </c>
      <c r="I1794" s="10" t="str">
        <f>IF(COUNTIF('Transform Data'!$D:$D,'Transform Data'!D1794)&gt;1,"Repeat","Single")</f>
        <v>Repeat</v>
      </c>
      <c r="J1794" s="10" t="str">
        <f>IF('Transform Data'!D1794="Cash","Cash",IF(COUNTIF('Transform Data'!$D:$D,'Transform Data'!D1794)&gt;1,"Repeat","Single"))</f>
        <v>Repeat</v>
      </c>
      <c r="K1794" s="10" t="str">
        <f t="shared" ref="K1794:K1857" si="28">"TRANS-"&amp;TEXT(ROW(A1793),"0000")</f>
        <v>TRANS-1793</v>
      </c>
    </row>
    <row r="1795" spans="1:11" x14ac:dyDescent="0.35">
      <c r="A1795" s="5">
        <v>45570</v>
      </c>
      <c r="B1795" s="3">
        <v>0.37618055555555557</v>
      </c>
      <c r="C1795" t="s">
        <v>8</v>
      </c>
      <c r="D1795" t="s">
        <v>40</v>
      </c>
      <c r="E1795" s="4">
        <v>25.96</v>
      </c>
      <c r="F1795" t="s">
        <v>20</v>
      </c>
      <c r="G1795" s="10" t="str">
        <f>TEXT(Transform_Data[[#This Row],[Date]],"mmm yyyy")</f>
        <v>Oct 2024</v>
      </c>
      <c r="H1795" s="10">
        <f>HOUR(Transform_Data[[#This Row],[Time]])</f>
        <v>9</v>
      </c>
      <c r="I1795" s="10" t="str">
        <f>IF(COUNTIF('Transform Data'!$D:$D,'Transform Data'!D1795)&gt;1,"Repeat","Single")</f>
        <v>Repeat</v>
      </c>
      <c r="J1795" s="10" t="str">
        <f>IF('Transform Data'!D1795="Cash","Cash",IF(COUNTIF('Transform Data'!$D:$D,'Transform Data'!D1795)&gt;1,"Repeat","Single"))</f>
        <v>Repeat</v>
      </c>
      <c r="K1795" s="10" t="str">
        <f t="shared" si="28"/>
        <v>TRANS-1794</v>
      </c>
    </row>
    <row r="1796" spans="1:11" x14ac:dyDescent="0.35">
      <c r="A1796" s="5">
        <v>45570</v>
      </c>
      <c r="B1796" s="3">
        <v>0.39981481481481479</v>
      </c>
      <c r="C1796" t="s">
        <v>8</v>
      </c>
      <c r="D1796" t="s">
        <v>767</v>
      </c>
      <c r="E1796" s="4">
        <v>35.76</v>
      </c>
      <c r="F1796" t="s">
        <v>10</v>
      </c>
      <c r="G1796" s="10" t="str">
        <f>TEXT(Transform_Data[[#This Row],[Date]],"mmm yyyy")</f>
        <v>Oct 2024</v>
      </c>
      <c r="H1796" s="10">
        <f>HOUR(Transform_Data[[#This Row],[Time]])</f>
        <v>9</v>
      </c>
      <c r="I1796" s="10" t="str">
        <f>IF(COUNTIF('Transform Data'!$D:$D,'Transform Data'!D1796)&gt;1,"Repeat","Single")</f>
        <v>Repeat</v>
      </c>
      <c r="J1796" s="10" t="str">
        <f>IF('Transform Data'!D1796="Cash","Cash",IF(COUNTIF('Transform Data'!$D:$D,'Transform Data'!D1796)&gt;1,"Repeat","Single"))</f>
        <v>Repeat</v>
      </c>
      <c r="K1796" s="10" t="str">
        <f t="shared" si="28"/>
        <v>TRANS-1795</v>
      </c>
    </row>
    <row r="1797" spans="1:11" x14ac:dyDescent="0.35">
      <c r="A1797" s="5">
        <v>45570</v>
      </c>
      <c r="B1797" s="3">
        <v>0.55015046296296299</v>
      </c>
      <c r="C1797" t="s">
        <v>8</v>
      </c>
      <c r="D1797" t="s">
        <v>260</v>
      </c>
      <c r="E1797" s="4">
        <v>35.76</v>
      </c>
      <c r="F1797" t="s">
        <v>24</v>
      </c>
      <c r="G1797" s="10" t="str">
        <f>TEXT(Transform_Data[[#This Row],[Date]],"mmm yyyy")</f>
        <v>Oct 2024</v>
      </c>
      <c r="H1797" s="10">
        <f>HOUR(Transform_Data[[#This Row],[Time]])</f>
        <v>13</v>
      </c>
      <c r="I1797" s="10" t="str">
        <f>IF(COUNTIF('Transform Data'!$D:$D,'Transform Data'!D1797)&gt;1,"Repeat","Single")</f>
        <v>Repeat</v>
      </c>
      <c r="J1797" s="10" t="str">
        <f>IF('Transform Data'!D1797="Cash","Cash",IF(COUNTIF('Transform Data'!$D:$D,'Transform Data'!D1797)&gt;1,"Repeat","Single"))</f>
        <v>Repeat</v>
      </c>
      <c r="K1797" s="10" t="str">
        <f t="shared" si="28"/>
        <v>TRANS-1796</v>
      </c>
    </row>
    <row r="1798" spans="1:11" x14ac:dyDescent="0.35">
      <c r="A1798" s="5">
        <v>45570</v>
      </c>
      <c r="B1798" s="3">
        <v>0.83932870370370372</v>
      </c>
      <c r="C1798" t="s">
        <v>8</v>
      </c>
      <c r="D1798" t="s">
        <v>43</v>
      </c>
      <c r="E1798" s="4">
        <v>25.96</v>
      </c>
      <c r="F1798" t="s">
        <v>28</v>
      </c>
      <c r="G1798" s="10" t="str">
        <f>TEXT(Transform_Data[[#This Row],[Date]],"mmm yyyy")</f>
        <v>Oct 2024</v>
      </c>
      <c r="H1798" s="10">
        <f>HOUR(Transform_Data[[#This Row],[Time]])</f>
        <v>20</v>
      </c>
      <c r="I1798" s="10" t="str">
        <f>IF(COUNTIF('Transform Data'!$D:$D,'Transform Data'!D1798)&gt;1,"Repeat","Single")</f>
        <v>Repeat</v>
      </c>
      <c r="J1798" s="10" t="str">
        <f>IF('Transform Data'!D1798="Cash","Cash",IF(COUNTIF('Transform Data'!$D:$D,'Transform Data'!D1798)&gt;1,"Repeat","Single"))</f>
        <v>Repeat</v>
      </c>
      <c r="K1798" s="10" t="str">
        <f t="shared" si="28"/>
        <v>TRANS-1797</v>
      </c>
    </row>
    <row r="1799" spans="1:11" x14ac:dyDescent="0.35">
      <c r="A1799" s="5">
        <v>45570</v>
      </c>
      <c r="B1799" s="3">
        <v>0.83996527777777774</v>
      </c>
      <c r="C1799" t="s">
        <v>8</v>
      </c>
      <c r="D1799" t="s">
        <v>43</v>
      </c>
      <c r="E1799" s="4">
        <v>25.96</v>
      </c>
      <c r="F1799" t="s">
        <v>28</v>
      </c>
      <c r="G1799" s="10" t="str">
        <f>TEXT(Transform_Data[[#This Row],[Date]],"mmm yyyy")</f>
        <v>Oct 2024</v>
      </c>
      <c r="H1799" s="10">
        <f>HOUR(Transform_Data[[#This Row],[Time]])</f>
        <v>20</v>
      </c>
      <c r="I1799" s="10" t="str">
        <f>IF(COUNTIF('Transform Data'!$D:$D,'Transform Data'!D1799)&gt;1,"Repeat","Single")</f>
        <v>Repeat</v>
      </c>
      <c r="J1799" s="10" t="str">
        <f>IF('Transform Data'!D1799="Cash","Cash",IF(COUNTIF('Transform Data'!$D:$D,'Transform Data'!D1799)&gt;1,"Repeat","Single"))</f>
        <v>Repeat</v>
      </c>
      <c r="K1799" s="10" t="str">
        <f t="shared" si="28"/>
        <v>TRANS-1798</v>
      </c>
    </row>
    <row r="1800" spans="1:11" x14ac:dyDescent="0.35">
      <c r="A1800" s="5">
        <v>45571</v>
      </c>
      <c r="B1800" s="3">
        <v>0.34925925925925927</v>
      </c>
      <c r="C1800" t="s">
        <v>8</v>
      </c>
      <c r="D1800" t="s">
        <v>40</v>
      </c>
      <c r="E1800" s="4">
        <v>25.96</v>
      </c>
      <c r="F1800" t="s">
        <v>20</v>
      </c>
      <c r="G1800" s="10" t="str">
        <f>TEXT(Transform_Data[[#This Row],[Date]],"mmm yyyy")</f>
        <v>Oct 2024</v>
      </c>
      <c r="H1800" s="10">
        <f>HOUR(Transform_Data[[#This Row],[Time]])</f>
        <v>8</v>
      </c>
      <c r="I1800" s="10" t="str">
        <f>IF(COUNTIF('Transform Data'!$D:$D,'Transform Data'!D1800)&gt;1,"Repeat","Single")</f>
        <v>Repeat</v>
      </c>
      <c r="J1800" s="10" t="str">
        <f>IF('Transform Data'!D1800="Cash","Cash",IF(COUNTIF('Transform Data'!$D:$D,'Transform Data'!D1800)&gt;1,"Repeat","Single"))</f>
        <v>Repeat</v>
      </c>
      <c r="K1800" s="10" t="str">
        <f t="shared" si="28"/>
        <v>TRANS-1799</v>
      </c>
    </row>
    <row r="1801" spans="1:11" x14ac:dyDescent="0.35">
      <c r="A1801" s="5">
        <v>45571</v>
      </c>
      <c r="B1801" s="3">
        <v>0.42063657407407407</v>
      </c>
      <c r="C1801" t="s">
        <v>8</v>
      </c>
      <c r="D1801" t="s">
        <v>249</v>
      </c>
      <c r="E1801" s="4">
        <v>35.76</v>
      </c>
      <c r="F1801" t="s">
        <v>24</v>
      </c>
      <c r="G1801" s="10" t="str">
        <f>TEXT(Transform_Data[[#This Row],[Date]],"mmm yyyy")</f>
        <v>Oct 2024</v>
      </c>
      <c r="H1801" s="10">
        <f>HOUR(Transform_Data[[#This Row],[Time]])</f>
        <v>10</v>
      </c>
      <c r="I1801" s="10" t="str">
        <f>IF(COUNTIF('Transform Data'!$D:$D,'Transform Data'!D1801)&gt;1,"Repeat","Single")</f>
        <v>Repeat</v>
      </c>
      <c r="J1801" s="10" t="str">
        <f>IF('Transform Data'!D1801="Cash","Cash",IF(COUNTIF('Transform Data'!$D:$D,'Transform Data'!D1801)&gt;1,"Repeat","Single"))</f>
        <v>Repeat</v>
      </c>
      <c r="K1801" s="10" t="str">
        <f t="shared" si="28"/>
        <v>TRANS-1800</v>
      </c>
    </row>
    <row r="1802" spans="1:11" x14ac:dyDescent="0.35">
      <c r="A1802" s="5">
        <v>45571</v>
      </c>
      <c r="B1802" s="3">
        <v>0.42137731481481483</v>
      </c>
      <c r="C1802" t="s">
        <v>8</v>
      </c>
      <c r="D1802" t="s">
        <v>249</v>
      </c>
      <c r="E1802" s="4">
        <v>25.96</v>
      </c>
      <c r="F1802" t="s">
        <v>20</v>
      </c>
      <c r="G1802" s="10" t="str">
        <f>TEXT(Transform_Data[[#This Row],[Date]],"mmm yyyy")</f>
        <v>Oct 2024</v>
      </c>
      <c r="H1802" s="10">
        <f>HOUR(Transform_Data[[#This Row],[Time]])</f>
        <v>10</v>
      </c>
      <c r="I1802" s="10" t="str">
        <f>IF(COUNTIF('Transform Data'!$D:$D,'Transform Data'!D1802)&gt;1,"Repeat","Single")</f>
        <v>Repeat</v>
      </c>
      <c r="J1802" s="10" t="str">
        <f>IF('Transform Data'!D1802="Cash","Cash",IF(COUNTIF('Transform Data'!$D:$D,'Transform Data'!D1802)&gt;1,"Repeat","Single"))</f>
        <v>Repeat</v>
      </c>
      <c r="K1802" s="10" t="str">
        <f t="shared" si="28"/>
        <v>TRANS-1801</v>
      </c>
    </row>
    <row r="1803" spans="1:11" x14ac:dyDescent="0.35">
      <c r="A1803" s="5">
        <v>45571</v>
      </c>
      <c r="B1803" s="3">
        <v>0.49685185185185188</v>
      </c>
      <c r="C1803" t="s">
        <v>8</v>
      </c>
      <c r="D1803" t="s">
        <v>768</v>
      </c>
      <c r="E1803" s="4">
        <v>35.76</v>
      </c>
      <c r="F1803" t="s">
        <v>32</v>
      </c>
      <c r="G1803" s="10" t="str">
        <f>TEXT(Transform_Data[[#This Row],[Date]],"mmm yyyy")</f>
        <v>Oct 2024</v>
      </c>
      <c r="H1803" s="10">
        <f>HOUR(Transform_Data[[#This Row],[Time]])</f>
        <v>11</v>
      </c>
      <c r="I1803" s="10" t="str">
        <f>IF(COUNTIF('Transform Data'!$D:$D,'Transform Data'!D1803)&gt;1,"Repeat","Single")</f>
        <v>Single</v>
      </c>
      <c r="J1803" s="10" t="str">
        <f>IF('Transform Data'!D1803="Cash","Cash",IF(COUNTIF('Transform Data'!$D:$D,'Transform Data'!D1803)&gt;1,"Repeat","Single"))</f>
        <v>Single</v>
      </c>
      <c r="K1803" s="10" t="str">
        <f t="shared" si="28"/>
        <v>TRANS-1802</v>
      </c>
    </row>
    <row r="1804" spans="1:11" x14ac:dyDescent="0.35">
      <c r="A1804" s="5">
        <v>45571</v>
      </c>
      <c r="B1804" s="3">
        <v>0.50628472222222221</v>
      </c>
      <c r="C1804" t="s">
        <v>8</v>
      </c>
      <c r="D1804" t="s">
        <v>717</v>
      </c>
      <c r="E1804" s="4">
        <v>35.76</v>
      </c>
      <c r="F1804" t="s">
        <v>32</v>
      </c>
      <c r="G1804" s="10" t="str">
        <f>TEXT(Transform_Data[[#This Row],[Date]],"mmm yyyy")</f>
        <v>Oct 2024</v>
      </c>
      <c r="H1804" s="10">
        <f>HOUR(Transform_Data[[#This Row],[Time]])</f>
        <v>12</v>
      </c>
      <c r="I1804" s="10" t="str">
        <f>IF(COUNTIF('Transform Data'!$D:$D,'Transform Data'!D1804)&gt;1,"Repeat","Single")</f>
        <v>Repeat</v>
      </c>
      <c r="J1804" s="10" t="str">
        <f>IF('Transform Data'!D1804="Cash","Cash",IF(COUNTIF('Transform Data'!$D:$D,'Transform Data'!D1804)&gt;1,"Repeat","Single"))</f>
        <v>Repeat</v>
      </c>
      <c r="K1804" s="10" t="str">
        <f t="shared" si="28"/>
        <v>TRANS-1803</v>
      </c>
    </row>
    <row r="1805" spans="1:11" x14ac:dyDescent="0.35">
      <c r="A1805" s="5">
        <v>45571</v>
      </c>
      <c r="B1805" s="3">
        <v>0.50714120370370375</v>
      </c>
      <c r="C1805" t="s">
        <v>8</v>
      </c>
      <c r="D1805" t="s">
        <v>717</v>
      </c>
      <c r="E1805" s="4">
        <v>35.76</v>
      </c>
      <c r="F1805" t="s">
        <v>24</v>
      </c>
      <c r="G1805" s="10" t="str">
        <f>TEXT(Transform_Data[[#This Row],[Date]],"mmm yyyy")</f>
        <v>Oct 2024</v>
      </c>
      <c r="H1805" s="10">
        <f>HOUR(Transform_Data[[#This Row],[Time]])</f>
        <v>12</v>
      </c>
      <c r="I1805" s="10" t="str">
        <f>IF(COUNTIF('Transform Data'!$D:$D,'Transform Data'!D1805)&gt;1,"Repeat","Single")</f>
        <v>Repeat</v>
      </c>
      <c r="J1805" s="10" t="str">
        <f>IF('Transform Data'!D1805="Cash","Cash",IF(COUNTIF('Transform Data'!$D:$D,'Transform Data'!D1805)&gt;1,"Repeat","Single"))</f>
        <v>Repeat</v>
      </c>
      <c r="K1805" s="10" t="str">
        <f t="shared" si="28"/>
        <v>TRANS-1804</v>
      </c>
    </row>
    <row r="1806" spans="1:11" x14ac:dyDescent="0.35">
      <c r="A1806" s="5">
        <v>45571</v>
      </c>
      <c r="B1806" s="3">
        <v>0.50813657407407409</v>
      </c>
      <c r="C1806" t="s">
        <v>8</v>
      </c>
      <c r="D1806" t="s">
        <v>717</v>
      </c>
      <c r="E1806" s="4">
        <v>30.86</v>
      </c>
      <c r="F1806" t="s">
        <v>36</v>
      </c>
      <c r="G1806" s="10" t="str">
        <f>TEXT(Transform_Data[[#This Row],[Date]],"mmm yyyy")</f>
        <v>Oct 2024</v>
      </c>
      <c r="H1806" s="10">
        <f>HOUR(Transform_Data[[#This Row],[Time]])</f>
        <v>12</v>
      </c>
      <c r="I1806" s="10" t="str">
        <f>IF(COUNTIF('Transform Data'!$D:$D,'Transform Data'!D1806)&gt;1,"Repeat","Single")</f>
        <v>Repeat</v>
      </c>
      <c r="J1806" s="10" t="str">
        <f>IF('Transform Data'!D1806="Cash","Cash",IF(COUNTIF('Transform Data'!$D:$D,'Transform Data'!D1806)&gt;1,"Repeat","Single"))</f>
        <v>Repeat</v>
      </c>
      <c r="K1806" s="10" t="str">
        <f t="shared" si="28"/>
        <v>TRANS-1805</v>
      </c>
    </row>
    <row r="1807" spans="1:11" x14ac:dyDescent="0.35">
      <c r="A1807" s="5">
        <v>45571</v>
      </c>
      <c r="B1807" s="3">
        <v>0.5736458333333333</v>
      </c>
      <c r="C1807" t="s">
        <v>8</v>
      </c>
      <c r="D1807" t="s">
        <v>769</v>
      </c>
      <c r="E1807" s="4">
        <v>25.96</v>
      </c>
      <c r="F1807" t="s">
        <v>28</v>
      </c>
      <c r="G1807" s="10" t="str">
        <f>TEXT(Transform_Data[[#This Row],[Date]],"mmm yyyy")</f>
        <v>Oct 2024</v>
      </c>
      <c r="H1807" s="10">
        <f>HOUR(Transform_Data[[#This Row],[Time]])</f>
        <v>13</v>
      </c>
      <c r="I1807" s="10" t="str">
        <f>IF(COUNTIF('Transform Data'!$D:$D,'Transform Data'!D1807)&gt;1,"Repeat","Single")</f>
        <v>Repeat</v>
      </c>
      <c r="J1807" s="10" t="str">
        <f>IF('Transform Data'!D1807="Cash","Cash",IF(COUNTIF('Transform Data'!$D:$D,'Transform Data'!D1807)&gt;1,"Repeat","Single"))</f>
        <v>Repeat</v>
      </c>
      <c r="K1807" s="10" t="str">
        <f t="shared" si="28"/>
        <v>TRANS-1806</v>
      </c>
    </row>
    <row r="1808" spans="1:11" x14ac:dyDescent="0.35">
      <c r="A1808" s="5">
        <v>45571</v>
      </c>
      <c r="B1808" s="3">
        <v>0.57431712962962966</v>
      </c>
      <c r="C1808" t="s">
        <v>8</v>
      </c>
      <c r="D1808" t="s">
        <v>769</v>
      </c>
      <c r="E1808" s="4">
        <v>35.76</v>
      </c>
      <c r="F1808" t="s">
        <v>24</v>
      </c>
      <c r="G1808" s="10" t="str">
        <f>TEXT(Transform_Data[[#This Row],[Date]],"mmm yyyy")</f>
        <v>Oct 2024</v>
      </c>
      <c r="H1808" s="10">
        <f>HOUR(Transform_Data[[#This Row],[Time]])</f>
        <v>13</v>
      </c>
      <c r="I1808" s="10" t="str">
        <f>IF(COUNTIF('Transform Data'!$D:$D,'Transform Data'!D1808)&gt;1,"Repeat","Single")</f>
        <v>Repeat</v>
      </c>
      <c r="J1808" s="10" t="str">
        <f>IF('Transform Data'!D1808="Cash","Cash",IF(COUNTIF('Transform Data'!$D:$D,'Transform Data'!D1808)&gt;1,"Repeat","Single"))</f>
        <v>Repeat</v>
      </c>
      <c r="K1808" s="10" t="str">
        <f t="shared" si="28"/>
        <v>TRANS-1807</v>
      </c>
    </row>
    <row r="1809" spans="1:11" x14ac:dyDescent="0.35">
      <c r="A1809" s="5">
        <v>45571</v>
      </c>
      <c r="B1809" s="3">
        <v>0.57638888888888884</v>
      </c>
      <c r="C1809" t="s">
        <v>8</v>
      </c>
      <c r="D1809" t="s">
        <v>770</v>
      </c>
      <c r="E1809" s="4">
        <v>30.86</v>
      </c>
      <c r="F1809" t="s">
        <v>36</v>
      </c>
      <c r="G1809" s="10" t="str">
        <f>TEXT(Transform_Data[[#This Row],[Date]],"mmm yyyy")</f>
        <v>Oct 2024</v>
      </c>
      <c r="H1809" s="10">
        <f>HOUR(Transform_Data[[#This Row],[Time]])</f>
        <v>13</v>
      </c>
      <c r="I1809" s="10" t="str">
        <f>IF(COUNTIF('Transform Data'!$D:$D,'Transform Data'!D1809)&gt;1,"Repeat","Single")</f>
        <v>Repeat</v>
      </c>
      <c r="J1809" s="10" t="str">
        <f>IF('Transform Data'!D1809="Cash","Cash",IF(COUNTIF('Transform Data'!$D:$D,'Transform Data'!D1809)&gt;1,"Repeat","Single"))</f>
        <v>Repeat</v>
      </c>
      <c r="K1809" s="10" t="str">
        <f t="shared" si="28"/>
        <v>TRANS-1808</v>
      </c>
    </row>
    <row r="1810" spans="1:11" x14ac:dyDescent="0.35">
      <c r="A1810" s="5">
        <v>45571</v>
      </c>
      <c r="B1810" s="3">
        <v>0.57712962962962966</v>
      </c>
      <c r="C1810" t="s">
        <v>8</v>
      </c>
      <c r="D1810" t="s">
        <v>770</v>
      </c>
      <c r="E1810" s="4">
        <v>35.76</v>
      </c>
      <c r="F1810" t="s">
        <v>32</v>
      </c>
      <c r="G1810" s="10" t="str">
        <f>TEXT(Transform_Data[[#This Row],[Date]],"mmm yyyy")</f>
        <v>Oct 2024</v>
      </c>
      <c r="H1810" s="10">
        <f>HOUR(Transform_Data[[#This Row],[Time]])</f>
        <v>13</v>
      </c>
      <c r="I1810" s="10" t="str">
        <f>IF(COUNTIF('Transform Data'!$D:$D,'Transform Data'!D1810)&gt;1,"Repeat","Single")</f>
        <v>Repeat</v>
      </c>
      <c r="J1810" s="10" t="str">
        <f>IF('Transform Data'!D1810="Cash","Cash",IF(COUNTIF('Transform Data'!$D:$D,'Transform Data'!D1810)&gt;1,"Repeat","Single"))</f>
        <v>Repeat</v>
      </c>
      <c r="K1810" s="10" t="str">
        <f t="shared" si="28"/>
        <v>TRANS-1809</v>
      </c>
    </row>
    <row r="1811" spans="1:11" x14ac:dyDescent="0.35">
      <c r="A1811" s="5">
        <v>45571</v>
      </c>
      <c r="B1811" s="3">
        <v>0.57773148148148146</v>
      </c>
      <c r="C1811" t="s">
        <v>8</v>
      </c>
      <c r="D1811" t="s">
        <v>770</v>
      </c>
      <c r="E1811" s="4">
        <v>35.76</v>
      </c>
      <c r="F1811" t="s">
        <v>24</v>
      </c>
      <c r="G1811" s="10" t="str">
        <f>TEXT(Transform_Data[[#This Row],[Date]],"mmm yyyy")</f>
        <v>Oct 2024</v>
      </c>
      <c r="H1811" s="10">
        <f>HOUR(Transform_Data[[#This Row],[Time]])</f>
        <v>13</v>
      </c>
      <c r="I1811" s="10" t="str">
        <f>IF(COUNTIF('Transform Data'!$D:$D,'Transform Data'!D1811)&gt;1,"Repeat","Single")</f>
        <v>Repeat</v>
      </c>
      <c r="J1811" s="10" t="str">
        <f>IF('Transform Data'!D1811="Cash","Cash",IF(COUNTIF('Transform Data'!$D:$D,'Transform Data'!D1811)&gt;1,"Repeat","Single"))</f>
        <v>Repeat</v>
      </c>
      <c r="K1811" s="10" t="str">
        <f t="shared" si="28"/>
        <v>TRANS-1810</v>
      </c>
    </row>
    <row r="1812" spans="1:11" x14ac:dyDescent="0.35">
      <c r="A1812" s="5">
        <v>45571</v>
      </c>
      <c r="B1812" s="3">
        <v>0.68857638888888884</v>
      </c>
      <c r="C1812" t="s">
        <v>8</v>
      </c>
      <c r="D1812" t="s">
        <v>771</v>
      </c>
      <c r="E1812" s="4">
        <v>35.76</v>
      </c>
      <c r="F1812" t="s">
        <v>24</v>
      </c>
      <c r="G1812" s="10" t="str">
        <f>TEXT(Transform_Data[[#This Row],[Date]],"mmm yyyy")</f>
        <v>Oct 2024</v>
      </c>
      <c r="H1812" s="10">
        <f>HOUR(Transform_Data[[#This Row],[Time]])</f>
        <v>16</v>
      </c>
      <c r="I1812" s="10" t="str">
        <f>IF(COUNTIF('Transform Data'!$D:$D,'Transform Data'!D1812)&gt;1,"Repeat","Single")</f>
        <v>Single</v>
      </c>
      <c r="J1812" s="10" t="str">
        <f>IF('Transform Data'!D1812="Cash","Cash",IF(COUNTIF('Transform Data'!$D:$D,'Transform Data'!D1812)&gt;1,"Repeat","Single"))</f>
        <v>Single</v>
      </c>
      <c r="K1812" s="10" t="str">
        <f t="shared" si="28"/>
        <v>TRANS-1811</v>
      </c>
    </row>
    <row r="1813" spans="1:11" x14ac:dyDescent="0.35">
      <c r="A1813" s="5">
        <v>45571</v>
      </c>
      <c r="B1813" s="3">
        <v>0.69149305555555551</v>
      </c>
      <c r="C1813" t="s">
        <v>8</v>
      </c>
      <c r="D1813" t="s">
        <v>772</v>
      </c>
      <c r="E1813" s="4">
        <v>21.06</v>
      </c>
      <c r="F1813" t="s">
        <v>5</v>
      </c>
      <c r="G1813" s="10" t="str">
        <f>TEXT(Transform_Data[[#This Row],[Date]],"mmm yyyy")</f>
        <v>Oct 2024</v>
      </c>
      <c r="H1813" s="10">
        <f>HOUR(Transform_Data[[#This Row],[Time]])</f>
        <v>16</v>
      </c>
      <c r="I1813" s="10" t="str">
        <f>IF(COUNTIF('Transform Data'!$D:$D,'Transform Data'!D1813)&gt;1,"Repeat","Single")</f>
        <v>Single</v>
      </c>
      <c r="J1813" s="10" t="str">
        <f>IF('Transform Data'!D1813="Cash","Cash",IF(COUNTIF('Transform Data'!$D:$D,'Transform Data'!D1813)&gt;1,"Repeat","Single"))</f>
        <v>Single</v>
      </c>
      <c r="K1813" s="10" t="str">
        <f t="shared" si="28"/>
        <v>TRANS-1812</v>
      </c>
    </row>
    <row r="1814" spans="1:11" x14ac:dyDescent="0.35">
      <c r="A1814" s="5">
        <v>45571</v>
      </c>
      <c r="B1814" s="3">
        <v>0.76231481481481478</v>
      </c>
      <c r="C1814" t="s">
        <v>8</v>
      </c>
      <c r="D1814" t="s">
        <v>773</v>
      </c>
      <c r="E1814" s="4">
        <v>30.86</v>
      </c>
      <c r="F1814" t="s">
        <v>36</v>
      </c>
      <c r="G1814" s="10" t="str">
        <f>TEXT(Transform_Data[[#This Row],[Date]],"mmm yyyy")</f>
        <v>Oct 2024</v>
      </c>
      <c r="H1814" s="10">
        <f>HOUR(Transform_Data[[#This Row],[Time]])</f>
        <v>18</v>
      </c>
      <c r="I1814" s="10" t="str">
        <f>IF(COUNTIF('Transform Data'!$D:$D,'Transform Data'!D1814)&gt;1,"Repeat","Single")</f>
        <v>Single</v>
      </c>
      <c r="J1814" s="10" t="str">
        <f>IF('Transform Data'!D1814="Cash","Cash",IF(COUNTIF('Transform Data'!$D:$D,'Transform Data'!D1814)&gt;1,"Repeat","Single"))</f>
        <v>Single</v>
      </c>
      <c r="K1814" s="10" t="str">
        <f t="shared" si="28"/>
        <v>TRANS-1813</v>
      </c>
    </row>
    <row r="1815" spans="1:11" x14ac:dyDescent="0.35">
      <c r="A1815" s="5">
        <v>45571</v>
      </c>
      <c r="B1815" s="3">
        <v>0.77449074074074076</v>
      </c>
      <c r="C1815" t="s">
        <v>8</v>
      </c>
      <c r="D1815" t="s">
        <v>774</v>
      </c>
      <c r="E1815" s="4">
        <v>35.76</v>
      </c>
      <c r="F1815" t="s">
        <v>15</v>
      </c>
      <c r="G1815" s="10" t="str">
        <f>TEXT(Transform_Data[[#This Row],[Date]],"mmm yyyy")</f>
        <v>Oct 2024</v>
      </c>
      <c r="H1815" s="10">
        <f>HOUR(Transform_Data[[#This Row],[Time]])</f>
        <v>18</v>
      </c>
      <c r="I1815" s="10" t="str">
        <f>IF(COUNTIF('Transform Data'!$D:$D,'Transform Data'!D1815)&gt;1,"Repeat","Single")</f>
        <v>Repeat</v>
      </c>
      <c r="J1815" s="10" t="str">
        <f>IF('Transform Data'!D1815="Cash","Cash",IF(COUNTIF('Transform Data'!$D:$D,'Transform Data'!D1815)&gt;1,"Repeat","Single"))</f>
        <v>Repeat</v>
      </c>
      <c r="K1815" s="10" t="str">
        <f t="shared" si="28"/>
        <v>TRANS-1814</v>
      </c>
    </row>
    <row r="1816" spans="1:11" x14ac:dyDescent="0.35">
      <c r="A1816" s="5">
        <v>45571</v>
      </c>
      <c r="B1816" s="3">
        <v>0.88138888888888889</v>
      </c>
      <c r="C1816" t="s">
        <v>8</v>
      </c>
      <c r="D1816" t="s">
        <v>775</v>
      </c>
      <c r="E1816" s="4">
        <v>35.76</v>
      </c>
      <c r="F1816" t="s">
        <v>15</v>
      </c>
      <c r="G1816" s="10" t="str">
        <f>TEXT(Transform_Data[[#This Row],[Date]],"mmm yyyy")</f>
        <v>Oct 2024</v>
      </c>
      <c r="H1816" s="10">
        <f>HOUR(Transform_Data[[#This Row],[Time]])</f>
        <v>21</v>
      </c>
      <c r="I1816" s="10" t="str">
        <f>IF(COUNTIF('Transform Data'!$D:$D,'Transform Data'!D1816)&gt;1,"Repeat","Single")</f>
        <v>Repeat</v>
      </c>
      <c r="J1816" s="10" t="str">
        <f>IF('Transform Data'!D1816="Cash","Cash",IF(COUNTIF('Transform Data'!$D:$D,'Transform Data'!D1816)&gt;1,"Repeat","Single"))</f>
        <v>Repeat</v>
      </c>
      <c r="K1816" s="10" t="str">
        <f t="shared" si="28"/>
        <v>TRANS-1815</v>
      </c>
    </row>
    <row r="1817" spans="1:11" x14ac:dyDescent="0.35">
      <c r="A1817" s="5">
        <v>45571</v>
      </c>
      <c r="B1817" s="3">
        <v>0.88194444444444442</v>
      </c>
      <c r="C1817" t="s">
        <v>8</v>
      </c>
      <c r="D1817" t="s">
        <v>775</v>
      </c>
      <c r="E1817" s="4">
        <v>35.76</v>
      </c>
      <c r="F1817" t="s">
        <v>15</v>
      </c>
      <c r="G1817" s="10" t="str">
        <f>TEXT(Transform_Data[[#This Row],[Date]],"mmm yyyy")</f>
        <v>Oct 2024</v>
      </c>
      <c r="H1817" s="10">
        <f>HOUR(Transform_Data[[#This Row],[Time]])</f>
        <v>21</v>
      </c>
      <c r="I1817" s="10" t="str">
        <f>IF(COUNTIF('Transform Data'!$D:$D,'Transform Data'!D1817)&gt;1,"Repeat","Single")</f>
        <v>Repeat</v>
      </c>
      <c r="J1817" s="10" t="str">
        <f>IF('Transform Data'!D1817="Cash","Cash",IF(COUNTIF('Transform Data'!$D:$D,'Transform Data'!D1817)&gt;1,"Repeat","Single"))</f>
        <v>Repeat</v>
      </c>
      <c r="K1817" s="10" t="str">
        <f t="shared" si="28"/>
        <v>TRANS-1816</v>
      </c>
    </row>
    <row r="1818" spans="1:11" x14ac:dyDescent="0.35">
      <c r="A1818" s="5">
        <v>45571</v>
      </c>
      <c r="B1818" s="3">
        <v>0.88246527777777772</v>
      </c>
      <c r="C1818" t="s">
        <v>8</v>
      </c>
      <c r="D1818" t="s">
        <v>688</v>
      </c>
      <c r="E1818" s="4">
        <v>35.76</v>
      </c>
      <c r="F1818" t="s">
        <v>15</v>
      </c>
      <c r="G1818" s="10" t="str">
        <f>TEXT(Transform_Data[[#This Row],[Date]],"mmm yyyy")</f>
        <v>Oct 2024</v>
      </c>
      <c r="H1818" s="10">
        <f>HOUR(Transform_Data[[#This Row],[Time]])</f>
        <v>21</v>
      </c>
      <c r="I1818" s="10" t="str">
        <f>IF(COUNTIF('Transform Data'!$D:$D,'Transform Data'!D1818)&gt;1,"Repeat","Single")</f>
        <v>Repeat</v>
      </c>
      <c r="J1818" s="10" t="str">
        <f>IF('Transform Data'!D1818="Cash","Cash",IF(COUNTIF('Transform Data'!$D:$D,'Transform Data'!D1818)&gt;1,"Repeat","Single"))</f>
        <v>Repeat</v>
      </c>
      <c r="K1818" s="10" t="str">
        <f t="shared" si="28"/>
        <v>TRANS-1817</v>
      </c>
    </row>
    <row r="1819" spans="1:11" x14ac:dyDescent="0.35">
      <c r="A1819" s="5">
        <v>45571</v>
      </c>
      <c r="B1819" s="3">
        <v>0.88666666666666671</v>
      </c>
      <c r="C1819" t="s">
        <v>8</v>
      </c>
      <c r="D1819" t="s">
        <v>689</v>
      </c>
      <c r="E1819" s="4">
        <v>35.76</v>
      </c>
      <c r="F1819" t="s">
        <v>32</v>
      </c>
      <c r="G1819" s="10" t="str">
        <f>TEXT(Transform_Data[[#This Row],[Date]],"mmm yyyy")</f>
        <v>Oct 2024</v>
      </c>
      <c r="H1819" s="10">
        <f>HOUR(Transform_Data[[#This Row],[Time]])</f>
        <v>21</v>
      </c>
      <c r="I1819" s="10" t="str">
        <f>IF(COUNTIF('Transform Data'!$D:$D,'Transform Data'!D1819)&gt;1,"Repeat","Single")</f>
        <v>Repeat</v>
      </c>
      <c r="J1819" s="10" t="str">
        <f>IF('Transform Data'!D1819="Cash","Cash",IF(COUNTIF('Transform Data'!$D:$D,'Transform Data'!D1819)&gt;1,"Repeat","Single"))</f>
        <v>Repeat</v>
      </c>
      <c r="K1819" s="10" t="str">
        <f t="shared" si="28"/>
        <v>TRANS-1818</v>
      </c>
    </row>
    <row r="1820" spans="1:11" x14ac:dyDescent="0.35">
      <c r="A1820" s="5">
        <v>45572</v>
      </c>
      <c r="B1820" s="3">
        <v>0.35666666666666669</v>
      </c>
      <c r="C1820" t="s">
        <v>8</v>
      </c>
      <c r="D1820" t="s">
        <v>776</v>
      </c>
      <c r="E1820" s="4">
        <v>35.76</v>
      </c>
      <c r="F1820" t="s">
        <v>32</v>
      </c>
      <c r="G1820" s="10" t="str">
        <f>TEXT(Transform_Data[[#This Row],[Date]],"mmm yyyy")</f>
        <v>Oct 2024</v>
      </c>
      <c r="H1820" s="10">
        <f>HOUR(Transform_Data[[#This Row],[Time]])</f>
        <v>8</v>
      </c>
      <c r="I1820" s="10" t="str">
        <f>IF(COUNTIF('Transform Data'!$D:$D,'Transform Data'!D1820)&gt;1,"Repeat","Single")</f>
        <v>Single</v>
      </c>
      <c r="J1820" s="10" t="str">
        <f>IF('Transform Data'!D1820="Cash","Cash",IF(COUNTIF('Transform Data'!$D:$D,'Transform Data'!D1820)&gt;1,"Repeat","Single"))</f>
        <v>Single</v>
      </c>
      <c r="K1820" s="10" t="str">
        <f t="shared" si="28"/>
        <v>TRANS-1819</v>
      </c>
    </row>
    <row r="1821" spans="1:11" x14ac:dyDescent="0.35">
      <c r="A1821" s="5">
        <v>45572</v>
      </c>
      <c r="B1821" s="3">
        <v>0.36777777777777776</v>
      </c>
      <c r="C1821" t="s">
        <v>8</v>
      </c>
      <c r="D1821" t="s">
        <v>438</v>
      </c>
      <c r="E1821" s="4">
        <v>35.76</v>
      </c>
      <c r="F1821" t="s">
        <v>32</v>
      </c>
      <c r="G1821" s="10" t="str">
        <f>TEXT(Transform_Data[[#This Row],[Date]],"mmm yyyy")</f>
        <v>Oct 2024</v>
      </c>
      <c r="H1821" s="10">
        <f>HOUR(Transform_Data[[#This Row],[Time]])</f>
        <v>8</v>
      </c>
      <c r="I1821" s="10" t="str">
        <f>IF(COUNTIF('Transform Data'!$D:$D,'Transform Data'!D1821)&gt;1,"Repeat","Single")</f>
        <v>Repeat</v>
      </c>
      <c r="J1821" s="10" t="str">
        <f>IF('Transform Data'!D1821="Cash","Cash",IF(COUNTIF('Transform Data'!$D:$D,'Transform Data'!D1821)&gt;1,"Repeat","Single"))</f>
        <v>Repeat</v>
      </c>
      <c r="K1821" s="10" t="str">
        <f t="shared" si="28"/>
        <v>TRANS-1820</v>
      </c>
    </row>
    <row r="1822" spans="1:11" x14ac:dyDescent="0.35">
      <c r="A1822" s="5">
        <v>45572</v>
      </c>
      <c r="B1822" s="3">
        <v>0.36853009259259262</v>
      </c>
      <c r="C1822" t="s">
        <v>8</v>
      </c>
      <c r="D1822" t="s">
        <v>438</v>
      </c>
      <c r="E1822" s="4">
        <v>30.86</v>
      </c>
      <c r="F1822" t="s">
        <v>36</v>
      </c>
      <c r="G1822" s="10" t="str">
        <f>TEXT(Transform_Data[[#This Row],[Date]],"mmm yyyy")</f>
        <v>Oct 2024</v>
      </c>
      <c r="H1822" s="10">
        <f>HOUR(Transform_Data[[#This Row],[Time]])</f>
        <v>8</v>
      </c>
      <c r="I1822" s="10" t="str">
        <f>IF(COUNTIF('Transform Data'!$D:$D,'Transform Data'!D1822)&gt;1,"Repeat","Single")</f>
        <v>Repeat</v>
      </c>
      <c r="J1822" s="10" t="str">
        <f>IF('Transform Data'!D1822="Cash","Cash",IF(COUNTIF('Transform Data'!$D:$D,'Transform Data'!D1822)&gt;1,"Repeat","Single"))</f>
        <v>Repeat</v>
      </c>
      <c r="K1822" s="10" t="str">
        <f t="shared" si="28"/>
        <v>TRANS-1821</v>
      </c>
    </row>
    <row r="1823" spans="1:11" x14ac:dyDescent="0.35">
      <c r="A1823" s="5">
        <v>45572</v>
      </c>
      <c r="B1823" s="3">
        <v>0.3787962962962963</v>
      </c>
      <c r="C1823" t="s">
        <v>8</v>
      </c>
      <c r="D1823" t="s">
        <v>777</v>
      </c>
      <c r="E1823" s="4">
        <v>35.76</v>
      </c>
      <c r="F1823" t="s">
        <v>10</v>
      </c>
      <c r="G1823" s="10" t="str">
        <f>TEXT(Transform_Data[[#This Row],[Date]],"mmm yyyy")</f>
        <v>Oct 2024</v>
      </c>
      <c r="H1823" s="10">
        <f>HOUR(Transform_Data[[#This Row],[Time]])</f>
        <v>9</v>
      </c>
      <c r="I1823" s="10" t="str">
        <f>IF(COUNTIF('Transform Data'!$D:$D,'Transform Data'!D1823)&gt;1,"Repeat","Single")</f>
        <v>Repeat</v>
      </c>
      <c r="J1823" s="10" t="str">
        <f>IF('Transform Data'!D1823="Cash","Cash",IF(COUNTIF('Transform Data'!$D:$D,'Transform Data'!D1823)&gt;1,"Repeat","Single"))</f>
        <v>Repeat</v>
      </c>
      <c r="K1823" s="10" t="str">
        <f t="shared" si="28"/>
        <v>TRANS-1822</v>
      </c>
    </row>
    <row r="1824" spans="1:11" x14ac:dyDescent="0.35">
      <c r="A1824" s="5">
        <v>45572</v>
      </c>
      <c r="B1824" s="3">
        <v>0.38192129629629629</v>
      </c>
      <c r="C1824" t="s">
        <v>8</v>
      </c>
      <c r="D1824" t="s">
        <v>778</v>
      </c>
      <c r="E1824" s="4">
        <v>35.76</v>
      </c>
      <c r="F1824" t="s">
        <v>32</v>
      </c>
      <c r="G1824" s="10" t="str">
        <f>TEXT(Transform_Data[[#This Row],[Date]],"mmm yyyy")</f>
        <v>Oct 2024</v>
      </c>
      <c r="H1824" s="10">
        <f>HOUR(Transform_Data[[#This Row],[Time]])</f>
        <v>9</v>
      </c>
      <c r="I1824" s="10" t="str">
        <f>IF(COUNTIF('Transform Data'!$D:$D,'Transform Data'!D1824)&gt;1,"Repeat","Single")</f>
        <v>Repeat</v>
      </c>
      <c r="J1824" s="10" t="str">
        <f>IF('Transform Data'!D1824="Cash","Cash",IF(COUNTIF('Transform Data'!$D:$D,'Transform Data'!D1824)&gt;1,"Repeat","Single"))</f>
        <v>Repeat</v>
      </c>
      <c r="K1824" s="10" t="str">
        <f t="shared" si="28"/>
        <v>TRANS-1823</v>
      </c>
    </row>
    <row r="1825" spans="1:11" x14ac:dyDescent="0.35">
      <c r="A1825" s="5">
        <v>45572</v>
      </c>
      <c r="B1825" s="3">
        <v>0.51245370370370369</v>
      </c>
      <c r="C1825" t="s">
        <v>8</v>
      </c>
      <c r="D1825" t="s">
        <v>779</v>
      </c>
      <c r="E1825" s="4">
        <v>30.86</v>
      </c>
      <c r="F1825" t="s">
        <v>36</v>
      </c>
      <c r="G1825" s="10" t="str">
        <f>TEXT(Transform_Data[[#This Row],[Date]],"mmm yyyy")</f>
        <v>Oct 2024</v>
      </c>
      <c r="H1825" s="10">
        <f>HOUR(Transform_Data[[#This Row],[Time]])</f>
        <v>12</v>
      </c>
      <c r="I1825" s="10" t="str">
        <f>IF(COUNTIF('Transform Data'!$D:$D,'Transform Data'!D1825)&gt;1,"Repeat","Single")</f>
        <v>Repeat</v>
      </c>
      <c r="J1825" s="10" t="str">
        <f>IF('Transform Data'!D1825="Cash","Cash",IF(COUNTIF('Transform Data'!$D:$D,'Transform Data'!D1825)&gt;1,"Repeat","Single"))</f>
        <v>Repeat</v>
      </c>
      <c r="K1825" s="10" t="str">
        <f t="shared" si="28"/>
        <v>TRANS-1824</v>
      </c>
    </row>
    <row r="1826" spans="1:11" x14ac:dyDescent="0.35">
      <c r="A1826" s="5">
        <v>45572</v>
      </c>
      <c r="B1826" s="3">
        <v>0.60538194444444449</v>
      </c>
      <c r="C1826" t="s">
        <v>8</v>
      </c>
      <c r="D1826" t="s">
        <v>780</v>
      </c>
      <c r="E1826" s="4">
        <v>25.96</v>
      </c>
      <c r="F1826" t="s">
        <v>28</v>
      </c>
      <c r="G1826" s="10" t="str">
        <f>TEXT(Transform_Data[[#This Row],[Date]],"mmm yyyy")</f>
        <v>Oct 2024</v>
      </c>
      <c r="H1826" s="10">
        <f>HOUR(Transform_Data[[#This Row],[Time]])</f>
        <v>14</v>
      </c>
      <c r="I1826" s="10" t="str">
        <f>IF(COUNTIF('Transform Data'!$D:$D,'Transform Data'!D1826)&gt;1,"Repeat","Single")</f>
        <v>Repeat</v>
      </c>
      <c r="J1826" s="10" t="str">
        <f>IF('Transform Data'!D1826="Cash","Cash",IF(COUNTIF('Transform Data'!$D:$D,'Transform Data'!D1826)&gt;1,"Repeat","Single"))</f>
        <v>Repeat</v>
      </c>
      <c r="K1826" s="10" t="str">
        <f t="shared" si="28"/>
        <v>TRANS-1825</v>
      </c>
    </row>
    <row r="1827" spans="1:11" x14ac:dyDescent="0.35">
      <c r="A1827" s="5">
        <v>45572</v>
      </c>
      <c r="B1827" s="3">
        <v>0.60599537037037032</v>
      </c>
      <c r="C1827" t="s">
        <v>8</v>
      </c>
      <c r="D1827" t="s">
        <v>780</v>
      </c>
      <c r="E1827" s="4">
        <v>25.96</v>
      </c>
      <c r="F1827" t="s">
        <v>28</v>
      </c>
      <c r="G1827" s="10" t="str">
        <f>TEXT(Transform_Data[[#This Row],[Date]],"mmm yyyy")</f>
        <v>Oct 2024</v>
      </c>
      <c r="H1827" s="10">
        <f>HOUR(Transform_Data[[#This Row],[Time]])</f>
        <v>14</v>
      </c>
      <c r="I1827" s="10" t="str">
        <f>IF(COUNTIF('Transform Data'!$D:$D,'Transform Data'!D1827)&gt;1,"Repeat","Single")</f>
        <v>Repeat</v>
      </c>
      <c r="J1827" s="10" t="str">
        <f>IF('Transform Data'!D1827="Cash","Cash",IF(COUNTIF('Transform Data'!$D:$D,'Transform Data'!D1827)&gt;1,"Repeat","Single"))</f>
        <v>Repeat</v>
      </c>
      <c r="K1827" s="10" t="str">
        <f t="shared" si="28"/>
        <v>TRANS-1826</v>
      </c>
    </row>
    <row r="1828" spans="1:11" x14ac:dyDescent="0.35">
      <c r="A1828" s="5">
        <v>45572</v>
      </c>
      <c r="B1828" s="3">
        <v>0.74230324074074072</v>
      </c>
      <c r="C1828" t="s">
        <v>8</v>
      </c>
      <c r="D1828" t="s">
        <v>547</v>
      </c>
      <c r="E1828" s="4">
        <v>35.76</v>
      </c>
      <c r="F1828" t="s">
        <v>32</v>
      </c>
      <c r="G1828" s="10" t="str">
        <f>TEXT(Transform_Data[[#This Row],[Date]],"mmm yyyy")</f>
        <v>Oct 2024</v>
      </c>
      <c r="H1828" s="10">
        <f>HOUR(Transform_Data[[#This Row],[Time]])</f>
        <v>17</v>
      </c>
      <c r="I1828" s="10" t="str">
        <f>IF(COUNTIF('Transform Data'!$D:$D,'Transform Data'!D1828)&gt;1,"Repeat","Single")</f>
        <v>Repeat</v>
      </c>
      <c r="J1828" s="10" t="str">
        <f>IF('Transform Data'!D1828="Cash","Cash",IF(COUNTIF('Transform Data'!$D:$D,'Transform Data'!D1828)&gt;1,"Repeat","Single"))</f>
        <v>Repeat</v>
      </c>
      <c r="K1828" s="10" t="str">
        <f t="shared" si="28"/>
        <v>TRANS-1827</v>
      </c>
    </row>
    <row r="1829" spans="1:11" x14ac:dyDescent="0.35">
      <c r="A1829" s="5">
        <v>45572</v>
      </c>
      <c r="B1829" s="3">
        <v>0.88520833333333337</v>
      </c>
      <c r="C1829" t="s">
        <v>8</v>
      </c>
      <c r="D1829" t="s">
        <v>688</v>
      </c>
      <c r="E1829" s="4">
        <v>35.76</v>
      </c>
      <c r="F1829" t="s">
        <v>15</v>
      </c>
      <c r="G1829" s="10" t="str">
        <f>TEXT(Transform_Data[[#This Row],[Date]],"mmm yyyy")</f>
        <v>Oct 2024</v>
      </c>
      <c r="H1829" s="10">
        <f>HOUR(Transform_Data[[#This Row],[Time]])</f>
        <v>21</v>
      </c>
      <c r="I1829" s="10" t="str">
        <f>IF(COUNTIF('Transform Data'!$D:$D,'Transform Data'!D1829)&gt;1,"Repeat","Single")</f>
        <v>Repeat</v>
      </c>
      <c r="J1829" s="10" t="str">
        <f>IF('Transform Data'!D1829="Cash","Cash",IF(COUNTIF('Transform Data'!$D:$D,'Transform Data'!D1829)&gt;1,"Repeat","Single"))</f>
        <v>Repeat</v>
      </c>
      <c r="K1829" s="10" t="str">
        <f t="shared" si="28"/>
        <v>TRANS-1828</v>
      </c>
    </row>
    <row r="1830" spans="1:11" x14ac:dyDescent="0.35">
      <c r="A1830" s="5">
        <v>45572</v>
      </c>
      <c r="B1830" s="3">
        <v>0.88564814814814818</v>
      </c>
      <c r="C1830" t="s">
        <v>8</v>
      </c>
      <c r="D1830" t="s">
        <v>688</v>
      </c>
      <c r="E1830" s="4">
        <v>35.76</v>
      </c>
      <c r="F1830" t="s">
        <v>15</v>
      </c>
      <c r="G1830" s="10" t="str">
        <f>TEXT(Transform_Data[[#This Row],[Date]],"mmm yyyy")</f>
        <v>Oct 2024</v>
      </c>
      <c r="H1830" s="10">
        <f>HOUR(Transform_Data[[#This Row],[Time]])</f>
        <v>21</v>
      </c>
      <c r="I1830" s="10" t="str">
        <f>IF(COUNTIF('Transform Data'!$D:$D,'Transform Data'!D1830)&gt;1,"Repeat","Single")</f>
        <v>Repeat</v>
      </c>
      <c r="J1830" s="10" t="str">
        <f>IF('Transform Data'!D1830="Cash","Cash",IF(COUNTIF('Transform Data'!$D:$D,'Transform Data'!D1830)&gt;1,"Repeat","Single"))</f>
        <v>Repeat</v>
      </c>
      <c r="K1830" s="10" t="str">
        <f t="shared" si="28"/>
        <v>TRANS-1829</v>
      </c>
    </row>
    <row r="1831" spans="1:11" x14ac:dyDescent="0.35">
      <c r="A1831" s="5">
        <v>45572</v>
      </c>
      <c r="B1831" s="3">
        <v>0.90333333333333332</v>
      </c>
      <c r="C1831" t="s">
        <v>8</v>
      </c>
      <c r="D1831" t="s">
        <v>650</v>
      </c>
      <c r="E1831" s="4">
        <v>35.76</v>
      </c>
      <c r="F1831" t="s">
        <v>32</v>
      </c>
      <c r="G1831" s="10" t="str">
        <f>TEXT(Transform_Data[[#This Row],[Date]],"mmm yyyy")</f>
        <v>Oct 2024</v>
      </c>
      <c r="H1831" s="10">
        <f>HOUR(Transform_Data[[#This Row],[Time]])</f>
        <v>21</v>
      </c>
      <c r="I1831" s="10" t="str">
        <f>IF(COUNTIF('Transform Data'!$D:$D,'Transform Data'!D1831)&gt;1,"Repeat","Single")</f>
        <v>Repeat</v>
      </c>
      <c r="J1831" s="10" t="str">
        <f>IF('Transform Data'!D1831="Cash","Cash",IF(COUNTIF('Transform Data'!$D:$D,'Transform Data'!D1831)&gt;1,"Repeat","Single"))</f>
        <v>Repeat</v>
      </c>
      <c r="K1831" s="10" t="str">
        <f t="shared" si="28"/>
        <v>TRANS-1830</v>
      </c>
    </row>
    <row r="1832" spans="1:11" x14ac:dyDescent="0.35">
      <c r="A1832" s="5">
        <v>45573</v>
      </c>
      <c r="B1832" s="3">
        <v>0.34155092592592595</v>
      </c>
      <c r="C1832" t="s">
        <v>8</v>
      </c>
      <c r="D1832" t="s">
        <v>755</v>
      </c>
      <c r="E1832" s="4">
        <v>35.76</v>
      </c>
      <c r="F1832" t="s">
        <v>32</v>
      </c>
      <c r="G1832" s="10" t="str">
        <f>TEXT(Transform_Data[[#This Row],[Date]],"mmm yyyy")</f>
        <v>Oct 2024</v>
      </c>
      <c r="H1832" s="10">
        <f>HOUR(Transform_Data[[#This Row],[Time]])</f>
        <v>8</v>
      </c>
      <c r="I1832" s="10" t="str">
        <f>IF(COUNTIF('Transform Data'!$D:$D,'Transform Data'!D1832)&gt;1,"Repeat","Single")</f>
        <v>Repeat</v>
      </c>
      <c r="J1832" s="10" t="str">
        <f>IF('Transform Data'!D1832="Cash","Cash",IF(COUNTIF('Transform Data'!$D:$D,'Transform Data'!D1832)&gt;1,"Repeat","Single"))</f>
        <v>Repeat</v>
      </c>
      <c r="K1832" s="10" t="str">
        <f t="shared" si="28"/>
        <v>TRANS-1831</v>
      </c>
    </row>
    <row r="1833" spans="1:11" x14ac:dyDescent="0.35">
      <c r="A1833" s="5">
        <v>45573</v>
      </c>
      <c r="B1833" s="3">
        <v>0.37863425925925925</v>
      </c>
      <c r="C1833" t="s">
        <v>8</v>
      </c>
      <c r="D1833" t="s">
        <v>29</v>
      </c>
      <c r="E1833" s="4">
        <v>30.86</v>
      </c>
      <c r="F1833" t="s">
        <v>36</v>
      </c>
      <c r="G1833" s="10" t="str">
        <f>TEXT(Transform_Data[[#This Row],[Date]],"mmm yyyy")</f>
        <v>Oct 2024</v>
      </c>
      <c r="H1833" s="10">
        <f>HOUR(Transform_Data[[#This Row],[Time]])</f>
        <v>9</v>
      </c>
      <c r="I1833" s="10" t="str">
        <f>IF(COUNTIF('Transform Data'!$D:$D,'Transform Data'!D1833)&gt;1,"Repeat","Single")</f>
        <v>Repeat</v>
      </c>
      <c r="J1833" s="10" t="str">
        <f>IF('Transform Data'!D1833="Cash","Cash",IF(COUNTIF('Transform Data'!$D:$D,'Transform Data'!D1833)&gt;1,"Repeat","Single"))</f>
        <v>Repeat</v>
      </c>
      <c r="K1833" s="10" t="str">
        <f t="shared" si="28"/>
        <v>TRANS-1832</v>
      </c>
    </row>
    <row r="1834" spans="1:11" x14ac:dyDescent="0.35">
      <c r="A1834" s="5">
        <v>45573</v>
      </c>
      <c r="B1834" s="3">
        <v>0.43230324074074072</v>
      </c>
      <c r="C1834" t="s">
        <v>8</v>
      </c>
      <c r="D1834" t="s">
        <v>752</v>
      </c>
      <c r="E1834" s="4">
        <v>25.96</v>
      </c>
      <c r="F1834" t="s">
        <v>28</v>
      </c>
      <c r="G1834" s="10" t="str">
        <f>TEXT(Transform_Data[[#This Row],[Date]],"mmm yyyy")</f>
        <v>Oct 2024</v>
      </c>
      <c r="H1834" s="10">
        <f>HOUR(Transform_Data[[#This Row],[Time]])</f>
        <v>10</v>
      </c>
      <c r="I1834" s="10" t="str">
        <f>IF(COUNTIF('Transform Data'!$D:$D,'Transform Data'!D1834)&gt;1,"Repeat","Single")</f>
        <v>Repeat</v>
      </c>
      <c r="J1834" s="10" t="str">
        <f>IF('Transform Data'!D1834="Cash","Cash",IF(COUNTIF('Transform Data'!$D:$D,'Transform Data'!D1834)&gt;1,"Repeat","Single"))</f>
        <v>Repeat</v>
      </c>
      <c r="K1834" s="10" t="str">
        <f t="shared" si="28"/>
        <v>TRANS-1833</v>
      </c>
    </row>
    <row r="1835" spans="1:11" x14ac:dyDescent="0.35">
      <c r="A1835" s="5">
        <v>45573</v>
      </c>
      <c r="B1835" s="3">
        <v>0.43550925925925926</v>
      </c>
      <c r="C1835" t="s">
        <v>8</v>
      </c>
      <c r="D1835" t="s">
        <v>735</v>
      </c>
      <c r="E1835" s="4">
        <v>35.76</v>
      </c>
      <c r="F1835" t="s">
        <v>32</v>
      </c>
      <c r="G1835" s="10" t="str">
        <f>TEXT(Transform_Data[[#This Row],[Date]],"mmm yyyy")</f>
        <v>Oct 2024</v>
      </c>
      <c r="H1835" s="10">
        <f>HOUR(Transform_Data[[#This Row],[Time]])</f>
        <v>10</v>
      </c>
      <c r="I1835" s="10" t="str">
        <f>IF(COUNTIF('Transform Data'!$D:$D,'Transform Data'!D1835)&gt;1,"Repeat","Single")</f>
        <v>Repeat</v>
      </c>
      <c r="J1835" s="10" t="str">
        <f>IF('Transform Data'!D1835="Cash","Cash",IF(COUNTIF('Transform Data'!$D:$D,'Transform Data'!D1835)&gt;1,"Repeat","Single"))</f>
        <v>Repeat</v>
      </c>
      <c r="K1835" s="10" t="str">
        <f t="shared" si="28"/>
        <v>TRANS-1834</v>
      </c>
    </row>
    <row r="1836" spans="1:11" x14ac:dyDescent="0.35">
      <c r="A1836" s="5">
        <v>45573</v>
      </c>
      <c r="B1836" s="3">
        <v>0.47928240740740741</v>
      </c>
      <c r="C1836" t="s">
        <v>8</v>
      </c>
      <c r="D1836" t="s">
        <v>778</v>
      </c>
      <c r="E1836" s="4">
        <v>35.76</v>
      </c>
      <c r="F1836" t="s">
        <v>32</v>
      </c>
      <c r="G1836" s="10" t="str">
        <f>TEXT(Transform_Data[[#This Row],[Date]],"mmm yyyy")</f>
        <v>Oct 2024</v>
      </c>
      <c r="H1836" s="10">
        <f>HOUR(Transform_Data[[#This Row],[Time]])</f>
        <v>11</v>
      </c>
      <c r="I1836" s="10" t="str">
        <f>IF(COUNTIF('Transform Data'!$D:$D,'Transform Data'!D1836)&gt;1,"Repeat","Single")</f>
        <v>Repeat</v>
      </c>
      <c r="J1836" s="10" t="str">
        <f>IF('Transform Data'!D1836="Cash","Cash",IF(COUNTIF('Transform Data'!$D:$D,'Transform Data'!D1836)&gt;1,"Repeat","Single"))</f>
        <v>Repeat</v>
      </c>
      <c r="K1836" s="10" t="str">
        <f t="shared" si="28"/>
        <v>TRANS-1835</v>
      </c>
    </row>
    <row r="1837" spans="1:11" x14ac:dyDescent="0.35">
      <c r="A1837" s="5">
        <v>45573</v>
      </c>
      <c r="B1837" s="3">
        <v>0.53337962962962959</v>
      </c>
      <c r="C1837" t="s">
        <v>8</v>
      </c>
      <c r="D1837" t="s">
        <v>279</v>
      </c>
      <c r="E1837" s="4">
        <v>25.96</v>
      </c>
      <c r="F1837" t="s">
        <v>28</v>
      </c>
      <c r="G1837" s="10" t="str">
        <f>TEXT(Transform_Data[[#This Row],[Date]],"mmm yyyy")</f>
        <v>Oct 2024</v>
      </c>
      <c r="H1837" s="10">
        <f>HOUR(Transform_Data[[#This Row],[Time]])</f>
        <v>12</v>
      </c>
      <c r="I1837" s="10" t="str">
        <f>IF(COUNTIF('Transform Data'!$D:$D,'Transform Data'!D1837)&gt;1,"Repeat","Single")</f>
        <v>Repeat</v>
      </c>
      <c r="J1837" s="10" t="str">
        <f>IF('Transform Data'!D1837="Cash","Cash",IF(COUNTIF('Transform Data'!$D:$D,'Transform Data'!D1837)&gt;1,"Repeat","Single"))</f>
        <v>Repeat</v>
      </c>
      <c r="K1837" s="10" t="str">
        <f t="shared" si="28"/>
        <v>TRANS-1836</v>
      </c>
    </row>
    <row r="1838" spans="1:11" x14ac:dyDescent="0.35">
      <c r="A1838" s="5">
        <v>45573</v>
      </c>
      <c r="B1838" s="3">
        <v>0.53407407407407403</v>
      </c>
      <c r="C1838" t="s">
        <v>8</v>
      </c>
      <c r="D1838" t="s">
        <v>279</v>
      </c>
      <c r="E1838" s="4">
        <v>25.96</v>
      </c>
      <c r="F1838" t="s">
        <v>28</v>
      </c>
      <c r="G1838" s="10" t="str">
        <f>TEXT(Transform_Data[[#This Row],[Date]],"mmm yyyy")</f>
        <v>Oct 2024</v>
      </c>
      <c r="H1838" s="10">
        <f>HOUR(Transform_Data[[#This Row],[Time]])</f>
        <v>12</v>
      </c>
      <c r="I1838" s="10" t="str">
        <f>IF(COUNTIF('Transform Data'!$D:$D,'Transform Data'!D1838)&gt;1,"Repeat","Single")</f>
        <v>Repeat</v>
      </c>
      <c r="J1838" s="10" t="str">
        <f>IF('Transform Data'!D1838="Cash","Cash",IF(COUNTIF('Transform Data'!$D:$D,'Transform Data'!D1838)&gt;1,"Repeat","Single"))</f>
        <v>Repeat</v>
      </c>
      <c r="K1838" s="10" t="str">
        <f t="shared" si="28"/>
        <v>TRANS-1837</v>
      </c>
    </row>
    <row r="1839" spans="1:11" x14ac:dyDescent="0.35">
      <c r="A1839" s="5">
        <v>45573</v>
      </c>
      <c r="B1839" s="3">
        <v>0.5444444444444444</v>
      </c>
      <c r="C1839" t="s">
        <v>8</v>
      </c>
      <c r="D1839" t="s">
        <v>781</v>
      </c>
      <c r="E1839" s="4">
        <v>35.76</v>
      </c>
      <c r="F1839" t="s">
        <v>32</v>
      </c>
      <c r="G1839" s="10" t="str">
        <f>TEXT(Transform_Data[[#This Row],[Date]],"mmm yyyy")</f>
        <v>Oct 2024</v>
      </c>
      <c r="H1839" s="10">
        <f>HOUR(Transform_Data[[#This Row],[Time]])</f>
        <v>13</v>
      </c>
      <c r="I1839" s="10" t="str">
        <f>IF(COUNTIF('Transform Data'!$D:$D,'Transform Data'!D1839)&gt;1,"Repeat","Single")</f>
        <v>Repeat</v>
      </c>
      <c r="J1839" s="10" t="str">
        <f>IF('Transform Data'!D1839="Cash","Cash",IF(COUNTIF('Transform Data'!$D:$D,'Transform Data'!D1839)&gt;1,"Repeat","Single"))</f>
        <v>Repeat</v>
      </c>
      <c r="K1839" s="10" t="str">
        <f t="shared" si="28"/>
        <v>TRANS-1838</v>
      </c>
    </row>
    <row r="1840" spans="1:11" x14ac:dyDescent="0.35">
      <c r="A1840" s="5">
        <v>45573</v>
      </c>
      <c r="B1840" s="3">
        <v>0.5451273148148148</v>
      </c>
      <c r="C1840" t="s">
        <v>8</v>
      </c>
      <c r="D1840" t="s">
        <v>781</v>
      </c>
      <c r="E1840" s="4">
        <v>35.76</v>
      </c>
      <c r="F1840" t="s">
        <v>32</v>
      </c>
      <c r="G1840" s="10" t="str">
        <f>TEXT(Transform_Data[[#This Row],[Date]],"mmm yyyy")</f>
        <v>Oct 2024</v>
      </c>
      <c r="H1840" s="10">
        <f>HOUR(Transform_Data[[#This Row],[Time]])</f>
        <v>13</v>
      </c>
      <c r="I1840" s="10" t="str">
        <f>IF(COUNTIF('Transform Data'!$D:$D,'Transform Data'!D1840)&gt;1,"Repeat","Single")</f>
        <v>Repeat</v>
      </c>
      <c r="J1840" s="10" t="str">
        <f>IF('Transform Data'!D1840="Cash","Cash",IF(COUNTIF('Transform Data'!$D:$D,'Transform Data'!D1840)&gt;1,"Repeat","Single"))</f>
        <v>Repeat</v>
      </c>
      <c r="K1840" s="10" t="str">
        <f t="shared" si="28"/>
        <v>TRANS-1839</v>
      </c>
    </row>
    <row r="1841" spans="1:11" x14ac:dyDescent="0.35">
      <c r="A1841" s="5">
        <v>45573</v>
      </c>
      <c r="B1841" s="3">
        <v>0.61310185185185184</v>
      </c>
      <c r="C1841" t="s">
        <v>8</v>
      </c>
      <c r="D1841" t="s">
        <v>21</v>
      </c>
      <c r="E1841" s="4">
        <v>35.76</v>
      </c>
      <c r="F1841" t="s">
        <v>32</v>
      </c>
      <c r="G1841" s="10" t="str">
        <f>TEXT(Transform_Data[[#This Row],[Date]],"mmm yyyy")</f>
        <v>Oct 2024</v>
      </c>
      <c r="H1841" s="10">
        <f>HOUR(Transform_Data[[#This Row],[Time]])</f>
        <v>14</v>
      </c>
      <c r="I1841" s="10" t="str">
        <f>IF(COUNTIF('Transform Data'!$D:$D,'Transform Data'!D1841)&gt;1,"Repeat","Single")</f>
        <v>Repeat</v>
      </c>
      <c r="J1841" s="10" t="str">
        <f>IF('Transform Data'!D1841="Cash","Cash",IF(COUNTIF('Transform Data'!$D:$D,'Transform Data'!D1841)&gt;1,"Repeat","Single"))</f>
        <v>Repeat</v>
      </c>
      <c r="K1841" s="10" t="str">
        <f t="shared" si="28"/>
        <v>TRANS-1840</v>
      </c>
    </row>
    <row r="1842" spans="1:11" x14ac:dyDescent="0.35">
      <c r="A1842" s="5">
        <v>45573</v>
      </c>
      <c r="B1842" s="3">
        <v>0.63450231481481478</v>
      </c>
      <c r="C1842" t="s">
        <v>8</v>
      </c>
      <c r="D1842" t="s">
        <v>528</v>
      </c>
      <c r="E1842" s="4">
        <v>35.76</v>
      </c>
      <c r="F1842" t="s">
        <v>32</v>
      </c>
      <c r="G1842" s="10" t="str">
        <f>TEXT(Transform_Data[[#This Row],[Date]],"mmm yyyy")</f>
        <v>Oct 2024</v>
      </c>
      <c r="H1842" s="10">
        <f>HOUR(Transform_Data[[#This Row],[Time]])</f>
        <v>15</v>
      </c>
      <c r="I1842" s="10" t="str">
        <f>IF(COUNTIF('Transform Data'!$D:$D,'Transform Data'!D1842)&gt;1,"Repeat","Single")</f>
        <v>Repeat</v>
      </c>
      <c r="J1842" s="10" t="str">
        <f>IF('Transform Data'!D1842="Cash","Cash",IF(COUNTIF('Transform Data'!$D:$D,'Transform Data'!D1842)&gt;1,"Repeat","Single"))</f>
        <v>Repeat</v>
      </c>
      <c r="K1842" s="10" t="str">
        <f t="shared" si="28"/>
        <v>TRANS-1841</v>
      </c>
    </row>
    <row r="1843" spans="1:11" x14ac:dyDescent="0.35">
      <c r="A1843" s="5">
        <v>45573</v>
      </c>
      <c r="B1843" s="3">
        <v>0.63879629629629631</v>
      </c>
      <c r="C1843" t="s">
        <v>8</v>
      </c>
      <c r="D1843" t="s">
        <v>106</v>
      </c>
      <c r="E1843" s="4">
        <v>25.96</v>
      </c>
      <c r="F1843" t="s">
        <v>28</v>
      </c>
      <c r="G1843" s="10" t="str">
        <f>TEXT(Transform_Data[[#This Row],[Date]],"mmm yyyy")</f>
        <v>Oct 2024</v>
      </c>
      <c r="H1843" s="10">
        <f>HOUR(Transform_Data[[#This Row],[Time]])</f>
        <v>15</v>
      </c>
      <c r="I1843" s="10" t="str">
        <f>IF(COUNTIF('Transform Data'!$D:$D,'Transform Data'!D1843)&gt;1,"Repeat","Single")</f>
        <v>Repeat</v>
      </c>
      <c r="J1843" s="10" t="str">
        <f>IF('Transform Data'!D1843="Cash","Cash",IF(COUNTIF('Transform Data'!$D:$D,'Transform Data'!D1843)&gt;1,"Repeat","Single"))</f>
        <v>Repeat</v>
      </c>
      <c r="K1843" s="10" t="str">
        <f t="shared" si="28"/>
        <v>TRANS-1842</v>
      </c>
    </row>
    <row r="1844" spans="1:11" x14ac:dyDescent="0.35">
      <c r="A1844" s="5">
        <v>45573</v>
      </c>
      <c r="B1844" s="3">
        <v>0.66021990740740744</v>
      </c>
      <c r="C1844" t="s">
        <v>8</v>
      </c>
      <c r="D1844" t="s">
        <v>782</v>
      </c>
      <c r="E1844" s="4">
        <v>30.86</v>
      </c>
      <c r="F1844" t="s">
        <v>36</v>
      </c>
      <c r="G1844" s="10" t="str">
        <f>TEXT(Transform_Data[[#This Row],[Date]],"mmm yyyy")</f>
        <v>Oct 2024</v>
      </c>
      <c r="H1844" s="10">
        <f>HOUR(Transform_Data[[#This Row],[Time]])</f>
        <v>15</v>
      </c>
      <c r="I1844" s="10" t="str">
        <f>IF(COUNTIF('Transform Data'!$D:$D,'Transform Data'!D1844)&gt;1,"Repeat","Single")</f>
        <v>Single</v>
      </c>
      <c r="J1844" s="10" t="str">
        <f>IF('Transform Data'!D1844="Cash","Cash",IF(COUNTIF('Transform Data'!$D:$D,'Transform Data'!D1844)&gt;1,"Repeat","Single"))</f>
        <v>Single</v>
      </c>
      <c r="K1844" s="10" t="str">
        <f t="shared" si="28"/>
        <v>TRANS-1843</v>
      </c>
    </row>
    <row r="1845" spans="1:11" x14ac:dyDescent="0.35">
      <c r="A1845" s="5">
        <v>45573</v>
      </c>
      <c r="B1845" s="3">
        <v>0.86157407407407405</v>
      </c>
      <c r="C1845" t="s">
        <v>8</v>
      </c>
      <c r="D1845" t="s">
        <v>783</v>
      </c>
      <c r="E1845" s="4">
        <v>35.76</v>
      </c>
      <c r="F1845" t="s">
        <v>15</v>
      </c>
      <c r="G1845" s="10" t="str">
        <f>TEXT(Transform_Data[[#This Row],[Date]],"mmm yyyy")</f>
        <v>Oct 2024</v>
      </c>
      <c r="H1845" s="10">
        <f>HOUR(Transform_Data[[#This Row],[Time]])</f>
        <v>20</v>
      </c>
      <c r="I1845" s="10" t="str">
        <f>IF(COUNTIF('Transform Data'!$D:$D,'Transform Data'!D1845)&gt;1,"Repeat","Single")</f>
        <v>Repeat</v>
      </c>
      <c r="J1845" s="10" t="str">
        <f>IF('Transform Data'!D1845="Cash","Cash",IF(COUNTIF('Transform Data'!$D:$D,'Transform Data'!D1845)&gt;1,"Repeat","Single"))</f>
        <v>Repeat</v>
      </c>
      <c r="K1845" s="10" t="str">
        <f t="shared" si="28"/>
        <v>TRANS-1844</v>
      </c>
    </row>
    <row r="1846" spans="1:11" x14ac:dyDescent="0.35">
      <c r="A1846" s="5">
        <v>45573</v>
      </c>
      <c r="B1846" s="3">
        <v>0.8621875</v>
      </c>
      <c r="C1846" t="s">
        <v>8</v>
      </c>
      <c r="D1846" t="s">
        <v>783</v>
      </c>
      <c r="E1846" s="4">
        <v>35.76</v>
      </c>
      <c r="F1846" t="s">
        <v>24</v>
      </c>
      <c r="G1846" s="10" t="str">
        <f>TEXT(Transform_Data[[#This Row],[Date]],"mmm yyyy")</f>
        <v>Oct 2024</v>
      </c>
      <c r="H1846" s="10">
        <f>HOUR(Transform_Data[[#This Row],[Time]])</f>
        <v>20</v>
      </c>
      <c r="I1846" s="10" t="str">
        <f>IF(COUNTIF('Transform Data'!$D:$D,'Transform Data'!D1846)&gt;1,"Repeat","Single")</f>
        <v>Repeat</v>
      </c>
      <c r="J1846" s="10" t="str">
        <f>IF('Transform Data'!D1846="Cash","Cash",IF(COUNTIF('Transform Data'!$D:$D,'Transform Data'!D1846)&gt;1,"Repeat","Single"))</f>
        <v>Repeat</v>
      </c>
      <c r="K1846" s="10" t="str">
        <f t="shared" si="28"/>
        <v>TRANS-1845</v>
      </c>
    </row>
    <row r="1847" spans="1:11" x14ac:dyDescent="0.35">
      <c r="A1847" s="5">
        <v>45573</v>
      </c>
      <c r="B1847" s="3">
        <v>0.86884259259259256</v>
      </c>
      <c r="C1847" t="s">
        <v>8</v>
      </c>
      <c r="D1847" t="s">
        <v>784</v>
      </c>
      <c r="E1847" s="4">
        <v>35.76</v>
      </c>
      <c r="F1847" t="s">
        <v>32</v>
      </c>
      <c r="G1847" s="10" t="str">
        <f>TEXT(Transform_Data[[#This Row],[Date]],"mmm yyyy")</f>
        <v>Oct 2024</v>
      </c>
      <c r="H1847" s="10">
        <f>HOUR(Transform_Data[[#This Row],[Time]])</f>
        <v>20</v>
      </c>
      <c r="I1847" s="10" t="str">
        <f>IF(COUNTIF('Transform Data'!$D:$D,'Transform Data'!D1847)&gt;1,"Repeat","Single")</f>
        <v>Single</v>
      </c>
      <c r="J1847" s="10" t="str">
        <f>IF('Transform Data'!D1847="Cash","Cash",IF(COUNTIF('Transform Data'!$D:$D,'Transform Data'!D1847)&gt;1,"Repeat","Single"))</f>
        <v>Single</v>
      </c>
      <c r="K1847" s="10" t="str">
        <f t="shared" si="28"/>
        <v>TRANS-1846</v>
      </c>
    </row>
    <row r="1848" spans="1:11" x14ac:dyDescent="0.35">
      <c r="A1848" s="5">
        <v>45573</v>
      </c>
      <c r="B1848" s="3">
        <v>0.89203703703703707</v>
      </c>
      <c r="C1848" t="s">
        <v>8</v>
      </c>
      <c r="D1848" t="s">
        <v>16</v>
      </c>
      <c r="E1848" s="4">
        <v>30.86</v>
      </c>
      <c r="F1848" t="s">
        <v>36</v>
      </c>
      <c r="G1848" s="10" t="str">
        <f>TEXT(Transform_Data[[#This Row],[Date]],"mmm yyyy")</f>
        <v>Oct 2024</v>
      </c>
      <c r="H1848" s="10">
        <f>HOUR(Transform_Data[[#This Row],[Time]])</f>
        <v>21</v>
      </c>
      <c r="I1848" s="10" t="str">
        <f>IF(COUNTIF('Transform Data'!$D:$D,'Transform Data'!D1848)&gt;1,"Repeat","Single")</f>
        <v>Repeat</v>
      </c>
      <c r="J1848" s="10" t="str">
        <f>IF('Transform Data'!D1848="Cash","Cash",IF(COUNTIF('Transform Data'!$D:$D,'Transform Data'!D1848)&gt;1,"Repeat","Single"))</f>
        <v>Repeat</v>
      </c>
      <c r="K1848" s="10" t="str">
        <f t="shared" si="28"/>
        <v>TRANS-1847</v>
      </c>
    </row>
    <row r="1849" spans="1:11" x14ac:dyDescent="0.35">
      <c r="A1849" s="5">
        <v>45573</v>
      </c>
      <c r="B1849" s="3">
        <v>0.89273148148148151</v>
      </c>
      <c r="C1849" t="s">
        <v>8</v>
      </c>
      <c r="D1849" t="s">
        <v>16</v>
      </c>
      <c r="E1849" s="4">
        <v>30.86</v>
      </c>
      <c r="F1849" t="s">
        <v>36</v>
      </c>
      <c r="G1849" s="10" t="str">
        <f>TEXT(Transform_Data[[#This Row],[Date]],"mmm yyyy")</f>
        <v>Oct 2024</v>
      </c>
      <c r="H1849" s="10">
        <f>HOUR(Transform_Data[[#This Row],[Time]])</f>
        <v>21</v>
      </c>
      <c r="I1849" s="10" t="str">
        <f>IF(COUNTIF('Transform Data'!$D:$D,'Transform Data'!D1849)&gt;1,"Repeat","Single")</f>
        <v>Repeat</v>
      </c>
      <c r="J1849" s="10" t="str">
        <f>IF('Transform Data'!D1849="Cash","Cash",IF(COUNTIF('Transform Data'!$D:$D,'Transform Data'!D1849)&gt;1,"Repeat","Single"))</f>
        <v>Repeat</v>
      </c>
      <c r="K1849" s="10" t="str">
        <f t="shared" si="28"/>
        <v>TRANS-1848</v>
      </c>
    </row>
    <row r="1850" spans="1:11" x14ac:dyDescent="0.35">
      <c r="A1850" s="5">
        <v>45574</v>
      </c>
      <c r="B1850" s="3">
        <v>0.32965277777777779</v>
      </c>
      <c r="C1850" t="s">
        <v>8</v>
      </c>
      <c r="D1850" t="s">
        <v>622</v>
      </c>
      <c r="E1850" s="4">
        <v>35.76</v>
      </c>
      <c r="F1850" t="s">
        <v>32</v>
      </c>
      <c r="G1850" s="10" t="str">
        <f>TEXT(Transform_Data[[#This Row],[Date]],"mmm yyyy")</f>
        <v>Oct 2024</v>
      </c>
      <c r="H1850" s="10">
        <f>HOUR(Transform_Data[[#This Row],[Time]])</f>
        <v>7</v>
      </c>
      <c r="I1850" s="10" t="str">
        <f>IF(COUNTIF('Transform Data'!$D:$D,'Transform Data'!D1850)&gt;1,"Repeat","Single")</f>
        <v>Repeat</v>
      </c>
      <c r="J1850" s="10" t="str">
        <f>IF('Transform Data'!D1850="Cash","Cash",IF(COUNTIF('Transform Data'!$D:$D,'Transform Data'!D1850)&gt;1,"Repeat","Single"))</f>
        <v>Repeat</v>
      </c>
      <c r="K1850" s="10" t="str">
        <f t="shared" si="28"/>
        <v>TRANS-1849</v>
      </c>
    </row>
    <row r="1851" spans="1:11" x14ac:dyDescent="0.35">
      <c r="A1851" s="5">
        <v>45574</v>
      </c>
      <c r="B1851" s="3">
        <v>0.35135416666666669</v>
      </c>
      <c r="C1851" t="s">
        <v>8</v>
      </c>
      <c r="D1851" t="s">
        <v>29</v>
      </c>
      <c r="E1851" s="4">
        <v>30.86</v>
      </c>
      <c r="F1851" t="s">
        <v>36</v>
      </c>
      <c r="G1851" s="10" t="str">
        <f>TEXT(Transform_Data[[#This Row],[Date]],"mmm yyyy")</f>
        <v>Oct 2024</v>
      </c>
      <c r="H1851" s="10">
        <f>HOUR(Transform_Data[[#This Row],[Time]])</f>
        <v>8</v>
      </c>
      <c r="I1851" s="10" t="str">
        <f>IF(COUNTIF('Transform Data'!$D:$D,'Transform Data'!D1851)&gt;1,"Repeat","Single")</f>
        <v>Repeat</v>
      </c>
      <c r="J1851" s="10" t="str">
        <f>IF('Transform Data'!D1851="Cash","Cash",IF(COUNTIF('Transform Data'!$D:$D,'Transform Data'!D1851)&gt;1,"Repeat","Single"))</f>
        <v>Repeat</v>
      </c>
      <c r="K1851" s="10" t="str">
        <f t="shared" si="28"/>
        <v>TRANS-1850</v>
      </c>
    </row>
    <row r="1852" spans="1:11" x14ac:dyDescent="0.35">
      <c r="A1852" s="5">
        <v>45574</v>
      </c>
      <c r="B1852" s="3">
        <v>0.40510416666666665</v>
      </c>
      <c r="C1852" t="s">
        <v>8</v>
      </c>
      <c r="D1852" t="s">
        <v>477</v>
      </c>
      <c r="E1852" s="4">
        <v>30.86</v>
      </c>
      <c r="F1852" t="s">
        <v>36</v>
      </c>
      <c r="G1852" s="10" t="str">
        <f>TEXT(Transform_Data[[#This Row],[Date]],"mmm yyyy")</f>
        <v>Oct 2024</v>
      </c>
      <c r="H1852" s="10">
        <f>HOUR(Transform_Data[[#This Row],[Time]])</f>
        <v>9</v>
      </c>
      <c r="I1852" s="10" t="str">
        <f>IF(COUNTIF('Transform Data'!$D:$D,'Transform Data'!D1852)&gt;1,"Repeat","Single")</f>
        <v>Repeat</v>
      </c>
      <c r="J1852" s="10" t="str">
        <f>IF('Transform Data'!D1852="Cash","Cash",IF(COUNTIF('Transform Data'!$D:$D,'Transform Data'!D1852)&gt;1,"Repeat","Single"))</f>
        <v>Repeat</v>
      </c>
      <c r="K1852" s="10" t="str">
        <f t="shared" si="28"/>
        <v>TRANS-1851</v>
      </c>
    </row>
    <row r="1853" spans="1:11" x14ac:dyDescent="0.35">
      <c r="A1853" s="5">
        <v>45574</v>
      </c>
      <c r="B1853" s="3">
        <v>0.41642361111111109</v>
      </c>
      <c r="C1853" t="s">
        <v>8</v>
      </c>
      <c r="D1853" t="s">
        <v>547</v>
      </c>
      <c r="E1853" s="4">
        <v>35.76</v>
      </c>
      <c r="F1853" t="s">
        <v>32</v>
      </c>
      <c r="G1853" s="10" t="str">
        <f>TEXT(Transform_Data[[#This Row],[Date]],"mmm yyyy")</f>
        <v>Oct 2024</v>
      </c>
      <c r="H1853" s="10">
        <f>HOUR(Transform_Data[[#This Row],[Time]])</f>
        <v>9</v>
      </c>
      <c r="I1853" s="10" t="str">
        <f>IF(COUNTIF('Transform Data'!$D:$D,'Transform Data'!D1853)&gt;1,"Repeat","Single")</f>
        <v>Repeat</v>
      </c>
      <c r="J1853" s="10" t="str">
        <f>IF('Transform Data'!D1853="Cash","Cash",IF(COUNTIF('Transform Data'!$D:$D,'Transform Data'!D1853)&gt;1,"Repeat","Single"))</f>
        <v>Repeat</v>
      </c>
      <c r="K1853" s="10" t="str">
        <f t="shared" si="28"/>
        <v>TRANS-1852</v>
      </c>
    </row>
    <row r="1854" spans="1:11" x14ac:dyDescent="0.35">
      <c r="A1854" s="5">
        <v>45574</v>
      </c>
      <c r="B1854" s="3">
        <v>0.44300925925925927</v>
      </c>
      <c r="C1854" t="s">
        <v>8</v>
      </c>
      <c r="D1854" t="s">
        <v>785</v>
      </c>
      <c r="E1854" s="4">
        <v>21.06</v>
      </c>
      <c r="F1854" t="s">
        <v>5</v>
      </c>
      <c r="G1854" s="10" t="str">
        <f>TEXT(Transform_Data[[#This Row],[Date]],"mmm yyyy")</f>
        <v>Oct 2024</v>
      </c>
      <c r="H1854" s="10">
        <f>HOUR(Transform_Data[[#This Row],[Time]])</f>
        <v>10</v>
      </c>
      <c r="I1854" s="10" t="str">
        <f>IF(COUNTIF('Transform Data'!$D:$D,'Transform Data'!D1854)&gt;1,"Repeat","Single")</f>
        <v>Single</v>
      </c>
      <c r="J1854" s="10" t="str">
        <f>IF('Transform Data'!D1854="Cash","Cash",IF(COUNTIF('Transform Data'!$D:$D,'Transform Data'!D1854)&gt;1,"Repeat","Single"))</f>
        <v>Single</v>
      </c>
      <c r="K1854" s="10" t="str">
        <f t="shared" si="28"/>
        <v>TRANS-1853</v>
      </c>
    </row>
    <row r="1855" spans="1:11" x14ac:dyDescent="0.35">
      <c r="A1855" s="5">
        <v>45574</v>
      </c>
      <c r="B1855" s="3">
        <v>0.47085648148148146</v>
      </c>
      <c r="C1855" t="s">
        <v>8</v>
      </c>
      <c r="D1855" t="s">
        <v>786</v>
      </c>
      <c r="E1855" s="4">
        <v>25.96</v>
      </c>
      <c r="F1855" t="s">
        <v>28</v>
      </c>
      <c r="G1855" s="10" t="str">
        <f>TEXT(Transform_Data[[#This Row],[Date]],"mmm yyyy")</f>
        <v>Oct 2024</v>
      </c>
      <c r="H1855" s="10">
        <f>HOUR(Transform_Data[[#This Row],[Time]])</f>
        <v>11</v>
      </c>
      <c r="I1855" s="10" t="str">
        <f>IF(COUNTIF('Transform Data'!$D:$D,'Transform Data'!D1855)&gt;1,"Repeat","Single")</f>
        <v>Repeat</v>
      </c>
      <c r="J1855" s="10" t="str">
        <f>IF('Transform Data'!D1855="Cash","Cash",IF(COUNTIF('Transform Data'!$D:$D,'Transform Data'!D1855)&gt;1,"Repeat","Single"))</f>
        <v>Repeat</v>
      </c>
      <c r="K1855" s="10" t="str">
        <f t="shared" si="28"/>
        <v>TRANS-1854</v>
      </c>
    </row>
    <row r="1856" spans="1:11" x14ac:dyDescent="0.35">
      <c r="A1856" s="5">
        <v>45574</v>
      </c>
      <c r="B1856" s="3">
        <v>0.5438425925925926</v>
      </c>
      <c r="C1856" t="s">
        <v>8</v>
      </c>
      <c r="D1856" t="s">
        <v>778</v>
      </c>
      <c r="E1856" s="4">
        <v>35.76</v>
      </c>
      <c r="F1856" t="s">
        <v>32</v>
      </c>
      <c r="G1856" s="10" t="str">
        <f>TEXT(Transform_Data[[#This Row],[Date]],"mmm yyyy")</f>
        <v>Oct 2024</v>
      </c>
      <c r="H1856" s="10">
        <f>HOUR(Transform_Data[[#This Row],[Time]])</f>
        <v>13</v>
      </c>
      <c r="I1856" s="10" t="str">
        <f>IF(COUNTIF('Transform Data'!$D:$D,'Transform Data'!D1856)&gt;1,"Repeat","Single")</f>
        <v>Repeat</v>
      </c>
      <c r="J1856" s="10" t="str">
        <f>IF('Transform Data'!D1856="Cash","Cash",IF(COUNTIF('Transform Data'!$D:$D,'Transform Data'!D1856)&gt;1,"Repeat","Single"))</f>
        <v>Repeat</v>
      </c>
      <c r="K1856" s="10" t="str">
        <f t="shared" si="28"/>
        <v>TRANS-1855</v>
      </c>
    </row>
    <row r="1857" spans="1:11" x14ac:dyDescent="0.35">
      <c r="A1857" s="5">
        <v>45574</v>
      </c>
      <c r="B1857" s="3">
        <v>0.57817129629629627</v>
      </c>
      <c r="C1857" t="s">
        <v>8</v>
      </c>
      <c r="D1857" t="s">
        <v>787</v>
      </c>
      <c r="E1857" s="4">
        <v>30.86</v>
      </c>
      <c r="F1857" t="s">
        <v>36</v>
      </c>
      <c r="G1857" s="10" t="str">
        <f>TEXT(Transform_Data[[#This Row],[Date]],"mmm yyyy")</f>
        <v>Oct 2024</v>
      </c>
      <c r="H1857" s="10">
        <f>HOUR(Transform_Data[[#This Row],[Time]])</f>
        <v>13</v>
      </c>
      <c r="I1857" s="10" t="str">
        <f>IF(COUNTIF('Transform Data'!$D:$D,'Transform Data'!D1857)&gt;1,"Repeat","Single")</f>
        <v>Single</v>
      </c>
      <c r="J1857" s="10" t="str">
        <f>IF('Transform Data'!D1857="Cash","Cash",IF(COUNTIF('Transform Data'!$D:$D,'Transform Data'!D1857)&gt;1,"Repeat","Single"))</f>
        <v>Single</v>
      </c>
      <c r="K1857" s="10" t="str">
        <f t="shared" si="28"/>
        <v>TRANS-1856</v>
      </c>
    </row>
    <row r="1858" spans="1:11" x14ac:dyDescent="0.35">
      <c r="A1858" s="5">
        <v>45574</v>
      </c>
      <c r="B1858" s="3">
        <v>0.72689814814814813</v>
      </c>
      <c r="C1858" t="s">
        <v>8</v>
      </c>
      <c r="D1858" t="s">
        <v>710</v>
      </c>
      <c r="E1858" s="4">
        <v>35.76</v>
      </c>
      <c r="F1858" t="s">
        <v>24</v>
      </c>
      <c r="G1858" s="10" t="str">
        <f>TEXT(Transform_Data[[#This Row],[Date]],"mmm yyyy")</f>
        <v>Oct 2024</v>
      </c>
      <c r="H1858" s="10">
        <f>HOUR(Transform_Data[[#This Row],[Time]])</f>
        <v>17</v>
      </c>
      <c r="I1858" s="10" t="str">
        <f>IF(COUNTIF('Transform Data'!$D:$D,'Transform Data'!D1858)&gt;1,"Repeat","Single")</f>
        <v>Repeat</v>
      </c>
      <c r="J1858" s="10" t="str">
        <f>IF('Transform Data'!D1858="Cash","Cash",IF(COUNTIF('Transform Data'!$D:$D,'Transform Data'!D1858)&gt;1,"Repeat","Single"))</f>
        <v>Repeat</v>
      </c>
      <c r="K1858" s="10" t="str">
        <f t="shared" ref="K1858:K1921" si="29">"TRANS-"&amp;TEXT(ROW(A1857),"0000")</f>
        <v>TRANS-1857</v>
      </c>
    </row>
    <row r="1859" spans="1:11" x14ac:dyDescent="0.35">
      <c r="A1859" s="5">
        <v>45574</v>
      </c>
      <c r="B1859" s="3">
        <v>0.72763888888888884</v>
      </c>
      <c r="C1859" t="s">
        <v>8</v>
      </c>
      <c r="D1859" t="s">
        <v>710</v>
      </c>
      <c r="E1859" s="4">
        <v>25.96</v>
      </c>
      <c r="F1859" t="s">
        <v>28</v>
      </c>
      <c r="G1859" s="10" t="str">
        <f>TEXT(Transform_Data[[#This Row],[Date]],"mmm yyyy")</f>
        <v>Oct 2024</v>
      </c>
      <c r="H1859" s="10">
        <f>HOUR(Transform_Data[[#This Row],[Time]])</f>
        <v>17</v>
      </c>
      <c r="I1859" s="10" t="str">
        <f>IF(COUNTIF('Transform Data'!$D:$D,'Transform Data'!D1859)&gt;1,"Repeat","Single")</f>
        <v>Repeat</v>
      </c>
      <c r="J1859" s="10" t="str">
        <f>IF('Transform Data'!D1859="Cash","Cash",IF(COUNTIF('Transform Data'!$D:$D,'Transform Data'!D1859)&gt;1,"Repeat","Single"))</f>
        <v>Repeat</v>
      </c>
      <c r="K1859" s="10" t="str">
        <f t="shared" si="29"/>
        <v>TRANS-1858</v>
      </c>
    </row>
    <row r="1860" spans="1:11" x14ac:dyDescent="0.35">
      <c r="A1860" s="5">
        <v>45574</v>
      </c>
      <c r="B1860" s="3">
        <v>0.74304398148148143</v>
      </c>
      <c r="C1860" t="s">
        <v>8</v>
      </c>
      <c r="D1860" t="s">
        <v>788</v>
      </c>
      <c r="E1860" s="4">
        <v>21.06</v>
      </c>
      <c r="F1860" t="s">
        <v>5</v>
      </c>
      <c r="G1860" s="10" t="str">
        <f>TEXT(Transform_Data[[#This Row],[Date]],"mmm yyyy")</f>
        <v>Oct 2024</v>
      </c>
      <c r="H1860" s="10">
        <f>HOUR(Transform_Data[[#This Row],[Time]])</f>
        <v>17</v>
      </c>
      <c r="I1860" s="10" t="str">
        <f>IF(COUNTIF('Transform Data'!$D:$D,'Transform Data'!D1860)&gt;1,"Repeat","Single")</f>
        <v>Repeat</v>
      </c>
      <c r="J1860" s="10" t="str">
        <f>IF('Transform Data'!D1860="Cash","Cash",IF(COUNTIF('Transform Data'!$D:$D,'Transform Data'!D1860)&gt;1,"Repeat","Single"))</f>
        <v>Repeat</v>
      </c>
      <c r="K1860" s="10" t="str">
        <f t="shared" si="29"/>
        <v>TRANS-1859</v>
      </c>
    </row>
    <row r="1861" spans="1:11" x14ac:dyDescent="0.35">
      <c r="A1861" s="5">
        <v>45574</v>
      </c>
      <c r="B1861" s="3">
        <v>0.86750000000000005</v>
      </c>
      <c r="C1861" t="s">
        <v>8</v>
      </c>
      <c r="D1861" t="s">
        <v>789</v>
      </c>
      <c r="E1861" s="4">
        <v>35.76</v>
      </c>
      <c r="F1861" t="s">
        <v>24</v>
      </c>
      <c r="G1861" s="10" t="str">
        <f>TEXT(Transform_Data[[#This Row],[Date]],"mmm yyyy")</f>
        <v>Oct 2024</v>
      </c>
      <c r="H1861" s="10">
        <f>HOUR(Transform_Data[[#This Row],[Time]])</f>
        <v>20</v>
      </c>
      <c r="I1861" s="10" t="str">
        <f>IF(COUNTIF('Transform Data'!$D:$D,'Transform Data'!D1861)&gt;1,"Repeat","Single")</f>
        <v>Single</v>
      </c>
      <c r="J1861" s="10" t="str">
        <f>IF('Transform Data'!D1861="Cash","Cash",IF(COUNTIF('Transform Data'!$D:$D,'Transform Data'!D1861)&gt;1,"Repeat","Single"))</f>
        <v>Single</v>
      </c>
      <c r="K1861" s="10" t="str">
        <f t="shared" si="29"/>
        <v>TRANS-1860</v>
      </c>
    </row>
    <row r="1862" spans="1:11" x14ac:dyDescent="0.35">
      <c r="A1862" s="5">
        <v>45575</v>
      </c>
      <c r="B1862" s="3">
        <v>0.3667361111111111</v>
      </c>
      <c r="C1862" t="s">
        <v>8</v>
      </c>
      <c r="D1862" t="s">
        <v>62</v>
      </c>
      <c r="E1862" s="4">
        <v>25.96</v>
      </c>
      <c r="F1862" t="s">
        <v>28</v>
      </c>
      <c r="G1862" s="10" t="str">
        <f>TEXT(Transform_Data[[#This Row],[Date]],"mmm yyyy")</f>
        <v>Oct 2024</v>
      </c>
      <c r="H1862" s="10">
        <f>HOUR(Transform_Data[[#This Row],[Time]])</f>
        <v>8</v>
      </c>
      <c r="I1862" s="10" t="str">
        <f>IF(COUNTIF('Transform Data'!$D:$D,'Transform Data'!D1862)&gt;1,"Repeat","Single")</f>
        <v>Repeat</v>
      </c>
      <c r="J1862" s="10" t="str">
        <f>IF('Transform Data'!D1862="Cash","Cash",IF(COUNTIF('Transform Data'!$D:$D,'Transform Data'!D1862)&gt;1,"Repeat","Single"))</f>
        <v>Repeat</v>
      </c>
      <c r="K1862" s="10" t="str">
        <f t="shared" si="29"/>
        <v>TRANS-1861</v>
      </c>
    </row>
    <row r="1863" spans="1:11" x14ac:dyDescent="0.35">
      <c r="A1863" s="5">
        <v>45575</v>
      </c>
      <c r="B1863" s="3">
        <v>0.39120370370370372</v>
      </c>
      <c r="C1863" t="s">
        <v>8</v>
      </c>
      <c r="D1863" t="s">
        <v>29</v>
      </c>
      <c r="E1863" s="4">
        <v>30.86</v>
      </c>
      <c r="F1863" t="s">
        <v>36</v>
      </c>
      <c r="G1863" s="10" t="str">
        <f>TEXT(Transform_Data[[#This Row],[Date]],"mmm yyyy")</f>
        <v>Oct 2024</v>
      </c>
      <c r="H1863" s="10">
        <f>HOUR(Transform_Data[[#This Row],[Time]])</f>
        <v>9</v>
      </c>
      <c r="I1863" s="10" t="str">
        <f>IF(COUNTIF('Transform Data'!$D:$D,'Transform Data'!D1863)&gt;1,"Repeat","Single")</f>
        <v>Repeat</v>
      </c>
      <c r="J1863" s="10" t="str">
        <f>IF('Transform Data'!D1863="Cash","Cash",IF(COUNTIF('Transform Data'!$D:$D,'Transform Data'!D1863)&gt;1,"Repeat","Single"))</f>
        <v>Repeat</v>
      </c>
      <c r="K1863" s="10" t="str">
        <f t="shared" si="29"/>
        <v>TRANS-1862</v>
      </c>
    </row>
    <row r="1864" spans="1:11" x14ac:dyDescent="0.35">
      <c r="A1864" s="5">
        <v>45575</v>
      </c>
      <c r="B1864" s="3">
        <v>0.41092592592592592</v>
      </c>
      <c r="C1864" t="s">
        <v>8</v>
      </c>
      <c r="D1864" t="s">
        <v>790</v>
      </c>
      <c r="E1864" s="4">
        <v>35.76</v>
      </c>
      <c r="F1864" t="s">
        <v>15</v>
      </c>
      <c r="G1864" s="10" t="str">
        <f>TEXT(Transform_Data[[#This Row],[Date]],"mmm yyyy")</f>
        <v>Oct 2024</v>
      </c>
      <c r="H1864" s="10">
        <f>HOUR(Transform_Data[[#This Row],[Time]])</f>
        <v>9</v>
      </c>
      <c r="I1864" s="10" t="str">
        <f>IF(COUNTIF('Transform Data'!$D:$D,'Transform Data'!D1864)&gt;1,"Repeat","Single")</f>
        <v>Single</v>
      </c>
      <c r="J1864" s="10" t="str">
        <f>IF('Transform Data'!D1864="Cash","Cash",IF(COUNTIF('Transform Data'!$D:$D,'Transform Data'!D1864)&gt;1,"Repeat","Single"))</f>
        <v>Single</v>
      </c>
      <c r="K1864" s="10" t="str">
        <f t="shared" si="29"/>
        <v>TRANS-1863</v>
      </c>
    </row>
    <row r="1865" spans="1:11" x14ac:dyDescent="0.35">
      <c r="A1865" s="5">
        <v>45575</v>
      </c>
      <c r="B1865" s="3">
        <v>0.42024305555555558</v>
      </c>
      <c r="C1865" t="s">
        <v>8</v>
      </c>
      <c r="D1865" t="s">
        <v>428</v>
      </c>
      <c r="E1865" s="4">
        <v>35.76</v>
      </c>
      <c r="F1865" t="s">
        <v>32</v>
      </c>
      <c r="G1865" s="10" t="str">
        <f>TEXT(Transform_Data[[#This Row],[Date]],"mmm yyyy")</f>
        <v>Oct 2024</v>
      </c>
      <c r="H1865" s="10">
        <f>HOUR(Transform_Data[[#This Row],[Time]])</f>
        <v>10</v>
      </c>
      <c r="I1865" s="10" t="str">
        <f>IF(COUNTIF('Transform Data'!$D:$D,'Transform Data'!D1865)&gt;1,"Repeat","Single")</f>
        <v>Repeat</v>
      </c>
      <c r="J1865" s="10" t="str">
        <f>IF('Transform Data'!D1865="Cash","Cash",IF(COUNTIF('Transform Data'!$D:$D,'Transform Data'!D1865)&gt;1,"Repeat","Single"))</f>
        <v>Repeat</v>
      </c>
      <c r="K1865" s="10" t="str">
        <f t="shared" si="29"/>
        <v>TRANS-1864</v>
      </c>
    </row>
    <row r="1866" spans="1:11" x14ac:dyDescent="0.35">
      <c r="A1866" s="5">
        <v>45575</v>
      </c>
      <c r="B1866" s="3">
        <v>0.44633101851851853</v>
      </c>
      <c r="C1866" t="s">
        <v>8</v>
      </c>
      <c r="D1866" t="s">
        <v>40</v>
      </c>
      <c r="E1866" s="4">
        <v>25.96</v>
      </c>
      <c r="F1866" t="s">
        <v>20</v>
      </c>
      <c r="G1866" s="10" t="str">
        <f>TEXT(Transform_Data[[#This Row],[Date]],"mmm yyyy")</f>
        <v>Oct 2024</v>
      </c>
      <c r="H1866" s="10">
        <f>HOUR(Transform_Data[[#This Row],[Time]])</f>
        <v>10</v>
      </c>
      <c r="I1866" s="10" t="str">
        <f>IF(COUNTIF('Transform Data'!$D:$D,'Transform Data'!D1866)&gt;1,"Repeat","Single")</f>
        <v>Repeat</v>
      </c>
      <c r="J1866" s="10" t="str">
        <f>IF('Transform Data'!D1866="Cash","Cash",IF(COUNTIF('Transform Data'!$D:$D,'Transform Data'!D1866)&gt;1,"Repeat","Single"))</f>
        <v>Repeat</v>
      </c>
      <c r="K1866" s="10" t="str">
        <f t="shared" si="29"/>
        <v>TRANS-1865</v>
      </c>
    </row>
    <row r="1867" spans="1:11" x14ac:dyDescent="0.35">
      <c r="A1867" s="5">
        <v>45575</v>
      </c>
      <c r="B1867" s="3">
        <v>0.44687500000000002</v>
      </c>
      <c r="C1867" t="s">
        <v>8</v>
      </c>
      <c r="D1867" t="s">
        <v>40</v>
      </c>
      <c r="E1867" s="4">
        <v>25.96</v>
      </c>
      <c r="F1867" t="s">
        <v>20</v>
      </c>
      <c r="G1867" s="10" t="str">
        <f>TEXT(Transform_Data[[#This Row],[Date]],"mmm yyyy")</f>
        <v>Oct 2024</v>
      </c>
      <c r="H1867" s="10">
        <f>HOUR(Transform_Data[[#This Row],[Time]])</f>
        <v>10</v>
      </c>
      <c r="I1867" s="10" t="str">
        <f>IF(COUNTIF('Transform Data'!$D:$D,'Transform Data'!D1867)&gt;1,"Repeat","Single")</f>
        <v>Repeat</v>
      </c>
      <c r="J1867" s="10" t="str">
        <f>IF('Transform Data'!D1867="Cash","Cash",IF(COUNTIF('Transform Data'!$D:$D,'Transform Data'!D1867)&gt;1,"Repeat","Single"))</f>
        <v>Repeat</v>
      </c>
      <c r="K1867" s="10" t="str">
        <f t="shared" si="29"/>
        <v>TRANS-1866</v>
      </c>
    </row>
    <row r="1868" spans="1:11" x14ac:dyDescent="0.35">
      <c r="A1868" s="5">
        <v>45575</v>
      </c>
      <c r="B1868" s="3">
        <v>0.45523148148148146</v>
      </c>
      <c r="C1868" t="s">
        <v>8</v>
      </c>
      <c r="D1868" t="s">
        <v>791</v>
      </c>
      <c r="E1868" s="4">
        <v>35.76</v>
      </c>
      <c r="F1868" t="s">
        <v>32</v>
      </c>
      <c r="G1868" s="10" t="str">
        <f>TEXT(Transform_Data[[#This Row],[Date]],"mmm yyyy")</f>
        <v>Oct 2024</v>
      </c>
      <c r="H1868" s="10">
        <f>HOUR(Transform_Data[[#This Row],[Time]])</f>
        <v>10</v>
      </c>
      <c r="I1868" s="10" t="str">
        <f>IF(COUNTIF('Transform Data'!$D:$D,'Transform Data'!D1868)&gt;1,"Repeat","Single")</f>
        <v>Single</v>
      </c>
      <c r="J1868" s="10" t="str">
        <f>IF('Transform Data'!D1868="Cash","Cash",IF(COUNTIF('Transform Data'!$D:$D,'Transform Data'!D1868)&gt;1,"Repeat","Single"))</f>
        <v>Single</v>
      </c>
      <c r="K1868" s="10" t="str">
        <f t="shared" si="29"/>
        <v>TRANS-1867</v>
      </c>
    </row>
    <row r="1869" spans="1:11" x14ac:dyDescent="0.35">
      <c r="A1869" s="5">
        <v>45575</v>
      </c>
      <c r="B1869" s="3">
        <v>0.46133101851851854</v>
      </c>
      <c r="C1869" t="s">
        <v>8</v>
      </c>
      <c r="D1869" t="s">
        <v>792</v>
      </c>
      <c r="E1869" s="4">
        <v>35.76</v>
      </c>
      <c r="F1869" t="s">
        <v>32</v>
      </c>
      <c r="G1869" s="10" t="str">
        <f>TEXT(Transform_Data[[#This Row],[Date]],"mmm yyyy")</f>
        <v>Oct 2024</v>
      </c>
      <c r="H1869" s="10">
        <f>HOUR(Transform_Data[[#This Row],[Time]])</f>
        <v>11</v>
      </c>
      <c r="I1869" s="10" t="str">
        <f>IF(COUNTIF('Transform Data'!$D:$D,'Transform Data'!D1869)&gt;1,"Repeat","Single")</f>
        <v>Repeat</v>
      </c>
      <c r="J1869" s="10" t="str">
        <f>IF('Transform Data'!D1869="Cash","Cash",IF(COUNTIF('Transform Data'!$D:$D,'Transform Data'!D1869)&gt;1,"Repeat","Single"))</f>
        <v>Repeat</v>
      </c>
      <c r="K1869" s="10" t="str">
        <f t="shared" si="29"/>
        <v>TRANS-1868</v>
      </c>
    </row>
    <row r="1870" spans="1:11" x14ac:dyDescent="0.35">
      <c r="A1870" s="5">
        <v>45575</v>
      </c>
      <c r="B1870" s="3">
        <v>0.62895833333333329</v>
      </c>
      <c r="C1870" t="s">
        <v>8</v>
      </c>
      <c r="D1870" t="s">
        <v>562</v>
      </c>
      <c r="E1870" s="4">
        <v>35.76</v>
      </c>
      <c r="F1870" t="s">
        <v>24</v>
      </c>
      <c r="G1870" s="10" t="str">
        <f>TEXT(Transform_Data[[#This Row],[Date]],"mmm yyyy")</f>
        <v>Oct 2024</v>
      </c>
      <c r="H1870" s="10">
        <f>HOUR(Transform_Data[[#This Row],[Time]])</f>
        <v>15</v>
      </c>
      <c r="I1870" s="10" t="str">
        <f>IF(COUNTIF('Transform Data'!$D:$D,'Transform Data'!D1870)&gt;1,"Repeat","Single")</f>
        <v>Repeat</v>
      </c>
      <c r="J1870" s="10" t="str">
        <f>IF('Transform Data'!D1870="Cash","Cash",IF(COUNTIF('Transform Data'!$D:$D,'Transform Data'!D1870)&gt;1,"Repeat","Single"))</f>
        <v>Repeat</v>
      </c>
      <c r="K1870" s="10" t="str">
        <f t="shared" si="29"/>
        <v>TRANS-1869</v>
      </c>
    </row>
    <row r="1871" spans="1:11" x14ac:dyDescent="0.35">
      <c r="A1871" s="5">
        <v>45575</v>
      </c>
      <c r="B1871" s="3">
        <v>0.73662037037037043</v>
      </c>
      <c r="C1871" t="s">
        <v>8</v>
      </c>
      <c r="D1871" t="s">
        <v>793</v>
      </c>
      <c r="E1871" s="4">
        <v>35.76</v>
      </c>
      <c r="F1871" t="s">
        <v>32</v>
      </c>
      <c r="G1871" s="10" t="str">
        <f>TEXT(Transform_Data[[#This Row],[Date]],"mmm yyyy")</f>
        <v>Oct 2024</v>
      </c>
      <c r="H1871" s="10">
        <f>HOUR(Transform_Data[[#This Row],[Time]])</f>
        <v>17</v>
      </c>
      <c r="I1871" s="10" t="str">
        <f>IF(COUNTIF('Transform Data'!$D:$D,'Transform Data'!D1871)&gt;1,"Repeat","Single")</f>
        <v>Single</v>
      </c>
      <c r="J1871" s="10" t="str">
        <f>IF('Transform Data'!D1871="Cash","Cash",IF(COUNTIF('Transform Data'!$D:$D,'Transform Data'!D1871)&gt;1,"Repeat","Single"))</f>
        <v>Single</v>
      </c>
      <c r="K1871" s="10" t="str">
        <f t="shared" si="29"/>
        <v>TRANS-1870</v>
      </c>
    </row>
    <row r="1872" spans="1:11" x14ac:dyDescent="0.35">
      <c r="A1872" s="5">
        <v>45575</v>
      </c>
      <c r="B1872" s="3">
        <v>0.76287037037037042</v>
      </c>
      <c r="C1872" t="s">
        <v>8</v>
      </c>
      <c r="D1872" t="s">
        <v>794</v>
      </c>
      <c r="E1872" s="4">
        <v>25.96</v>
      </c>
      <c r="F1872" t="s">
        <v>28</v>
      </c>
      <c r="G1872" s="10" t="str">
        <f>TEXT(Transform_Data[[#This Row],[Date]],"mmm yyyy")</f>
        <v>Oct 2024</v>
      </c>
      <c r="H1872" s="10">
        <f>HOUR(Transform_Data[[#This Row],[Time]])</f>
        <v>18</v>
      </c>
      <c r="I1872" s="10" t="str">
        <f>IF(COUNTIF('Transform Data'!$D:$D,'Transform Data'!D1872)&gt;1,"Repeat","Single")</f>
        <v>Repeat</v>
      </c>
      <c r="J1872" s="10" t="str">
        <f>IF('Transform Data'!D1872="Cash","Cash",IF(COUNTIF('Transform Data'!$D:$D,'Transform Data'!D1872)&gt;1,"Repeat","Single"))</f>
        <v>Repeat</v>
      </c>
      <c r="K1872" s="10" t="str">
        <f t="shared" si="29"/>
        <v>TRANS-1871</v>
      </c>
    </row>
    <row r="1873" spans="1:11" x14ac:dyDescent="0.35">
      <c r="A1873" s="5">
        <v>45575</v>
      </c>
      <c r="B1873" s="3">
        <v>0.78923611111111114</v>
      </c>
      <c r="C1873" t="s">
        <v>8</v>
      </c>
      <c r="D1873" t="s">
        <v>765</v>
      </c>
      <c r="E1873" s="4">
        <v>30.86</v>
      </c>
      <c r="F1873" t="s">
        <v>36</v>
      </c>
      <c r="G1873" s="10" t="str">
        <f>TEXT(Transform_Data[[#This Row],[Date]],"mmm yyyy")</f>
        <v>Oct 2024</v>
      </c>
      <c r="H1873" s="10">
        <f>HOUR(Transform_Data[[#This Row],[Time]])</f>
        <v>18</v>
      </c>
      <c r="I1873" s="10" t="str">
        <f>IF(COUNTIF('Transform Data'!$D:$D,'Transform Data'!D1873)&gt;1,"Repeat","Single")</f>
        <v>Repeat</v>
      </c>
      <c r="J1873" s="10" t="str">
        <f>IF('Transform Data'!D1873="Cash","Cash",IF(COUNTIF('Transform Data'!$D:$D,'Transform Data'!D1873)&gt;1,"Repeat","Single"))</f>
        <v>Repeat</v>
      </c>
      <c r="K1873" s="10" t="str">
        <f t="shared" si="29"/>
        <v>TRANS-1872</v>
      </c>
    </row>
    <row r="1874" spans="1:11" x14ac:dyDescent="0.35">
      <c r="A1874" s="5">
        <v>45575</v>
      </c>
      <c r="B1874" s="3">
        <v>0.78998842592592589</v>
      </c>
      <c r="C1874" t="s">
        <v>8</v>
      </c>
      <c r="D1874" t="s">
        <v>765</v>
      </c>
      <c r="E1874" s="4">
        <v>35.76</v>
      </c>
      <c r="F1874" t="s">
        <v>32</v>
      </c>
      <c r="G1874" s="10" t="str">
        <f>TEXT(Transform_Data[[#This Row],[Date]],"mmm yyyy")</f>
        <v>Oct 2024</v>
      </c>
      <c r="H1874" s="10">
        <f>HOUR(Transform_Data[[#This Row],[Time]])</f>
        <v>18</v>
      </c>
      <c r="I1874" s="10" t="str">
        <f>IF(COUNTIF('Transform Data'!$D:$D,'Transform Data'!D1874)&gt;1,"Repeat","Single")</f>
        <v>Repeat</v>
      </c>
      <c r="J1874" s="10" t="str">
        <f>IF('Transform Data'!D1874="Cash","Cash",IF(COUNTIF('Transform Data'!$D:$D,'Transform Data'!D1874)&gt;1,"Repeat","Single"))</f>
        <v>Repeat</v>
      </c>
      <c r="K1874" s="10" t="str">
        <f t="shared" si="29"/>
        <v>TRANS-1873</v>
      </c>
    </row>
    <row r="1875" spans="1:11" x14ac:dyDescent="0.35">
      <c r="A1875" s="5">
        <v>45575</v>
      </c>
      <c r="B1875" s="3">
        <v>0.9397685185185185</v>
      </c>
      <c r="C1875" t="s">
        <v>8</v>
      </c>
      <c r="D1875" t="s">
        <v>689</v>
      </c>
      <c r="E1875" s="4">
        <v>35.76</v>
      </c>
      <c r="F1875" t="s">
        <v>15</v>
      </c>
      <c r="G1875" s="10" t="str">
        <f>TEXT(Transform_Data[[#This Row],[Date]],"mmm yyyy")</f>
        <v>Oct 2024</v>
      </c>
      <c r="H1875" s="10">
        <f>HOUR(Transform_Data[[#This Row],[Time]])</f>
        <v>22</v>
      </c>
      <c r="I1875" s="10" t="str">
        <f>IF(COUNTIF('Transform Data'!$D:$D,'Transform Data'!D1875)&gt;1,"Repeat","Single")</f>
        <v>Repeat</v>
      </c>
      <c r="J1875" s="10" t="str">
        <f>IF('Transform Data'!D1875="Cash","Cash",IF(COUNTIF('Transform Data'!$D:$D,'Transform Data'!D1875)&gt;1,"Repeat","Single"))</f>
        <v>Repeat</v>
      </c>
      <c r="K1875" s="10" t="str">
        <f t="shared" si="29"/>
        <v>TRANS-1874</v>
      </c>
    </row>
    <row r="1876" spans="1:11" x14ac:dyDescent="0.35">
      <c r="A1876" s="5">
        <v>45575</v>
      </c>
      <c r="B1876" s="3">
        <v>0.94026620370370373</v>
      </c>
      <c r="C1876" t="s">
        <v>8</v>
      </c>
      <c r="D1876" t="s">
        <v>689</v>
      </c>
      <c r="E1876" s="4">
        <v>35.76</v>
      </c>
      <c r="F1876" t="s">
        <v>15</v>
      </c>
      <c r="G1876" s="10" t="str">
        <f>TEXT(Transform_Data[[#This Row],[Date]],"mmm yyyy")</f>
        <v>Oct 2024</v>
      </c>
      <c r="H1876" s="10">
        <f>HOUR(Transform_Data[[#This Row],[Time]])</f>
        <v>22</v>
      </c>
      <c r="I1876" s="10" t="str">
        <f>IF(COUNTIF('Transform Data'!$D:$D,'Transform Data'!D1876)&gt;1,"Repeat","Single")</f>
        <v>Repeat</v>
      </c>
      <c r="J1876" s="10" t="str">
        <f>IF('Transform Data'!D1876="Cash","Cash",IF(COUNTIF('Transform Data'!$D:$D,'Transform Data'!D1876)&gt;1,"Repeat","Single"))</f>
        <v>Repeat</v>
      </c>
      <c r="K1876" s="10" t="str">
        <f t="shared" si="29"/>
        <v>TRANS-1875</v>
      </c>
    </row>
    <row r="1877" spans="1:11" x14ac:dyDescent="0.35">
      <c r="A1877" s="5">
        <v>45576</v>
      </c>
      <c r="B1877" s="3">
        <v>0.32975694444444442</v>
      </c>
      <c r="C1877" t="s">
        <v>8</v>
      </c>
      <c r="D1877" t="s">
        <v>29</v>
      </c>
      <c r="E1877" s="4">
        <v>30.86</v>
      </c>
      <c r="F1877" t="s">
        <v>36</v>
      </c>
      <c r="G1877" s="10" t="str">
        <f>TEXT(Transform_Data[[#This Row],[Date]],"mmm yyyy")</f>
        <v>Oct 2024</v>
      </c>
      <c r="H1877" s="10">
        <f>HOUR(Transform_Data[[#This Row],[Time]])</f>
        <v>7</v>
      </c>
      <c r="I1877" s="10" t="str">
        <f>IF(COUNTIF('Transform Data'!$D:$D,'Transform Data'!D1877)&gt;1,"Repeat","Single")</f>
        <v>Repeat</v>
      </c>
      <c r="J1877" s="10" t="str">
        <f>IF('Transform Data'!D1877="Cash","Cash",IF(COUNTIF('Transform Data'!$D:$D,'Transform Data'!D1877)&gt;1,"Repeat","Single"))</f>
        <v>Repeat</v>
      </c>
      <c r="K1877" s="10" t="str">
        <f t="shared" si="29"/>
        <v>TRANS-1876</v>
      </c>
    </row>
    <row r="1878" spans="1:11" x14ac:dyDescent="0.35">
      <c r="A1878" s="5">
        <v>45576</v>
      </c>
      <c r="B1878" s="3">
        <v>0.33391203703703703</v>
      </c>
      <c r="C1878" t="s">
        <v>8</v>
      </c>
      <c r="D1878" t="s">
        <v>755</v>
      </c>
      <c r="E1878" s="4">
        <v>35.76</v>
      </c>
      <c r="F1878" t="s">
        <v>32</v>
      </c>
      <c r="G1878" s="10" t="str">
        <f>TEXT(Transform_Data[[#This Row],[Date]],"mmm yyyy")</f>
        <v>Oct 2024</v>
      </c>
      <c r="H1878" s="10">
        <f>HOUR(Transform_Data[[#This Row],[Time]])</f>
        <v>8</v>
      </c>
      <c r="I1878" s="10" t="str">
        <f>IF(COUNTIF('Transform Data'!$D:$D,'Transform Data'!D1878)&gt;1,"Repeat","Single")</f>
        <v>Repeat</v>
      </c>
      <c r="J1878" s="10" t="str">
        <f>IF('Transform Data'!D1878="Cash","Cash",IF(COUNTIF('Transform Data'!$D:$D,'Transform Data'!D1878)&gt;1,"Repeat","Single"))</f>
        <v>Repeat</v>
      </c>
      <c r="K1878" s="10" t="str">
        <f t="shared" si="29"/>
        <v>TRANS-1877</v>
      </c>
    </row>
    <row r="1879" spans="1:11" x14ac:dyDescent="0.35">
      <c r="A1879" s="5">
        <v>45576</v>
      </c>
      <c r="B1879" s="3">
        <v>0.34189814814814817</v>
      </c>
      <c r="C1879" t="s">
        <v>8</v>
      </c>
      <c r="D1879" t="s">
        <v>40</v>
      </c>
      <c r="E1879" s="4">
        <v>25.96</v>
      </c>
      <c r="F1879" t="s">
        <v>20</v>
      </c>
      <c r="G1879" s="10" t="str">
        <f>TEXT(Transform_Data[[#This Row],[Date]],"mmm yyyy")</f>
        <v>Oct 2024</v>
      </c>
      <c r="H1879" s="10">
        <f>HOUR(Transform_Data[[#This Row],[Time]])</f>
        <v>8</v>
      </c>
      <c r="I1879" s="10" t="str">
        <f>IF(COUNTIF('Transform Data'!$D:$D,'Transform Data'!D1879)&gt;1,"Repeat","Single")</f>
        <v>Repeat</v>
      </c>
      <c r="J1879" s="10" t="str">
        <f>IF('Transform Data'!D1879="Cash","Cash",IF(COUNTIF('Transform Data'!$D:$D,'Transform Data'!D1879)&gt;1,"Repeat","Single"))</f>
        <v>Repeat</v>
      </c>
      <c r="K1879" s="10" t="str">
        <f t="shared" si="29"/>
        <v>TRANS-1878</v>
      </c>
    </row>
    <row r="1880" spans="1:11" x14ac:dyDescent="0.35">
      <c r="A1880" s="5">
        <v>45576</v>
      </c>
      <c r="B1880" s="3">
        <v>0.35298611111111111</v>
      </c>
      <c r="C1880" t="s">
        <v>8</v>
      </c>
      <c r="D1880" t="s">
        <v>622</v>
      </c>
      <c r="E1880" s="4">
        <v>35.76</v>
      </c>
      <c r="F1880" t="s">
        <v>32</v>
      </c>
      <c r="G1880" s="10" t="str">
        <f>TEXT(Transform_Data[[#This Row],[Date]],"mmm yyyy")</f>
        <v>Oct 2024</v>
      </c>
      <c r="H1880" s="10">
        <f>HOUR(Transform_Data[[#This Row],[Time]])</f>
        <v>8</v>
      </c>
      <c r="I1880" s="10" t="str">
        <f>IF(COUNTIF('Transform Data'!$D:$D,'Transform Data'!D1880)&gt;1,"Repeat","Single")</f>
        <v>Repeat</v>
      </c>
      <c r="J1880" s="10" t="str">
        <f>IF('Transform Data'!D1880="Cash","Cash",IF(COUNTIF('Transform Data'!$D:$D,'Transform Data'!D1880)&gt;1,"Repeat","Single"))</f>
        <v>Repeat</v>
      </c>
      <c r="K1880" s="10" t="str">
        <f t="shared" si="29"/>
        <v>TRANS-1879</v>
      </c>
    </row>
    <row r="1881" spans="1:11" x14ac:dyDescent="0.35">
      <c r="A1881" s="5">
        <v>45576</v>
      </c>
      <c r="B1881" s="3">
        <v>0.35372685185185188</v>
      </c>
      <c r="C1881" t="s">
        <v>8</v>
      </c>
      <c r="D1881" t="s">
        <v>622</v>
      </c>
      <c r="E1881" s="4">
        <v>35.76</v>
      </c>
      <c r="F1881" t="s">
        <v>10</v>
      </c>
      <c r="G1881" s="10" t="str">
        <f>TEXT(Transform_Data[[#This Row],[Date]],"mmm yyyy")</f>
        <v>Oct 2024</v>
      </c>
      <c r="H1881" s="10">
        <f>HOUR(Transform_Data[[#This Row],[Time]])</f>
        <v>8</v>
      </c>
      <c r="I1881" s="10" t="str">
        <f>IF(COUNTIF('Transform Data'!$D:$D,'Transform Data'!D1881)&gt;1,"Repeat","Single")</f>
        <v>Repeat</v>
      </c>
      <c r="J1881" s="10" t="str">
        <f>IF('Transform Data'!D1881="Cash","Cash",IF(COUNTIF('Transform Data'!$D:$D,'Transform Data'!D1881)&gt;1,"Repeat","Single"))</f>
        <v>Repeat</v>
      </c>
      <c r="K1881" s="10" t="str">
        <f t="shared" si="29"/>
        <v>TRANS-1880</v>
      </c>
    </row>
    <row r="1882" spans="1:11" x14ac:dyDescent="0.35">
      <c r="A1882" s="5">
        <v>45576</v>
      </c>
      <c r="B1882" s="3">
        <v>0.37202546296296296</v>
      </c>
      <c r="C1882" t="s">
        <v>8</v>
      </c>
      <c r="D1882" t="s">
        <v>777</v>
      </c>
      <c r="E1882" s="4">
        <v>35.76</v>
      </c>
      <c r="F1882" t="s">
        <v>10</v>
      </c>
      <c r="G1882" s="10" t="str">
        <f>TEXT(Transform_Data[[#This Row],[Date]],"mmm yyyy")</f>
        <v>Oct 2024</v>
      </c>
      <c r="H1882" s="10">
        <f>HOUR(Transform_Data[[#This Row],[Time]])</f>
        <v>8</v>
      </c>
      <c r="I1882" s="10" t="str">
        <f>IF(COUNTIF('Transform Data'!$D:$D,'Transform Data'!D1882)&gt;1,"Repeat","Single")</f>
        <v>Repeat</v>
      </c>
      <c r="J1882" s="10" t="str">
        <f>IF('Transform Data'!D1882="Cash","Cash",IF(COUNTIF('Transform Data'!$D:$D,'Transform Data'!D1882)&gt;1,"Repeat","Single"))</f>
        <v>Repeat</v>
      </c>
      <c r="K1882" s="10" t="str">
        <f t="shared" si="29"/>
        <v>TRANS-1881</v>
      </c>
    </row>
    <row r="1883" spans="1:11" x14ac:dyDescent="0.35">
      <c r="A1883" s="5">
        <v>45576</v>
      </c>
      <c r="B1883" s="3">
        <v>0.37289351851851854</v>
      </c>
      <c r="C1883" t="s">
        <v>8</v>
      </c>
      <c r="D1883" t="s">
        <v>778</v>
      </c>
      <c r="E1883" s="4">
        <v>30.86</v>
      </c>
      <c r="F1883" t="s">
        <v>36</v>
      </c>
      <c r="G1883" s="10" t="str">
        <f>TEXT(Transform_Data[[#This Row],[Date]],"mmm yyyy")</f>
        <v>Oct 2024</v>
      </c>
      <c r="H1883" s="10">
        <f>HOUR(Transform_Data[[#This Row],[Time]])</f>
        <v>8</v>
      </c>
      <c r="I1883" s="10" t="str">
        <f>IF(COUNTIF('Transform Data'!$D:$D,'Transform Data'!D1883)&gt;1,"Repeat","Single")</f>
        <v>Repeat</v>
      </c>
      <c r="J1883" s="10" t="str">
        <f>IF('Transform Data'!D1883="Cash","Cash",IF(COUNTIF('Transform Data'!$D:$D,'Transform Data'!D1883)&gt;1,"Repeat","Single"))</f>
        <v>Repeat</v>
      </c>
      <c r="K1883" s="10" t="str">
        <f t="shared" si="29"/>
        <v>TRANS-1882</v>
      </c>
    </row>
    <row r="1884" spans="1:11" x14ac:dyDescent="0.35">
      <c r="A1884" s="5">
        <v>45576</v>
      </c>
      <c r="B1884" s="3">
        <v>0.3737152777777778</v>
      </c>
      <c r="C1884" t="s">
        <v>8</v>
      </c>
      <c r="D1884" t="s">
        <v>795</v>
      </c>
      <c r="E1884" s="4">
        <v>35.76</v>
      </c>
      <c r="F1884" t="s">
        <v>15</v>
      </c>
      <c r="G1884" s="10" t="str">
        <f>TEXT(Transform_Data[[#This Row],[Date]],"mmm yyyy")</f>
        <v>Oct 2024</v>
      </c>
      <c r="H1884" s="10">
        <f>HOUR(Transform_Data[[#This Row],[Time]])</f>
        <v>8</v>
      </c>
      <c r="I1884" s="10" t="str">
        <f>IF(COUNTIF('Transform Data'!$D:$D,'Transform Data'!D1884)&gt;1,"Repeat","Single")</f>
        <v>Single</v>
      </c>
      <c r="J1884" s="10" t="str">
        <f>IF('Transform Data'!D1884="Cash","Cash",IF(COUNTIF('Transform Data'!$D:$D,'Transform Data'!D1884)&gt;1,"Repeat","Single"))</f>
        <v>Single</v>
      </c>
      <c r="K1884" s="10" t="str">
        <f t="shared" si="29"/>
        <v>TRANS-1883</v>
      </c>
    </row>
    <row r="1885" spans="1:11" x14ac:dyDescent="0.35">
      <c r="A1885" s="5">
        <v>45576</v>
      </c>
      <c r="B1885" s="3">
        <v>0.39701388888888889</v>
      </c>
      <c r="C1885" t="s">
        <v>8</v>
      </c>
      <c r="D1885" t="s">
        <v>796</v>
      </c>
      <c r="E1885" s="4">
        <v>30.86</v>
      </c>
      <c r="F1885" t="s">
        <v>36</v>
      </c>
      <c r="G1885" s="10" t="str">
        <f>TEXT(Transform_Data[[#This Row],[Date]],"mmm yyyy")</f>
        <v>Oct 2024</v>
      </c>
      <c r="H1885" s="10">
        <f>HOUR(Transform_Data[[#This Row],[Time]])</f>
        <v>9</v>
      </c>
      <c r="I1885" s="10" t="str">
        <f>IF(COUNTIF('Transform Data'!$D:$D,'Transform Data'!D1885)&gt;1,"Repeat","Single")</f>
        <v>Single</v>
      </c>
      <c r="J1885" s="10" t="str">
        <f>IF('Transform Data'!D1885="Cash","Cash",IF(COUNTIF('Transform Data'!$D:$D,'Transform Data'!D1885)&gt;1,"Repeat","Single"))</f>
        <v>Single</v>
      </c>
      <c r="K1885" s="10" t="str">
        <f t="shared" si="29"/>
        <v>TRANS-1884</v>
      </c>
    </row>
    <row r="1886" spans="1:11" x14ac:dyDescent="0.35">
      <c r="A1886" s="5">
        <v>45576</v>
      </c>
      <c r="B1886" s="3">
        <v>0.4019212962962963</v>
      </c>
      <c r="C1886" t="s">
        <v>8</v>
      </c>
      <c r="D1886" t="s">
        <v>455</v>
      </c>
      <c r="E1886" s="4">
        <v>25.96</v>
      </c>
      <c r="F1886" t="s">
        <v>20</v>
      </c>
      <c r="G1886" s="10" t="str">
        <f>TEXT(Transform_Data[[#This Row],[Date]],"mmm yyyy")</f>
        <v>Oct 2024</v>
      </c>
      <c r="H1886" s="10">
        <f>HOUR(Transform_Data[[#This Row],[Time]])</f>
        <v>9</v>
      </c>
      <c r="I1886" s="10" t="str">
        <f>IF(COUNTIF('Transform Data'!$D:$D,'Transform Data'!D1886)&gt;1,"Repeat","Single")</f>
        <v>Repeat</v>
      </c>
      <c r="J1886" s="10" t="str">
        <f>IF('Transform Data'!D1886="Cash","Cash",IF(COUNTIF('Transform Data'!$D:$D,'Transform Data'!D1886)&gt;1,"Repeat","Single"))</f>
        <v>Repeat</v>
      </c>
      <c r="K1886" s="10" t="str">
        <f t="shared" si="29"/>
        <v>TRANS-1885</v>
      </c>
    </row>
    <row r="1887" spans="1:11" x14ac:dyDescent="0.35">
      <c r="A1887" s="5">
        <v>45576</v>
      </c>
      <c r="B1887" s="3">
        <v>0.41712962962962963</v>
      </c>
      <c r="C1887" t="s">
        <v>8</v>
      </c>
      <c r="D1887" t="s">
        <v>428</v>
      </c>
      <c r="E1887" s="4">
        <v>25.96</v>
      </c>
      <c r="F1887" t="s">
        <v>28</v>
      </c>
      <c r="G1887" s="10" t="str">
        <f>TEXT(Transform_Data[[#This Row],[Date]],"mmm yyyy")</f>
        <v>Oct 2024</v>
      </c>
      <c r="H1887" s="10">
        <f>HOUR(Transform_Data[[#This Row],[Time]])</f>
        <v>10</v>
      </c>
      <c r="I1887" s="10" t="str">
        <f>IF(COUNTIF('Transform Data'!$D:$D,'Transform Data'!D1887)&gt;1,"Repeat","Single")</f>
        <v>Repeat</v>
      </c>
      <c r="J1887" s="10" t="str">
        <f>IF('Transform Data'!D1887="Cash","Cash",IF(COUNTIF('Transform Data'!$D:$D,'Transform Data'!D1887)&gt;1,"Repeat","Single"))</f>
        <v>Repeat</v>
      </c>
      <c r="K1887" s="10" t="str">
        <f t="shared" si="29"/>
        <v>TRANS-1886</v>
      </c>
    </row>
    <row r="1888" spans="1:11" x14ac:dyDescent="0.35">
      <c r="A1888" s="5">
        <v>45576</v>
      </c>
      <c r="B1888" s="3">
        <v>0.41798611111111111</v>
      </c>
      <c r="C1888" t="s">
        <v>8</v>
      </c>
      <c r="D1888" t="s">
        <v>428</v>
      </c>
      <c r="E1888" s="4">
        <v>25.96</v>
      </c>
      <c r="F1888" t="s">
        <v>28</v>
      </c>
      <c r="G1888" s="10" t="str">
        <f>TEXT(Transform_Data[[#This Row],[Date]],"mmm yyyy")</f>
        <v>Oct 2024</v>
      </c>
      <c r="H1888" s="10">
        <f>HOUR(Transform_Data[[#This Row],[Time]])</f>
        <v>10</v>
      </c>
      <c r="I1888" s="10" t="str">
        <f>IF(COUNTIF('Transform Data'!$D:$D,'Transform Data'!D1888)&gt;1,"Repeat","Single")</f>
        <v>Repeat</v>
      </c>
      <c r="J1888" s="10" t="str">
        <f>IF('Transform Data'!D1888="Cash","Cash",IF(COUNTIF('Transform Data'!$D:$D,'Transform Data'!D1888)&gt;1,"Repeat","Single"))</f>
        <v>Repeat</v>
      </c>
      <c r="K1888" s="10" t="str">
        <f t="shared" si="29"/>
        <v>TRANS-1887</v>
      </c>
    </row>
    <row r="1889" spans="1:11" x14ac:dyDescent="0.35">
      <c r="A1889" s="5">
        <v>45576</v>
      </c>
      <c r="B1889" s="3">
        <v>0.43790509259259258</v>
      </c>
      <c r="C1889" t="s">
        <v>8</v>
      </c>
      <c r="D1889" t="s">
        <v>296</v>
      </c>
      <c r="E1889" s="4">
        <v>30.86</v>
      </c>
      <c r="F1889" t="s">
        <v>36</v>
      </c>
      <c r="G1889" s="10" t="str">
        <f>TEXT(Transform_Data[[#This Row],[Date]],"mmm yyyy")</f>
        <v>Oct 2024</v>
      </c>
      <c r="H1889" s="10">
        <f>HOUR(Transform_Data[[#This Row],[Time]])</f>
        <v>10</v>
      </c>
      <c r="I1889" s="10" t="str">
        <f>IF(COUNTIF('Transform Data'!$D:$D,'Transform Data'!D1889)&gt;1,"Repeat","Single")</f>
        <v>Repeat</v>
      </c>
      <c r="J1889" s="10" t="str">
        <f>IF('Transform Data'!D1889="Cash","Cash",IF(COUNTIF('Transform Data'!$D:$D,'Transform Data'!D1889)&gt;1,"Repeat","Single"))</f>
        <v>Repeat</v>
      </c>
      <c r="K1889" s="10" t="str">
        <f t="shared" si="29"/>
        <v>TRANS-1888</v>
      </c>
    </row>
    <row r="1890" spans="1:11" x14ac:dyDescent="0.35">
      <c r="A1890" s="5">
        <v>45576</v>
      </c>
      <c r="B1890" s="3">
        <v>0.54515046296296299</v>
      </c>
      <c r="C1890" t="s">
        <v>8</v>
      </c>
      <c r="D1890" t="s">
        <v>792</v>
      </c>
      <c r="E1890" s="4">
        <v>35.76</v>
      </c>
      <c r="F1890" t="s">
        <v>32</v>
      </c>
      <c r="G1890" s="10" t="str">
        <f>TEXT(Transform_Data[[#This Row],[Date]],"mmm yyyy")</f>
        <v>Oct 2024</v>
      </c>
      <c r="H1890" s="10">
        <f>HOUR(Transform_Data[[#This Row],[Time]])</f>
        <v>13</v>
      </c>
      <c r="I1890" s="10" t="str">
        <f>IF(COUNTIF('Transform Data'!$D:$D,'Transform Data'!D1890)&gt;1,"Repeat","Single")</f>
        <v>Repeat</v>
      </c>
      <c r="J1890" s="10" t="str">
        <f>IF('Transform Data'!D1890="Cash","Cash",IF(COUNTIF('Transform Data'!$D:$D,'Transform Data'!D1890)&gt;1,"Repeat","Single"))</f>
        <v>Repeat</v>
      </c>
      <c r="K1890" s="10" t="str">
        <f t="shared" si="29"/>
        <v>TRANS-1889</v>
      </c>
    </row>
    <row r="1891" spans="1:11" x14ac:dyDescent="0.35">
      <c r="A1891" s="5">
        <v>45576</v>
      </c>
      <c r="B1891" s="3">
        <v>0.56182870370370375</v>
      </c>
      <c r="C1891" t="s">
        <v>8</v>
      </c>
      <c r="D1891" t="s">
        <v>43</v>
      </c>
      <c r="E1891" s="4">
        <v>25.96</v>
      </c>
      <c r="F1891" t="s">
        <v>28</v>
      </c>
      <c r="G1891" s="10" t="str">
        <f>TEXT(Transform_Data[[#This Row],[Date]],"mmm yyyy")</f>
        <v>Oct 2024</v>
      </c>
      <c r="H1891" s="10">
        <f>HOUR(Transform_Data[[#This Row],[Time]])</f>
        <v>13</v>
      </c>
      <c r="I1891" s="10" t="str">
        <f>IF(COUNTIF('Transform Data'!$D:$D,'Transform Data'!D1891)&gt;1,"Repeat","Single")</f>
        <v>Repeat</v>
      </c>
      <c r="J1891" s="10" t="str">
        <f>IF('Transform Data'!D1891="Cash","Cash",IF(COUNTIF('Transform Data'!$D:$D,'Transform Data'!D1891)&gt;1,"Repeat","Single"))</f>
        <v>Repeat</v>
      </c>
      <c r="K1891" s="10" t="str">
        <f t="shared" si="29"/>
        <v>TRANS-1890</v>
      </c>
    </row>
    <row r="1892" spans="1:11" x14ac:dyDescent="0.35">
      <c r="A1892" s="5">
        <v>45576</v>
      </c>
      <c r="B1892" s="3">
        <v>0.56260416666666668</v>
      </c>
      <c r="C1892" t="s">
        <v>8</v>
      </c>
      <c r="D1892" t="s">
        <v>43</v>
      </c>
      <c r="E1892" s="4">
        <v>25.96</v>
      </c>
      <c r="F1892" t="s">
        <v>28</v>
      </c>
      <c r="G1892" s="10" t="str">
        <f>TEXT(Transform_Data[[#This Row],[Date]],"mmm yyyy")</f>
        <v>Oct 2024</v>
      </c>
      <c r="H1892" s="10">
        <f>HOUR(Transform_Data[[#This Row],[Time]])</f>
        <v>13</v>
      </c>
      <c r="I1892" s="10" t="str">
        <f>IF(COUNTIF('Transform Data'!$D:$D,'Transform Data'!D1892)&gt;1,"Repeat","Single")</f>
        <v>Repeat</v>
      </c>
      <c r="J1892" s="10" t="str">
        <f>IF('Transform Data'!D1892="Cash","Cash",IF(COUNTIF('Transform Data'!$D:$D,'Transform Data'!D1892)&gt;1,"Repeat","Single"))</f>
        <v>Repeat</v>
      </c>
      <c r="K1892" s="10" t="str">
        <f t="shared" si="29"/>
        <v>TRANS-1891</v>
      </c>
    </row>
    <row r="1893" spans="1:11" x14ac:dyDescent="0.35">
      <c r="A1893" s="5">
        <v>45576</v>
      </c>
      <c r="B1893" s="3">
        <v>0.60671296296296295</v>
      </c>
      <c r="C1893" t="s">
        <v>8</v>
      </c>
      <c r="D1893" t="s">
        <v>797</v>
      </c>
      <c r="E1893" s="4">
        <v>35.76</v>
      </c>
      <c r="F1893" t="s">
        <v>10</v>
      </c>
      <c r="G1893" s="10" t="str">
        <f>TEXT(Transform_Data[[#This Row],[Date]],"mmm yyyy")</f>
        <v>Oct 2024</v>
      </c>
      <c r="H1893" s="10">
        <f>HOUR(Transform_Data[[#This Row],[Time]])</f>
        <v>14</v>
      </c>
      <c r="I1893" s="10" t="str">
        <f>IF(COUNTIF('Transform Data'!$D:$D,'Transform Data'!D1893)&gt;1,"Repeat","Single")</f>
        <v>Repeat</v>
      </c>
      <c r="J1893" s="10" t="str">
        <f>IF('Transform Data'!D1893="Cash","Cash",IF(COUNTIF('Transform Data'!$D:$D,'Transform Data'!D1893)&gt;1,"Repeat","Single"))</f>
        <v>Repeat</v>
      </c>
      <c r="K1893" s="10" t="str">
        <f t="shared" si="29"/>
        <v>TRANS-1892</v>
      </c>
    </row>
    <row r="1894" spans="1:11" x14ac:dyDescent="0.35">
      <c r="A1894" s="5">
        <v>45576</v>
      </c>
      <c r="B1894" s="3">
        <v>0.60797453703703708</v>
      </c>
      <c r="C1894" t="s">
        <v>8</v>
      </c>
      <c r="D1894" t="s">
        <v>797</v>
      </c>
      <c r="E1894" s="4">
        <v>25.96</v>
      </c>
      <c r="F1894" t="s">
        <v>28</v>
      </c>
      <c r="G1894" s="10" t="str">
        <f>TEXT(Transform_Data[[#This Row],[Date]],"mmm yyyy")</f>
        <v>Oct 2024</v>
      </c>
      <c r="H1894" s="10">
        <f>HOUR(Transform_Data[[#This Row],[Time]])</f>
        <v>14</v>
      </c>
      <c r="I1894" s="10" t="str">
        <f>IF(COUNTIF('Transform Data'!$D:$D,'Transform Data'!D1894)&gt;1,"Repeat","Single")</f>
        <v>Repeat</v>
      </c>
      <c r="J1894" s="10" t="str">
        <f>IF('Transform Data'!D1894="Cash","Cash",IF(COUNTIF('Transform Data'!$D:$D,'Transform Data'!D1894)&gt;1,"Repeat","Single"))</f>
        <v>Repeat</v>
      </c>
      <c r="K1894" s="10" t="str">
        <f t="shared" si="29"/>
        <v>TRANS-1893</v>
      </c>
    </row>
    <row r="1895" spans="1:11" x14ac:dyDescent="0.35">
      <c r="A1895" s="5">
        <v>45576</v>
      </c>
      <c r="B1895" s="3">
        <v>0.61814814814814811</v>
      </c>
      <c r="C1895" t="s">
        <v>8</v>
      </c>
      <c r="D1895" t="s">
        <v>766</v>
      </c>
      <c r="E1895" s="4">
        <v>35.76</v>
      </c>
      <c r="F1895" t="s">
        <v>24</v>
      </c>
      <c r="G1895" s="10" t="str">
        <f>TEXT(Transform_Data[[#This Row],[Date]],"mmm yyyy")</f>
        <v>Oct 2024</v>
      </c>
      <c r="H1895" s="10">
        <f>HOUR(Transform_Data[[#This Row],[Time]])</f>
        <v>14</v>
      </c>
      <c r="I1895" s="10" t="str">
        <f>IF(COUNTIF('Transform Data'!$D:$D,'Transform Data'!D1895)&gt;1,"Repeat","Single")</f>
        <v>Repeat</v>
      </c>
      <c r="J1895" s="10" t="str">
        <f>IF('Transform Data'!D1895="Cash","Cash",IF(COUNTIF('Transform Data'!$D:$D,'Transform Data'!D1895)&gt;1,"Repeat","Single"))</f>
        <v>Repeat</v>
      </c>
      <c r="K1895" s="10" t="str">
        <f t="shared" si="29"/>
        <v>TRANS-1894</v>
      </c>
    </row>
    <row r="1896" spans="1:11" x14ac:dyDescent="0.35">
      <c r="A1896" s="5">
        <v>45576</v>
      </c>
      <c r="B1896" s="3">
        <v>0.71674768518518517</v>
      </c>
      <c r="C1896" t="s">
        <v>8</v>
      </c>
      <c r="D1896" t="s">
        <v>798</v>
      </c>
      <c r="E1896" s="4">
        <v>35.76</v>
      </c>
      <c r="F1896" t="s">
        <v>32</v>
      </c>
      <c r="G1896" s="10" t="str">
        <f>TEXT(Transform_Data[[#This Row],[Date]],"mmm yyyy")</f>
        <v>Oct 2024</v>
      </c>
      <c r="H1896" s="10">
        <f>HOUR(Transform_Data[[#This Row],[Time]])</f>
        <v>17</v>
      </c>
      <c r="I1896" s="10" t="str">
        <f>IF(COUNTIF('Transform Data'!$D:$D,'Transform Data'!D1896)&gt;1,"Repeat","Single")</f>
        <v>Repeat</v>
      </c>
      <c r="J1896" s="10" t="str">
        <f>IF('Transform Data'!D1896="Cash","Cash",IF(COUNTIF('Transform Data'!$D:$D,'Transform Data'!D1896)&gt;1,"Repeat","Single"))</f>
        <v>Repeat</v>
      </c>
      <c r="K1896" s="10" t="str">
        <f t="shared" si="29"/>
        <v>TRANS-1895</v>
      </c>
    </row>
    <row r="1897" spans="1:11" x14ac:dyDescent="0.35">
      <c r="A1897" s="5">
        <v>45576</v>
      </c>
      <c r="B1897" s="3">
        <v>0.71760416666666671</v>
      </c>
      <c r="C1897" t="s">
        <v>8</v>
      </c>
      <c r="D1897" t="s">
        <v>798</v>
      </c>
      <c r="E1897" s="4">
        <v>35.76</v>
      </c>
      <c r="F1897" t="s">
        <v>15</v>
      </c>
      <c r="G1897" s="10" t="str">
        <f>TEXT(Transform_Data[[#This Row],[Date]],"mmm yyyy")</f>
        <v>Oct 2024</v>
      </c>
      <c r="H1897" s="10">
        <f>HOUR(Transform_Data[[#This Row],[Time]])</f>
        <v>17</v>
      </c>
      <c r="I1897" s="10" t="str">
        <f>IF(COUNTIF('Transform Data'!$D:$D,'Transform Data'!D1897)&gt;1,"Repeat","Single")</f>
        <v>Repeat</v>
      </c>
      <c r="J1897" s="10" t="str">
        <f>IF('Transform Data'!D1897="Cash","Cash",IF(COUNTIF('Transform Data'!$D:$D,'Transform Data'!D1897)&gt;1,"Repeat","Single"))</f>
        <v>Repeat</v>
      </c>
      <c r="K1897" s="10" t="str">
        <f t="shared" si="29"/>
        <v>TRANS-1896</v>
      </c>
    </row>
    <row r="1898" spans="1:11" x14ac:dyDescent="0.35">
      <c r="A1898" s="5">
        <v>45576</v>
      </c>
      <c r="B1898" s="3">
        <v>0.72651620370370373</v>
      </c>
      <c r="C1898" t="s">
        <v>8</v>
      </c>
      <c r="D1898" t="s">
        <v>799</v>
      </c>
      <c r="E1898" s="4">
        <v>35.76</v>
      </c>
      <c r="F1898" t="s">
        <v>15</v>
      </c>
      <c r="G1898" s="10" t="str">
        <f>TEXT(Transform_Data[[#This Row],[Date]],"mmm yyyy")</f>
        <v>Oct 2024</v>
      </c>
      <c r="H1898" s="10">
        <f>HOUR(Transform_Data[[#This Row],[Time]])</f>
        <v>17</v>
      </c>
      <c r="I1898" s="10" t="str">
        <f>IF(COUNTIF('Transform Data'!$D:$D,'Transform Data'!D1898)&gt;1,"Repeat","Single")</f>
        <v>Single</v>
      </c>
      <c r="J1898" s="10" t="str">
        <f>IF('Transform Data'!D1898="Cash","Cash",IF(COUNTIF('Transform Data'!$D:$D,'Transform Data'!D1898)&gt;1,"Repeat","Single"))</f>
        <v>Single</v>
      </c>
      <c r="K1898" s="10" t="str">
        <f t="shared" si="29"/>
        <v>TRANS-1897</v>
      </c>
    </row>
    <row r="1899" spans="1:11" x14ac:dyDescent="0.35">
      <c r="A1899" s="5">
        <v>45576</v>
      </c>
      <c r="B1899" s="3">
        <v>0.9087615740740741</v>
      </c>
      <c r="C1899" t="s">
        <v>8</v>
      </c>
      <c r="D1899" t="s">
        <v>742</v>
      </c>
      <c r="E1899" s="4">
        <v>35.76</v>
      </c>
      <c r="F1899" t="s">
        <v>32</v>
      </c>
      <c r="G1899" s="10" t="str">
        <f>TEXT(Transform_Data[[#This Row],[Date]],"mmm yyyy")</f>
        <v>Oct 2024</v>
      </c>
      <c r="H1899" s="10">
        <f>HOUR(Transform_Data[[#This Row],[Time]])</f>
        <v>21</v>
      </c>
      <c r="I1899" s="10" t="str">
        <f>IF(COUNTIF('Transform Data'!$D:$D,'Transform Data'!D1899)&gt;1,"Repeat","Single")</f>
        <v>Repeat</v>
      </c>
      <c r="J1899" s="10" t="str">
        <f>IF('Transform Data'!D1899="Cash","Cash",IF(COUNTIF('Transform Data'!$D:$D,'Transform Data'!D1899)&gt;1,"Repeat","Single"))</f>
        <v>Repeat</v>
      </c>
      <c r="K1899" s="10" t="str">
        <f t="shared" si="29"/>
        <v>TRANS-1898</v>
      </c>
    </row>
    <row r="1900" spans="1:11" x14ac:dyDescent="0.35">
      <c r="A1900" s="5">
        <v>45576</v>
      </c>
      <c r="B1900" s="3">
        <v>0.91241898148148148</v>
      </c>
      <c r="C1900" t="s">
        <v>8</v>
      </c>
      <c r="D1900" t="s">
        <v>800</v>
      </c>
      <c r="E1900" s="4">
        <v>30.86</v>
      </c>
      <c r="F1900" t="s">
        <v>36</v>
      </c>
      <c r="G1900" s="10" t="str">
        <f>TEXT(Transform_Data[[#This Row],[Date]],"mmm yyyy")</f>
        <v>Oct 2024</v>
      </c>
      <c r="H1900" s="10">
        <f>HOUR(Transform_Data[[#This Row],[Time]])</f>
        <v>21</v>
      </c>
      <c r="I1900" s="10" t="str">
        <f>IF(COUNTIF('Transform Data'!$D:$D,'Transform Data'!D1900)&gt;1,"Repeat","Single")</f>
        <v>Repeat</v>
      </c>
      <c r="J1900" s="10" t="str">
        <f>IF('Transform Data'!D1900="Cash","Cash",IF(COUNTIF('Transform Data'!$D:$D,'Transform Data'!D1900)&gt;1,"Repeat","Single"))</f>
        <v>Repeat</v>
      </c>
      <c r="K1900" s="10" t="str">
        <f t="shared" si="29"/>
        <v>TRANS-1899</v>
      </c>
    </row>
    <row r="1901" spans="1:11" x14ac:dyDescent="0.35">
      <c r="A1901" s="5">
        <v>45576</v>
      </c>
      <c r="B1901" s="3">
        <v>0.9419791666666667</v>
      </c>
      <c r="C1901" t="s">
        <v>8</v>
      </c>
      <c r="D1901" t="s">
        <v>801</v>
      </c>
      <c r="E1901" s="4">
        <v>35.76</v>
      </c>
      <c r="F1901" t="s">
        <v>15</v>
      </c>
      <c r="G1901" s="10" t="str">
        <f>TEXT(Transform_Data[[#This Row],[Date]],"mmm yyyy")</f>
        <v>Oct 2024</v>
      </c>
      <c r="H1901" s="10">
        <f>HOUR(Transform_Data[[#This Row],[Time]])</f>
        <v>22</v>
      </c>
      <c r="I1901" s="10" t="str">
        <f>IF(COUNTIF('Transform Data'!$D:$D,'Transform Data'!D1901)&gt;1,"Repeat","Single")</f>
        <v>Repeat</v>
      </c>
      <c r="J1901" s="10" t="str">
        <f>IF('Transform Data'!D1901="Cash","Cash",IF(COUNTIF('Transform Data'!$D:$D,'Transform Data'!D1901)&gt;1,"Repeat","Single"))</f>
        <v>Repeat</v>
      </c>
      <c r="K1901" s="10" t="str">
        <f t="shared" si="29"/>
        <v>TRANS-1900</v>
      </c>
    </row>
    <row r="1902" spans="1:11" x14ac:dyDescent="0.35">
      <c r="A1902" s="5">
        <v>45576</v>
      </c>
      <c r="B1902" s="3">
        <v>0.94266203703703699</v>
      </c>
      <c r="C1902" t="s">
        <v>8</v>
      </c>
      <c r="D1902" t="s">
        <v>801</v>
      </c>
      <c r="E1902" s="4">
        <v>35.76</v>
      </c>
      <c r="F1902" t="s">
        <v>15</v>
      </c>
      <c r="G1902" s="10" t="str">
        <f>TEXT(Transform_Data[[#This Row],[Date]],"mmm yyyy")</f>
        <v>Oct 2024</v>
      </c>
      <c r="H1902" s="10">
        <f>HOUR(Transform_Data[[#This Row],[Time]])</f>
        <v>22</v>
      </c>
      <c r="I1902" s="10" t="str">
        <f>IF(COUNTIF('Transform Data'!$D:$D,'Transform Data'!D1902)&gt;1,"Repeat","Single")</f>
        <v>Repeat</v>
      </c>
      <c r="J1902" s="10" t="str">
        <f>IF('Transform Data'!D1902="Cash","Cash",IF(COUNTIF('Transform Data'!$D:$D,'Transform Data'!D1902)&gt;1,"Repeat","Single"))</f>
        <v>Repeat</v>
      </c>
      <c r="K1902" s="10" t="str">
        <f t="shared" si="29"/>
        <v>TRANS-1901</v>
      </c>
    </row>
    <row r="1903" spans="1:11" x14ac:dyDescent="0.35">
      <c r="A1903" s="5">
        <v>45577</v>
      </c>
      <c r="B1903" s="3">
        <v>0.35295138888888888</v>
      </c>
      <c r="C1903" t="s">
        <v>8</v>
      </c>
      <c r="D1903" t="s">
        <v>40</v>
      </c>
      <c r="E1903" s="4">
        <v>25.96</v>
      </c>
      <c r="F1903" t="s">
        <v>20</v>
      </c>
      <c r="G1903" s="10" t="str">
        <f>TEXT(Transform_Data[[#This Row],[Date]],"mmm yyyy")</f>
        <v>Oct 2024</v>
      </c>
      <c r="H1903" s="10">
        <f>HOUR(Transform_Data[[#This Row],[Time]])</f>
        <v>8</v>
      </c>
      <c r="I1903" s="10" t="str">
        <f>IF(COUNTIF('Transform Data'!$D:$D,'Transform Data'!D1903)&gt;1,"Repeat","Single")</f>
        <v>Repeat</v>
      </c>
      <c r="J1903" s="10" t="str">
        <f>IF('Transform Data'!D1903="Cash","Cash",IF(COUNTIF('Transform Data'!$D:$D,'Transform Data'!D1903)&gt;1,"Repeat","Single"))</f>
        <v>Repeat</v>
      </c>
      <c r="K1903" s="10" t="str">
        <f t="shared" si="29"/>
        <v>TRANS-1902</v>
      </c>
    </row>
    <row r="1904" spans="1:11" x14ac:dyDescent="0.35">
      <c r="A1904" s="5">
        <v>45577</v>
      </c>
      <c r="B1904" s="3">
        <v>0.43863425925925925</v>
      </c>
      <c r="C1904" t="s">
        <v>8</v>
      </c>
      <c r="D1904" t="s">
        <v>702</v>
      </c>
      <c r="E1904" s="4">
        <v>25.96</v>
      </c>
      <c r="F1904" t="s">
        <v>20</v>
      </c>
      <c r="G1904" s="10" t="str">
        <f>TEXT(Transform_Data[[#This Row],[Date]],"mmm yyyy")</f>
        <v>Oct 2024</v>
      </c>
      <c r="H1904" s="10">
        <f>HOUR(Transform_Data[[#This Row],[Time]])</f>
        <v>10</v>
      </c>
      <c r="I1904" s="10" t="str">
        <f>IF(COUNTIF('Transform Data'!$D:$D,'Transform Data'!D1904)&gt;1,"Repeat","Single")</f>
        <v>Repeat</v>
      </c>
      <c r="J1904" s="10" t="str">
        <f>IF('Transform Data'!D1904="Cash","Cash",IF(COUNTIF('Transform Data'!$D:$D,'Transform Data'!D1904)&gt;1,"Repeat","Single"))</f>
        <v>Repeat</v>
      </c>
      <c r="K1904" s="10" t="str">
        <f t="shared" si="29"/>
        <v>TRANS-1903</v>
      </c>
    </row>
    <row r="1905" spans="1:11" x14ac:dyDescent="0.35">
      <c r="A1905" s="5">
        <v>45577</v>
      </c>
      <c r="B1905" s="3">
        <v>0.43952546296296297</v>
      </c>
      <c r="C1905" t="s">
        <v>8</v>
      </c>
      <c r="D1905" t="s">
        <v>702</v>
      </c>
      <c r="E1905" s="4">
        <v>25.96</v>
      </c>
      <c r="F1905" t="s">
        <v>20</v>
      </c>
      <c r="G1905" s="10" t="str">
        <f>TEXT(Transform_Data[[#This Row],[Date]],"mmm yyyy")</f>
        <v>Oct 2024</v>
      </c>
      <c r="H1905" s="10">
        <f>HOUR(Transform_Data[[#This Row],[Time]])</f>
        <v>10</v>
      </c>
      <c r="I1905" s="10" t="str">
        <f>IF(COUNTIF('Transform Data'!$D:$D,'Transform Data'!D1905)&gt;1,"Repeat","Single")</f>
        <v>Repeat</v>
      </c>
      <c r="J1905" s="10" t="str">
        <f>IF('Transform Data'!D1905="Cash","Cash",IF(COUNTIF('Transform Data'!$D:$D,'Transform Data'!D1905)&gt;1,"Repeat","Single"))</f>
        <v>Repeat</v>
      </c>
      <c r="K1905" s="10" t="str">
        <f t="shared" si="29"/>
        <v>TRANS-1904</v>
      </c>
    </row>
    <row r="1906" spans="1:11" x14ac:dyDescent="0.35">
      <c r="A1906" s="5">
        <v>45577</v>
      </c>
      <c r="B1906" s="3">
        <v>0.49461805555555555</v>
      </c>
      <c r="C1906" t="s">
        <v>8</v>
      </c>
      <c r="D1906" t="s">
        <v>21</v>
      </c>
      <c r="E1906" s="4">
        <v>35.76</v>
      </c>
      <c r="F1906" t="s">
        <v>32</v>
      </c>
      <c r="G1906" s="10" t="str">
        <f>TEXT(Transform_Data[[#This Row],[Date]],"mmm yyyy")</f>
        <v>Oct 2024</v>
      </c>
      <c r="H1906" s="10">
        <f>HOUR(Transform_Data[[#This Row],[Time]])</f>
        <v>11</v>
      </c>
      <c r="I1906" s="10" t="str">
        <f>IF(COUNTIF('Transform Data'!$D:$D,'Transform Data'!D1906)&gt;1,"Repeat","Single")</f>
        <v>Repeat</v>
      </c>
      <c r="J1906" s="10" t="str">
        <f>IF('Transform Data'!D1906="Cash","Cash",IF(COUNTIF('Transform Data'!$D:$D,'Transform Data'!D1906)&gt;1,"Repeat","Single"))</f>
        <v>Repeat</v>
      </c>
      <c r="K1906" s="10" t="str">
        <f t="shared" si="29"/>
        <v>TRANS-1905</v>
      </c>
    </row>
    <row r="1907" spans="1:11" x14ac:dyDescent="0.35">
      <c r="A1907" s="5">
        <v>45577</v>
      </c>
      <c r="B1907" s="3">
        <v>0.49561342592592594</v>
      </c>
      <c r="C1907" t="s">
        <v>8</v>
      </c>
      <c r="D1907" t="s">
        <v>802</v>
      </c>
      <c r="E1907" s="4">
        <v>30.86</v>
      </c>
      <c r="F1907" t="s">
        <v>36</v>
      </c>
      <c r="G1907" s="10" t="str">
        <f>TEXT(Transform_Data[[#This Row],[Date]],"mmm yyyy")</f>
        <v>Oct 2024</v>
      </c>
      <c r="H1907" s="10">
        <f>HOUR(Transform_Data[[#This Row],[Time]])</f>
        <v>11</v>
      </c>
      <c r="I1907" s="10" t="str">
        <f>IF(COUNTIF('Transform Data'!$D:$D,'Transform Data'!D1907)&gt;1,"Repeat","Single")</f>
        <v>Single</v>
      </c>
      <c r="J1907" s="10" t="str">
        <f>IF('Transform Data'!D1907="Cash","Cash",IF(COUNTIF('Transform Data'!$D:$D,'Transform Data'!D1907)&gt;1,"Repeat","Single"))</f>
        <v>Single</v>
      </c>
      <c r="K1907" s="10" t="str">
        <f t="shared" si="29"/>
        <v>TRANS-1906</v>
      </c>
    </row>
    <row r="1908" spans="1:11" x14ac:dyDescent="0.35">
      <c r="A1908" s="5">
        <v>45577</v>
      </c>
      <c r="B1908" s="3">
        <v>0.55471064814814819</v>
      </c>
      <c r="C1908" t="s">
        <v>8</v>
      </c>
      <c r="D1908" t="s">
        <v>803</v>
      </c>
      <c r="E1908" s="4">
        <v>35.76</v>
      </c>
      <c r="F1908" t="s">
        <v>24</v>
      </c>
      <c r="G1908" s="10" t="str">
        <f>TEXT(Transform_Data[[#This Row],[Date]],"mmm yyyy")</f>
        <v>Oct 2024</v>
      </c>
      <c r="H1908" s="10">
        <f>HOUR(Transform_Data[[#This Row],[Time]])</f>
        <v>13</v>
      </c>
      <c r="I1908" s="10" t="str">
        <f>IF(COUNTIF('Transform Data'!$D:$D,'Transform Data'!D1908)&gt;1,"Repeat","Single")</f>
        <v>Repeat</v>
      </c>
      <c r="J1908" s="10" t="str">
        <f>IF('Transform Data'!D1908="Cash","Cash",IF(COUNTIF('Transform Data'!$D:$D,'Transform Data'!D1908)&gt;1,"Repeat","Single"))</f>
        <v>Repeat</v>
      </c>
      <c r="K1908" s="10" t="str">
        <f t="shared" si="29"/>
        <v>TRANS-1907</v>
      </c>
    </row>
    <row r="1909" spans="1:11" x14ac:dyDescent="0.35">
      <c r="A1909" s="5">
        <v>45577</v>
      </c>
      <c r="B1909" s="3">
        <v>0.84089120370370374</v>
      </c>
      <c r="C1909" t="s">
        <v>8</v>
      </c>
      <c r="D1909" t="s">
        <v>21</v>
      </c>
      <c r="E1909" s="4">
        <v>35.76</v>
      </c>
      <c r="F1909" t="s">
        <v>32</v>
      </c>
      <c r="G1909" s="10" t="str">
        <f>TEXT(Transform_Data[[#This Row],[Date]],"mmm yyyy")</f>
        <v>Oct 2024</v>
      </c>
      <c r="H1909" s="10">
        <f>HOUR(Transform_Data[[#This Row],[Time]])</f>
        <v>20</v>
      </c>
      <c r="I1909" s="10" t="str">
        <f>IF(COUNTIF('Transform Data'!$D:$D,'Transform Data'!D1909)&gt;1,"Repeat","Single")</f>
        <v>Repeat</v>
      </c>
      <c r="J1909" s="10" t="str">
        <f>IF('Transform Data'!D1909="Cash","Cash",IF(COUNTIF('Transform Data'!$D:$D,'Transform Data'!D1909)&gt;1,"Repeat","Single"))</f>
        <v>Repeat</v>
      </c>
      <c r="K1909" s="10" t="str">
        <f t="shared" si="29"/>
        <v>TRANS-1908</v>
      </c>
    </row>
    <row r="1910" spans="1:11" x14ac:dyDescent="0.35">
      <c r="A1910" s="5">
        <v>45578</v>
      </c>
      <c r="B1910" s="3">
        <v>0.41313657407407406</v>
      </c>
      <c r="C1910" t="s">
        <v>8</v>
      </c>
      <c r="D1910" t="s">
        <v>40</v>
      </c>
      <c r="E1910" s="4">
        <v>25.96</v>
      </c>
      <c r="F1910" t="s">
        <v>20</v>
      </c>
      <c r="G1910" s="10" t="str">
        <f>TEXT(Transform_Data[[#This Row],[Date]],"mmm yyyy")</f>
        <v>Oct 2024</v>
      </c>
      <c r="H1910" s="10">
        <f>HOUR(Transform_Data[[#This Row],[Time]])</f>
        <v>9</v>
      </c>
      <c r="I1910" s="10" t="str">
        <f>IF(COUNTIF('Transform Data'!$D:$D,'Transform Data'!D1910)&gt;1,"Repeat","Single")</f>
        <v>Repeat</v>
      </c>
      <c r="J1910" s="10" t="str">
        <f>IF('Transform Data'!D1910="Cash","Cash",IF(COUNTIF('Transform Data'!$D:$D,'Transform Data'!D1910)&gt;1,"Repeat","Single"))</f>
        <v>Repeat</v>
      </c>
      <c r="K1910" s="10" t="str">
        <f t="shared" si="29"/>
        <v>TRANS-1909</v>
      </c>
    </row>
    <row r="1911" spans="1:11" x14ac:dyDescent="0.35">
      <c r="A1911" s="5">
        <v>45578</v>
      </c>
      <c r="B1911" s="3">
        <v>0.51442129629629629</v>
      </c>
      <c r="C1911" t="s">
        <v>8</v>
      </c>
      <c r="D1911" t="s">
        <v>804</v>
      </c>
      <c r="E1911" s="4">
        <v>30.86</v>
      </c>
      <c r="F1911" t="s">
        <v>36</v>
      </c>
      <c r="G1911" s="10" t="str">
        <f>TEXT(Transform_Data[[#This Row],[Date]],"mmm yyyy")</f>
        <v>Oct 2024</v>
      </c>
      <c r="H1911" s="10">
        <f>HOUR(Transform_Data[[#This Row],[Time]])</f>
        <v>12</v>
      </c>
      <c r="I1911" s="10" t="str">
        <f>IF(COUNTIF('Transform Data'!$D:$D,'Transform Data'!D1911)&gt;1,"Repeat","Single")</f>
        <v>Single</v>
      </c>
      <c r="J1911" s="10" t="str">
        <f>IF('Transform Data'!D1911="Cash","Cash",IF(COUNTIF('Transform Data'!$D:$D,'Transform Data'!D1911)&gt;1,"Repeat","Single"))</f>
        <v>Single</v>
      </c>
      <c r="K1911" s="10" t="str">
        <f t="shared" si="29"/>
        <v>TRANS-1910</v>
      </c>
    </row>
    <row r="1912" spans="1:11" x14ac:dyDescent="0.35">
      <c r="A1912" s="5">
        <v>45578</v>
      </c>
      <c r="B1912" s="3">
        <v>0.56422453703703701</v>
      </c>
      <c r="C1912" t="s">
        <v>8</v>
      </c>
      <c r="D1912" t="s">
        <v>702</v>
      </c>
      <c r="E1912" s="4">
        <v>25.96</v>
      </c>
      <c r="F1912" t="s">
        <v>20</v>
      </c>
      <c r="G1912" s="10" t="str">
        <f>TEXT(Transform_Data[[#This Row],[Date]],"mmm yyyy")</f>
        <v>Oct 2024</v>
      </c>
      <c r="H1912" s="10">
        <f>HOUR(Transform_Data[[#This Row],[Time]])</f>
        <v>13</v>
      </c>
      <c r="I1912" s="10" t="str">
        <f>IF(COUNTIF('Transform Data'!$D:$D,'Transform Data'!D1912)&gt;1,"Repeat","Single")</f>
        <v>Repeat</v>
      </c>
      <c r="J1912" s="10" t="str">
        <f>IF('Transform Data'!D1912="Cash","Cash",IF(COUNTIF('Transform Data'!$D:$D,'Transform Data'!D1912)&gt;1,"Repeat","Single"))</f>
        <v>Repeat</v>
      </c>
      <c r="K1912" s="10" t="str">
        <f t="shared" si="29"/>
        <v>TRANS-1911</v>
      </c>
    </row>
    <row r="1913" spans="1:11" x14ac:dyDescent="0.35">
      <c r="A1913" s="5">
        <v>45578</v>
      </c>
      <c r="B1913" s="3">
        <v>0.56491898148148145</v>
      </c>
      <c r="C1913" t="s">
        <v>8</v>
      </c>
      <c r="D1913" t="s">
        <v>702</v>
      </c>
      <c r="E1913" s="4">
        <v>21.06</v>
      </c>
      <c r="F1913" t="s">
        <v>5</v>
      </c>
      <c r="G1913" s="10" t="str">
        <f>TEXT(Transform_Data[[#This Row],[Date]],"mmm yyyy")</f>
        <v>Oct 2024</v>
      </c>
      <c r="H1913" s="10">
        <f>HOUR(Transform_Data[[#This Row],[Time]])</f>
        <v>13</v>
      </c>
      <c r="I1913" s="10" t="str">
        <f>IF(COUNTIF('Transform Data'!$D:$D,'Transform Data'!D1913)&gt;1,"Repeat","Single")</f>
        <v>Repeat</v>
      </c>
      <c r="J1913" s="10" t="str">
        <f>IF('Transform Data'!D1913="Cash","Cash",IF(COUNTIF('Transform Data'!$D:$D,'Transform Data'!D1913)&gt;1,"Repeat","Single"))</f>
        <v>Repeat</v>
      </c>
      <c r="K1913" s="10" t="str">
        <f t="shared" si="29"/>
        <v>TRANS-1912</v>
      </c>
    </row>
    <row r="1914" spans="1:11" x14ac:dyDescent="0.35">
      <c r="A1914" s="5">
        <v>45578</v>
      </c>
      <c r="B1914" s="3">
        <v>0.56556712962962963</v>
      </c>
      <c r="C1914" t="s">
        <v>8</v>
      </c>
      <c r="D1914" t="s">
        <v>702</v>
      </c>
      <c r="E1914" s="4">
        <v>25.96</v>
      </c>
      <c r="F1914" t="s">
        <v>20</v>
      </c>
      <c r="G1914" s="10" t="str">
        <f>TEXT(Transform_Data[[#This Row],[Date]],"mmm yyyy")</f>
        <v>Oct 2024</v>
      </c>
      <c r="H1914" s="10">
        <f>HOUR(Transform_Data[[#This Row],[Time]])</f>
        <v>13</v>
      </c>
      <c r="I1914" s="10" t="str">
        <f>IF(COUNTIF('Transform Data'!$D:$D,'Transform Data'!D1914)&gt;1,"Repeat","Single")</f>
        <v>Repeat</v>
      </c>
      <c r="J1914" s="10" t="str">
        <f>IF('Transform Data'!D1914="Cash","Cash",IF(COUNTIF('Transform Data'!$D:$D,'Transform Data'!D1914)&gt;1,"Repeat","Single"))</f>
        <v>Repeat</v>
      </c>
      <c r="K1914" s="10" t="str">
        <f t="shared" si="29"/>
        <v>TRANS-1913</v>
      </c>
    </row>
    <row r="1915" spans="1:11" x14ac:dyDescent="0.35">
      <c r="A1915" s="5">
        <v>45578</v>
      </c>
      <c r="B1915" s="3">
        <v>0.74537037037037035</v>
      </c>
      <c r="C1915" t="s">
        <v>8</v>
      </c>
      <c r="D1915" t="s">
        <v>21</v>
      </c>
      <c r="E1915" s="4">
        <v>35.76</v>
      </c>
      <c r="F1915" t="s">
        <v>32</v>
      </c>
      <c r="G1915" s="10" t="str">
        <f>TEXT(Transform_Data[[#This Row],[Date]],"mmm yyyy")</f>
        <v>Oct 2024</v>
      </c>
      <c r="H1915" s="10">
        <f>HOUR(Transform_Data[[#This Row],[Time]])</f>
        <v>17</v>
      </c>
      <c r="I1915" s="10" t="str">
        <f>IF(COUNTIF('Transform Data'!$D:$D,'Transform Data'!D1915)&gt;1,"Repeat","Single")</f>
        <v>Repeat</v>
      </c>
      <c r="J1915" s="10" t="str">
        <f>IF('Transform Data'!D1915="Cash","Cash",IF(COUNTIF('Transform Data'!$D:$D,'Transform Data'!D1915)&gt;1,"Repeat","Single"))</f>
        <v>Repeat</v>
      </c>
      <c r="K1915" s="10" t="str">
        <f t="shared" si="29"/>
        <v>TRANS-1914</v>
      </c>
    </row>
    <row r="1916" spans="1:11" x14ac:dyDescent="0.35">
      <c r="A1916" s="5">
        <v>45578</v>
      </c>
      <c r="B1916" s="3">
        <v>0.74608796296296298</v>
      </c>
      <c r="C1916" t="s">
        <v>8</v>
      </c>
      <c r="D1916" t="s">
        <v>21</v>
      </c>
      <c r="E1916" s="4">
        <v>35.76</v>
      </c>
      <c r="F1916" t="s">
        <v>32</v>
      </c>
      <c r="G1916" s="10" t="str">
        <f>TEXT(Transform_Data[[#This Row],[Date]],"mmm yyyy")</f>
        <v>Oct 2024</v>
      </c>
      <c r="H1916" s="10">
        <f>HOUR(Transform_Data[[#This Row],[Time]])</f>
        <v>17</v>
      </c>
      <c r="I1916" s="10" t="str">
        <f>IF(COUNTIF('Transform Data'!$D:$D,'Transform Data'!D1916)&gt;1,"Repeat","Single")</f>
        <v>Repeat</v>
      </c>
      <c r="J1916" s="10" t="str">
        <f>IF('Transform Data'!D1916="Cash","Cash",IF(COUNTIF('Transform Data'!$D:$D,'Transform Data'!D1916)&gt;1,"Repeat","Single"))</f>
        <v>Repeat</v>
      </c>
      <c r="K1916" s="10" t="str">
        <f t="shared" si="29"/>
        <v>TRANS-1915</v>
      </c>
    </row>
    <row r="1917" spans="1:11" x14ac:dyDescent="0.35">
      <c r="A1917" s="5">
        <v>45578</v>
      </c>
      <c r="B1917" s="3">
        <v>0.76594907407407409</v>
      </c>
      <c r="C1917" t="s">
        <v>8</v>
      </c>
      <c r="D1917" t="s">
        <v>805</v>
      </c>
      <c r="E1917" s="4">
        <v>35.76</v>
      </c>
      <c r="F1917" t="s">
        <v>24</v>
      </c>
      <c r="G1917" s="10" t="str">
        <f>TEXT(Transform_Data[[#This Row],[Date]],"mmm yyyy")</f>
        <v>Oct 2024</v>
      </c>
      <c r="H1917" s="10">
        <f>HOUR(Transform_Data[[#This Row],[Time]])</f>
        <v>18</v>
      </c>
      <c r="I1917" s="10" t="str">
        <f>IF(COUNTIF('Transform Data'!$D:$D,'Transform Data'!D1917)&gt;1,"Repeat","Single")</f>
        <v>Single</v>
      </c>
      <c r="J1917" s="10" t="str">
        <f>IF('Transform Data'!D1917="Cash","Cash",IF(COUNTIF('Transform Data'!$D:$D,'Transform Data'!D1917)&gt;1,"Repeat","Single"))</f>
        <v>Single</v>
      </c>
      <c r="K1917" s="10" t="str">
        <f t="shared" si="29"/>
        <v>TRANS-1916</v>
      </c>
    </row>
    <row r="1918" spans="1:11" x14ac:dyDescent="0.35">
      <c r="A1918" s="5">
        <v>45578</v>
      </c>
      <c r="B1918" s="3">
        <v>0.86324074074074075</v>
      </c>
      <c r="C1918" t="s">
        <v>8</v>
      </c>
      <c r="D1918" t="s">
        <v>311</v>
      </c>
      <c r="E1918" s="4">
        <v>35.76</v>
      </c>
      <c r="F1918" t="s">
        <v>24</v>
      </c>
      <c r="G1918" s="10" t="str">
        <f>TEXT(Transform_Data[[#This Row],[Date]],"mmm yyyy")</f>
        <v>Oct 2024</v>
      </c>
      <c r="H1918" s="10">
        <f>HOUR(Transform_Data[[#This Row],[Time]])</f>
        <v>20</v>
      </c>
      <c r="I1918" s="10" t="str">
        <f>IF(COUNTIF('Transform Data'!$D:$D,'Transform Data'!D1918)&gt;1,"Repeat","Single")</f>
        <v>Repeat</v>
      </c>
      <c r="J1918" s="10" t="str">
        <f>IF('Transform Data'!D1918="Cash","Cash",IF(COUNTIF('Transform Data'!$D:$D,'Transform Data'!D1918)&gt;1,"Repeat","Single"))</f>
        <v>Repeat</v>
      </c>
      <c r="K1918" s="10" t="str">
        <f t="shared" si="29"/>
        <v>TRANS-1917</v>
      </c>
    </row>
    <row r="1919" spans="1:11" x14ac:dyDescent="0.35">
      <c r="A1919" s="5">
        <v>45579</v>
      </c>
      <c r="B1919" s="3">
        <v>0.3520138888888889</v>
      </c>
      <c r="C1919" t="s">
        <v>8</v>
      </c>
      <c r="D1919" t="s">
        <v>29</v>
      </c>
      <c r="E1919" s="4">
        <v>30.86</v>
      </c>
      <c r="F1919" t="s">
        <v>36</v>
      </c>
      <c r="G1919" s="10" t="str">
        <f>TEXT(Transform_Data[[#This Row],[Date]],"mmm yyyy")</f>
        <v>Oct 2024</v>
      </c>
      <c r="H1919" s="10">
        <f>HOUR(Transform_Data[[#This Row],[Time]])</f>
        <v>8</v>
      </c>
      <c r="I1919" s="10" t="str">
        <f>IF(COUNTIF('Transform Data'!$D:$D,'Transform Data'!D1919)&gt;1,"Repeat","Single")</f>
        <v>Repeat</v>
      </c>
      <c r="J1919" s="10" t="str">
        <f>IF('Transform Data'!D1919="Cash","Cash",IF(COUNTIF('Transform Data'!$D:$D,'Transform Data'!D1919)&gt;1,"Repeat","Single"))</f>
        <v>Repeat</v>
      </c>
      <c r="K1919" s="10" t="str">
        <f t="shared" si="29"/>
        <v>TRANS-1918</v>
      </c>
    </row>
    <row r="1920" spans="1:11" x14ac:dyDescent="0.35">
      <c r="A1920" s="5">
        <v>45579</v>
      </c>
      <c r="B1920" s="3">
        <v>0.40965277777777775</v>
      </c>
      <c r="C1920" t="s">
        <v>8</v>
      </c>
      <c r="D1920" t="s">
        <v>806</v>
      </c>
      <c r="E1920" s="4">
        <v>35.76</v>
      </c>
      <c r="F1920" t="s">
        <v>10</v>
      </c>
      <c r="G1920" s="10" t="str">
        <f>TEXT(Transform_Data[[#This Row],[Date]],"mmm yyyy")</f>
        <v>Oct 2024</v>
      </c>
      <c r="H1920" s="10">
        <f>HOUR(Transform_Data[[#This Row],[Time]])</f>
        <v>9</v>
      </c>
      <c r="I1920" s="10" t="str">
        <f>IF(COUNTIF('Transform Data'!$D:$D,'Transform Data'!D1920)&gt;1,"Repeat","Single")</f>
        <v>Single</v>
      </c>
      <c r="J1920" s="10" t="str">
        <f>IF('Transform Data'!D1920="Cash","Cash",IF(COUNTIF('Transform Data'!$D:$D,'Transform Data'!D1920)&gt;1,"Repeat","Single"))</f>
        <v>Single</v>
      </c>
      <c r="K1920" s="10" t="str">
        <f t="shared" si="29"/>
        <v>TRANS-1919</v>
      </c>
    </row>
    <row r="1921" spans="1:11" x14ac:dyDescent="0.35">
      <c r="A1921" s="5">
        <v>45579</v>
      </c>
      <c r="B1921" s="3">
        <v>0.43600694444444443</v>
      </c>
      <c r="C1921" t="s">
        <v>8</v>
      </c>
      <c r="D1921" t="s">
        <v>40</v>
      </c>
      <c r="E1921" s="4">
        <v>25.96</v>
      </c>
      <c r="F1921" t="s">
        <v>20</v>
      </c>
      <c r="G1921" s="10" t="str">
        <f>TEXT(Transform_Data[[#This Row],[Date]],"mmm yyyy")</f>
        <v>Oct 2024</v>
      </c>
      <c r="H1921" s="10">
        <f>HOUR(Transform_Data[[#This Row],[Time]])</f>
        <v>10</v>
      </c>
      <c r="I1921" s="10" t="str">
        <f>IF(COUNTIF('Transform Data'!$D:$D,'Transform Data'!D1921)&gt;1,"Repeat","Single")</f>
        <v>Repeat</v>
      </c>
      <c r="J1921" s="10" t="str">
        <f>IF('Transform Data'!D1921="Cash","Cash",IF(COUNTIF('Transform Data'!$D:$D,'Transform Data'!D1921)&gt;1,"Repeat","Single"))</f>
        <v>Repeat</v>
      </c>
      <c r="K1921" s="10" t="str">
        <f t="shared" si="29"/>
        <v>TRANS-1920</v>
      </c>
    </row>
    <row r="1922" spans="1:11" x14ac:dyDescent="0.35">
      <c r="A1922" s="5">
        <v>45579</v>
      </c>
      <c r="B1922" s="3">
        <v>0.44312499999999999</v>
      </c>
      <c r="C1922" t="s">
        <v>8</v>
      </c>
      <c r="D1922" t="s">
        <v>493</v>
      </c>
      <c r="E1922" s="4">
        <v>35.76</v>
      </c>
      <c r="F1922" t="s">
        <v>32</v>
      </c>
      <c r="G1922" s="10" t="str">
        <f>TEXT(Transform_Data[[#This Row],[Date]],"mmm yyyy")</f>
        <v>Oct 2024</v>
      </c>
      <c r="H1922" s="10">
        <f>HOUR(Transform_Data[[#This Row],[Time]])</f>
        <v>10</v>
      </c>
      <c r="I1922" s="10" t="str">
        <f>IF(COUNTIF('Transform Data'!$D:$D,'Transform Data'!D1922)&gt;1,"Repeat","Single")</f>
        <v>Repeat</v>
      </c>
      <c r="J1922" s="10" t="str">
        <f>IF('Transform Data'!D1922="Cash","Cash",IF(COUNTIF('Transform Data'!$D:$D,'Transform Data'!D1922)&gt;1,"Repeat","Single"))</f>
        <v>Repeat</v>
      </c>
      <c r="K1922" s="10" t="str">
        <f t="shared" ref="K1922:K1985" si="30">"TRANS-"&amp;TEXT(ROW(A1921),"0000")</f>
        <v>TRANS-1921</v>
      </c>
    </row>
    <row r="1923" spans="1:11" x14ac:dyDescent="0.35">
      <c r="A1923" s="5">
        <v>45579</v>
      </c>
      <c r="B1923" s="3">
        <v>0.44390046296296298</v>
      </c>
      <c r="C1923" t="s">
        <v>8</v>
      </c>
      <c r="D1923" t="s">
        <v>493</v>
      </c>
      <c r="E1923" s="4">
        <v>35.76</v>
      </c>
      <c r="F1923" t="s">
        <v>32</v>
      </c>
      <c r="G1923" s="10" t="str">
        <f>TEXT(Transform_Data[[#This Row],[Date]],"mmm yyyy")</f>
        <v>Oct 2024</v>
      </c>
      <c r="H1923" s="10">
        <f>HOUR(Transform_Data[[#This Row],[Time]])</f>
        <v>10</v>
      </c>
      <c r="I1923" s="10" t="str">
        <f>IF(COUNTIF('Transform Data'!$D:$D,'Transform Data'!D1923)&gt;1,"Repeat","Single")</f>
        <v>Repeat</v>
      </c>
      <c r="J1923" s="10" t="str">
        <f>IF('Transform Data'!D1923="Cash","Cash",IF(COUNTIF('Transform Data'!$D:$D,'Transform Data'!D1923)&gt;1,"Repeat","Single"))</f>
        <v>Repeat</v>
      </c>
      <c r="K1923" s="10" t="str">
        <f t="shared" si="30"/>
        <v>TRANS-1922</v>
      </c>
    </row>
    <row r="1924" spans="1:11" x14ac:dyDescent="0.35">
      <c r="A1924" s="5">
        <v>45579</v>
      </c>
      <c r="B1924" s="3">
        <v>0.47488425925925926</v>
      </c>
      <c r="C1924" t="s">
        <v>8</v>
      </c>
      <c r="D1924" t="s">
        <v>807</v>
      </c>
      <c r="E1924" s="4">
        <v>35.76</v>
      </c>
      <c r="F1924" t="s">
        <v>24</v>
      </c>
      <c r="G1924" s="10" t="str">
        <f>TEXT(Transform_Data[[#This Row],[Date]],"mmm yyyy")</f>
        <v>Oct 2024</v>
      </c>
      <c r="H1924" s="10">
        <f>HOUR(Transform_Data[[#This Row],[Time]])</f>
        <v>11</v>
      </c>
      <c r="I1924" s="10" t="str">
        <f>IF(COUNTIF('Transform Data'!$D:$D,'Transform Data'!D1924)&gt;1,"Repeat","Single")</f>
        <v>Single</v>
      </c>
      <c r="J1924" s="10" t="str">
        <f>IF('Transform Data'!D1924="Cash","Cash",IF(COUNTIF('Transform Data'!$D:$D,'Transform Data'!D1924)&gt;1,"Repeat","Single"))</f>
        <v>Single</v>
      </c>
      <c r="K1924" s="10" t="str">
        <f t="shared" si="30"/>
        <v>TRANS-1923</v>
      </c>
    </row>
    <row r="1925" spans="1:11" x14ac:dyDescent="0.35">
      <c r="A1925" s="5">
        <v>45579</v>
      </c>
      <c r="B1925" s="3">
        <v>0.47612268518518519</v>
      </c>
      <c r="C1925" t="s">
        <v>8</v>
      </c>
      <c r="D1925" t="s">
        <v>279</v>
      </c>
      <c r="E1925" s="4">
        <v>25.96</v>
      </c>
      <c r="F1925" t="s">
        <v>28</v>
      </c>
      <c r="G1925" s="10" t="str">
        <f>TEXT(Transform_Data[[#This Row],[Date]],"mmm yyyy")</f>
        <v>Oct 2024</v>
      </c>
      <c r="H1925" s="10">
        <f>HOUR(Transform_Data[[#This Row],[Time]])</f>
        <v>11</v>
      </c>
      <c r="I1925" s="10" t="str">
        <f>IF(COUNTIF('Transform Data'!$D:$D,'Transform Data'!D1925)&gt;1,"Repeat","Single")</f>
        <v>Repeat</v>
      </c>
      <c r="J1925" s="10" t="str">
        <f>IF('Transform Data'!D1925="Cash","Cash",IF(COUNTIF('Transform Data'!$D:$D,'Transform Data'!D1925)&gt;1,"Repeat","Single"))</f>
        <v>Repeat</v>
      </c>
      <c r="K1925" s="10" t="str">
        <f t="shared" si="30"/>
        <v>TRANS-1924</v>
      </c>
    </row>
    <row r="1926" spans="1:11" x14ac:dyDescent="0.35">
      <c r="A1926" s="5">
        <v>45579</v>
      </c>
      <c r="B1926" s="3">
        <v>0.47690972222222222</v>
      </c>
      <c r="C1926" t="s">
        <v>8</v>
      </c>
      <c r="D1926" t="s">
        <v>279</v>
      </c>
      <c r="E1926" s="4">
        <v>25.96</v>
      </c>
      <c r="F1926" t="s">
        <v>28</v>
      </c>
      <c r="G1926" s="10" t="str">
        <f>TEXT(Transform_Data[[#This Row],[Date]],"mmm yyyy")</f>
        <v>Oct 2024</v>
      </c>
      <c r="H1926" s="10">
        <f>HOUR(Transform_Data[[#This Row],[Time]])</f>
        <v>11</v>
      </c>
      <c r="I1926" s="10" t="str">
        <f>IF(COUNTIF('Transform Data'!$D:$D,'Transform Data'!D1926)&gt;1,"Repeat","Single")</f>
        <v>Repeat</v>
      </c>
      <c r="J1926" s="10" t="str">
        <f>IF('Transform Data'!D1926="Cash","Cash",IF(COUNTIF('Transform Data'!$D:$D,'Transform Data'!D1926)&gt;1,"Repeat","Single"))</f>
        <v>Repeat</v>
      </c>
      <c r="K1926" s="10" t="str">
        <f t="shared" si="30"/>
        <v>TRANS-1925</v>
      </c>
    </row>
    <row r="1927" spans="1:11" x14ac:dyDescent="0.35">
      <c r="A1927" s="5">
        <v>45579</v>
      </c>
      <c r="B1927" s="3">
        <v>0.60841435185185189</v>
      </c>
      <c r="C1927" t="s">
        <v>8</v>
      </c>
      <c r="D1927" t="s">
        <v>808</v>
      </c>
      <c r="E1927" s="4">
        <v>35.76</v>
      </c>
      <c r="F1927" t="s">
        <v>32</v>
      </c>
      <c r="G1927" s="10" t="str">
        <f>TEXT(Transform_Data[[#This Row],[Date]],"mmm yyyy")</f>
        <v>Oct 2024</v>
      </c>
      <c r="H1927" s="10">
        <f>HOUR(Transform_Data[[#This Row],[Time]])</f>
        <v>14</v>
      </c>
      <c r="I1927" s="10" t="str">
        <f>IF(COUNTIF('Transform Data'!$D:$D,'Transform Data'!D1927)&gt;1,"Repeat","Single")</f>
        <v>Single</v>
      </c>
      <c r="J1927" s="10" t="str">
        <f>IF('Transform Data'!D1927="Cash","Cash",IF(COUNTIF('Transform Data'!$D:$D,'Transform Data'!D1927)&gt;1,"Repeat","Single"))</f>
        <v>Single</v>
      </c>
      <c r="K1927" s="10" t="str">
        <f t="shared" si="30"/>
        <v>TRANS-1926</v>
      </c>
    </row>
    <row r="1928" spans="1:11" x14ac:dyDescent="0.35">
      <c r="A1928" s="5">
        <v>45579</v>
      </c>
      <c r="B1928" s="3">
        <v>0.6179513888888889</v>
      </c>
      <c r="C1928" t="s">
        <v>8</v>
      </c>
      <c r="D1928" t="s">
        <v>21</v>
      </c>
      <c r="E1928" s="4">
        <v>35.76</v>
      </c>
      <c r="F1928" t="s">
        <v>32</v>
      </c>
      <c r="G1928" s="10" t="str">
        <f>TEXT(Transform_Data[[#This Row],[Date]],"mmm yyyy")</f>
        <v>Oct 2024</v>
      </c>
      <c r="H1928" s="10">
        <f>HOUR(Transform_Data[[#This Row],[Time]])</f>
        <v>14</v>
      </c>
      <c r="I1928" s="10" t="str">
        <f>IF(COUNTIF('Transform Data'!$D:$D,'Transform Data'!D1928)&gt;1,"Repeat","Single")</f>
        <v>Repeat</v>
      </c>
      <c r="J1928" s="10" t="str">
        <f>IF('Transform Data'!D1928="Cash","Cash",IF(COUNTIF('Transform Data'!$D:$D,'Transform Data'!D1928)&gt;1,"Repeat","Single"))</f>
        <v>Repeat</v>
      </c>
      <c r="K1928" s="10" t="str">
        <f t="shared" si="30"/>
        <v>TRANS-1927</v>
      </c>
    </row>
    <row r="1929" spans="1:11" x14ac:dyDescent="0.35">
      <c r="A1929" s="5">
        <v>45579</v>
      </c>
      <c r="B1929" s="3">
        <v>0.69290509259259259</v>
      </c>
      <c r="C1929" t="s">
        <v>8</v>
      </c>
      <c r="D1929" t="s">
        <v>809</v>
      </c>
      <c r="E1929" s="4">
        <v>25.96</v>
      </c>
      <c r="F1929" t="s">
        <v>28</v>
      </c>
      <c r="G1929" s="10" t="str">
        <f>TEXT(Transform_Data[[#This Row],[Date]],"mmm yyyy")</f>
        <v>Oct 2024</v>
      </c>
      <c r="H1929" s="10">
        <f>HOUR(Transform_Data[[#This Row],[Time]])</f>
        <v>16</v>
      </c>
      <c r="I1929" s="10" t="str">
        <f>IF(COUNTIF('Transform Data'!$D:$D,'Transform Data'!D1929)&gt;1,"Repeat","Single")</f>
        <v>Single</v>
      </c>
      <c r="J1929" s="10" t="str">
        <f>IF('Transform Data'!D1929="Cash","Cash",IF(COUNTIF('Transform Data'!$D:$D,'Transform Data'!D1929)&gt;1,"Repeat","Single"))</f>
        <v>Single</v>
      </c>
      <c r="K1929" s="10" t="str">
        <f t="shared" si="30"/>
        <v>TRANS-1928</v>
      </c>
    </row>
    <row r="1930" spans="1:11" x14ac:dyDescent="0.35">
      <c r="A1930" s="5">
        <v>45579</v>
      </c>
      <c r="B1930" s="3">
        <v>0.7634143518518518</v>
      </c>
      <c r="C1930" t="s">
        <v>8</v>
      </c>
      <c r="D1930" t="s">
        <v>810</v>
      </c>
      <c r="E1930" s="4">
        <v>35.76</v>
      </c>
      <c r="F1930" t="s">
        <v>32</v>
      </c>
      <c r="G1930" s="10" t="str">
        <f>TEXT(Transform_Data[[#This Row],[Date]],"mmm yyyy")</f>
        <v>Oct 2024</v>
      </c>
      <c r="H1930" s="10">
        <f>HOUR(Transform_Data[[#This Row],[Time]])</f>
        <v>18</v>
      </c>
      <c r="I1930" s="10" t="str">
        <f>IF(COUNTIF('Transform Data'!$D:$D,'Transform Data'!D1930)&gt;1,"Repeat","Single")</f>
        <v>Repeat</v>
      </c>
      <c r="J1930" s="10" t="str">
        <f>IF('Transform Data'!D1930="Cash","Cash",IF(COUNTIF('Transform Data'!$D:$D,'Transform Data'!D1930)&gt;1,"Repeat","Single"))</f>
        <v>Repeat</v>
      </c>
      <c r="K1930" s="10" t="str">
        <f t="shared" si="30"/>
        <v>TRANS-1929</v>
      </c>
    </row>
    <row r="1931" spans="1:11" x14ac:dyDescent="0.35">
      <c r="A1931" s="5">
        <v>45579</v>
      </c>
      <c r="B1931" s="3">
        <v>0.76412037037037039</v>
      </c>
      <c r="C1931" t="s">
        <v>8</v>
      </c>
      <c r="D1931" t="s">
        <v>810</v>
      </c>
      <c r="E1931" s="4">
        <v>35.76</v>
      </c>
      <c r="F1931" t="s">
        <v>24</v>
      </c>
      <c r="G1931" s="10" t="str">
        <f>TEXT(Transform_Data[[#This Row],[Date]],"mmm yyyy")</f>
        <v>Oct 2024</v>
      </c>
      <c r="H1931" s="10">
        <f>HOUR(Transform_Data[[#This Row],[Time]])</f>
        <v>18</v>
      </c>
      <c r="I1931" s="10" t="str">
        <f>IF(COUNTIF('Transform Data'!$D:$D,'Transform Data'!D1931)&gt;1,"Repeat","Single")</f>
        <v>Repeat</v>
      </c>
      <c r="J1931" s="10" t="str">
        <f>IF('Transform Data'!D1931="Cash","Cash",IF(COUNTIF('Transform Data'!$D:$D,'Transform Data'!D1931)&gt;1,"Repeat","Single"))</f>
        <v>Repeat</v>
      </c>
      <c r="K1931" s="10" t="str">
        <f t="shared" si="30"/>
        <v>TRANS-1930</v>
      </c>
    </row>
    <row r="1932" spans="1:11" x14ac:dyDescent="0.35">
      <c r="A1932" s="5">
        <v>45579</v>
      </c>
      <c r="B1932" s="3">
        <v>0.92283564814814811</v>
      </c>
      <c r="C1932" t="s">
        <v>8</v>
      </c>
      <c r="D1932" t="s">
        <v>811</v>
      </c>
      <c r="E1932" s="4">
        <v>35.76</v>
      </c>
      <c r="F1932" t="s">
        <v>32</v>
      </c>
      <c r="G1932" s="10" t="str">
        <f>TEXT(Transform_Data[[#This Row],[Date]],"mmm yyyy")</f>
        <v>Oct 2024</v>
      </c>
      <c r="H1932" s="10">
        <f>HOUR(Transform_Data[[#This Row],[Time]])</f>
        <v>22</v>
      </c>
      <c r="I1932" s="10" t="str">
        <f>IF(COUNTIF('Transform Data'!$D:$D,'Transform Data'!D1932)&gt;1,"Repeat","Single")</f>
        <v>Single</v>
      </c>
      <c r="J1932" s="10" t="str">
        <f>IF('Transform Data'!D1932="Cash","Cash",IF(COUNTIF('Transform Data'!$D:$D,'Transform Data'!D1932)&gt;1,"Repeat","Single"))</f>
        <v>Single</v>
      </c>
      <c r="K1932" s="10" t="str">
        <f t="shared" si="30"/>
        <v>TRANS-1931</v>
      </c>
    </row>
    <row r="1933" spans="1:11" x14ac:dyDescent="0.35">
      <c r="A1933" s="5">
        <v>45579</v>
      </c>
      <c r="B1933" s="3">
        <v>0.92387731481481483</v>
      </c>
      <c r="C1933" t="s">
        <v>8</v>
      </c>
      <c r="D1933" t="s">
        <v>812</v>
      </c>
      <c r="E1933" s="4">
        <v>35.76</v>
      </c>
      <c r="F1933" t="s">
        <v>32</v>
      </c>
      <c r="G1933" s="10" t="str">
        <f>TEXT(Transform_Data[[#This Row],[Date]],"mmm yyyy")</f>
        <v>Oct 2024</v>
      </c>
      <c r="H1933" s="10">
        <f>HOUR(Transform_Data[[#This Row],[Time]])</f>
        <v>22</v>
      </c>
      <c r="I1933" s="10" t="str">
        <f>IF(COUNTIF('Transform Data'!$D:$D,'Transform Data'!D1933)&gt;1,"Repeat","Single")</f>
        <v>Single</v>
      </c>
      <c r="J1933" s="10" t="str">
        <f>IF('Transform Data'!D1933="Cash","Cash",IF(COUNTIF('Transform Data'!$D:$D,'Transform Data'!D1933)&gt;1,"Repeat","Single"))</f>
        <v>Single</v>
      </c>
      <c r="K1933" s="10" t="str">
        <f t="shared" si="30"/>
        <v>TRANS-1932</v>
      </c>
    </row>
    <row r="1934" spans="1:11" x14ac:dyDescent="0.35">
      <c r="A1934" s="5">
        <v>45579</v>
      </c>
      <c r="B1934" s="3">
        <v>0.93186342592592597</v>
      </c>
      <c r="C1934" t="s">
        <v>8</v>
      </c>
      <c r="D1934" t="s">
        <v>562</v>
      </c>
      <c r="E1934" s="4">
        <v>35.76</v>
      </c>
      <c r="F1934" t="s">
        <v>32</v>
      </c>
      <c r="G1934" s="10" t="str">
        <f>TEXT(Transform_Data[[#This Row],[Date]],"mmm yyyy")</f>
        <v>Oct 2024</v>
      </c>
      <c r="H1934" s="10">
        <f>HOUR(Transform_Data[[#This Row],[Time]])</f>
        <v>22</v>
      </c>
      <c r="I1934" s="10" t="str">
        <f>IF(COUNTIF('Transform Data'!$D:$D,'Transform Data'!D1934)&gt;1,"Repeat","Single")</f>
        <v>Repeat</v>
      </c>
      <c r="J1934" s="10" t="str">
        <f>IF('Transform Data'!D1934="Cash","Cash",IF(COUNTIF('Transform Data'!$D:$D,'Transform Data'!D1934)&gt;1,"Repeat","Single"))</f>
        <v>Repeat</v>
      </c>
      <c r="K1934" s="10" t="str">
        <f t="shared" si="30"/>
        <v>TRANS-1933</v>
      </c>
    </row>
    <row r="1935" spans="1:11" x14ac:dyDescent="0.35">
      <c r="A1935" s="5">
        <v>45580</v>
      </c>
      <c r="B1935" s="3">
        <v>0.34337962962962965</v>
      </c>
      <c r="C1935" t="s">
        <v>8</v>
      </c>
      <c r="D1935" t="s">
        <v>40</v>
      </c>
      <c r="E1935" s="4">
        <v>25.96</v>
      </c>
      <c r="F1935" t="s">
        <v>20</v>
      </c>
      <c r="G1935" s="10" t="str">
        <f>TEXT(Transform_Data[[#This Row],[Date]],"mmm yyyy")</f>
        <v>Oct 2024</v>
      </c>
      <c r="H1935" s="10">
        <f>HOUR(Transform_Data[[#This Row],[Time]])</f>
        <v>8</v>
      </c>
      <c r="I1935" s="10" t="str">
        <f>IF(COUNTIF('Transform Data'!$D:$D,'Transform Data'!D1935)&gt;1,"Repeat","Single")</f>
        <v>Repeat</v>
      </c>
      <c r="J1935" s="10" t="str">
        <f>IF('Transform Data'!D1935="Cash","Cash",IF(COUNTIF('Transform Data'!$D:$D,'Transform Data'!D1935)&gt;1,"Repeat","Single"))</f>
        <v>Repeat</v>
      </c>
      <c r="K1935" s="10" t="str">
        <f t="shared" si="30"/>
        <v>TRANS-1934</v>
      </c>
    </row>
    <row r="1936" spans="1:11" x14ac:dyDescent="0.35">
      <c r="A1936" s="5">
        <v>45580</v>
      </c>
      <c r="B1936" s="3">
        <v>0.35714120370370372</v>
      </c>
      <c r="C1936" t="s">
        <v>8</v>
      </c>
      <c r="D1936" t="s">
        <v>813</v>
      </c>
      <c r="E1936" s="4">
        <v>21.06</v>
      </c>
      <c r="F1936" t="s">
        <v>5</v>
      </c>
      <c r="G1936" s="10" t="str">
        <f>TEXT(Transform_Data[[#This Row],[Date]],"mmm yyyy")</f>
        <v>Oct 2024</v>
      </c>
      <c r="H1936" s="10">
        <f>HOUR(Transform_Data[[#This Row],[Time]])</f>
        <v>8</v>
      </c>
      <c r="I1936" s="10" t="str">
        <f>IF(COUNTIF('Transform Data'!$D:$D,'Transform Data'!D1936)&gt;1,"Repeat","Single")</f>
        <v>Single</v>
      </c>
      <c r="J1936" s="10" t="str">
        <f>IF('Transform Data'!D1936="Cash","Cash",IF(COUNTIF('Transform Data'!$D:$D,'Transform Data'!D1936)&gt;1,"Repeat","Single"))</f>
        <v>Single</v>
      </c>
      <c r="K1936" s="10" t="str">
        <f t="shared" si="30"/>
        <v>TRANS-1935</v>
      </c>
    </row>
    <row r="1937" spans="1:11" x14ac:dyDescent="0.35">
      <c r="A1937" s="5">
        <v>45580</v>
      </c>
      <c r="B1937" s="3">
        <v>0.46760416666666665</v>
      </c>
      <c r="C1937" t="s">
        <v>8</v>
      </c>
      <c r="D1937" t="s">
        <v>814</v>
      </c>
      <c r="E1937" s="4">
        <v>35.76</v>
      </c>
      <c r="F1937" t="s">
        <v>15</v>
      </c>
      <c r="G1937" s="10" t="str">
        <f>TEXT(Transform_Data[[#This Row],[Date]],"mmm yyyy")</f>
        <v>Oct 2024</v>
      </c>
      <c r="H1937" s="10">
        <f>HOUR(Transform_Data[[#This Row],[Time]])</f>
        <v>11</v>
      </c>
      <c r="I1937" s="10" t="str">
        <f>IF(COUNTIF('Transform Data'!$D:$D,'Transform Data'!D1937)&gt;1,"Repeat","Single")</f>
        <v>Single</v>
      </c>
      <c r="J1937" s="10" t="str">
        <f>IF('Transform Data'!D1937="Cash","Cash",IF(COUNTIF('Transform Data'!$D:$D,'Transform Data'!D1937)&gt;1,"Repeat","Single"))</f>
        <v>Single</v>
      </c>
      <c r="K1937" s="10" t="str">
        <f t="shared" si="30"/>
        <v>TRANS-1936</v>
      </c>
    </row>
    <row r="1938" spans="1:11" x14ac:dyDescent="0.35">
      <c r="A1938" s="5">
        <v>45580</v>
      </c>
      <c r="B1938" s="3">
        <v>0.4689814814814815</v>
      </c>
      <c r="C1938" t="s">
        <v>8</v>
      </c>
      <c r="D1938" t="s">
        <v>788</v>
      </c>
      <c r="E1938" s="4">
        <v>35.76</v>
      </c>
      <c r="F1938" t="s">
        <v>32</v>
      </c>
      <c r="G1938" s="10" t="str">
        <f>TEXT(Transform_Data[[#This Row],[Date]],"mmm yyyy")</f>
        <v>Oct 2024</v>
      </c>
      <c r="H1938" s="10">
        <f>HOUR(Transform_Data[[#This Row],[Time]])</f>
        <v>11</v>
      </c>
      <c r="I1938" s="10" t="str">
        <f>IF(COUNTIF('Transform Data'!$D:$D,'Transform Data'!D1938)&gt;1,"Repeat","Single")</f>
        <v>Repeat</v>
      </c>
      <c r="J1938" s="10" t="str">
        <f>IF('Transform Data'!D1938="Cash","Cash",IF(COUNTIF('Transform Data'!$D:$D,'Transform Data'!D1938)&gt;1,"Repeat","Single"))</f>
        <v>Repeat</v>
      </c>
      <c r="K1938" s="10" t="str">
        <f t="shared" si="30"/>
        <v>TRANS-1937</v>
      </c>
    </row>
    <row r="1939" spans="1:11" x14ac:dyDescent="0.35">
      <c r="A1939" s="5">
        <v>45580</v>
      </c>
      <c r="B1939" s="3">
        <v>0.46975694444444444</v>
      </c>
      <c r="C1939" t="s">
        <v>8</v>
      </c>
      <c r="D1939" t="s">
        <v>788</v>
      </c>
      <c r="E1939" s="4">
        <v>35.76</v>
      </c>
      <c r="F1939" t="s">
        <v>15</v>
      </c>
      <c r="G1939" s="10" t="str">
        <f>TEXT(Transform_Data[[#This Row],[Date]],"mmm yyyy")</f>
        <v>Oct 2024</v>
      </c>
      <c r="H1939" s="10">
        <f>HOUR(Transform_Data[[#This Row],[Time]])</f>
        <v>11</v>
      </c>
      <c r="I1939" s="10" t="str">
        <f>IF(COUNTIF('Transform Data'!$D:$D,'Transform Data'!D1939)&gt;1,"Repeat","Single")</f>
        <v>Repeat</v>
      </c>
      <c r="J1939" s="10" t="str">
        <f>IF('Transform Data'!D1939="Cash","Cash",IF(COUNTIF('Transform Data'!$D:$D,'Transform Data'!D1939)&gt;1,"Repeat","Single"))</f>
        <v>Repeat</v>
      </c>
      <c r="K1939" s="10" t="str">
        <f t="shared" si="30"/>
        <v>TRANS-1938</v>
      </c>
    </row>
    <row r="1940" spans="1:11" x14ac:dyDescent="0.35">
      <c r="A1940" s="5">
        <v>45580</v>
      </c>
      <c r="B1940" s="3">
        <v>0.54216435185185186</v>
      </c>
      <c r="C1940" t="s">
        <v>8</v>
      </c>
      <c r="D1940" t="s">
        <v>815</v>
      </c>
      <c r="E1940" s="4">
        <v>35.76</v>
      </c>
      <c r="F1940" t="s">
        <v>32</v>
      </c>
      <c r="G1940" s="10" t="str">
        <f>TEXT(Transform_Data[[#This Row],[Date]],"mmm yyyy")</f>
        <v>Oct 2024</v>
      </c>
      <c r="H1940" s="10">
        <f>HOUR(Transform_Data[[#This Row],[Time]])</f>
        <v>13</v>
      </c>
      <c r="I1940" s="10" t="str">
        <f>IF(COUNTIF('Transform Data'!$D:$D,'Transform Data'!D1940)&gt;1,"Repeat","Single")</f>
        <v>Single</v>
      </c>
      <c r="J1940" s="10" t="str">
        <f>IF('Transform Data'!D1940="Cash","Cash",IF(COUNTIF('Transform Data'!$D:$D,'Transform Data'!D1940)&gt;1,"Repeat","Single"))</f>
        <v>Single</v>
      </c>
      <c r="K1940" s="10" t="str">
        <f t="shared" si="30"/>
        <v>TRANS-1939</v>
      </c>
    </row>
    <row r="1941" spans="1:11" x14ac:dyDescent="0.35">
      <c r="A1941" s="5">
        <v>45580</v>
      </c>
      <c r="B1941" s="3">
        <v>0.55259259259259264</v>
      </c>
      <c r="C1941" t="s">
        <v>8</v>
      </c>
      <c r="D1941" t="s">
        <v>816</v>
      </c>
      <c r="E1941" s="4">
        <v>30.86</v>
      </c>
      <c r="F1941" t="s">
        <v>36</v>
      </c>
      <c r="G1941" s="10" t="str">
        <f>TEXT(Transform_Data[[#This Row],[Date]],"mmm yyyy")</f>
        <v>Oct 2024</v>
      </c>
      <c r="H1941" s="10">
        <f>HOUR(Transform_Data[[#This Row],[Time]])</f>
        <v>13</v>
      </c>
      <c r="I1941" s="10" t="str">
        <f>IF(COUNTIF('Transform Data'!$D:$D,'Transform Data'!D1941)&gt;1,"Repeat","Single")</f>
        <v>Repeat</v>
      </c>
      <c r="J1941" s="10" t="str">
        <f>IF('Transform Data'!D1941="Cash","Cash",IF(COUNTIF('Transform Data'!$D:$D,'Transform Data'!D1941)&gt;1,"Repeat","Single"))</f>
        <v>Repeat</v>
      </c>
      <c r="K1941" s="10" t="str">
        <f t="shared" si="30"/>
        <v>TRANS-1940</v>
      </c>
    </row>
    <row r="1942" spans="1:11" x14ac:dyDescent="0.35">
      <c r="A1942" s="5">
        <v>45580</v>
      </c>
      <c r="B1942" s="3">
        <v>0.64734953703703701</v>
      </c>
      <c r="C1942" t="s">
        <v>8</v>
      </c>
      <c r="D1942" t="s">
        <v>735</v>
      </c>
      <c r="E1942" s="4">
        <v>35.76</v>
      </c>
      <c r="F1942" t="s">
        <v>32</v>
      </c>
      <c r="G1942" s="10" t="str">
        <f>TEXT(Transform_Data[[#This Row],[Date]],"mmm yyyy")</f>
        <v>Oct 2024</v>
      </c>
      <c r="H1942" s="10">
        <f>HOUR(Transform_Data[[#This Row],[Time]])</f>
        <v>15</v>
      </c>
      <c r="I1942" s="10" t="str">
        <f>IF(COUNTIF('Transform Data'!$D:$D,'Transform Data'!D1942)&gt;1,"Repeat","Single")</f>
        <v>Repeat</v>
      </c>
      <c r="J1942" s="10" t="str">
        <f>IF('Transform Data'!D1942="Cash","Cash",IF(COUNTIF('Transform Data'!$D:$D,'Transform Data'!D1942)&gt;1,"Repeat","Single"))</f>
        <v>Repeat</v>
      </c>
      <c r="K1942" s="10" t="str">
        <f t="shared" si="30"/>
        <v>TRANS-1941</v>
      </c>
    </row>
    <row r="1943" spans="1:11" x14ac:dyDescent="0.35">
      <c r="A1943" s="5">
        <v>45580</v>
      </c>
      <c r="B1943" s="3">
        <v>0.66268518518518515</v>
      </c>
      <c r="C1943" t="s">
        <v>8</v>
      </c>
      <c r="D1943" t="s">
        <v>817</v>
      </c>
      <c r="E1943" s="4">
        <v>25.96</v>
      </c>
      <c r="F1943" t="s">
        <v>28</v>
      </c>
      <c r="G1943" s="10" t="str">
        <f>TEXT(Transform_Data[[#This Row],[Date]],"mmm yyyy")</f>
        <v>Oct 2024</v>
      </c>
      <c r="H1943" s="10">
        <f>HOUR(Transform_Data[[#This Row],[Time]])</f>
        <v>15</v>
      </c>
      <c r="I1943" s="10" t="str">
        <f>IF(COUNTIF('Transform Data'!$D:$D,'Transform Data'!D1943)&gt;1,"Repeat","Single")</f>
        <v>Repeat</v>
      </c>
      <c r="J1943" s="10" t="str">
        <f>IF('Transform Data'!D1943="Cash","Cash",IF(COUNTIF('Transform Data'!$D:$D,'Transform Data'!D1943)&gt;1,"Repeat","Single"))</f>
        <v>Repeat</v>
      </c>
      <c r="K1943" s="10" t="str">
        <f t="shared" si="30"/>
        <v>TRANS-1942</v>
      </c>
    </row>
    <row r="1944" spans="1:11" x14ac:dyDescent="0.35">
      <c r="A1944" s="5">
        <v>45580</v>
      </c>
      <c r="B1944" s="3">
        <v>0.66341435185185182</v>
      </c>
      <c r="C1944" t="s">
        <v>8</v>
      </c>
      <c r="D1944" t="s">
        <v>817</v>
      </c>
      <c r="E1944" s="4">
        <v>21.06</v>
      </c>
      <c r="F1944" t="s">
        <v>5</v>
      </c>
      <c r="G1944" s="10" t="str">
        <f>TEXT(Transform_Data[[#This Row],[Date]],"mmm yyyy")</f>
        <v>Oct 2024</v>
      </c>
      <c r="H1944" s="10">
        <f>HOUR(Transform_Data[[#This Row],[Time]])</f>
        <v>15</v>
      </c>
      <c r="I1944" s="10" t="str">
        <f>IF(COUNTIF('Transform Data'!$D:$D,'Transform Data'!D1944)&gt;1,"Repeat","Single")</f>
        <v>Repeat</v>
      </c>
      <c r="J1944" s="10" t="str">
        <f>IF('Transform Data'!D1944="Cash","Cash",IF(COUNTIF('Transform Data'!$D:$D,'Transform Data'!D1944)&gt;1,"Repeat","Single"))</f>
        <v>Repeat</v>
      </c>
      <c r="K1944" s="10" t="str">
        <f t="shared" si="30"/>
        <v>TRANS-1943</v>
      </c>
    </row>
    <row r="1945" spans="1:11" x14ac:dyDescent="0.35">
      <c r="A1945" s="5">
        <v>45580</v>
      </c>
      <c r="B1945" s="3">
        <v>0.7112384259259259</v>
      </c>
      <c r="C1945" t="s">
        <v>8</v>
      </c>
      <c r="D1945" t="s">
        <v>818</v>
      </c>
      <c r="E1945" s="4">
        <v>35.76</v>
      </c>
      <c r="F1945" t="s">
        <v>15</v>
      </c>
      <c r="G1945" s="10" t="str">
        <f>TEXT(Transform_Data[[#This Row],[Date]],"mmm yyyy")</f>
        <v>Oct 2024</v>
      </c>
      <c r="H1945" s="10">
        <f>HOUR(Transform_Data[[#This Row],[Time]])</f>
        <v>17</v>
      </c>
      <c r="I1945" s="10" t="str">
        <f>IF(COUNTIF('Transform Data'!$D:$D,'Transform Data'!D1945)&gt;1,"Repeat","Single")</f>
        <v>Single</v>
      </c>
      <c r="J1945" s="10" t="str">
        <f>IF('Transform Data'!D1945="Cash","Cash",IF(COUNTIF('Transform Data'!$D:$D,'Transform Data'!D1945)&gt;1,"Repeat","Single"))</f>
        <v>Single</v>
      </c>
      <c r="K1945" s="10" t="str">
        <f t="shared" si="30"/>
        <v>TRANS-1944</v>
      </c>
    </row>
    <row r="1946" spans="1:11" x14ac:dyDescent="0.35">
      <c r="A1946" s="5">
        <v>45580</v>
      </c>
      <c r="B1946" s="3">
        <v>0.80718749999999995</v>
      </c>
      <c r="C1946" t="s">
        <v>8</v>
      </c>
      <c r="D1946" t="s">
        <v>819</v>
      </c>
      <c r="E1946" s="4">
        <v>25.96</v>
      </c>
      <c r="F1946" t="s">
        <v>28</v>
      </c>
      <c r="G1946" s="10" t="str">
        <f>TEXT(Transform_Data[[#This Row],[Date]],"mmm yyyy")</f>
        <v>Oct 2024</v>
      </c>
      <c r="H1946" s="10">
        <f>HOUR(Transform_Data[[#This Row],[Time]])</f>
        <v>19</v>
      </c>
      <c r="I1946" s="10" t="str">
        <f>IF(COUNTIF('Transform Data'!$D:$D,'Transform Data'!D1946)&gt;1,"Repeat","Single")</f>
        <v>Repeat</v>
      </c>
      <c r="J1946" s="10" t="str">
        <f>IF('Transform Data'!D1946="Cash","Cash",IF(COUNTIF('Transform Data'!$D:$D,'Transform Data'!D1946)&gt;1,"Repeat","Single"))</f>
        <v>Repeat</v>
      </c>
      <c r="K1946" s="10" t="str">
        <f t="shared" si="30"/>
        <v>TRANS-1945</v>
      </c>
    </row>
    <row r="1947" spans="1:11" x14ac:dyDescent="0.35">
      <c r="A1947" s="5">
        <v>45580</v>
      </c>
      <c r="B1947" s="3">
        <v>0.80783564814814812</v>
      </c>
      <c r="C1947" t="s">
        <v>8</v>
      </c>
      <c r="D1947" t="s">
        <v>819</v>
      </c>
      <c r="E1947" s="4">
        <v>35.76</v>
      </c>
      <c r="F1947" t="s">
        <v>10</v>
      </c>
      <c r="G1947" s="10" t="str">
        <f>TEXT(Transform_Data[[#This Row],[Date]],"mmm yyyy")</f>
        <v>Oct 2024</v>
      </c>
      <c r="H1947" s="10">
        <f>HOUR(Transform_Data[[#This Row],[Time]])</f>
        <v>19</v>
      </c>
      <c r="I1947" s="10" t="str">
        <f>IF(COUNTIF('Transform Data'!$D:$D,'Transform Data'!D1947)&gt;1,"Repeat","Single")</f>
        <v>Repeat</v>
      </c>
      <c r="J1947" s="10" t="str">
        <f>IF('Transform Data'!D1947="Cash","Cash",IF(COUNTIF('Transform Data'!$D:$D,'Transform Data'!D1947)&gt;1,"Repeat","Single"))</f>
        <v>Repeat</v>
      </c>
      <c r="K1947" s="10" t="str">
        <f t="shared" si="30"/>
        <v>TRANS-1946</v>
      </c>
    </row>
    <row r="1948" spans="1:11" x14ac:dyDescent="0.35">
      <c r="A1948" s="5">
        <v>45580</v>
      </c>
      <c r="B1948" s="3">
        <v>0.84113425925925922</v>
      </c>
      <c r="C1948" t="s">
        <v>8</v>
      </c>
      <c r="D1948" t="s">
        <v>21</v>
      </c>
      <c r="E1948" s="4">
        <v>35.76</v>
      </c>
      <c r="F1948" t="s">
        <v>32</v>
      </c>
      <c r="G1948" s="10" t="str">
        <f>TEXT(Transform_Data[[#This Row],[Date]],"mmm yyyy")</f>
        <v>Oct 2024</v>
      </c>
      <c r="H1948" s="10">
        <f>HOUR(Transform_Data[[#This Row],[Time]])</f>
        <v>20</v>
      </c>
      <c r="I1948" s="10" t="str">
        <f>IF(COUNTIF('Transform Data'!$D:$D,'Transform Data'!D1948)&gt;1,"Repeat","Single")</f>
        <v>Repeat</v>
      </c>
      <c r="J1948" s="10" t="str">
        <f>IF('Transform Data'!D1948="Cash","Cash",IF(COUNTIF('Transform Data'!$D:$D,'Transform Data'!D1948)&gt;1,"Repeat","Single"))</f>
        <v>Repeat</v>
      </c>
      <c r="K1948" s="10" t="str">
        <f t="shared" si="30"/>
        <v>TRANS-1947</v>
      </c>
    </row>
    <row r="1949" spans="1:11" x14ac:dyDescent="0.35">
      <c r="A1949" s="5">
        <v>45580</v>
      </c>
      <c r="B1949" s="3">
        <v>0.84199074074074076</v>
      </c>
      <c r="C1949" t="s">
        <v>8</v>
      </c>
      <c r="D1949" t="s">
        <v>21</v>
      </c>
      <c r="E1949" s="4">
        <v>35.76</v>
      </c>
      <c r="F1949" t="s">
        <v>32</v>
      </c>
      <c r="G1949" s="10" t="str">
        <f>TEXT(Transform_Data[[#This Row],[Date]],"mmm yyyy")</f>
        <v>Oct 2024</v>
      </c>
      <c r="H1949" s="10">
        <f>HOUR(Transform_Data[[#This Row],[Time]])</f>
        <v>20</v>
      </c>
      <c r="I1949" s="10" t="str">
        <f>IF(COUNTIF('Transform Data'!$D:$D,'Transform Data'!D1949)&gt;1,"Repeat","Single")</f>
        <v>Repeat</v>
      </c>
      <c r="J1949" s="10" t="str">
        <f>IF('Transform Data'!D1949="Cash","Cash",IF(COUNTIF('Transform Data'!$D:$D,'Transform Data'!D1949)&gt;1,"Repeat","Single"))</f>
        <v>Repeat</v>
      </c>
      <c r="K1949" s="10" t="str">
        <f t="shared" si="30"/>
        <v>TRANS-1948</v>
      </c>
    </row>
    <row r="1950" spans="1:11" x14ac:dyDescent="0.35">
      <c r="A1950" s="5">
        <v>45580</v>
      </c>
      <c r="B1950" s="3">
        <v>0.8875925925925926</v>
      </c>
      <c r="C1950" t="s">
        <v>8</v>
      </c>
      <c r="D1950" t="s">
        <v>16</v>
      </c>
      <c r="E1950" s="4">
        <v>35.76</v>
      </c>
      <c r="F1950" t="s">
        <v>15</v>
      </c>
      <c r="G1950" s="10" t="str">
        <f>TEXT(Transform_Data[[#This Row],[Date]],"mmm yyyy")</f>
        <v>Oct 2024</v>
      </c>
      <c r="H1950" s="10">
        <f>HOUR(Transform_Data[[#This Row],[Time]])</f>
        <v>21</v>
      </c>
      <c r="I1950" s="10" t="str">
        <f>IF(COUNTIF('Transform Data'!$D:$D,'Transform Data'!D1950)&gt;1,"Repeat","Single")</f>
        <v>Repeat</v>
      </c>
      <c r="J1950" s="10" t="str">
        <f>IF('Transform Data'!D1950="Cash","Cash",IF(COUNTIF('Transform Data'!$D:$D,'Transform Data'!D1950)&gt;1,"Repeat","Single"))</f>
        <v>Repeat</v>
      </c>
      <c r="K1950" s="10" t="str">
        <f t="shared" si="30"/>
        <v>TRANS-1949</v>
      </c>
    </row>
    <row r="1951" spans="1:11" x14ac:dyDescent="0.35">
      <c r="A1951" s="5">
        <v>45580</v>
      </c>
      <c r="B1951" s="3">
        <v>0.89952546296296299</v>
      </c>
      <c r="C1951" t="s">
        <v>8</v>
      </c>
      <c r="D1951" t="s">
        <v>16</v>
      </c>
      <c r="E1951" s="4">
        <v>35.76</v>
      </c>
      <c r="F1951" t="s">
        <v>15</v>
      </c>
      <c r="G1951" s="10" t="str">
        <f>TEXT(Transform_Data[[#This Row],[Date]],"mmm yyyy")</f>
        <v>Oct 2024</v>
      </c>
      <c r="H1951" s="10">
        <f>HOUR(Transform_Data[[#This Row],[Time]])</f>
        <v>21</v>
      </c>
      <c r="I1951" s="10" t="str">
        <f>IF(COUNTIF('Transform Data'!$D:$D,'Transform Data'!D1951)&gt;1,"Repeat","Single")</f>
        <v>Repeat</v>
      </c>
      <c r="J1951" s="10" t="str">
        <f>IF('Transform Data'!D1951="Cash","Cash",IF(COUNTIF('Transform Data'!$D:$D,'Transform Data'!D1951)&gt;1,"Repeat","Single"))</f>
        <v>Repeat</v>
      </c>
      <c r="K1951" s="10" t="str">
        <f t="shared" si="30"/>
        <v>TRANS-1950</v>
      </c>
    </row>
    <row r="1952" spans="1:11" x14ac:dyDescent="0.35">
      <c r="A1952" s="5">
        <v>45580</v>
      </c>
      <c r="B1952" s="3">
        <v>0.92730324074074078</v>
      </c>
      <c r="C1952" t="s">
        <v>8</v>
      </c>
      <c r="D1952" t="s">
        <v>742</v>
      </c>
      <c r="E1952" s="4">
        <v>35.76</v>
      </c>
      <c r="F1952" t="s">
        <v>32</v>
      </c>
      <c r="G1952" s="10" t="str">
        <f>TEXT(Transform_Data[[#This Row],[Date]],"mmm yyyy")</f>
        <v>Oct 2024</v>
      </c>
      <c r="H1952" s="10">
        <f>HOUR(Transform_Data[[#This Row],[Time]])</f>
        <v>22</v>
      </c>
      <c r="I1952" s="10" t="str">
        <f>IF(COUNTIF('Transform Data'!$D:$D,'Transform Data'!D1952)&gt;1,"Repeat","Single")</f>
        <v>Repeat</v>
      </c>
      <c r="J1952" s="10" t="str">
        <f>IF('Transform Data'!D1952="Cash","Cash",IF(COUNTIF('Transform Data'!$D:$D,'Transform Data'!D1952)&gt;1,"Repeat","Single"))</f>
        <v>Repeat</v>
      </c>
      <c r="K1952" s="10" t="str">
        <f t="shared" si="30"/>
        <v>TRANS-1951</v>
      </c>
    </row>
    <row r="1953" spans="1:11" x14ac:dyDescent="0.35">
      <c r="A1953" s="5">
        <v>45581</v>
      </c>
      <c r="B1953" s="3">
        <v>0.34821759259259261</v>
      </c>
      <c r="C1953" t="s">
        <v>8</v>
      </c>
      <c r="D1953" t="s">
        <v>29</v>
      </c>
      <c r="E1953" s="4">
        <v>30.86</v>
      </c>
      <c r="F1953" t="s">
        <v>36</v>
      </c>
      <c r="G1953" s="10" t="str">
        <f>TEXT(Transform_Data[[#This Row],[Date]],"mmm yyyy")</f>
        <v>Oct 2024</v>
      </c>
      <c r="H1953" s="10">
        <f>HOUR(Transform_Data[[#This Row],[Time]])</f>
        <v>8</v>
      </c>
      <c r="I1953" s="10" t="str">
        <f>IF(COUNTIF('Transform Data'!$D:$D,'Transform Data'!D1953)&gt;1,"Repeat","Single")</f>
        <v>Repeat</v>
      </c>
      <c r="J1953" s="10" t="str">
        <f>IF('Transform Data'!D1953="Cash","Cash",IF(COUNTIF('Transform Data'!$D:$D,'Transform Data'!D1953)&gt;1,"Repeat","Single"))</f>
        <v>Repeat</v>
      </c>
      <c r="K1953" s="10" t="str">
        <f t="shared" si="30"/>
        <v>TRANS-1952</v>
      </c>
    </row>
    <row r="1954" spans="1:11" x14ac:dyDescent="0.35">
      <c r="A1954" s="5">
        <v>45581</v>
      </c>
      <c r="B1954" s="3">
        <v>0.35859953703703706</v>
      </c>
      <c r="C1954" t="s">
        <v>8</v>
      </c>
      <c r="D1954" t="s">
        <v>748</v>
      </c>
      <c r="E1954" s="4">
        <v>35.76</v>
      </c>
      <c r="F1954" t="s">
        <v>15</v>
      </c>
      <c r="G1954" s="10" t="str">
        <f>TEXT(Transform_Data[[#This Row],[Date]],"mmm yyyy")</f>
        <v>Oct 2024</v>
      </c>
      <c r="H1954" s="10">
        <f>HOUR(Transform_Data[[#This Row],[Time]])</f>
        <v>8</v>
      </c>
      <c r="I1954" s="10" t="str">
        <f>IF(COUNTIF('Transform Data'!$D:$D,'Transform Data'!D1954)&gt;1,"Repeat","Single")</f>
        <v>Repeat</v>
      </c>
      <c r="J1954" s="10" t="str">
        <f>IF('Transform Data'!D1954="Cash","Cash",IF(COUNTIF('Transform Data'!$D:$D,'Transform Data'!D1954)&gt;1,"Repeat","Single"))</f>
        <v>Repeat</v>
      </c>
      <c r="K1954" s="10" t="str">
        <f t="shared" si="30"/>
        <v>TRANS-1953</v>
      </c>
    </row>
    <row r="1955" spans="1:11" x14ac:dyDescent="0.35">
      <c r="A1955" s="5">
        <v>45581</v>
      </c>
      <c r="B1955" s="3">
        <v>0.39295138888888886</v>
      </c>
      <c r="C1955" t="s">
        <v>8</v>
      </c>
      <c r="D1955" t="s">
        <v>622</v>
      </c>
      <c r="E1955" s="4">
        <v>35.76</v>
      </c>
      <c r="F1955" t="s">
        <v>32</v>
      </c>
      <c r="G1955" s="10" t="str">
        <f>TEXT(Transform_Data[[#This Row],[Date]],"mmm yyyy")</f>
        <v>Oct 2024</v>
      </c>
      <c r="H1955" s="10">
        <f>HOUR(Transform_Data[[#This Row],[Time]])</f>
        <v>9</v>
      </c>
      <c r="I1955" s="10" t="str">
        <f>IF(COUNTIF('Transform Data'!$D:$D,'Transform Data'!D1955)&gt;1,"Repeat","Single")</f>
        <v>Repeat</v>
      </c>
      <c r="J1955" s="10" t="str">
        <f>IF('Transform Data'!D1955="Cash","Cash",IF(COUNTIF('Transform Data'!$D:$D,'Transform Data'!D1955)&gt;1,"Repeat","Single"))</f>
        <v>Repeat</v>
      </c>
      <c r="K1955" s="10" t="str">
        <f t="shared" si="30"/>
        <v>TRANS-1954</v>
      </c>
    </row>
    <row r="1956" spans="1:11" x14ac:dyDescent="0.35">
      <c r="A1956" s="5">
        <v>45581</v>
      </c>
      <c r="B1956" s="3">
        <v>0.42762731481481481</v>
      </c>
      <c r="C1956" t="s">
        <v>8</v>
      </c>
      <c r="D1956" t="s">
        <v>623</v>
      </c>
      <c r="E1956" s="4">
        <v>30.86</v>
      </c>
      <c r="F1956" t="s">
        <v>36</v>
      </c>
      <c r="G1956" s="10" t="str">
        <f>TEXT(Transform_Data[[#This Row],[Date]],"mmm yyyy")</f>
        <v>Oct 2024</v>
      </c>
      <c r="H1956" s="10">
        <f>HOUR(Transform_Data[[#This Row],[Time]])</f>
        <v>10</v>
      </c>
      <c r="I1956" s="10" t="str">
        <f>IF(COUNTIF('Transform Data'!$D:$D,'Transform Data'!D1956)&gt;1,"Repeat","Single")</f>
        <v>Repeat</v>
      </c>
      <c r="J1956" s="10" t="str">
        <f>IF('Transform Data'!D1956="Cash","Cash",IF(COUNTIF('Transform Data'!$D:$D,'Transform Data'!D1956)&gt;1,"Repeat","Single"))</f>
        <v>Repeat</v>
      </c>
      <c r="K1956" s="10" t="str">
        <f t="shared" si="30"/>
        <v>TRANS-1955</v>
      </c>
    </row>
    <row r="1957" spans="1:11" x14ac:dyDescent="0.35">
      <c r="A1957" s="5">
        <v>45581</v>
      </c>
      <c r="B1957" s="3">
        <v>0.4283912037037037</v>
      </c>
      <c r="C1957" t="s">
        <v>8</v>
      </c>
      <c r="D1957" t="s">
        <v>623</v>
      </c>
      <c r="E1957" s="4">
        <v>30.86</v>
      </c>
      <c r="F1957" t="s">
        <v>36</v>
      </c>
      <c r="G1957" s="10" t="str">
        <f>TEXT(Transform_Data[[#This Row],[Date]],"mmm yyyy")</f>
        <v>Oct 2024</v>
      </c>
      <c r="H1957" s="10">
        <f>HOUR(Transform_Data[[#This Row],[Time]])</f>
        <v>10</v>
      </c>
      <c r="I1957" s="10" t="str">
        <f>IF(COUNTIF('Transform Data'!$D:$D,'Transform Data'!D1957)&gt;1,"Repeat","Single")</f>
        <v>Repeat</v>
      </c>
      <c r="J1957" s="10" t="str">
        <f>IF('Transform Data'!D1957="Cash","Cash",IF(COUNTIF('Transform Data'!$D:$D,'Transform Data'!D1957)&gt;1,"Repeat","Single"))</f>
        <v>Repeat</v>
      </c>
      <c r="K1957" s="10" t="str">
        <f t="shared" si="30"/>
        <v>TRANS-1956</v>
      </c>
    </row>
    <row r="1958" spans="1:11" x14ac:dyDescent="0.35">
      <c r="A1958" s="5">
        <v>45581</v>
      </c>
      <c r="B1958" s="3">
        <v>0.44819444444444445</v>
      </c>
      <c r="C1958" t="s">
        <v>8</v>
      </c>
      <c r="D1958" t="s">
        <v>386</v>
      </c>
      <c r="E1958" s="4">
        <v>30.86</v>
      </c>
      <c r="F1958" t="s">
        <v>36</v>
      </c>
      <c r="G1958" s="10" t="str">
        <f>TEXT(Transform_Data[[#This Row],[Date]],"mmm yyyy")</f>
        <v>Oct 2024</v>
      </c>
      <c r="H1958" s="10">
        <f>HOUR(Transform_Data[[#This Row],[Time]])</f>
        <v>10</v>
      </c>
      <c r="I1958" s="10" t="str">
        <f>IF(COUNTIF('Transform Data'!$D:$D,'Transform Data'!D1958)&gt;1,"Repeat","Single")</f>
        <v>Repeat</v>
      </c>
      <c r="J1958" s="10" t="str">
        <f>IF('Transform Data'!D1958="Cash","Cash",IF(COUNTIF('Transform Data'!$D:$D,'Transform Data'!D1958)&gt;1,"Repeat","Single"))</f>
        <v>Repeat</v>
      </c>
      <c r="K1958" s="10" t="str">
        <f t="shared" si="30"/>
        <v>TRANS-1957</v>
      </c>
    </row>
    <row r="1959" spans="1:11" x14ac:dyDescent="0.35">
      <c r="A1959" s="5">
        <v>45581</v>
      </c>
      <c r="B1959" s="3">
        <v>0.49287037037037035</v>
      </c>
      <c r="C1959" t="s">
        <v>8</v>
      </c>
      <c r="D1959" t="s">
        <v>820</v>
      </c>
      <c r="E1959" s="4">
        <v>25.96</v>
      </c>
      <c r="F1959" t="s">
        <v>28</v>
      </c>
      <c r="G1959" s="10" t="str">
        <f>TEXT(Transform_Data[[#This Row],[Date]],"mmm yyyy")</f>
        <v>Oct 2024</v>
      </c>
      <c r="H1959" s="10">
        <f>HOUR(Transform_Data[[#This Row],[Time]])</f>
        <v>11</v>
      </c>
      <c r="I1959" s="10" t="str">
        <f>IF(COUNTIF('Transform Data'!$D:$D,'Transform Data'!D1959)&gt;1,"Repeat","Single")</f>
        <v>Single</v>
      </c>
      <c r="J1959" s="10" t="str">
        <f>IF('Transform Data'!D1959="Cash","Cash",IF(COUNTIF('Transform Data'!$D:$D,'Transform Data'!D1959)&gt;1,"Repeat","Single"))</f>
        <v>Single</v>
      </c>
      <c r="K1959" s="10" t="str">
        <f t="shared" si="30"/>
        <v>TRANS-1958</v>
      </c>
    </row>
    <row r="1960" spans="1:11" x14ac:dyDescent="0.35">
      <c r="A1960" s="5">
        <v>45581</v>
      </c>
      <c r="B1960" s="3">
        <v>0.52064814814814819</v>
      </c>
      <c r="C1960" t="s">
        <v>8</v>
      </c>
      <c r="D1960" t="s">
        <v>821</v>
      </c>
      <c r="E1960" s="4">
        <v>30.86</v>
      </c>
      <c r="F1960" t="s">
        <v>36</v>
      </c>
      <c r="G1960" s="10" t="str">
        <f>TEXT(Transform_Data[[#This Row],[Date]],"mmm yyyy")</f>
        <v>Oct 2024</v>
      </c>
      <c r="H1960" s="10">
        <f>HOUR(Transform_Data[[#This Row],[Time]])</f>
        <v>12</v>
      </c>
      <c r="I1960" s="10" t="str">
        <f>IF(COUNTIF('Transform Data'!$D:$D,'Transform Data'!D1960)&gt;1,"Repeat","Single")</f>
        <v>Repeat</v>
      </c>
      <c r="J1960" s="10" t="str">
        <f>IF('Transform Data'!D1960="Cash","Cash",IF(COUNTIF('Transform Data'!$D:$D,'Transform Data'!D1960)&gt;1,"Repeat","Single"))</f>
        <v>Repeat</v>
      </c>
      <c r="K1960" s="10" t="str">
        <f t="shared" si="30"/>
        <v>TRANS-1959</v>
      </c>
    </row>
    <row r="1961" spans="1:11" x14ac:dyDescent="0.35">
      <c r="A1961" s="5">
        <v>45581</v>
      </c>
      <c r="B1961" s="3">
        <v>0.5556712962962963</v>
      </c>
      <c r="C1961" t="s">
        <v>8</v>
      </c>
      <c r="D1961" t="s">
        <v>816</v>
      </c>
      <c r="E1961" s="4">
        <v>25.96</v>
      </c>
      <c r="F1961" t="s">
        <v>28</v>
      </c>
      <c r="G1961" s="10" t="str">
        <f>TEXT(Transform_Data[[#This Row],[Date]],"mmm yyyy")</f>
        <v>Oct 2024</v>
      </c>
      <c r="H1961" s="10">
        <f>HOUR(Transform_Data[[#This Row],[Time]])</f>
        <v>13</v>
      </c>
      <c r="I1961" s="10" t="str">
        <f>IF(COUNTIF('Transform Data'!$D:$D,'Transform Data'!D1961)&gt;1,"Repeat","Single")</f>
        <v>Repeat</v>
      </c>
      <c r="J1961" s="10" t="str">
        <f>IF('Transform Data'!D1961="Cash","Cash",IF(COUNTIF('Transform Data'!$D:$D,'Transform Data'!D1961)&gt;1,"Repeat","Single"))</f>
        <v>Repeat</v>
      </c>
      <c r="K1961" s="10" t="str">
        <f t="shared" si="30"/>
        <v>TRANS-1960</v>
      </c>
    </row>
    <row r="1962" spans="1:11" x14ac:dyDescent="0.35">
      <c r="A1962" s="5">
        <v>45581</v>
      </c>
      <c r="B1962" s="3">
        <v>0.69825231481481487</v>
      </c>
      <c r="C1962" t="s">
        <v>8</v>
      </c>
      <c r="D1962" t="s">
        <v>822</v>
      </c>
      <c r="E1962" s="4">
        <v>35.76</v>
      </c>
      <c r="F1962" t="s">
        <v>32</v>
      </c>
      <c r="G1962" s="10" t="str">
        <f>TEXT(Transform_Data[[#This Row],[Date]],"mmm yyyy")</f>
        <v>Oct 2024</v>
      </c>
      <c r="H1962" s="10">
        <f>HOUR(Transform_Data[[#This Row],[Time]])</f>
        <v>16</v>
      </c>
      <c r="I1962" s="10" t="str">
        <f>IF(COUNTIF('Transform Data'!$D:$D,'Transform Data'!D1962)&gt;1,"Repeat","Single")</f>
        <v>Single</v>
      </c>
      <c r="J1962" s="10" t="str">
        <f>IF('Transform Data'!D1962="Cash","Cash",IF(COUNTIF('Transform Data'!$D:$D,'Transform Data'!D1962)&gt;1,"Repeat","Single"))</f>
        <v>Single</v>
      </c>
      <c r="K1962" s="10" t="str">
        <f t="shared" si="30"/>
        <v>TRANS-1961</v>
      </c>
    </row>
    <row r="1963" spans="1:11" x14ac:dyDescent="0.35">
      <c r="A1963" s="5">
        <v>45581</v>
      </c>
      <c r="B1963" s="3">
        <v>0.73842592592592593</v>
      </c>
      <c r="C1963" t="s">
        <v>8</v>
      </c>
      <c r="D1963" t="s">
        <v>562</v>
      </c>
      <c r="E1963" s="4">
        <v>30.86</v>
      </c>
      <c r="F1963" t="s">
        <v>36</v>
      </c>
      <c r="G1963" s="10" t="str">
        <f>TEXT(Transform_Data[[#This Row],[Date]],"mmm yyyy")</f>
        <v>Oct 2024</v>
      </c>
      <c r="H1963" s="10">
        <f>HOUR(Transform_Data[[#This Row],[Time]])</f>
        <v>17</v>
      </c>
      <c r="I1963" s="10" t="str">
        <f>IF(COUNTIF('Transform Data'!$D:$D,'Transform Data'!D1963)&gt;1,"Repeat","Single")</f>
        <v>Repeat</v>
      </c>
      <c r="J1963" s="10" t="str">
        <f>IF('Transform Data'!D1963="Cash","Cash",IF(COUNTIF('Transform Data'!$D:$D,'Transform Data'!D1963)&gt;1,"Repeat","Single"))</f>
        <v>Repeat</v>
      </c>
      <c r="K1963" s="10" t="str">
        <f t="shared" si="30"/>
        <v>TRANS-1962</v>
      </c>
    </row>
    <row r="1964" spans="1:11" x14ac:dyDescent="0.35">
      <c r="A1964" s="5">
        <v>45581</v>
      </c>
      <c r="B1964" s="3">
        <v>0.81784722222222217</v>
      </c>
      <c r="C1964" t="s">
        <v>8</v>
      </c>
      <c r="D1964" t="s">
        <v>823</v>
      </c>
      <c r="E1964" s="4">
        <v>30.86</v>
      </c>
      <c r="F1964" t="s">
        <v>36</v>
      </c>
      <c r="G1964" s="10" t="str">
        <f>TEXT(Transform_Data[[#This Row],[Date]],"mmm yyyy")</f>
        <v>Oct 2024</v>
      </c>
      <c r="H1964" s="10">
        <f>HOUR(Transform_Data[[#This Row],[Time]])</f>
        <v>19</v>
      </c>
      <c r="I1964" s="10" t="str">
        <f>IF(COUNTIF('Transform Data'!$D:$D,'Transform Data'!D1964)&gt;1,"Repeat","Single")</f>
        <v>Repeat</v>
      </c>
      <c r="J1964" s="10" t="str">
        <f>IF('Transform Data'!D1964="Cash","Cash",IF(COUNTIF('Transform Data'!$D:$D,'Transform Data'!D1964)&gt;1,"Repeat","Single"))</f>
        <v>Repeat</v>
      </c>
      <c r="K1964" s="10" t="str">
        <f t="shared" si="30"/>
        <v>TRANS-1963</v>
      </c>
    </row>
    <row r="1965" spans="1:11" x14ac:dyDescent="0.35">
      <c r="A1965" s="5">
        <v>45581</v>
      </c>
      <c r="B1965" s="3">
        <v>0.81847222222222227</v>
      </c>
      <c r="C1965" t="s">
        <v>8</v>
      </c>
      <c r="D1965" t="s">
        <v>823</v>
      </c>
      <c r="E1965" s="4">
        <v>30.86</v>
      </c>
      <c r="F1965" t="s">
        <v>36</v>
      </c>
      <c r="G1965" s="10" t="str">
        <f>TEXT(Transform_Data[[#This Row],[Date]],"mmm yyyy")</f>
        <v>Oct 2024</v>
      </c>
      <c r="H1965" s="10">
        <f>HOUR(Transform_Data[[#This Row],[Time]])</f>
        <v>19</v>
      </c>
      <c r="I1965" s="10" t="str">
        <f>IF(COUNTIF('Transform Data'!$D:$D,'Transform Data'!D1965)&gt;1,"Repeat","Single")</f>
        <v>Repeat</v>
      </c>
      <c r="J1965" s="10" t="str">
        <f>IF('Transform Data'!D1965="Cash","Cash",IF(COUNTIF('Transform Data'!$D:$D,'Transform Data'!D1965)&gt;1,"Repeat","Single"))</f>
        <v>Repeat</v>
      </c>
      <c r="K1965" s="10" t="str">
        <f t="shared" si="30"/>
        <v>TRANS-1964</v>
      </c>
    </row>
    <row r="1966" spans="1:11" x14ac:dyDescent="0.35">
      <c r="A1966" s="5">
        <v>45581</v>
      </c>
      <c r="B1966" s="3">
        <v>0.88921296296296293</v>
      </c>
      <c r="C1966" t="s">
        <v>8</v>
      </c>
      <c r="D1966" t="s">
        <v>824</v>
      </c>
      <c r="E1966" s="4">
        <v>35.76</v>
      </c>
      <c r="F1966" t="s">
        <v>15</v>
      </c>
      <c r="G1966" s="10" t="str">
        <f>TEXT(Transform_Data[[#This Row],[Date]],"mmm yyyy")</f>
        <v>Oct 2024</v>
      </c>
      <c r="H1966" s="10">
        <f>HOUR(Transform_Data[[#This Row],[Time]])</f>
        <v>21</v>
      </c>
      <c r="I1966" s="10" t="str">
        <f>IF(COUNTIF('Transform Data'!$D:$D,'Transform Data'!D1966)&gt;1,"Repeat","Single")</f>
        <v>Single</v>
      </c>
      <c r="J1966" s="10" t="str">
        <f>IF('Transform Data'!D1966="Cash","Cash",IF(COUNTIF('Transform Data'!$D:$D,'Transform Data'!D1966)&gt;1,"Repeat","Single"))</f>
        <v>Single</v>
      </c>
      <c r="K1966" s="10" t="str">
        <f t="shared" si="30"/>
        <v>TRANS-1965</v>
      </c>
    </row>
    <row r="1967" spans="1:11" x14ac:dyDescent="0.35">
      <c r="A1967" s="5">
        <v>45582</v>
      </c>
      <c r="B1967" s="3">
        <v>0.32430555555555557</v>
      </c>
      <c r="C1967" t="s">
        <v>8</v>
      </c>
      <c r="D1967" t="s">
        <v>748</v>
      </c>
      <c r="E1967" s="4">
        <v>35.76</v>
      </c>
      <c r="F1967" t="s">
        <v>32</v>
      </c>
      <c r="G1967" s="10" t="str">
        <f>TEXT(Transform_Data[[#This Row],[Date]],"mmm yyyy")</f>
        <v>Oct 2024</v>
      </c>
      <c r="H1967" s="10">
        <f>HOUR(Transform_Data[[#This Row],[Time]])</f>
        <v>7</v>
      </c>
      <c r="I1967" s="10" t="str">
        <f>IF(COUNTIF('Transform Data'!$D:$D,'Transform Data'!D1967)&gt;1,"Repeat","Single")</f>
        <v>Repeat</v>
      </c>
      <c r="J1967" s="10" t="str">
        <f>IF('Transform Data'!D1967="Cash","Cash",IF(COUNTIF('Transform Data'!$D:$D,'Transform Data'!D1967)&gt;1,"Repeat","Single"))</f>
        <v>Repeat</v>
      </c>
      <c r="K1967" s="10" t="str">
        <f t="shared" si="30"/>
        <v>TRANS-1966</v>
      </c>
    </row>
    <row r="1968" spans="1:11" x14ac:dyDescent="0.35">
      <c r="A1968" s="5">
        <v>45582</v>
      </c>
      <c r="B1968" s="3">
        <v>0.33201388888888889</v>
      </c>
      <c r="C1968" t="s">
        <v>8</v>
      </c>
      <c r="D1968" t="s">
        <v>622</v>
      </c>
      <c r="E1968" s="4">
        <v>35.76</v>
      </c>
      <c r="F1968" t="s">
        <v>32</v>
      </c>
      <c r="G1968" s="10" t="str">
        <f>TEXT(Transform_Data[[#This Row],[Date]],"mmm yyyy")</f>
        <v>Oct 2024</v>
      </c>
      <c r="H1968" s="10">
        <f>HOUR(Transform_Data[[#This Row],[Time]])</f>
        <v>7</v>
      </c>
      <c r="I1968" s="10" t="str">
        <f>IF(COUNTIF('Transform Data'!$D:$D,'Transform Data'!D1968)&gt;1,"Repeat","Single")</f>
        <v>Repeat</v>
      </c>
      <c r="J1968" s="10" t="str">
        <f>IF('Transform Data'!D1968="Cash","Cash",IF(COUNTIF('Transform Data'!$D:$D,'Transform Data'!D1968)&gt;1,"Repeat","Single"))</f>
        <v>Repeat</v>
      </c>
      <c r="K1968" s="10" t="str">
        <f t="shared" si="30"/>
        <v>TRANS-1967</v>
      </c>
    </row>
    <row r="1969" spans="1:11" x14ac:dyDescent="0.35">
      <c r="A1969" s="5">
        <v>45582</v>
      </c>
      <c r="B1969" s="3">
        <v>0.39197916666666666</v>
      </c>
      <c r="C1969" t="s">
        <v>8</v>
      </c>
      <c r="D1969" t="s">
        <v>825</v>
      </c>
      <c r="E1969" s="4">
        <v>30.86</v>
      </c>
      <c r="F1969" t="s">
        <v>36</v>
      </c>
      <c r="G1969" s="10" t="str">
        <f>TEXT(Transform_Data[[#This Row],[Date]],"mmm yyyy")</f>
        <v>Oct 2024</v>
      </c>
      <c r="H1969" s="10">
        <f>HOUR(Transform_Data[[#This Row],[Time]])</f>
        <v>9</v>
      </c>
      <c r="I1969" s="10" t="str">
        <f>IF(COUNTIF('Transform Data'!$D:$D,'Transform Data'!D1969)&gt;1,"Repeat","Single")</f>
        <v>Single</v>
      </c>
      <c r="J1969" s="10" t="str">
        <f>IF('Transform Data'!D1969="Cash","Cash",IF(COUNTIF('Transform Data'!$D:$D,'Transform Data'!D1969)&gt;1,"Repeat","Single"))</f>
        <v>Single</v>
      </c>
      <c r="K1969" s="10" t="str">
        <f t="shared" si="30"/>
        <v>TRANS-1968</v>
      </c>
    </row>
    <row r="1970" spans="1:11" x14ac:dyDescent="0.35">
      <c r="A1970" s="5">
        <v>45582</v>
      </c>
      <c r="B1970" s="3">
        <v>0.43515046296296295</v>
      </c>
      <c r="C1970" t="s">
        <v>8</v>
      </c>
      <c r="D1970" t="s">
        <v>562</v>
      </c>
      <c r="E1970" s="4">
        <v>35.76</v>
      </c>
      <c r="F1970" t="s">
        <v>32</v>
      </c>
      <c r="G1970" s="10" t="str">
        <f>TEXT(Transform_Data[[#This Row],[Date]],"mmm yyyy")</f>
        <v>Oct 2024</v>
      </c>
      <c r="H1970" s="10">
        <f>HOUR(Transform_Data[[#This Row],[Time]])</f>
        <v>10</v>
      </c>
      <c r="I1970" s="10" t="str">
        <f>IF(COUNTIF('Transform Data'!$D:$D,'Transform Data'!D1970)&gt;1,"Repeat","Single")</f>
        <v>Repeat</v>
      </c>
      <c r="J1970" s="10" t="str">
        <f>IF('Transform Data'!D1970="Cash","Cash",IF(COUNTIF('Transform Data'!$D:$D,'Transform Data'!D1970)&gt;1,"Repeat","Single"))</f>
        <v>Repeat</v>
      </c>
      <c r="K1970" s="10" t="str">
        <f t="shared" si="30"/>
        <v>TRANS-1969</v>
      </c>
    </row>
    <row r="1971" spans="1:11" x14ac:dyDescent="0.35">
      <c r="A1971" s="5">
        <v>45582</v>
      </c>
      <c r="B1971" s="3">
        <v>0.44784722222222223</v>
      </c>
      <c r="C1971" t="s">
        <v>8</v>
      </c>
      <c r="D1971" t="s">
        <v>366</v>
      </c>
      <c r="E1971" s="4">
        <v>35.76</v>
      </c>
      <c r="F1971" t="s">
        <v>15</v>
      </c>
      <c r="G1971" s="10" t="str">
        <f>TEXT(Transform_Data[[#This Row],[Date]],"mmm yyyy")</f>
        <v>Oct 2024</v>
      </c>
      <c r="H1971" s="10">
        <f>HOUR(Transform_Data[[#This Row],[Time]])</f>
        <v>10</v>
      </c>
      <c r="I1971" s="10" t="str">
        <f>IF(COUNTIF('Transform Data'!$D:$D,'Transform Data'!D1971)&gt;1,"Repeat","Single")</f>
        <v>Repeat</v>
      </c>
      <c r="J1971" s="10" t="str">
        <f>IF('Transform Data'!D1971="Cash","Cash",IF(COUNTIF('Transform Data'!$D:$D,'Transform Data'!D1971)&gt;1,"Repeat","Single"))</f>
        <v>Repeat</v>
      </c>
      <c r="K1971" s="10" t="str">
        <f t="shared" si="30"/>
        <v>TRANS-1970</v>
      </c>
    </row>
    <row r="1972" spans="1:11" x14ac:dyDescent="0.35">
      <c r="A1972" s="5">
        <v>45582</v>
      </c>
      <c r="B1972" s="3">
        <v>0.49960648148148146</v>
      </c>
      <c r="C1972" t="s">
        <v>8</v>
      </c>
      <c r="D1972" t="s">
        <v>826</v>
      </c>
      <c r="E1972" s="4">
        <v>30.86</v>
      </c>
      <c r="F1972" t="s">
        <v>36</v>
      </c>
      <c r="G1972" s="10" t="str">
        <f>TEXT(Transform_Data[[#This Row],[Date]],"mmm yyyy")</f>
        <v>Oct 2024</v>
      </c>
      <c r="H1972" s="10">
        <f>HOUR(Transform_Data[[#This Row],[Time]])</f>
        <v>11</v>
      </c>
      <c r="I1972" s="10" t="str">
        <f>IF(COUNTIF('Transform Data'!$D:$D,'Transform Data'!D1972)&gt;1,"Repeat","Single")</f>
        <v>Single</v>
      </c>
      <c r="J1972" s="10" t="str">
        <f>IF('Transform Data'!D1972="Cash","Cash",IF(COUNTIF('Transform Data'!$D:$D,'Transform Data'!D1972)&gt;1,"Repeat","Single"))</f>
        <v>Single</v>
      </c>
      <c r="K1972" s="10" t="str">
        <f t="shared" si="30"/>
        <v>TRANS-1971</v>
      </c>
    </row>
    <row r="1973" spans="1:11" x14ac:dyDescent="0.35">
      <c r="A1973" s="5">
        <v>45582</v>
      </c>
      <c r="B1973" s="3">
        <v>0.58152777777777775</v>
      </c>
      <c r="C1973" t="s">
        <v>8</v>
      </c>
      <c r="D1973" t="s">
        <v>827</v>
      </c>
      <c r="E1973" s="4">
        <v>35.76</v>
      </c>
      <c r="F1973" t="s">
        <v>32</v>
      </c>
      <c r="G1973" s="10" t="str">
        <f>TEXT(Transform_Data[[#This Row],[Date]],"mmm yyyy")</f>
        <v>Oct 2024</v>
      </c>
      <c r="H1973" s="10">
        <f>HOUR(Transform_Data[[#This Row],[Time]])</f>
        <v>13</v>
      </c>
      <c r="I1973" s="10" t="str">
        <f>IF(COUNTIF('Transform Data'!$D:$D,'Transform Data'!D1973)&gt;1,"Repeat","Single")</f>
        <v>Single</v>
      </c>
      <c r="J1973" s="10" t="str">
        <f>IF('Transform Data'!D1973="Cash","Cash",IF(COUNTIF('Transform Data'!$D:$D,'Transform Data'!D1973)&gt;1,"Repeat","Single"))</f>
        <v>Single</v>
      </c>
      <c r="K1973" s="10" t="str">
        <f t="shared" si="30"/>
        <v>TRANS-1972</v>
      </c>
    </row>
    <row r="1974" spans="1:11" x14ac:dyDescent="0.35">
      <c r="A1974" s="5">
        <v>45582</v>
      </c>
      <c r="B1974" s="3">
        <v>0.60743055555555558</v>
      </c>
      <c r="C1974" t="s">
        <v>8</v>
      </c>
      <c r="D1974" t="s">
        <v>828</v>
      </c>
      <c r="E1974" s="4">
        <v>25.96</v>
      </c>
      <c r="F1974" t="s">
        <v>28</v>
      </c>
      <c r="G1974" s="10" t="str">
        <f>TEXT(Transform_Data[[#This Row],[Date]],"mmm yyyy")</f>
        <v>Oct 2024</v>
      </c>
      <c r="H1974" s="10">
        <f>HOUR(Transform_Data[[#This Row],[Time]])</f>
        <v>14</v>
      </c>
      <c r="I1974" s="10" t="str">
        <f>IF(COUNTIF('Transform Data'!$D:$D,'Transform Data'!D1974)&gt;1,"Repeat","Single")</f>
        <v>Single</v>
      </c>
      <c r="J1974" s="10" t="str">
        <f>IF('Transform Data'!D1974="Cash","Cash",IF(COUNTIF('Transform Data'!$D:$D,'Transform Data'!D1974)&gt;1,"Repeat","Single"))</f>
        <v>Single</v>
      </c>
      <c r="K1974" s="10" t="str">
        <f t="shared" si="30"/>
        <v>TRANS-1973</v>
      </c>
    </row>
    <row r="1975" spans="1:11" x14ac:dyDescent="0.35">
      <c r="A1975" s="5">
        <v>45582</v>
      </c>
      <c r="B1975" s="3">
        <v>0.6925</v>
      </c>
      <c r="C1975" t="s">
        <v>8</v>
      </c>
      <c r="D1975" t="s">
        <v>754</v>
      </c>
      <c r="E1975" s="4">
        <v>35.76</v>
      </c>
      <c r="F1975" t="s">
        <v>15</v>
      </c>
      <c r="G1975" s="10" t="str">
        <f>TEXT(Transform_Data[[#This Row],[Date]],"mmm yyyy")</f>
        <v>Oct 2024</v>
      </c>
      <c r="H1975" s="10">
        <f>HOUR(Transform_Data[[#This Row],[Time]])</f>
        <v>16</v>
      </c>
      <c r="I1975" s="10" t="str">
        <f>IF(COUNTIF('Transform Data'!$D:$D,'Transform Data'!D1975)&gt;1,"Repeat","Single")</f>
        <v>Repeat</v>
      </c>
      <c r="J1975" s="10" t="str">
        <f>IF('Transform Data'!D1975="Cash","Cash",IF(COUNTIF('Transform Data'!$D:$D,'Transform Data'!D1975)&gt;1,"Repeat","Single"))</f>
        <v>Repeat</v>
      </c>
      <c r="K1975" s="10" t="str">
        <f t="shared" si="30"/>
        <v>TRANS-1974</v>
      </c>
    </row>
    <row r="1976" spans="1:11" x14ac:dyDescent="0.35">
      <c r="A1976" s="5">
        <v>45582</v>
      </c>
      <c r="B1976" s="3">
        <v>0.69325231481481486</v>
      </c>
      <c r="C1976" t="s">
        <v>8</v>
      </c>
      <c r="D1976" t="s">
        <v>754</v>
      </c>
      <c r="E1976" s="4">
        <v>35.76</v>
      </c>
      <c r="F1976" t="s">
        <v>15</v>
      </c>
      <c r="G1976" s="10" t="str">
        <f>TEXT(Transform_Data[[#This Row],[Date]],"mmm yyyy")</f>
        <v>Oct 2024</v>
      </c>
      <c r="H1976" s="10">
        <f>HOUR(Transform_Data[[#This Row],[Time]])</f>
        <v>16</v>
      </c>
      <c r="I1976" s="10" t="str">
        <f>IF(COUNTIF('Transform Data'!$D:$D,'Transform Data'!D1976)&gt;1,"Repeat","Single")</f>
        <v>Repeat</v>
      </c>
      <c r="J1976" s="10" t="str">
        <f>IF('Transform Data'!D1976="Cash","Cash",IF(COUNTIF('Transform Data'!$D:$D,'Transform Data'!D1976)&gt;1,"Repeat","Single"))</f>
        <v>Repeat</v>
      </c>
      <c r="K1976" s="10" t="str">
        <f t="shared" si="30"/>
        <v>TRANS-1975</v>
      </c>
    </row>
    <row r="1977" spans="1:11" x14ac:dyDescent="0.35">
      <c r="A1977" s="5">
        <v>45582</v>
      </c>
      <c r="B1977" s="3">
        <v>0.69385416666666666</v>
      </c>
      <c r="C1977" t="s">
        <v>8</v>
      </c>
      <c r="D1977" t="s">
        <v>754</v>
      </c>
      <c r="E1977" s="4">
        <v>35.76</v>
      </c>
      <c r="F1977" t="s">
        <v>32</v>
      </c>
      <c r="G1977" s="10" t="str">
        <f>TEXT(Transform_Data[[#This Row],[Date]],"mmm yyyy")</f>
        <v>Oct 2024</v>
      </c>
      <c r="H1977" s="10">
        <f>HOUR(Transform_Data[[#This Row],[Time]])</f>
        <v>16</v>
      </c>
      <c r="I1977" s="10" t="str">
        <f>IF(COUNTIF('Transform Data'!$D:$D,'Transform Data'!D1977)&gt;1,"Repeat","Single")</f>
        <v>Repeat</v>
      </c>
      <c r="J1977" s="10" t="str">
        <f>IF('Transform Data'!D1977="Cash","Cash",IF(COUNTIF('Transform Data'!$D:$D,'Transform Data'!D1977)&gt;1,"Repeat","Single"))</f>
        <v>Repeat</v>
      </c>
      <c r="K1977" s="10" t="str">
        <f t="shared" si="30"/>
        <v>TRANS-1976</v>
      </c>
    </row>
    <row r="1978" spans="1:11" x14ac:dyDescent="0.35">
      <c r="A1978" s="5">
        <v>45582</v>
      </c>
      <c r="B1978" s="3">
        <v>0.70040509259259254</v>
      </c>
      <c r="C1978" t="s">
        <v>8</v>
      </c>
      <c r="D1978" t="s">
        <v>829</v>
      </c>
      <c r="E1978" s="4">
        <v>35.76</v>
      </c>
      <c r="F1978" t="s">
        <v>15</v>
      </c>
      <c r="G1978" s="10" t="str">
        <f>TEXT(Transform_Data[[#This Row],[Date]],"mmm yyyy")</f>
        <v>Oct 2024</v>
      </c>
      <c r="H1978" s="10">
        <f>HOUR(Transform_Data[[#This Row],[Time]])</f>
        <v>16</v>
      </c>
      <c r="I1978" s="10" t="str">
        <f>IF(COUNTIF('Transform Data'!$D:$D,'Transform Data'!D1978)&gt;1,"Repeat","Single")</f>
        <v>Repeat</v>
      </c>
      <c r="J1978" s="10" t="str">
        <f>IF('Transform Data'!D1978="Cash","Cash",IF(COUNTIF('Transform Data'!$D:$D,'Transform Data'!D1978)&gt;1,"Repeat","Single"))</f>
        <v>Repeat</v>
      </c>
      <c r="K1978" s="10" t="str">
        <f t="shared" si="30"/>
        <v>TRANS-1977</v>
      </c>
    </row>
    <row r="1979" spans="1:11" x14ac:dyDescent="0.35">
      <c r="A1979" s="5">
        <v>45582</v>
      </c>
      <c r="B1979" s="3">
        <v>0.7010763888888889</v>
      </c>
      <c r="C1979" t="s">
        <v>8</v>
      </c>
      <c r="D1979" t="s">
        <v>829</v>
      </c>
      <c r="E1979" s="4">
        <v>35.76</v>
      </c>
      <c r="F1979" t="s">
        <v>15</v>
      </c>
      <c r="G1979" s="10" t="str">
        <f>TEXT(Transform_Data[[#This Row],[Date]],"mmm yyyy")</f>
        <v>Oct 2024</v>
      </c>
      <c r="H1979" s="10">
        <f>HOUR(Transform_Data[[#This Row],[Time]])</f>
        <v>16</v>
      </c>
      <c r="I1979" s="10" t="str">
        <f>IF(COUNTIF('Transform Data'!$D:$D,'Transform Data'!D1979)&gt;1,"Repeat","Single")</f>
        <v>Repeat</v>
      </c>
      <c r="J1979" s="10" t="str">
        <f>IF('Transform Data'!D1979="Cash","Cash",IF(COUNTIF('Transform Data'!$D:$D,'Transform Data'!D1979)&gt;1,"Repeat","Single"))</f>
        <v>Repeat</v>
      </c>
      <c r="K1979" s="10" t="str">
        <f t="shared" si="30"/>
        <v>TRANS-1978</v>
      </c>
    </row>
    <row r="1980" spans="1:11" x14ac:dyDescent="0.35">
      <c r="A1980" s="5">
        <v>45582</v>
      </c>
      <c r="B1980" s="3">
        <v>0.71420138888888884</v>
      </c>
      <c r="C1980" t="s">
        <v>8</v>
      </c>
      <c r="D1980" t="s">
        <v>312</v>
      </c>
      <c r="E1980" s="4">
        <v>35.76</v>
      </c>
      <c r="F1980" t="s">
        <v>24</v>
      </c>
      <c r="G1980" s="10" t="str">
        <f>TEXT(Transform_Data[[#This Row],[Date]],"mmm yyyy")</f>
        <v>Oct 2024</v>
      </c>
      <c r="H1980" s="10">
        <f>HOUR(Transform_Data[[#This Row],[Time]])</f>
        <v>17</v>
      </c>
      <c r="I1980" s="10" t="str">
        <f>IF(COUNTIF('Transform Data'!$D:$D,'Transform Data'!D1980)&gt;1,"Repeat","Single")</f>
        <v>Repeat</v>
      </c>
      <c r="J1980" s="10" t="str">
        <f>IF('Transform Data'!D1980="Cash","Cash",IF(COUNTIF('Transform Data'!$D:$D,'Transform Data'!D1980)&gt;1,"Repeat","Single"))</f>
        <v>Repeat</v>
      </c>
      <c r="K1980" s="10" t="str">
        <f t="shared" si="30"/>
        <v>TRANS-1979</v>
      </c>
    </row>
    <row r="1981" spans="1:11" x14ac:dyDescent="0.35">
      <c r="A1981" s="5">
        <v>45582</v>
      </c>
      <c r="B1981" s="3">
        <v>0.71493055555555551</v>
      </c>
      <c r="C1981" t="s">
        <v>8</v>
      </c>
      <c r="D1981" t="s">
        <v>312</v>
      </c>
      <c r="E1981" s="4">
        <v>35.76</v>
      </c>
      <c r="F1981" t="s">
        <v>15</v>
      </c>
      <c r="G1981" s="10" t="str">
        <f>TEXT(Transform_Data[[#This Row],[Date]],"mmm yyyy")</f>
        <v>Oct 2024</v>
      </c>
      <c r="H1981" s="10">
        <f>HOUR(Transform_Data[[#This Row],[Time]])</f>
        <v>17</v>
      </c>
      <c r="I1981" s="10" t="str">
        <f>IF(COUNTIF('Transform Data'!$D:$D,'Transform Data'!D1981)&gt;1,"Repeat","Single")</f>
        <v>Repeat</v>
      </c>
      <c r="J1981" s="10" t="str">
        <f>IF('Transform Data'!D1981="Cash","Cash",IF(COUNTIF('Transform Data'!$D:$D,'Transform Data'!D1981)&gt;1,"Repeat","Single"))</f>
        <v>Repeat</v>
      </c>
      <c r="K1981" s="10" t="str">
        <f t="shared" si="30"/>
        <v>TRANS-1980</v>
      </c>
    </row>
    <row r="1982" spans="1:11" x14ac:dyDescent="0.35">
      <c r="A1982" s="5">
        <v>45582</v>
      </c>
      <c r="B1982" s="3">
        <v>0.82166666666666666</v>
      </c>
      <c r="C1982" t="s">
        <v>8</v>
      </c>
      <c r="D1982" t="s">
        <v>21</v>
      </c>
      <c r="E1982" s="4">
        <v>35.76</v>
      </c>
      <c r="F1982" t="s">
        <v>32</v>
      </c>
      <c r="G1982" s="10" t="str">
        <f>TEXT(Transform_Data[[#This Row],[Date]],"mmm yyyy")</f>
        <v>Oct 2024</v>
      </c>
      <c r="H1982" s="10">
        <f>HOUR(Transform_Data[[#This Row],[Time]])</f>
        <v>19</v>
      </c>
      <c r="I1982" s="10" t="str">
        <f>IF(COUNTIF('Transform Data'!$D:$D,'Transform Data'!D1982)&gt;1,"Repeat","Single")</f>
        <v>Repeat</v>
      </c>
      <c r="J1982" s="10" t="str">
        <f>IF('Transform Data'!D1982="Cash","Cash",IF(COUNTIF('Transform Data'!$D:$D,'Transform Data'!D1982)&gt;1,"Repeat","Single"))</f>
        <v>Repeat</v>
      </c>
      <c r="K1982" s="10" t="str">
        <f t="shared" si="30"/>
        <v>TRANS-1981</v>
      </c>
    </row>
    <row r="1983" spans="1:11" x14ac:dyDescent="0.35">
      <c r="A1983" s="5">
        <v>45582</v>
      </c>
      <c r="B1983" s="3">
        <v>0.84138888888888885</v>
      </c>
      <c r="C1983" t="s">
        <v>8</v>
      </c>
      <c r="D1983" t="s">
        <v>830</v>
      </c>
      <c r="E1983" s="4">
        <v>30.86</v>
      </c>
      <c r="F1983" t="s">
        <v>36</v>
      </c>
      <c r="G1983" s="10" t="str">
        <f>TEXT(Transform_Data[[#This Row],[Date]],"mmm yyyy")</f>
        <v>Oct 2024</v>
      </c>
      <c r="H1983" s="10">
        <f>HOUR(Transform_Data[[#This Row],[Time]])</f>
        <v>20</v>
      </c>
      <c r="I1983" s="10" t="str">
        <f>IF(COUNTIF('Transform Data'!$D:$D,'Transform Data'!D1983)&gt;1,"Repeat","Single")</f>
        <v>Single</v>
      </c>
      <c r="J1983" s="10" t="str">
        <f>IF('Transform Data'!D1983="Cash","Cash",IF(COUNTIF('Transform Data'!$D:$D,'Transform Data'!D1983)&gt;1,"Repeat","Single"))</f>
        <v>Single</v>
      </c>
      <c r="K1983" s="10" t="str">
        <f t="shared" si="30"/>
        <v>TRANS-1982</v>
      </c>
    </row>
    <row r="1984" spans="1:11" x14ac:dyDescent="0.35">
      <c r="A1984" s="5">
        <v>45582</v>
      </c>
      <c r="B1984" s="3">
        <v>0.90708333333333335</v>
      </c>
      <c r="C1984" t="s">
        <v>8</v>
      </c>
      <c r="D1984" t="s">
        <v>831</v>
      </c>
      <c r="E1984" s="4">
        <v>35.76</v>
      </c>
      <c r="F1984" t="s">
        <v>32</v>
      </c>
      <c r="G1984" s="10" t="str">
        <f>TEXT(Transform_Data[[#This Row],[Date]],"mmm yyyy")</f>
        <v>Oct 2024</v>
      </c>
      <c r="H1984" s="10">
        <f>HOUR(Transform_Data[[#This Row],[Time]])</f>
        <v>21</v>
      </c>
      <c r="I1984" s="10" t="str">
        <f>IF(COUNTIF('Transform Data'!$D:$D,'Transform Data'!D1984)&gt;1,"Repeat","Single")</f>
        <v>Repeat</v>
      </c>
      <c r="J1984" s="10" t="str">
        <f>IF('Transform Data'!D1984="Cash","Cash",IF(COUNTIF('Transform Data'!$D:$D,'Transform Data'!D1984)&gt;1,"Repeat","Single"))</f>
        <v>Repeat</v>
      </c>
      <c r="K1984" s="10" t="str">
        <f t="shared" si="30"/>
        <v>TRANS-1983</v>
      </c>
    </row>
    <row r="1985" spans="1:11" x14ac:dyDescent="0.35">
      <c r="A1985" s="5">
        <v>45582</v>
      </c>
      <c r="B1985" s="3">
        <v>0.90787037037037033</v>
      </c>
      <c r="C1985" t="s">
        <v>8</v>
      </c>
      <c r="D1985" t="s">
        <v>831</v>
      </c>
      <c r="E1985" s="4">
        <v>35.76</v>
      </c>
      <c r="F1985" t="s">
        <v>32</v>
      </c>
      <c r="G1985" s="10" t="str">
        <f>TEXT(Transform_Data[[#This Row],[Date]],"mmm yyyy")</f>
        <v>Oct 2024</v>
      </c>
      <c r="H1985" s="10">
        <f>HOUR(Transform_Data[[#This Row],[Time]])</f>
        <v>21</v>
      </c>
      <c r="I1985" s="10" t="str">
        <f>IF(COUNTIF('Transform Data'!$D:$D,'Transform Data'!D1985)&gt;1,"Repeat","Single")</f>
        <v>Repeat</v>
      </c>
      <c r="J1985" s="10" t="str">
        <f>IF('Transform Data'!D1985="Cash","Cash",IF(COUNTIF('Transform Data'!$D:$D,'Transform Data'!D1985)&gt;1,"Repeat","Single"))</f>
        <v>Repeat</v>
      </c>
      <c r="K1985" s="10" t="str">
        <f t="shared" si="30"/>
        <v>TRANS-1984</v>
      </c>
    </row>
    <row r="1986" spans="1:11" x14ac:dyDescent="0.35">
      <c r="A1986" s="5">
        <v>45582</v>
      </c>
      <c r="B1986" s="3">
        <v>0.90869212962962964</v>
      </c>
      <c r="C1986" t="s">
        <v>8</v>
      </c>
      <c r="D1986" t="s">
        <v>831</v>
      </c>
      <c r="E1986" s="4">
        <v>35.76</v>
      </c>
      <c r="F1986" t="s">
        <v>32</v>
      </c>
      <c r="G1986" s="10" t="str">
        <f>TEXT(Transform_Data[[#This Row],[Date]],"mmm yyyy")</f>
        <v>Oct 2024</v>
      </c>
      <c r="H1986" s="10">
        <f>HOUR(Transform_Data[[#This Row],[Time]])</f>
        <v>21</v>
      </c>
      <c r="I1986" s="10" t="str">
        <f>IF(COUNTIF('Transform Data'!$D:$D,'Transform Data'!D1986)&gt;1,"Repeat","Single")</f>
        <v>Repeat</v>
      </c>
      <c r="J1986" s="10" t="str">
        <f>IF('Transform Data'!D1986="Cash","Cash",IF(COUNTIF('Transform Data'!$D:$D,'Transform Data'!D1986)&gt;1,"Repeat","Single"))</f>
        <v>Repeat</v>
      </c>
      <c r="K1986" s="10" t="str">
        <f t="shared" ref="K1986:K2049" si="31">"TRANS-"&amp;TEXT(ROW(A1985),"0000")</f>
        <v>TRANS-1985</v>
      </c>
    </row>
    <row r="1987" spans="1:11" x14ac:dyDescent="0.35">
      <c r="A1987" s="5">
        <v>45582</v>
      </c>
      <c r="B1987" s="3">
        <v>0.90965277777777775</v>
      </c>
      <c r="C1987" t="s">
        <v>8</v>
      </c>
      <c r="D1987" t="s">
        <v>831</v>
      </c>
      <c r="E1987" s="4">
        <v>35.76</v>
      </c>
      <c r="F1987" t="s">
        <v>15</v>
      </c>
      <c r="G1987" s="10" t="str">
        <f>TEXT(Transform_Data[[#This Row],[Date]],"mmm yyyy")</f>
        <v>Oct 2024</v>
      </c>
      <c r="H1987" s="10">
        <f>HOUR(Transform_Data[[#This Row],[Time]])</f>
        <v>21</v>
      </c>
      <c r="I1987" s="10" t="str">
        <f>IF(COUNTIF('Transform Data'!$D:$D,'Transform Data'!D1987)&gt;1,"Repeat","Single")</f>
        <v>Repeat</v>
      </c>
      <c r="J1987" s="10" t="str">
        <f>IF('Transform Data'!D1987="Cash","Cash",IF(COUNTIF('Transform Data'!$D:$D,'Transform Data'!D1987)&gt;1,"Repeat","Single"))</f>
        <v>Repeat</v>
      </c>
      <c r="K1987" s="10" t="str">
        <f t="shared" si="31"/>
        <v>TRANS-1986</v>
      </c>
    </row>
    <row r="1988" spans="1:11" x14ac:dyDescent="0.35">
      <c r="A1988" s="5">
        <v>45583</v>
      </c>
      <c r="B1988" s="3">
        <v>0.36248842592592595</v>
      </c>
      <c r="C1988" t="s">
        <v>8</v>
      </c>
      <c r="D1988" t="s">
        <v>43</v>
      </c>
      <c r="E1988" s="4">
        <v>35.76</v>
      </c>
      <c r="F1988" t="s">
        <v>10</v>
      </c>
      <c r="G1988" s="10" t="str">
        <f>TEXT(Transform_Data[[#This Row],[Date]],"mmm yyyy")</f>
        <v>Oct 2024</v>
      </c>
      <c r="H1988" s="10">
        <f>HOUR(Transform_Data[[#This Row],[Time]])</f>
        <v>8</v>
      </c>
      <c r="I1988" s="10" t="str">
        <f>IF(COUNTIF('Transform Data'!$D:$D,'Transform Data'!D1988)&gt;1,"Repeat","Single")</f>
        <v>Repeat</v>
      </c>
      <c r="J1988" s="10" t="str">
        <f>IF('Transform Data'!D1988="Cash","Cash",IF(COUNTIF('Transform Data'!$D:$D,'Transform Data'!D1988)&gt;1,"Repeat","Single"))</f>
        <v>Repeat</v>
      </c>
      <c r="K1988" s="10" t="str">
        <f t="shared" si="31"/>
        <v>TRANS-1987</v>
      </c>
    </row>
    <row r="1989" spans="1:11" x14ac:dyDescent="0.35">
      <c r="A1989" s="5">
        <v>45583</v>
      </c>
      <c r="B1989" s="3">
        <v>0.36318287037037039</v>
      </c>
      <c r="C1989" t="s">
        <v>8</v>
      </c>
      <c r="D1989" t="s">
        <v>110</v>
      </c>
      <c r="E1989" s="4">
        <v>35.76</v>
      </c>
      <c r="F1989" t="s">
        <v>10</v>
      </c>
      <c r="G1989" s="10" t="str">
        <f>TEXT(Transform_Data[[#This Row],[Date]],"mmm yyyy")</f>
        <v>Oct 2024</v>
      </c>
      <c r="H1989" s="10">
        <f>HOUR(Transform_Data[[#This Row],[Time]])</f>
        <v>8</v>
      </c>
      <c r="I1989" s="10" t="str">
        <f>IF(COUNTIF('Transform Data'!$D:$D,'Transform Data'!D1989)&gt;1,"Repeat","Single")</f>
        <v>Repeat</v>
      </c>
      <c r="J1989" s="10" t="str">
        <f>IF('Transform Data'!D1989="Cash","Cash",IF(COUNTIF('Transform Data'!$D:$D,'Transform Data'!D1989)&gt;1,"Repeat","Single"))</f>
        <v>Repeat</v>
      </c>
      <c r="K1989" s="10" t="str">
        <f t="shared" si="31"/>
        <v>TRANS-1988</v>
      </c>
    </row>
    <row r="1990" spans="1:11" x14ac:dyDescent="0.35">
      <c r="A1990" s="5">
        <v>45583</v>
      </c>
      <c r="B1990" s="3">
        <v>0.39769675925925924</v>
      </c>
      <c r="C1990" t="s">
        <v>8</v>
      </c>
      <c r="D1990" t="s">
        <v>62</v>
      </c>
      <c r="E1990" s="4">
        <v>35.76</v>
      </c>
      <c r="F1990" t="s">
        <v>10</v>
      </c>
      <c r="G1990" s="10" t="str">
        <f>TEXT(Transform_Data[[#This Row],[Date]],"mmm yyyy")</f>
        <v>Oct 2024</v>
      </c>
      <c r="H1990" s="10">
        <f>HOUR(Transform_Data[[#This Row],[Time]])</f>
        <v>9</v>
      </c>
      <c r="I1990" s="10" t="str">
        <f>IF(COUNTIF('Transform Data'!$D:$D,'Transform Data'!D1990)&gt;1,"Repeat","Single")</f>
        <v>Repeat</v>
      </c>
      <c r="J1990" s="10" t="str">
        <f>IF('Transform Data'!D1990="Cash","Cash",IF(COUNTIF('Transform Data'!$D:$D,'Transform Data'!D1990)&gt;1,"Repeat","Single"))</f>
        <v>Repeat</v>
      </c>
      <c r="K1990" s="10" t="str">
        <f t="shared" si="31"/>
        <v>TRANS-1989</v>
      </c>
    </row>
    <row r="1991" spans="1:11" x14ac:dyDescent="0.35">
      <c r="A1991" s="5">
        <v>45583</v>
      </c>
      <c r="B1991" s="3">
        <v>0.39870370370370373</v>
      </c>
      <c r="C1991" t="s">
        <v>8</v>
      </c>
      <c r="D1991" t="s">
        <v>62</v>
      </c>
      <c r="E1991" s="4">
        <v>35.76</v>
      </c>
      <c r="F1991" t="s">
        <v>10</v>
      </c>
      <c r="G1991" s="10" t="str">
        <f>TEXT(Transform_Data[[#This Row],[Date]],"mmm yyyy")</f>
        <v>Oct 2024</v>
      </c>
      <c r="H1991" s="10">
        <f>HOUR(Transform_Data[[#This Row],[Time]])</f>
        <v>9</v>
      </c>
      <c r="I1991" s="10" t="str">
        <f>IF(COUNTIF('Transform Data'!$D:$D,'Transform Data'!D1991)&gt;1,"Repeat","Single")</f>
        <v>Repeat</v>
      </c>
      <c r="J1991" s="10" t="str">
        <f>IF('Transform Data'!D1991="Cash","Cash",IF(COUNTIF('Transform Data'!$D:$D,'Transform Data'!D1991)&gt;1,"Repeat","Single"))</f>
        <v>Repeat</v>
      </c>
      <c r="K1991" s="10" t="str">
        <f t="shared" si="31"/>
        <v>TRANS-1990</v>
      </c>
    </row>
    <row r="1992" spans="1:11" x14ac:dyDescent="0.35">
      <c r="A1992" s="5">
        <v>45583</v>
      </c>
      <c r="B1992" s="3">
        <v>0.41342592592592592</v>
      </c>
      <c r="C1992" t="s">
        <v>8</v>
      </c>
      <c r="D1992" t="s">
        <v>832</v>
      </c>
      <c r="E1992" s="4">
        <v>35.76</v>
      </c>
      <c r="F1992" t="s">
        <v>24</v>
      </c>
      <c r="G1992" s="10" t="str">
        <f>TEXT(Transform_Data[[#This Row],[Date]],"mmm yyyy")</f>
        <v>Oct 2024</v>
      </c>
      <c r="H1992" s="10">
        <f>HOUR(Transform_Data[[#This Row],[Time]])</f>
        <v>9</v>
      </c>
      <c r="I1992" s="10" t="str">
        <f>IF(COUNTIF('Transform Data'!$D:$D,'Transform Data'!D1992)&gt;1,"Repeat","Single")</f>
        <v>Repeat</v>
      </c>
      <c r="J1992" s="10" t="str">
        <f>IF('Transform Data'!D1992="Cash","Cash",IF(COUNTIF('Transform Data'!$D:$D,'Transform Data'!D1992)&gt;1,"Repeat","Single"))</f>
        <v>Repeat</v>
      </c>
      <c r="K1992" s="10" t="str">
        <f t="shared" si="31"/>
        <v>TRANS-1991</v>
      </c>
    </row>
    <row r="1993" spans="1:11" x14ac:dyDescent="0.35">
      <c r="A1993" s="5">
        <v>45583</v>
      </c>
      <c r="B1993" s="3">
        <v>0.49650462962962966</v>
      </c>
      <c r="C1993" t="s">
        <v>8</v>
      </c>
      <c r="D1993" t="s">
        <v>832</v>
      </c>
      <c r="E1993" s="4">
        <v>35.76</v>
      </c>
      <c r="F1993" t="s">
        <v>24</v>
      </c>
      <c r="G1993" s="10" t="str">
        <f>TEXT(Transform_Data[[#This Row],[Date]],"mmm yyyy")</f>
        <v>Oct 2024</v>
      </c>
      <c r="H1993" s="10">
        <f>HOUR(Transform_Data[[#This Row],[Time]])</f>
        <v>11</v>
      </c>
      <c r="I1993" s="10" t="str">
        <f>IF(COUNTIF('Transform Data'!$D:$D,'Transform Data'!D1993)&gt;1,"Repeat","Single")</f>
        <v>Repeat</v>
      </c>
      <c r="J1993" s="10" t="str">
        <f>IF('Transform Data'!D1993="Cash","Cash",IF(COUNTIF('Transform Data'!$D:$D,'Transform Data'!D1993)&gt;1,"Repeat","Single"))</f>
        <v>Repeat</v>
      </c>
      <c r="K1993" s="10" t="str">
        <f t="shared" si="31"/>
        <v>TRANS-1992</v>
      </c>
    </row>
    <row r="1994" spans="1:11" x14ac:dyDescent="0.35">
      <c r="A1994" s="5">
        <v>45583</v>
      </c>
      <c r="B1994" s="3">
        <v>0.61879629629629629</v>
      </c>
      <c r="C1994" t="s">
        <v>8</v>
      </c>
      <c r="D1994" t="s">
        <v>833</v>
      </c>
      <c r="E1994" s="4">
        <v>35.76</v>
      </c>
      <c r="F1994" t="s">
        <v>32</v>
      </c>
      <c r="G1994" s="10" t="str">
        <f>TEXT(Transform_Data[[#This Row],[Date]],"mmm yyyy")</f>
        <v>Oct 2024</v>
      </c>
      <c r="H1994" s="10">
        <f>HOUR(Transform_Data[[#This Row],[Time]])</f>
        <v>14</v>
      </c>
      <c r="I1994" s="10" t="str">
        <f>IF(COUNTIF('Transform Data'!$D:$D,'Transform Data'!D1994)&gt;1,"Repeat","Single")</f>
        <v>Repeat</v>
      </c>
      <c r="J1994" s="10" t="str">
        <f>IF('Transform Data'!D1994="Cash","Cash",IF(COUNTIF('Transform Data'!$D:$D,'Transform Data'!D1994)&gt;1,"Repeat","Single"))</f>
        <v>Repeat</v>
      </c>
      <c r="K1994" s="10" t="str">
        <f t="shared" si="31"/>
        <v>TRANS-1993</v>
      </c>
    </row>
    <row r="1995" spans="1:11" x14ac:dyDescent="0.35">
      <c r="A1995" s="5">
        <v>45583</v>
      </c>
      <c r="B1995" s="3">
        <v>0.6196180555555556</v>
      </c>
      <c r="C1995" t="s">
        <v>8</v>
      </c>
      <c r="D1995" t="s">
        <v>833</v>
      </c>
      <c r="E1995" s="4">
        <v>35.76</v>
      </c>
      <c r="F1995" t="s">
        <v>24</v>
      </c>
      <c r="G1995" s="10" t="str">
        <f>TEXT(Transform_Data[[#This Row],[Date]],"mmm yyyy")</f>
        <v>Oct 2024</v>
      </c>
      <c r="H1995" s="10">
        <f>HOUR(Transform_Data[[#This Row],[Time]])</f>
        <v>14</v>
      </c>
      <c r="I1995" s="10" t="str">
        <f>IF(COUNTIF('Transform Data'!$D:$D,'Transform Data'!D1995)&gt;1,"Repeat","Single")</f>
        <v>Repeat</v>
      </c>
      <c r="J1995" s="10" t="str">
        <f>IF('Transform Data'!D1995="Cash","Cash",IF(COUNTIF('Transform Data'!$D:$D,'Transform Data'!D1995)&gt;1,"Repeat","Single"))</f>
        <v>Repeat</v>
      </c>
      <c r="K1995" s="10" t="str">
        <f t="shared" si="31"/>
        <v>TRANS-1994</v>
      </c>
    </row>
    <row r="1996" spans="1:11" x14ac:dyDescent="0.35">
      <c r="A1996" s="5">
        <v>45583</v>
      </c>
      <c r="B1996" s="3">
        <v>0.65230324074074075</v>
      </c>
      <c r="C1996" t="s">
        <v>8</v>
      </c>
      <c r="D1996" t="s">
        <v>735</v>
      </c>
      <c r="E1996" s="4">
        <v>25.96</v>
      </c>
      <c r="F1996" t="s">
        <v>28</v>
      </c>
      <c r="G1996" s="10" t="str">
        <f>TEXT(Transform_Data[[#This Row],[Date]],"mmm yyyy")</f>
        <v>Oct 2024</v>
      </c>
      <c r="H1996" s="10">
        <f>HOUR(Transform_Data[[#This Row],[Time]])</f>
        <v>15</v>
      </c>
      <c r="I1996" s="10" t="str">
        <f>IF(COUNTIF('Transform Data'!$D:$D,'Transform Data'!D1996)&gt;1,"Repeat","Single")</f>
        <v>Repeat</v>
      </c>
      <c r="J1996" s="10" t="str">
        <f>IF('Transform Data'!D1996="Cash","Cash",IF(COUNTIF('Transform Data'!$D:$D,'Transform Data'!D1996)&gt;1,"Repeat","Single"))</f>
        <v>Repeat</v>
      </c>
      <c r="K1996" s="10" t="str">
        <f t="shared" si="31"/>
        <v>TRANS-1995</v>
      </c>
    </row>
    <row r="1997" spans="1:11" x14ac:dyDescent="0.35">
      <c r="A1997" s="5">
        <v>45583</v>
      </c>
      <c r="B1997" s="3">
        <v>0.67357638888888893</v>
      </c>
      <c r="C1997" t="s">
        <v>8</v>
      </c>
      <c r="D1997" t="s">
        <v>834</v>
      </c>
      <c r="E1997" s="4">
        <v>35.76</v>
      </c>
      <c r="F1997" t="s">
        <v>32</v>
      </c>
      <c r="G1997" s="10" t="str">
        <f>TEXT(Transform_Data[[#This Row],[Date]],"mmm yyyy")</f>
        <v>Oct 2024</v>
      </c>
      <c r="H1997" s="10">
        <f>HOUR(Transform_Data[[#This Row],[Time]])</f>
        <v>16</v>
      </c>
      <c r="I1997" s="10" t="str">
        <f>IF(COUNTIF('Transform Data'!$D:$D,'Transform Data'!D1997)&gt;1,"Repeat","Single")</f>
        <v>Single</v>
      </c>
      <c r="J1997" s="10" t="str">
        <f>IF('Transform Data'!D1997="Cash","Cash",IF(COUNTIF('Transform Data'!$D:$D,'Transform Data'!D1997)&gt;1,"Repeat","Single"))</f>
        <v>Single</v>
      </c>
      <c r="K1997" s="10" t="str">
        <f t="shared" si="31"/>
        <v>TRANS-1996</v>
      </c>
    </row>
    <row r="1998" spans="1:11" x14ac:dyDescent="0.35">
      <c r="A1998" s="5">
        <v>45583</v>
      </c>
      <c r="B1998" s="3">
        <v>0.74002314814814818</v>
      </c>
      <c r="C1998" t="s">
        <v>8</v>
      </c>
      <c r="D1998" t="s">
        <v>835</v>
      </c>
      <c r="E1998" s="4">
        <v>35.76</v>
      </c>
      <c r="F1998" t="s">
        <v>15</v>
      </c>
      <c r="G1998" s="10" t="str">
        <f>TEXT(Transform_Data[[#This Row],[Date]],"mmm yyyy")</f>
        <v>Oct 2024</v>
      </c>
      <c r="H1998" s="10">
        <f>HOUR(Transform_Data[[#This Row],[Time]])</f>
        <v>17</v>
      </c>
      <c r="I1998" s="10" t="str">
        <f>IF(COUNTIF('Transform Data'!$D:$D,'Transform Data'!D1998)&gt;1,"Repeat","Single")</f>
        <v>Repeat</v>
      </c>
      <c r="J1998" s="10" t="str">
        <f>IF('Transform Data'!D1998="Cash","Cash",IF(COUNTIF('Transform Data'!$D:$D,'Transform Data'!D1998)&gt;1,"Repeat","Single"))</f>
        <v>Repeat</v>
      </c>
      <c r="K1998" s="10" t="str">
        <f t="shared" si="31"/>
        <v>TRANS-1997</v>
      </c>
    </row>
    <row r="1999" spans="1:11" x14ac:dyDescent="0.35">
      <c r="A1999" s="5">
        <v>45583</v>
      </c>
      <c r="B1999" s="3">
        <v>0.88518518518518519</v>
      </c>
      <c r="C1999" t="s">
        <v>8</v>
      </c>
      <c r="D1999" t="s">
        <v>43</v>
      </c>
      <c r="E1999" s="4">
        <v>35.76</v>
      </c>
      <c r="F1999" t="s">
        <v>10</v>
      </c>
      <c r="G1999" s="10" t="str">
        <f>TEXT(Transform_Data[[#This Row],[Date]],"mmm yyyy")</f>
        <v>Oct 2024</v>
      </c>
      <c r="H1999" s="10">
        <f>HOUR(Transform_Data[[#This Row],[Time]])</f>
        <v>21</v>
      </c>
      <c r="I1999" s="10" t="str">
        <f>IF(COUNTIF('Transform Data'!$D:$D,'Transform Data'!D1999)&gt;1,"Repeat","Single")</f>
        <v>Repeat</v>
      </c>
      <c r="J1999" s="10" t="str">
        <f>IF('Transform Data'!D1999="Cash","Cash",IF(COUNTIF('Transform Data'!$D:$D,'Transform Data'!D1999)&gt;1,"Repeat","Single"))</f>
        <v>Repeat</v>
      </c>
      <c r="K1999" s="10" t="str">
        <f t="shared" si="31"/>
        <v>TRANS-1998</v>
      </c>
    </row>
    <row r="2000" spans="1:11" x14ac:dyDescent="0.35">
      <c r="A2000" s="5">
        <v>45583</v>
      </c>
      <c r="B2000" s="3">
        <v>0.88567129629629626</v>
      </c>
      <c r="C2000" t="s">
        <v>8</v>
      </c>
      <c r="D2000" t="s">
        <v>43</v>
      </c>
      <c r="E2000" s="4">
        <v>35.76</v>
      </c>
      <c r="F2000" t="s">
        <v>10</v>
      </c>
      <c r="G2000" s="10" t="str">
        <f>TEXT(Transform_Data[[#This Row],[Date]],"mmm yyyy")</f>
        <v>Oct 2024</v>
      </c>
      <c r="H2000" s="10">
        <f>HOUR(Transform_Data[[#This Row],[Time]])</f>
        <v>21</v>
      </c>
      <c r="I2000" s="10" t="str">
        <f>IF(COUNTIF('Transform Data'!$D:$D,'Transform Data'!D2000)&gt;1,"Repeat","Single")</f>
        <v>Repeat</v>
      </c>
      <c r="J2000" s="10" t="str">
        <f>IF('Transform Data'!D2000="Cash","Cash",IF(COUNTIF('Transform Data'!$D:$D,'Transform Data'!D2000)&gt;1,"Repeat","Single"))</f>
        <v>Repeat</v>
      </c>
      <c r="K2000" s="10" t="str">
        <f t="shared" si="31"/>
        <v>TRANS-1999</v>
      </c>
    </row>
    <row r="2001" spans="1:11" x14ac:dyDescent="0.35">
      <c r="A2001" s="5">
        <v>45583</v>
      </c>
      <c r="B2001" s="3">
        <v>0.91137731481481477</v>
      </c>
      <c r="C2001" t="s">
        <v>8</v>
      </c>
      <c r="D2001" t="s">
        <v>836</v>
      </c>
      <c r="E2001" s="4">
        <v>30.86</v>
      </c>
      <c r="F2001" t="s">
        <v>36</v>
      </c>
      <c r="G2001" s="10" t="str">
        <f>TEXT(Transform_Data[[#This Row],[Date]],"mmm yyyy")</f>
        <v>Oct 2024</v>
      </c>
      <c r="H2001" s="10">
        <f>HOUR(Transform_Data[[#This Row],[Time]])</f>
        <v>21</v>
      </c>
      <c r="I2001" s="10" t="str">
        <f>IF(COUNTIF('Transform Data'!$D:$D,'Transform Data'!D2001)&gt;1,"Repeat","Single")</f>
        <v>Single</v>
      </c>
      <c r="J2001" s="10" t="str">
        <f>IF('Transform Data'!D2001="Cash","Cash",IF(COUNTIF('Transform Data'!$D:$D,'Transform Data'!D2001)&gt;1,"Repeat","Single"))</f>
        <v>Single</v>
      </c>
      <c r="K2001" s="10" t="str">
        <f t="shared" si="31"/>
        <v>TRANS-2000</v>
      </c>
    </row>
    <row r="2002" spans="1:11" x14ac:dyDescent="0.35">
      <c r="A2002" s="5">
        <v>45583</v>
      </c>
      <c r="B2002" s="3">
        <v>0.91905092592592597</v>
      </c>
      <c r="C2002" t="s">
        <v>8</v>
      </c>
      <c r="D2002" t="s">
        <v>742</v>
      </c>
      <c r="E2002" s="4">
        <v>35.76</v>
      </c>
      <c r="F2002" t="s">
        <v>32</v>
      </c>
      <c r="G2002" s="10" t="str">
        <f>TEXT(Transform_Data[[#This Row],[Date]],"mmm yyyy")</f>
        <v>Oct 2024</v>
      </c>
      <c r="H2002" s="10">
        <f>HOUR(Transform_Data[[#This Row],[Time]])</f>
        <v>22</v>
      </c>
      <c r="I2002" s="10" t="str">
        <f>IF(COUNTIF('Transform Data'!$D:$D,'Transform Data'!D2002)&gt;1,"Repeat","Single")</f>
        <v>Repeat</v>
      </c>
      <c r="J2002" s="10" t="str">
        <f>IF('Transform Data'!D2002="Cash","Cash",IF(COUNTIF('Transform Data'!$D:$D,'Transform Data'!D2002)&gt;1,"Repeat","Single"))</f>
        <v>Repeat</v>
      </c>
      <c r="K2002" s="10" t="str">
        <f t="shared" si="31"/>
        <v>TRANS-2001</v>
      </c>
    </row>
    <row r="2003" spans="1:11" x14ac:dyDescent="0.35">
      <c r="A2003" s="5">
        <v>45584</v>
      </c>
      <c r="B2003" s="3">
        <v>0.3570949074074074</v>
      </c>
      <c r="C2003" t="s">
        <v>8</v>
      </c>
      <c r="D2003" t="s">
        <v>837</v>
      </c>
      <c r="E2003" s="4">
        <v>30.86</v>
      </c>
      <c r="F2003" t="s">
        <v>36</v>
      </c>
      <c r="G2003" s="10" t="str">
        <f>TEXT(Transform_Data[[#This Row],[Date]],"mmm yyyy")</f>
        <v>Oct 2024</v>
      </c>
      <c r="H2003" s="10">
        <f>HOUR(Transform_Data[[#This Row],[Time]])</f>
        <v>8</v>
      </c>
      <c r="I2003" s="10" t="str">
        <f>IF(COUNTIF('Transform Data'!$D:$D,'Transform Data'!D2003)&gt;1,"Repeat","Single")</f>
        <v>Single</v>
      </c>
      <c r="J2003" s="10" t="str">
        <f>IF('Transform Data'!D2003="Cash","Cash",IF(COUNTIF('Transform Data'!$D:$D,'Transform Data'!D2003)&gt;1,"Repeat","Single"))</f>
        <v>Single</v>
      </c>
      <c r="K2003" s="10" t="str">
        <f t="shared" si="31"/>
        <v>TRANS-2002</v>
      </c>
    </row>
    <row r="2004" spans="1:11" x14ac:dyDescent="0.35">
      <c r="A2004" s="5">
        <v>45584</v>
      </c>
      <c r="B2004" s="3">
        <v>0.55701388888888892</v>
      </c>
      <c r="C2004" t="s">
        <v>8</v>
      </c>
      <c r="D2004" t="s">
        <v>76</v>
      </c>
      <c r="E2004" s="4">
        <v>35.76</v>
      </c>
      <c r="F2004" t="s">
        <v>32</v>
      </c>
      <c r="G2004" s="10" t="str">
        <f>TEXT(Transform_Data[[#This Row],[Date]],"mmm yyyy")</f>
        <v>Oct 2024</v>
      </c>
      <c r="H2004" s="10">
        <f>HOUR(Transform_Data[[#This Row],[Time]])</f>
        <v>13</v>
      </c>
      <c r="I2004" s="10" t="str">
        <f>IF(COUNTIF('Transform Data'!$D:$D,'Transform Data'!D2004)&gt;1,"Repeat","Single")</f>
        <v>Repeat</v>
      </c>
      <c r="J2004" s="10" t="str">
        <f>IF('Transform Data'!D2004="Cash","Cash",IF(COUNTIF('Transform Data'!$D:$D,'Transform Data'!D2004)&gt;1,"Repeat","Single"))</f>
        <v>Repeat</v>
      </c>
      <c r="K2004" s="10" t="str">
        <f t="shared" si="31"/>
        <v>TRANS-2003</v>
      </c>
    </row>
    <row r="2005" spans="1:11" x14ac:dyDescent="0.35">
      <c r="A2005" s="5">
        <v>45584</v>
      </c>
      <c r="B2005" s="3">
        <v>0.59064814814814814</v>
      </c>
      <c r="C2005" t="s">
        <v>8</v>
      </c>
      <c r="D2005" t="s">
        <v>408</v>
      </c>
      <c r="E2005" s="4">
        <v>35.76</v>
      </c>
      <c r="F2005" t="s">
        <v>24</v>
      </c>
      <c r="G2005" s="10" t="str">
        <f>TEXT(Transform_Data[[#This Row],[Date]],"mmm yyyy")</f>
        <v>Oct 2024</v>
      </c>
      <c r="H2005" s="10">
        <f>HOUR(Transform_Data[[#This Row],[Time]])</f>
        <v>14</v>
      </c>
      <c r="I2005" s="10" t="str">
        <f>IF(COUNTIF('Transform Data'!$D:$D,'Transform Data'!D2005)&gt;1,"Repeat","Single")</f>
        <v>Repeat</v>
      </c>
      <c r="J2005" s="10" t="str">
        <f>IF('Transform Data'!D2005="Cash","Cash",IF(COUNTIF('Transform Data'!$D:$D,'Transform Data'!D2005)&gt;1,"Repeat","Single"))</f>
        <v>Repeat</v>
      </c>
      <c r="K2005" s="10" t="str">
        <f t="shared" si="31"/>
        <v>TRANS-2004</v>
      </c>
    </row>
    <row r="2006" spans="1:11" x14ac:dyDescent="0.35">
      <c r="A2006" s="5">
        <v>45584</v>
      </c>
      <c r="B2006" s="3">
        <v>0.664525462962963</v>
      </c>
      <c r="C2006" t="s">
        <v>8</v>
      </c>
      <c r="D2006" t="s">
        <v>21</v>
      </c>
      <c r="E2006" s="4">
        <v>35.76</v>
      </c>
      <c r="F2006" t="s">
        <v>15</v>
      </c>
      <c r="G2006" s="10" t="str">
        <f>TEXT(Transform_Data[[#This Row],[Date]],"mmm yyyy")</f>
        <v>Oct 2024</v>
      </c>
      <c r="H2006" s="10">
        <f>HOUR(Transform_Data[[#This Row],[Time]])</f>
        <v>15</v>
      </c>
      <c r="I2006" s="10" t="str">
        <f>IF(COUNTIF('Transform Data'!$D:$D,'Transform Data'!D2006)&gt;1,"Repeat","Single")</f>
        <v>Repeat</v>
      </c>
      <c r="J2006" s="10" t="str">
        <f>IF('Transform Data'!D2006="Cash","Cash",IF(COUNTIF('Transform Data'!$D:$D,'Transform Data'!D2006)&gt;1,"Repeat","Single"))</f>
        <v>Repeat</v>
      </c>
      <c r="K2006" s="10" t="str">
        <f t="shared" si="31"/>
        <v>TRANS-2005</v>
      </c>
    </row>
    <row r="2007" spans="1:11" x14ac:dyDescent="0.35">
      <c r="A2007" s="5">
        <v>45584</v>
      </c>
      <c r="B2007" s="3">
        <v>0.66625000000000001</v>
      </c>
      <c r="C2007" t="s">
        <v>8</v>
      </c>
      <c r="D2007" t="s">
        <v>21</v>
      </c>
      <c r="E2007" s="4">
        <v>35.76</v>
      </c>
      <c r="F2007" t="s">
        <v>32</v>
      </c>
      <c r="G2007" s="10" t="str">
        <f>TEXT(Transform_Data[[#This Row],[Date]],"mmm yyyy")</f>
        <v>Oct 2024</v>
      </c>
      <c r="H2007" s="10">
        <f>HOUR(Transform_Data[[#This Row],[Time]])</f>
        <v>15</v>
      </c>
      <c r="I2007" s="10" t="str">
        <f>IF(COUNTIF('Transform Data'!$D:$D,'Transform Data'!D2007)&gt;1,"Repeat","Single")</f>
        <v>Repeat</v>
      </c>
      <c r="J2007" s="10" t="str">
        <f>IF('Transform Data'!D2007="Cash","Cash",IF(COUNTIF('Transform Data'!$D:$D,'Transform Data'!D2007)&gt;1,"Repeat","Single"))</f>
        <v>Repeat</v>
      </c>
      <c r="K2007" s="10" t="str">
        <f t="shared" si="31"/>
        <v>TRANS-2006</v>
      </c>
    </row>
    <row r="2008" spans="1:11" x14ac:dyDescent="0.35">
      <c r="A2008" s="5">
        <v>45584</v>
      </c>
      <c r="B2008" s="3">
        <v>0.66857638888888893</v>
      </c>
      <c r="C2008" t="s">
        <v>8</v>
      </c>
      <c r="D2008" t="s">
        <v>547</v>
      </c>
      <c r="E2008" s="4">
        <v>35.76</v>
      </c>
      <c r="F2008" t="s">
        <v>32</v>
      </c>
      <c r="G2008" s="10" t="str">
        <f>TEXT(Transform_Data[[#This Row],[Date]],"mmm yyyy")</f>
        <v>Oct 2024</v>
      </c>
      <c r="H2008" s="10">
        <f>HOUR(Transform_Data[[#This Row],[Time]])</f>
        <v>16</v>
      </c>
      <c r="I2008" s="10" t="str">
        <f>IF(COUNTIF('Transform Data'!$D:$D,'Transform Data'!D2008)&gt;1,"Repeat","Single")</f>
        <v>Repeat</v>
      </c>
      <c r="J2008" s="10" t="str">
        <f>IF('Transform Data'!D2008="Cash","Cash",IF(COUNTIF('Transform Data'!$D:$D,'Transform Data'!D2008)&gt;1,"Repeat","Single"))</f>
        <v>Repeat</v>
      </c>
      <c r="K2008" s="10" t="str">
        <f t="shared" si="31"/>
        <v>TRANS-2007</v>
      </c>
    </row>
    <row r="2009" spans="1:11" x14ac:dyDescent="0.35">
      <c r="A2009" s="5">
        <v>45584</v>
      </c>
      <c r="B2009" s="3">
        <v>0.67895833333333333</v>
      </c>
      <c r="C2009" t="s">
        <v>8</v>
      </c>
      <c r="D2009" t="s">
        <v>748</v>
      </c>
      <c r="E2009" s="4">
        <v>35.76</v>
      </c>
      <c r="F2009" t="s">
        <v>32</v>
      </c>
      <c r="G2009" s="10" t="str">
        <f>TEXT(Transform_Data[[#This Row],[Date]],"mmm yyyy")</f>
        <v>Oct 2024</v>
      </c>
      <c r="H2009" s="10">
        <f>HOUR(Transform_Data[[#This Row],[Time]])</f>
        <v>16</v>
      </c>
      <c r="I2009" s="10" t="str">
        <f>IF(COUNTIF('Transform Data'!$D:$D,'Transform Data'!D2009)&gt;1,"Repeat","Single")</f>
        <v>Repeat</v>
      </c>
      <c r="J2009" s="10" t="str">
        <f>IF('Transform Data'!D2009="Cash","Cash",IF(COUNTIF('Transform Data'!$D:$D,'Transform Data'!D2009)&gt;1,"Repeat","Single"))</f>
        <v>Repeat</v>
      </c>
      <c r="K2009" s="10" t="str">
        <f t="shared" si="31"/>
        <v>TRANS-2008</v>
      </c>
    </row>
    <row r="2010" spans="1:11" x14ac:dyDescent="0.35">
      <c r="A2010" s="5">
        <v>45584</v>
      </c>
      <c r="B2010" s="3">
        <v>0.90746527777777775</v>
      </c>
      <c r="C2010" t="s">
        <v>8</v>
      </c>
      <c r="D2010" t="s">
        <v>742</v>
      </c>
      <c r="E2010" s="4">
        <v>35.76</v>
      </c>
      <c r="F2010" t="s">
        <v>10</v>
      </c>
      <c r="G2010" s="10" t="str">
        <f>TEXT(Transform_Data[[#This Row],[Date]],"mmm yyyy")</f>
        <v>Oct 2024</v>
      </c>
      <c r="H2010" s="10">
        <f>HOUR(Transform_Data[[#This Row],[Time]])</f>
        <v>21</v>
      </c>
      <c r="I2010" s="10" t="str">
        <f>IF(COUNTIF('Transform Data'!$D:$D,'Transform Data'!D2010)&gt;1,"Repeat","Single")</f>
        <v>Repeat</v>
      </c>
      <c r="J2010" s="10" t="str">
        <f>IF('Transform Data'!D2010="Cash","Cash",IF(COUNTIF('Transform Data'!$D:$D,'Transform Data'!D2010)&gt;1,"Repeat","Single"))</f>
        <v>Repeat</v>
      </c>
      <c r="K2010" s="10" t="str">
        <f t="shared" si="31"/>
        <v>TRANS-2009</v>
      </c>
    </row>
    <row r="2011" spans="1:11" x14ac:dyDescent="0.35">
      <c r="A2011" s="5">
        <v>45584</v>
      </c>
      <c r="B2011" s="3">
        <v>0.94903935185185184</v>
      </c>
      <c r="C2011" t="s">
        <v>8</v>
      </c>
      <c r="D2011" t="s">
        <v>838</v>
      </c>
      <c r="E2011" s="4">
        <v>35.76</v>
      </c>
      <c r="F2011" t="s">
        <v>24</v>
      </c>
      <c r="G2011" s="10" t="str">
        <f>TEXT(Transform_Data[[#This Row],[Date]],"mmm yyyy")</f>
        <v>Oct 2024</v>
      </c>
      <c r="H2011" s="10">
        <f>HOUR(Transform_Data[[#This Row],[Time]])</f>
        <v>22</v>
      </c>
      <c r="I2011" s="10" t="str">
        <f>IF(COUNTIF('Transform Data'!$D:$D,'Transform Data'!D2011)&gt;1,"Repeat","Single")</f>
        <v>Single</v>
      </c>
      <c r="J2011" s="10" t="str">
        <f>IF('Transform Data'!D2011="Cash","Cash",IF(COUNTIF('Transform Data'!$D:$D,'Transform Data'!D2011)&gt;1,"Repeat","Single"))</f>
        <v>Single</v>
      </c>
      <c r="K2011" s="10" t="str">
        <f t="shared" si="31"/>
        <v>TRANS-2010</v>
      </c>
    </row>
    <row r="2012" spans="1:11" x14ac:dyDescent="0.35">
      <c r="A2012" s="5">
        <v>45585</v>
      </c>
      <c r="B2012" s="3">
        <v>0.36160879629629628</v>
      </c>
      <c r="C2012" t="s">
        <v>8</v>
      </c>
      <c r="D2012" t="s">
        <v>622</v>
      </c>
      <c r="E2012" s="4">
        <v>35.76</v>
      </c>
      <c r="F2012" t="s">
        <v>32</v>
      </c>
      <c r="G2012" s="10" t="str">
        <f>TEXT(Transform_Data[[#This Row],[Date]],"mmm yyyy")</f>
        <v>Oct 2024</v>
      </c>
      <c r="H2012" s="10">
        <f>HOUR(Transform_Data[[#This Row],[Time]])</f>
        <v>8</v>
      </c>
      <c r="I2012" s="10" t="str">
        <f>IF(COUNTIF('Transform Data'!$D:$D,'Transform Data'!D2012)&gt;1,"Repeat","Single")</f>
        <v>Repeat</v>
      </c>
      <c r="J2012" s="10" t="str">
        <f>IF('Transform Data'!D2012="Cash","Cash",IF(COUNTIF('Transform Data'!$D:$D,'Transform Data'!D2012)&gt;1,"Repeat","Single"))</f>
        <v>Repeat</v>
      </c>
      <c r="K2012" s="10" t="str">
        <f t="shared" si="31"/>
        <v>TRANS-2011</v>
      </c>
    </row>
    <row r="2013" spans="1:11" x14ac:dyDescent="0.35">
      <c r="A2013" s="5">
        <v>45585</v>
      </c>
      <c r="B2013" s="3">
        <v>0.36238425925925927</v>
      </c>
      <c r="C2013" t="s">
        <v>8</v>
      </c>
      <c r="D2013" t="s">
        <v>622</v>
      </c>
      <c r="E2013" s="4">
        <v>35.76</v>
      </c>
      <c r="F2013" t="s">
        <v>10</v>
      </c>
      <c r="G2013" s="10" t="str">
        <f>TEXT(Transform_Data[[#This Row],[Date]],"mmm yyyy")</f>
        <v>Oct 2024</v>
      </c>
      <c r="H2013" s="10">
        <f>HOUR(Transform_Data[[#This Row],[Time]])</f>
        <v>8</v>
      </c>
      <c r="I2013" s="10" t="str">
        <f>IF(COUNTIF('Transform Data'!$D:$D,'Transform Data'!D2013)&gt;1,"Repeat","Single")</f>
        <v>Repeat</v>
      </c>
      <c r="J2013" s="10" t="str">
        <f>IF('Transform Data'!D2013="Cash","Cash",IF(COUNTIF('Transform Data'!$D:$D,'Transform Data'!D2013)&gt;1,"Repeat","Single"))</f>
        <v>Repeat</v>
      </c>
      <c r="K2013" s="10" t="str">
        <f t="shared" si="31"/>
        <v>TRANS-2012</v>
      </c>
    </row>
    <row r="2014" spans="1:11" x14ac:dyDescent="0.35">
      <c r="A2014" s="5">
        <v>45585</v>
      </c>
      <c r="B2014" s="3">
        <v>0.4700347222222222</v>
      </c>
      <c r="C2014" t="s">
        <v>8</v>
      </c>
      <c r="D2014" t="s">
        <v>839</v>
      </c>
      <c r="E2014" s="4">
        <v>35.76</v>
      </c>
      <c r="F2014" t="s">
        <v>32</v>
      </c>
      <c r="G2014" s="10" t="str">
        <f>TEXT(Transform_Data[[#This Row],[Date]],"mmm yyyy")</f>
        <v>Oct 2024</v>
      </c>
      <c r="H2014" s="10">
        <f>HOUR(Transform_Data[[#This Row],[Time]])</f>
        <v>11</v>
      </c>
      <c r="I2014" s="10" t="str">
        <f>IF(COUNTIF('Transform Data'!$D:$D,'Transform Data'!D2014)&gt;1,"Repeat","Single")</f>
        <v>Repeat</v>
      </c>
      <c r="J2014" s="10" t="str">
        <f>IF('Transform Data'!D2014="Cash","Cash",IF(COUNTIF('Transform Data'!$D:$D,'Transform Data'!D2014)&gt;1,"Repeat","Single"))</f>
        <v>Repeat</v>
      </c>
      <c r="K2014" s="10" t="str">
        <f t="shared" si="31"/>
        <v>TRANS-2013</v>
      </c>
    </row>
    <row r="2015" spans="1:11" x14ac:dyDescent="0.35">
      <c r="A2015" s="5">
        <v>45585</v>
      </c>
      <c r="B2015" s="3">
        <v>0.6033101851851852</v>
      </c>
      <c r="C2015" t="s">
        <v>8</v>
      </c>
      <c r="D2015" t="s">
        <v>702</v>
      </c>
      <c r="E2015" s="4">
        <v>35.76</v>
      </c>
      <c r="F2015" t="s">
        <v>15</v>
      </c>
      <c r="G2015" s="10" t="str">
        <f>TEXT(Transform_Data[[#This Row],[Date]],"mmm yyyy")</f>
        <v>Oct 2024</v>
      </c>
      <c r="H2015" s="10">
        <f>HOUR(Transform_Data[[#This Row],[Time]])</f>
        <v>14</v>
      </c>
      <c r="I2015" s="10" t="str">
        <f>IF(COUNTIF('Transform Data'!$D:$D,'Transform Data'!D2015)&gt;1,"Repeat","Single")</f>
        <v>Repeat</v>
      </c>
      <c r="J2015" s="10" t="str">
        <f>IF('Transform Data'!D2015="Cash","Cash",IF(COUNTIF('Transform Data'!$D:$D,'Transform Data'!D2015)&gt;1,"Repeat","Single"))</f>
        <v>Repeat</v>
      </c>
      <c r="K2015" s="10" t="str">
        <f t="shared" si="31"/>
        <v>TRANS-2014</v>
      </c>
    </row>
    <row r="2016" spans="1:11" x14ac:dyDescent="0.35">
      <c r="A2016" s="5">
        <v>45585</v>
      </c>
      <c r="B2016" s="3">
        <v>0.60396990740740741</v>
      </c>
      <c r="C2016" t="s">
        <v>8</v>
      </c>
      <c r="D2016" t="s">
        <v>702</v>
      </c>
      <c r="E2016" s="4">
        <v>25.96</v>
      </c>
      <c r="F2016" t="s">
        <v>20</v>
      </c>
      <c r="G2016" s="10" t="str">
        <f>TEXT(Transform_Data[[#This Row],[Date]],"mmm yyyy")</f>
        <v>Oct 2024</v>
      </c>
      <c r="H2016" s="10">
        <f>HOUR(Transform_Data[[#This Row],[Time]])</f>
        <v>14</v>
      </c>
      <c r="I2016" s="10" t="str">
        <f>IF(COUNTIF('Transform Data'!$D:$D,'Transform Data'!D2016)&gt;1,"Repeat","Single")</f>
        <v>Repeat</v>
      </c>
      <c r="J2016" s="10" t="str">
        <f>IF('Transform Data'!D2016="Cash","Cash",IF(COUNTIF('Transform Data'!$D:$D,'Transform Data'!D2016)&gt;1,"Repeat","Single"))</f>
        <v>Repeat</v>
      </c>
      <c r="K2016" s="10" t="str">
        <f t="shared" si="31"/>
        <v>TRANS-2015</v>
      </c>
    </row>
    <row r="2017" spans="1:11" x14ac:dyDescent="0.35">
      <c r="A2017" s="5">
        <v>45585</v>
      </c>
      <c r="B2017" s="3">
        <v>0.6616319444444444</v>
      </c>
      <c r="C2017" t="s">
        <v>8</v>
      </c>
      <c r="D2017" t="s">
        <v>508</v>
      </c>
      <c r="E2017" s="4">
        <v>30.86</v>
      </c>
      <c r="F2017" t="s">
        <v>36</v>
      </c>
      <c r="G2017" s="10" t="str">
        <f>TEXT(Transform_Data[[#This Row],[Date]],"mmm yyyy")</f>
        <v>Oct 2024</v>
      </c>
      <c r="H2017" s="10">
        <f>HOUR(Transform_Data[[#This Row],[Time]])</f>
        <v>15</v>
      </c>
      <c r="I2017" s="10" t="str">
        <f>IF(COUNTIF('Transform Data'!$D:$D,'Transform Data'!D2017)&gt;1,"Repeat","Single")</f>
        <v>Repeat</v>
      </c>
      <c r="J2017" s="10" t="str">
        <f>IF('Transform Data'!D2017="Cash","Cash",IF(COUNTIF('Transform Data'!$D:$D,'Transform Data'!D2017)&gt;1,"Repeat","Single"))</f>
        <v>Repeat</v>
      </c>
      <c r="K2017" s="10" t="str">
        <f t="shared" si="31"/>
        <v>TRANS-2016</v>
      </c>
    </row>
    <row r="2018" spans="1:11" x14ac:dyDescent="0.35">
      <c r="A2018" s="5">
        <v>45585</v>
      </c>
      <c r="B2018" s="3">
        <v>0.69802083333333331</v>
      </c>
      <c r="C2018" t="s">
        <v>8</v>
      </c>
      <c r="D2018" t="s">
        <v>840</v>
      </c>
      <c r="E2018" s="4">
        <v>35.76</v>
      </c>
      <c r="F2018" t="s">
        <v>32</v>
      </c>
      <c r="G2018" s="10" t="str">
        <f>TEXT(Transform_Data[[#This Row],[Date]],"mmm yyyy")</f>
        <v>Oct 2024</v>
      </c>
      <c r="H2018" s="10">
        <f>HOUR(Transform_Data[[#This Row],[Time]])</f>
        <v>16</v>
      </c>
      <c r="I2018" s="10" t="str">
        <f>IF(COUNTIF('Transform Data'!$D:$D,'Transform Data'!D2018)&gt;1,"Repeat","Single")</f>
        <v>Repeat</v>
      </c>
      <c r="J2018" s="10" t="str">
        <f>IF('Transform Data'!D2018="Cash","Cash",IF(COUNTIF('Transform Data'!$D:$D,'Transform Data'!D2018)&gt;1,"Repeat","Single"))</f>
        <v>Repeat</v>
      </c>
      <c r="K2018" s="10" t="str">
        <f t="shared" si="31"/>
        <v>TRANS-2017</v>
      </c>
    </row>
    <row r="2019" spans="1:11" x14ac:dyDescent="0.35">
      <c r="A2019" s="5">
        <v>45585</v>
      </c>
      <c r="B2019" s="3">
        <v>0.69865740740740745</v>
      </c>
      <c r="C2019" t="s">
        <v>8</v>
      </c>
      <c r="D2019" t="s">
        <v>840</v>
      </c>
      <c r="E2019" s="4">
        <v>35.76</v>
      </c>
      <c r="F2019" t="s">
        <v>32</v>
      </c>
      <c r="G2019" s="10" t="str">
        <f>TEXT(Transform_Data[[#This Row],[Date]],"mmm yyyy")</f>
        <v>Oct 2024</v>
      </c>
      <c r="H2019" s="10">
        <f>HOUR(Transform_Data[[#This Row],[Time]])</f>
        <v>16</v>
      </c>
      <c r="I2019" s="10" t="str">
        <f>IF(COUNTIF('Transform Data'!$D:$D,'Transform Data'!D2019)&gt;1,"Repeat","Single")</f>
        <v>Repeat</v>
      </c>
      <c r="J2019" s="10" t="str">
        <f>IF('Transform Data'!D2019="Cash","Cash",IF(COUNTIF('Transform Data'!$D:$D,'Transform Data'!D2019)&gt;1,"Repeat","Single"))</f>
        <v>Repeat</v>
      </c>
      <c r="K2019" s="10" t="str">
        <f t="shared" si="31"/>
        <v>TRANS-2018</v>
      </c>
    </row>
    <row r="2020" spans="1:11" x14ac:dyDescent="0.35">
      <c r="A2020" s="5">
        <v>45585</v>
      </c>
      <c r="B2020" s="3">
        <v>0.72714120370370372</v>
      </c>
      <c r="C2020" t="s">
        <v>8</v>
      </c>
      <c r="D2020" t="s">
        <v>21</v>
      </c>
      <c r="E2020" s="4">
        <v>35.76</v>
      </c>
      <c r="F2020" t="s">
        <v>32</v>
      </c>
      <c r="G2020" s="10" t="str">
        <f>TEXT(Transform_Data[[#This Row],[Date]],"mmm yyyy")</f>
        <v>Oct 2024</v>
      </c>
      <c r="H2020" s="10">
        <f>HOUR(Transform_Data[[#This Row],[Time]])</f>
        <v>17</v>
      </c>
      <c r="I2020" s="10" t="str">
        <f>IF(COUNTIF('Transform Data'!$D:$D,'Transform Data'!D2020)&gt;1,"Repeat","Single")</f>
        <v>Repeat</v>
      </c>
      <c r="J2020" s="10" t="str">
        <f>IF('Transform Data'!D2020="Cash","Cash",IF(COUNTIF('Transform Data'!$D:$D,'Transform Data'!D2020)&gt;1,"Repeat","Single"))</f>
        <v>Repeat</v>
      </c>
      <c r="K2020" s="10" t="str">
        <f t="shared" si="31"/>
        <v>TRANS-2019</v>
      </c>
    </row>
    <row r="2021" spans="1:11" x14ac:dyDescent="0.35">
      <c r="A2021" s="5">
        <v>45585</v>
      </c>
      <c r="B2021" s="3">
        <v>0.77379629629629632</v>
      </c>
      <c r="C2021" t="s">
        <v>8</v>
      </c>
      <c r="D2021" t="s">
        <v>43</v>
      </c>
      <c r="E2021" s="4">
        <v>35.76</v>
      </c>
      <c r="F2021" t="s">
        <v>10</v>
      </c>
      <c r="G2021" s="10" t="str">
        <f>TEXT(Transform_Data[[#This Row],[Date]],"mmm yyyy")</f>
        <v>Oct 2024</v>
      </c>
      <c r="H2021" s="10">
        <f>HOUR(Transform_Data[[#This Row],[Time]])</f>
        <v>18</v>
      </c>
      <c r="I2021" s="10" t="str">
        <f>IF(COUNTIF('Transform Data'!$D:$D,'Transform Data'!D2021)&gt;1,"Repeat","Single")</f>
        <v>Repeat</v>
      </c>
      <c r="J2021" s="10" t="str">
        <f>IF('Transform Data'!D2021="Cash","Cash",IF(COUNTIF('Transform Data'!$D:$D,'Transform Data'!D2021)&gt;1,"Repeat","Single"))</f>
        <v>Repeat</v>
      </c>
      <c r="K2021" s="10" t="str">
        <f t="shared" si="31"/>
        <v>TRANS-2020</v>
      </c>
    </row>
    <row r="2022" spans="1:11" x14ac:dyDescent="0.35">
      <c r="A2022" s="5">
        <v>45585</v>
      </c>
      <c r="B2022" s="3">
        <v>0.77439814814814811</v>
      </c>
      <c r="C2022" t="s">
        <v>8</v>
      </c>
      <c r="D2022" t="s">
        <v>43</v>
      </c>
      <c r="E2022" s="4">
        <v>35.76</v>
      </c>
      <c r="F2022" t="s">
        <v>10</v>
      </c>
      <c r="G2022" s="10" t="str">
        <f>TEXT(Transform_Data[[#This Row],[Date]],"mmm yyyy")</f>
        <v>Oct 2024</v>
      </c>
      <c r="H2022" s="10">
        <f>HOUR(Transform_Data[[#This Row],[Time]])</f>
        <v>18</v>
      </c>
      <c r="I2022" s="10" t="str">
        <f>IF(COUNTIF('Transform Data'!$D:$D,'Transform Data'!D2022)&gt;1,"Repeat","Single")</f>
        <v>Repeat</v>
      </c>
      <c r="J2022" s="10" t="str">
        <f>IF('Transform Data'!D2022="Cash","Cash",IF(COUNTIF('Transform Data'!$D:$D,'Transform Data'!D2022)&gt;1,"Repeat","Single"))</f>
        <v>Repeat</v>
      </c>
      <c r="K2022" s="10" t="str">
        <f t="shared" si="31"/>
        <v>TRANS-2021</v>
      </c>
    </row>
    <row r="2023" spans="1:11" x14ac:dyDescent="0.35">
      <c r="A2023" s="5">
        <v>45585</v>
      </c>
      <c r="B2023" s="3">
        <v>0.88493055555555555</v>
      </c>
      <c r="C2023" t="s">
        <v>8</v>
      </c>
      <c r="D2023" t="s">
        <v>841</v>
      </c>
      <c r="E2023" s="4">
        <v>35.76</v>
      </c>
      <c r="F2023" t="s">
        <v>15</v>
      </c>
      <c r="G2023" s="10" t="str">
        <f>TEXT(Transform_Data[[#This Row],[Date]],"mmm yyyy")</f>
        <v>Oct 2024</v>
      </c>
      <c r="H2023" s="10">
        <f>HOUR(Transform_Data[[#This Row],[Time]])</f>
        <v>21</v>
      </c>
      <c r="I2023" s="10" t="str">
        <f>IF(COUNTIF('Transform Data'!$D:$D,'Transform Data'!D2023)&gt;1,"Repeat","Single")</f>
        <v>Repeat</v>
      </c>
      <c r="J2023" s="10" t="str">
        <f>IF('Transform Data'!D2023="Cash","Cash",IF(COUNTIF('Transform Data'!$D:$D,'Transform Data'!D2023)&gt;1,"Repeat","Single"))</f>
        <v>Repeat</v>
      </c>
      <c r="K2023" s="10" t="str">
        <f t="shared" si="31"/>
        <v>TRANS-2022</v>
      </c>
    </row>
    <row r="2024" spans="1:11" x14ac:dyDescent="0.35">
      <c r="A2024" s="5">
        <v>45585</v>
      </c>
      <c r="B2024" s="3">
        <v>0.88561342592592596</v>
      </c>
      <c r="C2024" t="s">
        <v>8</v>
      </c>
      <c r="D2024" t="s">
        <v>842</v>
      </c>
      <c r="E2024" s="4">
        <v>25.96</v>
      </c>
      <c r="F2024" t="s">
        <v>20</v>
      </c>
      <c r="G2024" s="10" t="str">
        <f>TEXT(Transform_Data[[#This Row],[Date]],"mmm yyyy")</f>
        <v>Oct 2024</v>
      </c>
      <c r="H2024" s="10">
        <f>HOUR(Transform_Data[[#This Row],[Time]])</f>
        <v>21</v>
      </c>
      <c r="I2024" s="10" t="str">
        <f>IF(COUNTIF('Transform Data'!$D:$D,'Transform Data'!D2024)&gt;1,"Repeat","Single")</f>
        <v>Single</v>
      </c>
      <c r="J2024" s="10" t="str">
        <f>IF('Transform Data'!D2024="Cash","Cash",IF(COUNTIF('Transform Data'!$D:$D,'Transform Data'!D2024)&gt;1,"Repeat","Single"))</f>
        <v>Single</v>
      </c>
      <c r="K2024" s="10" t="str">
        <f t="shared" si="31"/>
        <v>TRANS-2023</v>
      </c>
    </row>
    <row r="2025" spans="1:11" x14ac:dyDescent="0.35">
      <c r="A2025" s="5">
        <v>45585</v>
      </c>
      <c r="B2025" s="3">
        <v>0.88710648148148152</v>
      </c>
      <c r="C2025" t="s">
        <v>8</v>
      </c>
      <c r="D2025" t="s">
        <v>843</v>
      </c>
      <c r="E2025" s="4">
        <v>35.76</v>
      </c>
      <c r="F2025" t="s">
        <v>10</v>
      </c>
      <c r="G2025" s="10" t="str">
        <f>TEXT(Transform_Data[[#This Row],[Date]],"mmm yyyy")</f>
        <v>Oct 2024</v>
      </c>
      <c r="H2025" s="10">
        <f>HOUR(Transform_Data[[#This Row],[Time]])</f>
        <v>21</v>
      </c>
      <c r="I2025" s="10" t="str">
        <f>IF(COUNTIF('Transform Data'!$D:$D,'Transform Data'!D2025)&gt;1,"Repeat","Single")</f>
        <v>Repeat</v>
      </c>
      <c r="J2025" s="10" t="str">
        <f>IF('Transform Data'!D2025="Cash","Cash",IF(COUNTIF('Transform Data'!$D:$D,'Transform Data'!D2025)&gt;1,"Repeat","Single"))</f>
        <v>Repeat</v>
      </c>
      <c r="K2025" s="10" t="str">
        <f t="shared" si="31"/>
        <v>TRANS-2024</v>
      </c>
    </row>
    <row r="2026" spans="1:11" x14ac:dyDescent="0.35">
      <c r="A2026" s="5">
        <v>45585</v>
      </c>
      <c r="B2026" s="3">
        <v>0.89236111111111116</v>
      </c>
      <c r="C2026" t="s">
        <v>8</v>
      </c>
      <c r="D2026" t="s">
        <v>844</v>
      </c>
      <c r="E2026" s="4">
        <v>35.76</v>
      </c>
      <c r="F2026" t="s">
        <v>32</v>
      </c>
      <c r="G2026" s="10" t="str">
        <f>TEXT(Transform_Data[[#This Row],[Date]],"mmm yyyy")</f>
        <v>Oct 2024</v>
      </c>
      <c r="H2026" s="10">
        <f>HOUR(Transform_Data[[#This Row],[Time]])</f>
        <v>21</v>
      </c>
      <c r="I2026" s="10" t="str">
        <f>IF(COUNTIF('Transform Data'!$D:$D,'Transform Data'!D2026)&gt;1,"Repeat","Single")</f>
        <v>Single</v>
      </c>
      <c r="J2026" s="10" t="str">
        <f>IF('Transform Data'!D2026="Cash","Cash",IF(COUNTIF('Transform Data'!$D:$D,'Transform Data'!D2026)&gt;1,"Repeat","Single"))</f>
        <v>Single</v>
      </c>
      <c r="K2026" s="10" t="str">
        <f t="shared" si="31"/>
        <v>TRANS-2025</v>
      </c>
    </row>
    <row r="2027" spans="1:11" x14ac:dyDescent="0.35">
      <c r="A2027" s="5">
        <v>45585</v>
      </c>
      <c r="B2027" s="3">
        <v>0.92880787037037038</v>
      </c>
      <c r="C2027" t="s">
        <v>8</v>
      </c>
      <c r="D2027" t="s">
        <v>602</v>
      </c>
      <c r="E2027" s="4">
        <v>35.76</v>
      </c>
      <c r="F2027" t="s">
        <v>24</v>
      </c>
      <c r="G2027" s="10" t="str">
        <f>TEXT(Transform_Data[[#This Row],[Date]],"mmm yyyy")</f>
        <v>Oct 2024</v>
      </c>
      <c r="H2027" s="10">
        <f>HOUR(Transform_Data[[#This Row],[Time]])</f>
        <v>22</v>
      </c>
      <c r="I2027" s="10" t="str">
        <f>IF(COUNTIF('Transform Data'!$D:$D,'Transform Data'!D2027)&gt;1,"Repeat","Single")</f>
        <v>Repeat</v>
      </c>
      <c r="J2027" s="10" t="str">
        <f>IF('Transform Data'!D2027="Cash","Cash",IF(COUNTIF('Transform Data'!$D:$D,'Transform Data'!D2027)&gt;1,"Repeat","Single"))</f>
        <v>Repeat</v>
      </c>
      <c r="K2027" s="10" t="str">
        <f t="shared" si="31"/>
        <v>TRANS-2026</v>
      </c>
    </row>
    <row r="2028" spans="1:11" x14ac:dyDescent="0.35">
      <c r="A2028" s="5">
        <v>45586</v>
      </c>
      <c r="B2028" s="3">
        <v>0.32549768518518518</v>
      </c>
      <c r="C2028" t="s">
        <v>8</v>
      </c>
      <c r="D2028" t="s">
        <v>748</v>
      </c>
      <c r="E2028" s="4">
        <v>35.76</v>
      </c>
      <c r="F2028" t="s">
        <v>32</v>
      </c>
      <c r="G2028" s="10" t="str">
        <f>TEXT(Transform_Data[[#This Row],[Date]],"mmm yyyy")</f>
        <v>Oct 2024</v>
      </c>
      <c r="H2028" s="10">
        <f>HOUR(Transform_Data[[#This Row],[Time]])</f>
        <v>7</v>
      </c>
      <c r="I2028" s="10" t="str">
        <f>IF(COUNTIF('Transform Data'!$D:$D,'Transform Data'!D2028)&gt;1,"Repeat","Single")</f>
        <v>Repeat</v>
      </c>
      <c r="J2028" s="10" t="str">
        <f>IF('Transform Data'!D2028="Cash","Cash",IF(COUNTIF('Transform Data'!$D:$D,'Transform Data'!D2028)&gt;1,"Repeat","Single"))</f>
        <v>Repeat</v>
      </c>
      <c r="K2028" s="10" t="str">
        <f t="shared" si="31"/>
        <v>TRANS-2027</v>
      </c>
    </row>
    <row r="2029" spans="1:11" x14ac:dyDescent="0.35">
      <c r="A2029" s="5">
        <v>45586</v>
      </c>
      <c r="B2029" s="3">
        <v>0.34717592592592594</v>
      </c>
      <c r="C2029" t="s">
        <v>8</v>
      </c>
      <c r="D2029" t="s">
        <v>11</v>
      </c>
      <c r="E2029" s="4">
        <v>35.76</v>
      </c>
      <c r="F2029" t="s">
        <v>32</v>
      </c>
      <c r="G2029" s="10" t="str">
        <f>TEXT(Transform_Data[[#This Row],[Date]],"mmm yyyy")</f>
        <v>Oct 2024</v>
      </c>
      <c r="H2029" s="10">
        <f>HOUR(Transform_Data[[#This Row],[Time]])</f>
        <v>8</v>
      </c>
      <c r="I2029" s="10" t="str">
        <f>IF(COUNTIF('Transform Data'!$D:$D,'Transform Data'!D2029)&gt;1,"Repeat","Single")</f>
        <v>Repeat</v>
      </c>
      <c r="J2029" s="10" t="str">
        <f>IF('Transform Data'!D2029="Cash","Cash",IF(COUNTIF('Transform Data'!$D:$D,'Transform Data'!D2029)&gt;1,"Repeat","Single"))</f>
        <v>Repeat</v>
      </c>
      <c r="K2029" s="10" t="str">
        <f t="shared" si="31"/>
        <v>TRANS-2028</v>
      </c>
    </row>
    <row r="2030" spans="1:11" x14ac:dyDescent="0.35">
      <c r="A2030" s="5">
        <v>45586</v>
      </c>
      <c r="B2030" s="3">
        <v>0.37840277777777775</v>
      </c>
      <c r="C2030" t="s">
        <v>8</v>
      </c>
      <c r="D2030" t="s">
        <v>438</v>
      </c>
      <c r="E2030" s="4">
        <v>30.86</v>
      </c>
      <c r="F2030" t="s">
        <v>36</v>
      </c>
      <c r="G2030" s="10" t="str">
        <f>TEXT(Transform_Data[[#This Row],[Date]],"mmm yyyy")</f>
        <v>Oct 2024</v>
      </c>
      <c r="H2030" s="10">
        <f>HOUR(Transform_Data[[#This Row],[Time]])</f>
        <v>9</v>
      </c>
      <c r="I2030" s="10" t="str">
        <f>IF(COUNTIF('Transform Data'!$D:$D,'Transform Data'!D2030)&gt;1,"Repeat","Single")</f>
        <v>Repeat</v>
      </c>
      <c r="J2030" s="10" t="str">
        <f>IF('Transform Data'!D2030="Cash","Cash",IF(COUNTIF('Transform Data'!$D:$D,'Transform Data'!D2030)&gt;1,"Repeat","Single"))</f>
        <v>Repeat</v>
      </c>
      <c r="K2030" s="10" t="str">
        <f t="shared" si="31"/>
        <v>TRANS-2029</v>
      </c>
    </row>
    <row r="2031" spans="1:11" x14ac:dyDescent="0.35">
      <c r="A2031" s="5">
        <v>45586</v>
      </c>
      <c r="B2031" s="3">
        <v>0.39890046296296294</v>
      </c>
      <c r="C2031" t="s">
        <v>8</v>
      </c>
      <c r="D2031" t="s">
        <v>845</v>
      </c>
      <c r="E2031" s="4">
        <v>35.76</v>
      </c>
      <c r="F2031" t="s">
        <v>32</v>
      </c>
      <c r="G2031" s="10" t="str">
        <f>TEXT(Transform_Data[[#This Row],[Date]],"mmm yyyy")</f>
        <v>Oct 2024</v>
      </c>
      <c r="H2031" s="10">
        <f>HOUR(Transform_Data[[#This Row],[Time]])</f>
        <v>9</v>
      </c>
      <c r="I2031" s="10" t="str">
        <f>IF(COUNTIF('Transform Data'!$D:$D,'Transform Data'!D2031)&gt;1,"Repeat","Single")</f>
        <v>Single</v>
      </c>
      <c r="J2031" s="10" t="str">
        <f>IF('Transform Data'!D2031="Cash","Cash",IF(COUNTIF('Transform Data'!$D:$D,'Transform Data'!D2031)&gt;1,"Repeat","Single"))</f>
        <v>Single</v>
      </c>
      <c r="K2031" s="10" t="str">
        <f t="shared" si="31"/>
        <v>TRANS-2030</v>
      </c>
    </row>
    <row r="2032" spans="1:11" x14ac:dyDescent="0.35">
      <c r="A2032" s="5">
        <v>45586</v>
      </c>
      <c r="B2032" s="3">
        <v>0.43413194444444442</v>
      </c>
      <c r="C2032" t="s">
        <v>8</v>
      </c>
      <c r="D2032" t="s">
        <v>752</v>
      </c>
      <c r="E2032" s="4">
        <v>25.96</v>
      </c>
      <c r="F2032" t="s">
        <v>28</v>
      </c>
      <c r="G2032" s="10" t="str">
        <f>TEXT(Transform_Data[[#This Row],[Date]],"mmm yyyy")</f>
        <v>Oct 2024</v>
      </c>
      <c r="H2032" s="10">
        <f>HOUR(Transform_Data[[#This Row],[Time]])</f>
        <v>10</v>
      </c>
      <c r="I2032" s="10" t="str">
        <f>IF(COUNTIF('Transform Data'!$D:$D,'Transform Data'!D2032)&gt;1,"Repeat","Single")</f>
        <v>Repeat</v>
      </c>
      <c r="J2032" s="10" t="str">
        <f>IF('Transform Data'!D2032="Cash","Cash",IF(COUNTIF('Transform Data'!$D:$D,'Transform Data'!D2032)&gt;1,"Repeat","Single"))</f>
        <v>Repeat</v>
      </c>
      <c r="K2032" s="10" t="str">
        <f t="shared" si="31"/>
        <v>TRANS-2031</v>
      </c>
    </row>
    <row r="2033" spans="1:11" x14ac:dyDescent="0.35">
      <c r="A2033" s="5">
        <v>45586</v>
      </c>
      <c r="B2033" s="3">
        <v>0.44564814814814813</v>
      </c>
      <c r="C2033" t="s">
        <v>8</v>
      </c>
      <c r="D2033" t="s">
        <v>40</v>
      </c>
      <c r="E2033" s="4">
        <v>25.96</v>
      </c>
      <c r="F2033" t="s">
        <v>20</v>
      </c>
      <c r="G2033" s="10" t="str">
        <f>TEXT(Transform_Data[[#This Row],[Date]],"mmm yyyy")</f>
        <v>Oct 2024</v>
      </c>
      <c r="H2033" s="10">
        <f>HOUR(Transform_Data[[#This Row],[Time]])</f>
        <v>10</v>
      </c>
      <c r="I2033" s="10" t="str">
        <f>IF(COUNTIF('Transform Data'!$D:$D,'Transform Data'!D2033)&gt;1,"Repeat","Single")</f>
        <v>Repeat</v>
      </c>
      <c r="J2033" s="10" t="str">
        <f>IF('Transform Data'!D2033="Cash","Cash",IF(COUNTIF('Transform Data'!$D:$D,'Transform Data'!D2033)&gt;1,"Repeat","Single"))</f>
        <v>Repeat</v>
      </c>
      <c r="K2033" s="10" t="str">
        <f t="shared" si="31"/>
        <v>TRANS-2032</v>
      </c>
    </row>
    <row r="2034" spans="1:11" x14ac:dyDescent="0.35">
      <c r="A2034" s="5">
        <v>45586</v>
      </c>
      <c r="B2034" s="3">
        <v>0.44623842592592594</v>
      </c>
      <c r="C2034" t="s">
        <v>8</v>
      </c>
      <c r="D2034" t="s">
        <v>40</v>
      </c>
      <c r="E2034" s="4">
        <v>25.96</v>
      </c>
      <c r="F2034" t="s">
        <v>20</v>
      </c>
      <c r="G2034" s="10" t="str">
        <f>TEXT(Transform_Data[[#This Row],[Date]],"mmm yyyy")</f>
        <v>Oct 2024</v>
      </c>
      <c r="H2034" s="10">
        <f>HOUR(Transform_Data[[#This Row],[Time]])</f>
        <v>10</v>
      </c>
      <c r="I2034" s="10" t="str">
        <f>IF(COUNTIF('Transform Data'!$D:$D,'Transform Data'!D2034)&gt;1,"Repeat","Single")</f>
        <v>Repeat</v>
      </c>
      <c r="J2034" s="10" t="str">
        <f>IF('Transform Data'!D2034="Cash","Cash",IF(COUNTIF('Transform Data'!$D:$D,'Transform Data'!D2034)&gt;1,"Repeat","Single"))</f>
        <v>Repeat</v>
      </c>
      <c r="K2034" s="10" t="str">
        <f t="shared" si="31"/>
        <v>TRANS-2033</v>
      </c>
    </row>
    <row r="2035" spans="1:11" x14ac:dyDescent="0.35">
      <c r="A2035" s="5">
        <v>45586</v>
      </c>
      <c r="B2035" s="3">
        <v>0.4775578703703704</v>
      </c>
      <c r="C2035" t="s">
        <v>8</v>
      </c>
      <c r="D2035" t="s">
        <v>328</v>
      </c>
      <c r="E2035" s="4">
        <v>21.06</v>
      </c>
      <c r="F2035" t="s">
        <v>5</v>
      </c>
      <c r="G2035" s="10" t="str">
        <f>TEXT(Transform_Data[[#This Row],[Date]],"mmm yyyy")</f>
        <v>Oct 2024</v>
      </c>
      <c r="H2035" s="10">
        <f>HOUR(Transform_Data[[#This Row],[Time]])</f>
        <v>11</v>
      </c>
      <c r="I2035" s="10" t="str">
        <f>IF(COUNTIF('Transform Data'!$D:$D,'Transform Data'!D2035)&gt;1,"Repeat","Single")</f>
        <v>Repeat</v>
      </c>
      <c r="J2035" s="10" t="str">
        <f>IF('Transform Data'!D2035="Cash","Cash",IF(COUNTIF('Transform Data'!$D:$D,'Transform Data'!D2035)&gt;1,"Repeat","Single"))</f>
        <v>Repeat</v>
      </c>
      <c r="K2035" s="10" t="str">
        <f t="shared" si="31"/>
        <v>TRANS-2034</v>
      </c>
    </row>
    <row r="2036" spans="1:11" x14ac:dyDescent="0.35">
      <c r="A2036" s="5">
        <v>45586</v>
      </c>
      <c r="B2036" s="3">
        <v>0.5280555555555555</v>
      </c>
      <c r="C2036" t="s">
        <v>8</v>
      </c>
      <c r="D2036" t="s">
        <v>803</v>
      </c>
      <c r="E2036" s="4">
        <v>35.76</v>
      </c>
      <c r="F2036" t="s">
        <v>24</v>
      </c>
      <c r="G2036" s="10" t="str">
        <f>TEXT(Transform_Data[[#This Row],[Date]],"mmm yyyy")</f>
        <v>Oct 2024</v>
      </c>
      <c r="H2036" s="10">
        <f>HOUR(Transform_Data[[#This Row],[Time]])</f>
        <v>12</v>
      </c>
      <c r="I2036" s="10" t="str">
        <f>IF(COUNTIF('Transform Data'!$D:$D,'Transform Data'!D2036)&gt;1,"Repeat","Single")</f>
        <v>Repeat</v>
      </c>
      <c r="J2036" s="10" t="str">
        <f>IF('Transform Data'!D2036="Cash","Cash",IF(COUNTIF('Transform Data'!$D:$D,'Transform Data'!D2036)&gt;1,"Repeat","Single"))</f>
        <v>Repeat</v>
      </c>
      <c r="K2036" s="10" t="str">
        <f t="shared" si="31"/>
        <v>TRANS-2035</v>
      </c>
    </row>
    <row r="2037" spans="1:11" x14ac:dyDescent="0.35">
      <c r="A2037" s="5">
        <v>45586</v>
      </c>
      <c r="B2037" s="3">
        <v>0.61314814814814811</v>
      </c>
      <c r="C2037" t="s">
        <v>8</v>
      </c>
      <c r="D2037" t="s">
        <v>846</v>
      </c>
      <c r="E2037" s="4">
        <v>35.76</v>
      </c>
      <c r="F2037" t="s">
        <v>32</v>
      </c>
      <c r="G2037" s="10" t="str">
        <f>TEXT(Transform_Data[[#This Row],[Date]],"mmm yyyy")</f>
        <v>Oct 2024</v>
      </c>
      <c r="H2037" s="10">
        <f>HOUR(Transform_Data[[#This Row],[Time]])</f>
        <v>14</v>
      </c>
      <c r="I2037" s="10" t="str">
        <f>IF(COUNTIF('Transform Data'!$D:$D,'Transform Data'!D2037)&gt;1,"Repeat","Single")</f>
        <v>Single</v>
      </c>
      <c r="J2037" s="10" t="str">
        <f>IF('Transform Data'!D2037="Cash","Cash",IF(COUNTIF('Transform Data'!$D:$D,'Transform Data'!D2037)&gt;1,"Repeat","Single"))</f>
        <v>Single</v>
      </c>
      <c r="K2037" s="10" t="str">
        <f t="shared" si="31"/>
        <v>TRANS-2036</v>
      </c>
    </row>
    <row r="2038" spans="1:11" x14ac:dyDescent="0.35">
      <c r="A2038" s="5">
        <v>45586</v>
      </c>
      <c r="B2038" s="3">
        <v>0.61386574074074074</v>
      </c>
      <c r="C2038" t="s">
        <v>8</v>
      </c>
      <c r="D2038" t="s">
        <v>778</v>
      </c>
      <c r="E2038" s="4">
        <v>35.76</v>
      </c>
      <c r="F2038" t="s">
        <v>32</v>
      </c>
      <c r="G2038" s="10" t="str">
        <f>TEXT(Transform_Data[[#This Row],[Date]],"mmm yyyy")</f>
        <v>Oct 2024</v>
      </c>
      <c r="H2038" s="10">
        <f>HOUR(Transform_Data[[#This Row],[Time]])</f>
        <v>14</v>
      </c>
      <c r="I2038" s="10" t="str">
        <f>IF(COUNTIF('Transform Data'!$D:$D,'Transform Data'!D2038)&gt;1,"Repeat","Single")</f>
        <v>Repeat</v>
      </c>
      <c r="J2038" s="10" t="str">
        <f>IF('Transform Data'!D2038="Cash","Cash",IF(COUNTIF('Transform Data'!$D:$D,'Transform Data'!D2038)&gt;1,"Repeat","Single"))</f>
        <v>Repeat</v>
      </c>
      <c r="K2038" s="10" t="str">
        <f t="shared" si="31"/>
        <v>TRANS-2037</v>
      </c>
    </row>
    <row r="2039" spans="1:11" x14ac:dyDescent="0.35">
      <c r="A2039" s="5">
        <v>45586</v>
      </c>
      <c r="B2039" s="3">
        <v>0.64377314814814812</v>
      </c>
      <c r="C2039" t="s">
        <v>8</v>
      </c>
      <c r="D2039" t="s">
        <v>847</v>
      </c>
      <c r="E2039" s="4">
        <v>30.86</v>
      </c>
      <c r="F2039" t="s">
        <v>36</v>
      </c>
      <c r="G2039" s="10" t="str">
        <f>TEXT(Transform_Data[[#This Row],[Date]],"mmm yyyy")</f>
        <v>Oct 2024</v>
      </c>
      <c r="H2039" s="10">
        <f>HOUR(Transform_Data[[#This Row],[Time]])</f>
        <v>15</v>
      </c>
      <c r="I2039" s="10" t="str">
        <f>IF(COUNTIF('Transform Data'!$D:$D,'Transform Data'!D2039)&gt;1,"Repeat","Single")</f>
        <v>Single</v>
      </c>
      <c r="J2039" s="10" t="str">
        <f>IF('Transform Data'!D2039="Cash","Cash",IF(COUNTIF('Transform Data'!$D:$D,'Transform Data'!D2039)&gt;1,"Repeat","Single"))</f>
        <v>Single</v>
      </c>
      <c r="K2039" s="10" t="str">
        <f t="shared" si="31"/>
        <v>TRANS-2038</v>
      </c>
    </row>
    <row r="2040" spans="1:11" x14ac:dyDescent="0.35">
      <c r="A2040" s="5">
        <v>45586</v>
      </c>
      <c r="B2040" s="3">
        <v>0.65212962962962961</v>
      </c>
      <c r="C2040" t="s">
        <v>8</v>
      </c>
      <c r="D2040" t="s">
        <v>848</v>
      </c>
      <c r="E2040" s="4">
        <v>25.96</v>
      </c>
      <c r="F2040" t="s">
        <v>20</v>
      </c>
      <c r="G2040" s="10" t="str">
        <f>TEXT(Transform_Data[[#This Row],[Date]],"mmm yyyy")</f>
        <v>Oct 2024</v>
      </c>
      <c r="H2040" s="10">
        <f>HOUR(Transform_Data[[#This Row],[Time]])</f>
        <v>15</v>
      </c>
      <c r="I2040" s="10" t="str">
        <f>IF(COUNTIF('Transform Data'!$D:$D,'Transform Data'!D2040)&gt;1,"Repeat","Single")</f>
        <v>Single</v>
      </c>
      <c r="J2040" s="10" t="str">
        <f>IF('Transform Data'!D2040="Cash","Cash",IF(COUNTIF('Transform Data'!$D:$D,'Transform Data'!D2040)&gt;1,"Repeat","Single"))</f>
        <v>Single</v>
      </c>
      <c r="K2040" s="10" t="str">
        <f t="shared" si="31"/>
        <v>TRANS-2039</v>
      </c>
    </row>
    <row r="2041" spans="1:11" x14ac:dyDescent="0.35">
      <c r="A2041" s="5">
        <v>45586</v>
      </c>
      <c r="B2041" s="3">
        <v>0.69649305555555552</v>
      </c>
      <c r="C2041" t="s">
        <v>8</v>
      </c>
      <c r="D2041" t="s">
        <v>279</v>
      </c>
      <c r="E2041" s="4">
        <v>35.76</v>
      </c>
      <c r="F2041" t="s">
        <v>10</v>
      </c>
      <c r="G2041" s="10" t="str">
        <f>TEXT(Transform_Data[[#This Row],[Date]],"mmm yyyy")</f>
        <v>Oct 2024</v>
      </c>
      <c r="H2041" s="10">
        <f>HOUR(Transform_Data[[#This Row],[Time]])</f>
        <v>16</v>
      </c>
      <c r="I2041" s="10" t="str">
        <f>IF(COUNTIF('Transform Data'!$D:$D,'Transform Data'!D2041)&gt;1,"Repeat","Single")</f>
        <v>Repeat</v>
      </c>
      <c r="J2041" s="10" t="str">
        <f>IF('Transform Data'!D2041="Cash","Cash",IF(COUNTIF('Transform Data'!$D:$D,'Transform Data'!D2041)&gt;1,"Repeat","Single"))</f>
        <v>Repeat</v>
      </c>
      <c r="K2041" s="10" t="str">
        <f t="shared" si="31"/>
        <v>TRANS-2040</v>
      </c>
    </row>
    <row r="2042" spans="1:11" x14ac:dyDescent="0.35">
      <c r="A2042" s="5">
        <v>45586</v>
      </c>
      <c r="B2042" s="3">
        <v>0.70511574074074079</v>
      </c>
      <c r="C2042" t="s">
        <v>8</v>
      </c>
      <c r="D2042" t="s">
        <v>849</v>
      </c>
      <c r="E2042" s="4">
        <v>35.76</v>
      </c>
      <c r="F2042" t="s">
        <v>32</v>
      </c>
      <c r="G2042" s="10" t="str">
        <f>TEXT(Transform_Data[[#This Row],[Date]],"mmm yyyy")</f>
        <v>Oct 2024</v>
      </c>
      <c r="H2042" s="10">
        <f>HOUR(Transform_Data[[#This Row],[Time]])</f>
        <v>16</v>
      </c>
      <c r="I2042" s="10" t="str">
        <f>IF(COUNTIF('Transform Data'!$D:$D,'Transform Data'!D2042)&gt;1,"Repeat","Single")</f>
        <v>Single</v>
      </c>
      <c r="J2042" s="10" t="str">
        <f>IF('Transform Data'!D2042="Cash","Cash",IF(COUNTIF('Transform Data'!$D:$D,'Transform Data'!D2042)&gt;1,"Repeat","Single"))</f>
        <v>Single</v>
      </c>
      <c r="K2042" s="10" t="str">
        <f t="shared" si="31"/>
        <v>TRANS-2041</v>
      </c>
    </row>
    <row r="2043" spans="1:11" x14ac:dyDescent="0.35">
      <c r="A2043" s="5">
        <v>45586</v>
      </c>
      <c r="B2043" s="3">
        <v>0.80640046296296297</v>
      </c>
      <c r="C2043" t="s">
        <v>8</v>
      </c>
      <c r="D2043" t="s">
        <v>850</v>
      </c>
      <c r="E2043" s="4">
        <v>35.76</v>
      </c>
      <c r="F2043" t="s">
        <v>15</v>
      </c>
      <c r="G2043" s="10" t="str">
        <f>TEXT(Transform_Data[[#This Row],[Date]],"mmm yyyy")</f>
        <v>Oct 2024</v>
      </c>
      <c r="H2043" s="10">
        <f>HOUR(Transform_Data[[#This Row],[Time]])</f>
        <v>19</v>
      </c>
      <c r="I2043" s="10" t="str">
        <f>IF(COUNTIF('Transform Data'!$D:$D,'Transform Data'!D2043)&gt;1,"Repeat","Single")</f>
        <v>Repeat</v>
      </c>
      <c r="J2043" s="10" t="str">
        <f>IF('Transform Data'!D2043="Cash","Cash",IF(COUNTIF('Transform Data'!$D:$D,'Transform Data'!D2043)&gt;1,"Repeat","Single"))</f>
        <v>Repeat</v>
      </c>
      <c r="K2043" s="10" t="str">
        <f t="shared" si="31"/>
        <v>TRANS-2042</v>
      </c>
    </row>
    <row r="2044" spans="1:11" x14ac:dyDescent="0.35">
      <c r="A2044" s="5">
        <v>45586</v>
      </c>
      <c r="B2044" s="3">
        <v>0.87888888888888894</v>
      </c>
      <c r="C2044" t="s">
        <v>8</v>
      </c>
      <c r="D2044" t="s">
        <v>851</v>
      </c>
      <c r="E2044" s="4">
        <v>35.76</v>
      </c>
      <c r="F2044" t="s">
        <v>32</v>
      </c>
      <c r="G2044" s="10" t="str">
        <f>TEXT(Transform_Data[[#This Row],[Date]],"mmm yyyy")</f>
        <v>Oct 2024</v>
      </c>
      <c r="H2044" s="10">
        <f>HOUR(Transform_Data[[#This Row],[Time]])</f>
        <v>21</v>
      </c>
      <c r="I2044" s="10" t="str">
        <f>IF(COUNTIF('Transform Data'!$D:$D,'Transform Data'!D2044)&gt;1,"Repeat","Single")</f>
        <v>Repeat</v>
      </c>
      <c r="J2044" s="10" t="str">
        <f>IF('Transform Data'!D2044="Cash","Cash",IF(COUNTIF('Transform Data'!$D:$D,'Transform Data'!D2044)&gt;1,"Repeat","Single"))</f>
        <v>Repeat</v>
      </c>
      <c r="K2044" s="10" t="str">
        <f t="shared" si="31"/>
        <v>TRANS-2043</v>
      </c>
    </row>
    <row r="2045" spans="1:11" x14ac:dyDescent="0.35">
      <c r="A2045" s="5">
        <v>45586</v>
      </c>
      <c r="B2045" s="3">
        <v>0.93800925925925926</v>
      </c>
      <c r="C2045" t="s">
        <v>8</v>
      </c>
      <c r="D2045" t="s">
        <v>841</v>
      </c>
      <c r="E2045" s="4">
        <v>35.76</v>
      </c>
      <c r="F2045" t="s">
        <v>10</v>
      </c>
      <c r="G2045" s="10" t="str">
        <f>TEXT(Transform_Data[[#This Row],[Date]],"mmm yyyy")</f>
        <v>Oct 2024</v>
      </c>
      <c r="H2045" s="10">
        <f>HOUR(Transform_Data[[#This Row],[Time]])</f>
        <v>22</v>
      </c>
      <c r="I2045" s="10" t="str">
        <f>IF(COUNTIF('Transform Data'!$D:$D,'Transform Data'!D2045)&gt;1,"Repeat","Single")</f>
        <v>Repeat</v>
      </c>
      <c r="J2045" s="10" t="str">
        <f>IF('Transform Data'!D2045="Cash","Cash",IF(COUNTIF('Transform Data'!$D:$D,'Transform Data'!D2045)&gt;1,"Repeat","Single"))</f>
        <v>Repeat</v>
      </c>
      <c r="K2045" s="10" t="str">
        <f t="shared" si="31"/>
        <v>TRANS-2044</v>
      </c>
    </row>
    <row r="2046" spans="1:11" x14ac:dyDescent="0.35">
      <c r="A2046" s="5">
        <v>45586</v>
      </c>
      <c r="B2046" s="3">
        <v>0.93857638888888884</v>
      </c>
      <c r="C2046" t="s">
        <v>8</v>
      </c>
      <c r="D2046" t="s">
        <v>843</v>
      </c>
      <c r="E2046" s="4">
        <v>35.76</v>
      </c>
      <c r="F2046" t="s">
        <v>15</v>
      </c>
      <c r="G2046" s="10" t="str">
        <f>TEXT(Transform_Data[[#This Row],[Date]],"mmm yyyy")</f>
        <v>Oct 2024</v>
      </c>
      <c r="H2046" s="10">
        <f>HOUR(Transform_Data[[#This Row],[Time]])</f>
        <v>22</v>
      </c>
      <c r="I2046" s="10" t="str">
        <f>IF(COUNTIF('Transform Data'!$D:$D,'Transform Data'!D2046)&gt;1,"Repeat","Single")</f>
        <v>Repeat</v>
      </c>
      <c r="J2046" s="10" t="str">
        <f>IF('Transform Data'!D2046="Cash","Cash",IF(COUNTIF('Transform Data'!$D:$D,'Transform Data'!D2046)&gt;1,"Repeat","Single"))</f>
        <v>Repeat</v>
      </c>
      <c r="K2046" s="10" t="str">
        <f t="shared" si="31"/>
        <v>TRANS-2045</v>
      </c>
    </row>
    <row r="2047" spans="1:11" x14ac:dyDescent="0.35">
      <c r="A2047" s="5">
        <v>45587</v>
      </c>
      <c r="B2047" s="3">
        <v>0.31457175925925923</v>
      </c>
      <c r="C2047" t="s">
        <v>8</v>
      </c>
      <c r="D2047" t="s">
        <v>748</v>
      </c>
      <c r="E2047" s="4">
        <v>35.76</v>
      </c>
      <c r="F2047" t="s">
        <v>32</v>
      </c>
      <c r="G2047" s="10" t="str">
        <f>TEXT(Transform_Data[[#This Row],[Date]],"mmm yyyy")</f>
        <v>Oct 2024</v>
      </c>
      <c r="H2047" s="10">
        <f>HOUR(Transform_Data[[#This Row],[Time]])</f>
        <v>7</v>
      </c>
      <c r="I2047" s="10" t="str">
        <f>IF(COUNTIF('Transform Data'!$D:$D,'Transform Data'!D2047)&gt;1,"Repeat","Single")</f>
        <v>Repeat</v>
      </c>
      <c r="J2047" s="10" t="str">
        <f>IF('Transform Data'!D2047="Cash","Cash",IF(COUNTIF('Transform Data'!$D:$D,'Transform Data'!D2047)&gt;1,"Repeat","Single"))</f>
        <v>Repeat</v>
      </c>
      <c r="K2047" s="10" t="str">
        <f t="shared" si="31"/>
        <v>TRANS-2046</v>
      </c>
    </row>
    <row r="2048" spans="1:11" x14ac:dyDescent="0.35">
      <c r="A2048" s="5">
        <v>45587</v>
      </c>
      <c r="B2048" s="3">
        <v>0.31527777777777777</v>
      </c>
      <c r="C2048" t="s">
        <v>8</v>
      </c>
      <c r="D2048" t="s">
        <v>748</v>
      </c>
      <c r="E2048" s="4">
        <v>35.76</v>
      </c>
      <c r="F2048" t="s">
        <v>24</v>
      </c>
      <c r="G2048" s="10" t="str">
        <f>TEXT(Transform_Data[[#This Row],[Date]],"mmm yyyy")</f>
        <v>Oct 2024</v>
      </c>
      <c r="H2048" s="10">
        <f>HOUR(Transform_Data[[#This Row],[Time]])</f>
        <v>7</v>
      </c>
      <c r="I2048" s="10" t="str">
        <f>IF(COUNTIF('Transform Data'!$D:$D,'Transform Data'!D2048)&gt;1,"Repeat","Single")</f>
        <v>Repeat</v>
      </c>
      <c r="J2048" s="10" t="str">
        <f>IF('Transform Data'!D2048="Cash","Cash",IF(COUNTIF('Transform Data'!$D:$D,'Transform Data'!D2048)&gt;1,"Repeat","Single"))</f>
        <v>Repeat</v>
      </c>
      <c r="K2048" s="10" t="str">
        <f t="shared" si="31"/>
        <v>TRANS-2047</v>
      </c>
    </row>
    <row r="2049" spans="1:11" x14ac:dyDescent="0.35">
      <c r="A2049" s="5">
        <v>45587</v>
      </c>
      <c r="B2049" s="3">
        <v>0.35106481481481483</v>
      </c>
      <c r="C2049" t="s">
        <v>8</v>
      </c>
      <c r="D2049" t="s">
        <v>29</v>
      </c>
      <c r="E2049" s="4">
        <v>30.86</v>
      </c>
      <c r="F2049" t="s">
        <v>36</v>
      </c>
      <c r="G2049" s="10" t="str">
        <f>TEXT(Transform_Data[[#This Row],[Date]],"mmm yyyy")</f>
        <v>Oct 2024</v>
      </c>
      <c r="H2049" s="10">
        <f>HOUR(Transform_Data[[#This Row],[Time]])</f>
        <v>8</v>
      </c>
      <c r="I2049" s="10" t="str">
        <f>IF(COUNTIF('Transform Data'!$D:$D,'Transform Data'!D2049)&gt;1,"Repeat","Single")</f>
        <v>Repeat</v>
      </c>
      <c r="J2049" s="10" t="str">
        <f>IF('Transform Data'!D2049="Cash","Cash",IF(COUNTIF('Transform Data'!$D:$D,'Transform Data'!D2049)&gt;1,"Repeat","Single"))</f>
        <v>Repeat</v>
      </c>
      <c r="K2049" s="10" t="str">
        <f t="shared" si="31"/>
        <v>TRANS-2048</v>
      </c>
    </row>
    <row r="2050" spans="1:11" x14ac:dyDescent="0.35">
      <c r="A2050" s="5">
        <v>45587</v>
      </c>
      <c r="B2050" s="3">
        <v>0.38738425925925923</v>
      </c>
      <c r="C2050" t="s">
        <v>8</v>
      </c>
      <c r="D2050" t="s">
        <v>852</v>
      </c>
      <c r="E2050" s="4">
        <v>25.96</v>
      </c>
      <c r="F2050" t="s">
        <v>20</v>
      </c>
      <c r="G2050" s="10" t="str">
        <f>TEXT(Transform_Data[[#This Row],[Date]],"mmm yyyy")</f>
        <v>Oct 2024</v>
      </c>
      <c r="H2050" s="10">
        <f>HOUR(Transform_Data[[#This Row],[Time]])</f>
        <v>9</v>
      </c>
      <c r="I2050" s="10" t="str">
        <f>IF(COUNTIF('Transform Data'!$D:$D,'Transform Data'!D2050)&gt;1,"Repeat","Single")</f>
        <v>Single</v>
      </c>
      <c r="J2050" s="10" t="str">
        <f>IF('Transform Data'!D2050="Cash","Cash",IF(COUNTIF('Transform Data'!$D:$D,'Transform Data'!D2050)&gt;1,"Repeat","Single"))</f>
        <v>Single</v>
      </c>
      <c r="K2050" s="10" t="str">
        <f t="shared" ref="K2050:K2113" si="32">"TRANS-"&amp;TEXT(ROW(A2049),"0000")</f>
        <v>TRANS-2049</v>
      </c>
    </row>
    <row r="2051" spans="1:11" x14ac:dyDescent="0.35">
      <c r="A2051" s="5">
        <v>45587</v>
      </c>
      <c r="B2051" s="3">
        <v>0.45245370370370369</v>
      </c>
      <c r="C2051" t="s">
        <v>8</v>
      </c>
      <c r="D2051" t="s">
        <v>455</v>
      </c>
      <c r="E2051" s="4">
        <v>21.06</v>
      </c>
      <c r="F2051" t="s">
        <v>5</v>
      </c>
      <c r="G2051" s="10" t="str">
        <f>TEXT(Transform_Data[[#This Row],[Date]],"mmm yyyy")</f>
        <v>Oct 2024</v>
      </c>
      <c r="H2051" s="10">
        <f>HOUR(Transform_Data[[#This Row],[Time]])</f>
        <v>10</v>
      </c>
      <c r="I2051" s="10" t="str">
        <f>IF(COUNTIF('Transform Data'!$D:$D,'Transform Data'!D2051)&gt;1,"Repeat","Single")</f>
        <v>Repeat</v>
      </c>
      <c r="J2051" s="10" t="str">
        <f>IF('Transform Data'!D2051="Cash","Cash",IF(COUNTIF('Transform Data'!$D:$D,'Transform Data'!D2051)&gt;1,"Repeat","Single"))</f>
        <v>Repeat</v>
      </c>
      <c r="K2051" s="10" t="str">
        <f t="shared" si="32"/>
        <v>TRANS-2050</v>
      </c>
    </row>
    <row r="2052" spans="1:11" x14ac:dyDescent="0.35">
      <c r="A2052" s="5">
        <v>45587</v>
      </c>
      <c r="B2052" s="3">
        <v>0.45297453703703705</v>
      </c>
      <c r="C2052" t="s">
        <v>8</v>
      </c>
      <c r="D2052" t="s">
        <v>455</v>
      </c>
      <c r="E2052" s="4">
        <v>25.96</v>
      </c>
      <c r="F2052" t="s">
        <v>20</v>
      </c>
      <c r="G2052" s="10" t="str">
        <f>TEXT(Transform_Data[[#This Row],[Date]],"mmm yyyy")</f>
        <v>Oct 2024</v>
      </c>
      <c r="H2052" s="10">
        <f>HOUR(Transform_Data[[#This Row],[Time]])</f>
        <v>10</v>
      </c>
      <c r="I2052" s="10" t="str">
        <f>IF(COUNTIF('Transform Data'!$D:$D,'Transform Data'!D2052)&gt;1,"Repeat","Single")</f>
        <v>Repeat</v>
      </c>
      <c r="J2052" s="10" t="str">
        <f>IF('Transform Data'!D2052="Cash","Cash",IF(COUNTIF('Transform Data'!$D:$D,'Transform Data'!D2052)&gt;1,"Repeat","Single"))</f>
        <v>Repeat</v>
      </c>
      <c r="K2052" s="10" t="str">
        <f t="shared" si="32"/>
        <v>TRANS-2051</v>
      </c>
    </row>
    <row r="2053" spans="1:11" x14ac:dyDescent="0.35">
      <c r="A2053" s="5">
        <v>45587</v>
      </c>
      <c r="B2053" s="3">
        <v>0.75488425925925928</v>
      </c>
      <c r="C2053" t="s">
        <v>8</v>
      </c>
      <c r="D2053" t="s">
        <v>853</v>
      </c>
      <c r="E2053" s="4">
        <v>25.96</v>
      </c>
      <c r="F2053" t="s">
        <v>28</v>
      </c>
      <c r="G2053" s="10" t="str">
        <f>TEXT(Transform_Data[[#This Row],[Date]],"mmm yyyy")</f>
        <v>Oct 2024</v>
      </c>
      <c r="H2053" s="10">
        <f>HOUR(Transform_Data[[#This Row],[Time]])</f>
        <v>18</v>
      </c>
      <c r="I2053" s="10" t="str">
        <f>IF(COUNTIF('Transform Data'!$D:$D,'Transform Data'!D2053)&gt;1,"Repeat","Single")</f>
        <v>Single</v>
      </c>
      <c r="J2053" s="10" t="str">
        <f>IF('Transform Data'!D2053="Cash","Cash",IF(COUNTIF('Transform Data'!$D:$D,'Transform Data'!D2053)&gt;1,"Repeat","Single"))</f>
        <v>Single</v>
      </c>
      <c r="K2053" s="10" t="str">
        <f t="shared" si="32"/>
        <v>TRANS-2052</v>
      </c>
    </row>
    <row r="2054" spans="1:11" x14ac:dyDescent="0.35">
      <c r="A2054" s="5">
        <v>45587</v>
      </c>
      <c r="B2054" s="3">
        <v>0.82406250000000003</v>
      </c>
      <c r="C2054" t="s">
        <v>8</v>
      </c>
      <c r="D2054" t="s">
        <v>21</v>
      </c>
      <c r="E2054" s="4">
        <v>35.76</v>
      </c>
      <c r="F2054" t="s">
        <v>15</v>
      </c>
      <c r="G2054" s="10" t="str">
        <f>TEXT(Transform_Data[[#This Row],[Date]],"mmm yyyy")</f>
        <v>Oct 2024</v>
      </c>
      <c r="H2054" s="10">
        <f>HOUR(Transform_Data[[#This Row],[Time]])</f>
        <v>19</v>
      </c>
      <c r="I2054" s="10" t="str">
        <f>IF(COUNTIF('Transform Data'!$D:$D,'Transform Data'!D2054)&gt;1,"Repeat","Single")</f>
        <v>Repeat</v>
      </c>
      <c r="J2054" s="10" t="str">
        <f>IF('Transform Data'!D2054="Cash","Cash",IF(COUNTIF('Transform Data'!$D:$D,'Transform Data'!D2054)&gt;1,"Repeat","Single"))</f>
        <v>Repeat</v>
      </c>
      <c r="K2054" s="10" t="str">
        <f t="shared" si="32"/>
        <v>TRANS-2053</v>
      </c>
    </row>
    <row r="2055" spans="1:11" x14ac:dyDescent="0.35">
      <c r="A2055" s="5">
        <v>45587</v>
      </c>
      <c r="B2055" s="3">
        <v>0.82488425925925923</v>
      </c>
      <c r="C2055" t="s">
        <v>8</v>
      </c>
      <c r="D2055" t="s">
        <v>21</v>
      </c>
      <c r="E2055" s="4">
        <v>35.76</v>
      </c>
      <c r="F2055" t="s">
        <v>32</v>
      </c>
      <c r="G2055" s="10" t="str">
        <f>TEXT(Transform_Data[[#This Row],[Date]],"mmm yyyy")</f>
        <v>Oct 2024</v>
      </c>
      <c r="H2055" s="10">
        <f>HOUR(Transform_Data[[#This Row],[Time]])</f>
        <v>19</v>
      </c>
      <c r="I2055" s="10" t="str">
        <f>IF(COUNTIF('Transform Data'!$D:$D,'Transform Data'!D2055)&gt;1,"Repeat","Single")</f>
        <v>Repeat</v>
      </c>
      <c r="J2055" s="10" t="str">
        <f>IF('Transform Data'!D2055="Cash","Cash",IF(COUNTIF('Transform Data'!$D:$D,'Transform Data'!D2055)&gt;1,"Repeat","Single"))</f>
        <v>Repeat</v>
      </c>
      <c r="K2055" s="10" t="str">
        <f t="shared" si="32"/>
        <v>TRANS-2054</v>
      </c>
    </row>
    <row r="2056" spans="1:11" x14ac:dyDescent="0.35">
      <c r="A2056" s="5">
        <v>45588</v>
      </c>
      <c r="B2056" s="3">
        <v>0.33201388888888889</v>
      </c>
      <c r="C2056" t="s">
        <v>8</v>
      </c>
      <c r="D2056" t="s">
        <v>748</v>
      </c>
      <c r="E2056" s="4">
        <v>35.76</v>
      </c>
      <c r="F2056" t="s">
        <v>32</v>
      </c>
      <c r="G2056" s="10" t="str">
        <f>TEXT(Transform_Data[[#This Row],[Date]],"mmm yyyy")</f>
        <v>Oct 2024</v>
      </c>
      <c r="H2056" s="10">
        <f>HOUR(Transform_Data[[#This Row],[Time]])</f>
        <v>7</v>
      </c>
      <c r="I2056" s="10" t="str">
        <f>IF(COUNTIF('Transform Data'!$D:$D,'Transform Data'!D2056)&gt;1,"Repeat","Single")</f>
        <v>Repeat</v>
      </c>
      <c r="J2056" s="10" t="str">
        <f>IF('Transform Data'!D2056="Cash","Cash",IF(COUNTIF('Transform Data'!$D:$D,'Transform Data'!D2056)&gt;1,"Repeat","Single"))</f>
        <v>Repeat</v>
      </c>
      <c r="K2056" s="10" t="str">
        <f t="shared" si="32"/>
        <v>TRANS-2055</v>
      </c>
    </row>
    <row r="2057" spans="1:11" x14ac:dyDescent="0.35">
      <c r="A2057" s="5">
        <v>45588</v>
      </c>
      <c r="B2057" s="3">
        <v>0.36474537037037036</v>
      </c>
      <c r="C2057" t="s">
        <v>8</v>
      </c>
      <c r="D2057" t="s">
        <v>29</v>
      </c>
      <c r="E2057" s="4">
        <v>30.86</v>
      </c>
      <c r="F2057" t="s">
        <v>36</v>
      </c>
      <c r="G2057" s="10" t="str">
        <f>TEXT(Transform_Data[[#This Row],[Date]],"mmm yyyy")</f>
        <v>Oct 2024</v>
      </c>
      <c r="H2057" s="10">
        <f>HOUR(Transform_Data[[#This Row],[Time]])</f>
        <v>8</v>
      </c>
      <c r="I2057" s="10" t="str">
        <f>IF(COUNTIF('Transform Data'!$D:$D,'Transform Data'!D2057)&gt;1,"Repeat","Single")</f>
        <v>Repeat</v>
      </c>
      <c r="J2057" s="10" t="str">
        <f>IF('Transform Data'!D2057="Cash","Cash",IF(COUNTIF('Transform Data'!$D:$D,'Transform Data'!D2057)&gt;1,"Repeat","Single"))</f>
        <v>Repeat</v>
      </c>
      <c r="K2057" s="10" t="str">
        <f t="shared" si="32"/>
        <v>TRANS-2056</v>
      </c>
    </row>
    <row r="2058" spans="1:11" x14ac:dyDescent="0.35">
      <c r="A2058" s="5">
        <v>45588</v>
      </c>
      <c r="B2058" s="3">
        <v>0.43399305555555556</v>
      </c>
      <c r="C2058" t="s">
        <v>8</v>
      </c>
      <c r="D2058" t="s">
        <v>40</v>
      </c>
      <c r="E2058" s="4">
        <v>25.96</v>
      </c>
      <c r="F2058" t="s">
        <v>20</v>
      </c>
      <c r="G2058" s="10" t="str">
        <f>TEXT(Transform_Data[[#This Row],[Date]],"mmm yyyy")</f>
        <v>Oct 2024</v>
      </c>
      <c r="H2058" s="10">
        <f>HOUR(Transform_Data[[#This Row],[Time]])</f>
        <v>10</v>
      </c>
      <c r="I2058" s="10" t="str">
        <f>IF(COUNTIF('Transform Data'!$D:$D,'Transform Data'!D2058)&gt;1,"Repeat","Single")</f>
        <v>Repeat</v>
      </c>
      <c r="J2058" s="10" t="str">
        <f>IF('Transform Data'!D2058="Cash","Cash",IF(COUNTIF('Transform Data'!$D:$D,'Transform Data'!D2058)&gt;1,"Repeat","Single"))</f>
        <v>Repeat</v>
      </c>
      <c r="K2058" s="10" t="str">
        <f t="shared" si="32"/>
        <v>TRANS-2057</v>
      </c>
    </row>
    <row r="2059" spans="1:11" x14ac:dyDescent="0.35">
      <c r="A2059" s="5">
        <v>45588</v>
      </c>
      <c r="B2059" s="3">
        <v>0.52158564814814812</v>
      </c>
      <c r="C2059" t="s">
        <v>8</v>
      </c>
      <c r="D2059" t="s">
        <v>854</v>
      </c>
      <c r="E2059" s="4">
        <v>30.86</v>
      </c>
      <c r="F2059" t="s">
        <v>36</v>
      </c>
      <c r="G2059" s="10" t="str">
        <f>TEXT(Transform_Data[[#This Row],[Date]],"mmm yyyy")</f>
        <v>Oct 2024</v>
      </c>
      <c r="H2059" s="10">
        <f>HOUR(Transform_Data[[#This Row],[Time]])</f>
        <v>12</v>
      </c>
      <c r="I2059" s="10" t="str">
        <f>IF(COUNTIF('Transform Data'!$D:$D,'Transform Data'!D2059)&gt;1,"Repeat","Single")</f>
        <v>Repeat</v>
      </c>
      <c r="J2059" s="10" t="str">
        <f>IF('Transform Data'!D2059="Cash","Cash",IF(COUNTIF('Transform Data'!$D:$D,'Transform Data'!D2059)&gt;1,"Repeat","Single"))</f>
        <v>Repeat</v>
      </c>
      <c r="K2059" s="10" t="str">
        <f t="shared" si="32"/>
        <v>TRANS-2058</v>
      </c>
    </row>
    <row r="2060" spans="1:11" x14ac:dyDescent="0.35">
      <c r="A2060" s="5">
        <v>45588</v>
      </c>
      <c r="B2060" s="3">
        <v>0.68057870370370366</v>
      </c>
      <c r="C2060" t="s">
        <v>8</v>
      </c>
      <c r="D2060" t="s">
        <v>855</v>
      </c>
      <c r="E2060" s="4">
        <v>30.86</v>
      </c>
      <c r="F2060" t="s">
        <v>36</v>
      </c>
      <c r="G2060" s="10" t="str">
        <f>TEXT(Transform_Data[[#This Row],[Date]],"mmm yyyy")</f>
        <v>Oct 2024</v>
      </c>
      <c r="H2060" s="10">
        <f>HOUR(Transform_Data[[#This Row],[Time]])</f>
        <v>16</v>
      </c>
      <c r="I2060" s="10" t="str">
        <f>IF(COUNTIF('Transform Data'!$D:$D,'Transform Data'!D2060)&gt;1,"Repeat","Single")</f>
        <v>Repeat</v>
      </c>
      <c r="J2060" s="10" t="str">
        <f>IF('Transform Data'!D2060="Cash","Cash",IF(COUNTIF('Transform Data'!$D:$D,'Transform Data'!D2060)&gt;1,"Repeat","Single"))</f>
        <v>Repeat</v>
      </c>
      <c r="K2060" s="10" t="str">
        <f t="shared" si="32"/>
        <v>TRANS-2059</v>
      </c>
    </row>
    <row r="2061" spans="1:11" x14ac:dyDescent="0.35">
      <c r="A2061" s="5">
        <v>45588</v>
      </c>
      <c r="B2061" s="3">
        <v>0.68135416666666671</v>
      </c>
      <c r="C2061" t="s">
        <v>8</v>
      </c>
      <c r="D2061" t="s">
        <v>855</v>
      </c>
      <c r="E2061" s="4">
        <v>30.86</v>
      </c>
      <c r="F2061" t="s">
        <v>36</v>
      </c>
      <c r="G2061" s="10" t="str">
        <f>TEXT(Transform_Data[[#This Row],[Date]],"mmm yyyy")</f>
        <v>Oct 2024</v>
      </c>
      <c r="H2061" s="10">
        <f>HOUR(Transform_Data[[#This Row],[Time]])</f>
        <v>16</v>
      </c>
      <c r="I2061" s="10" t="str">
        <f>IF(COUNTIF('Transform Data'!$D:$D,'Transform Data'!D2061)&gt;1,"Repeat","Single")</f>
        <v>Repeat</v>
      </c>
      <c r="J2061" s="10" t="str">
        <f>IF('Transform Data'!D2061="Cash","Cash",IF(COUNTIF('Transform Data'!$D:$D,'Transform Data'!D2061)&gt;1,"Repeat","Single"))</f>
        <v>Repeat</v>
      </c>
      <c r="K2061" s="10" t="str">
        <f t="shared" si="32"/>
        <v>TRANS-2060</v>
      </c>
    </row>
    <row r="2062" spans="1:11" x14ac:dyDescent="0.35">
      <c r="A2062" s="5">
        <v>45588</v>
      </c>
      <c r="B2062" s="3">
        <v>0.69618055555555558</v>
      </c>
      <c r="C2062" t="s">
        <v>8</v>
      </c>
      <c r="D2062" t="s">
        <v>856</v>
      </c>
      <c r="E2062" s="4">
        <v>35.76</v>
      </c>
      <c r="F2062" t="s">
        <v>24</v>
      </c>
      <c r="G2062" s="10" t="str">
        <f>TEXT(Transform_Data[[#This Row],[Date]],"mmm yyyy")</f>
        <v>Oct 2024</v>
      </c>
      <c r="H2062" s="10">
        <f>HOUR(Transform_Data[[#This Row],[Time]])</f>
        <v>16</v>
      </c>
      <c r="I2062" s="10" t="str">
        <f>IF(COUNTIF('Transform Data'!$D:$D,'Transform Data'!D2062)&gt;1,"Repeat","Single")</f>
        <v>Repeat</v>
      </c>
      <c r="J2062" s="10" t="str">
        <f>IF('Transform Data'!D2062="Cash","Cash",IF(COUNTIF('Transform Data'!$D:$D,'Transform Data'!D2062)&gt;1,"Repeat","Single"))</f>
        <v>Repeat</v>
      </c>
      <c r="K2062" s="10" t="str">
        <f t="shared" si="32"/>
        <v>TRANS-2061</v>
      </c>
    </row>
    <row r="2063" spans="1:11" x14ac:dyDescent="0.35">
      <c r="A2063" s="5">
        <v>45588</v>
      </c>
      <c r="B2063" s="3">
        <v>0.7102546296296296</v>
      </c>
      <c r="C2063" t="s">
        <v>8</v>
      </c>
      <c r="D2063" t="s">
        <v>857</v>
      </c>
      <c r="E2063" s="4">
        <v>21.06</v>
      </c>
      <c r="F2063" t="s">
        <v>5</v>
      </c>
      <c r="G2063" s="10" t="str">
        <f>TEXT(Transform_Data[[#This Row],[Date]],"mmm yyyy")</f>
        <v>Oct 2024</v>
      </c>
      <c r="H2063" s="10">
        <f>HOUR(Transform_Data[[#This Row],[Time]])</f>
        <v>17</v>
      </c>
      <c r="I2063" s="10" t="str">
        <f>IF(COUNTIF('Transform Data'!$D:$D,'Transform Data'!D2063)&gt;1,"Repeat","Single")</f>
        <v>Single</v>
      </c>
      <c r="J2063" s="10" t="str">
        <f>IF('Transform Data'!D2063="Cash","Cash",IF(COUNTIF('Transform Data'!$D:$D,'Transform Data'!D2063)&gt;1,"Repeat","Single"))</f>
        <v>Single</v>
      </c>
      <c r="K2063" s="10" t="str">
        <f t="shared" si="32"/>
        <v>TRANS-2062</v>
      </c>
    </row>
    <row r="2064" spans="1:11" x14ac:dyDescent="0.35">
      <c r="A2064" s="5">
        <v>45588</v>
      </c>
      <c r="B2064" s="3">
        <v>0.79094907407407411</v>
      </c>
      <c r="C2064" t="s">
        <v>8</v>
      </c>
      <c r="D2064" t="s">
        <v>16</v>
      </c>
      <c r="E2064" s="4">
        <v>35.76</v>
      </c>
      <c r="F2064" t="s">
        <v>10</v>
      </c>
      <c r="G2064" s="10" t="str">
        <f>TEXT(Transform_Data[[#This Row],[Date]],"mmm yyyy")</f>
        <v>Oct 2024</v>
      </c>
      <c r="H2064" s="10">
        <f>HOUR(Transform_Data[[#This Row],[Time]])</f>
        <v>18</v>
      </c>
      <c r="I2064" s="10" t="str">
        <f>IF(COUNTIF('Transform Data'!$D:$D,'Transform Data'!D2064)&gt;1,"Repeat","Single")</f>
        <v>Repeat</v>
      </c>
      <c r="J2064" s="10" t="str">
        <f>IF('Transform Data'!D2064="Cash","Cash",IF(COUNTIF('Transform Data'!$D:$D,'Transform Data'!D2064)&gt;1,"Repeat","Single"))</f>
        <v>Repeat</v>
      </c>
      <c r="K2064" s="10" t="str">
        <f t="shared" si="32"/>
        <v>TRANS-2063</v>
      </c>
    </row>
    <row r="2065" spans="1:11" x14ac:dyDescent="0.35">
      <c r="A2065" s="5">
        <v>45588</v>
      </c>
      <c r="B2065" s="3">
        <v>0.79216435185185186</v>
      </c>
      <c r="C2065" t="s">
        <v>8</v>
      </c>
      <c r="D2065" t="s">
        <v>16</v>
      </c>
      <c r="E2065" s="4">
        <v>35.76</v>
      </c>
      <c r="F2065" t="s">
        <v>24</v>
      </c>
      <c r="G2065" s="10" t="str">
        <f>TEXT(Transform_Data[[#This Row],[Date]],"mmm yyyy")</f>
        <v>Oct 2024</v>
      </c>
      <c r="H2065" s="10">
        <f>HOUR(Transform_Data[[#This Row],[Time]])</f>
        <v>19</v>
      </c>
      <c r="I2065" s="10" t="str">
        <f>IF(COUNTIF('Transform Data'!$D:$D,'Transform Data'!D2065)&gt;1,"Repeat","Single")</f>
        <v>Repeat</v>
      </c>
      <c r="J2065" s="10" t="str">
        <f>IF('Transform Data'!D2065="Cash","Cash",IF(COUNTIF('Transform Data'!$D:$D,'Transform Data'!D2065)&gt;1,"Repeat","Single"))</f>
        <v>Repeat</v>
      </c>
      <c r="K2065" s="10" t="str">
        <f t="shared" si="32"/>
        <v>TRANS-2064</v>
      </c>
    </row>
    <row r="2066" spans="1:11" x14ac:dyDescent="0.35">
      <c r="A2066" s="5">
        <v>45588</v>
      </c>
      <c r="B2066" s="3">
        <v>0.91481481481481486</v>
      </c>
      <c r="C2066" t="s">
        <v>8</v>
      </c>
      <c r="D2066" t="s">
        <v>570</v>
      </c>
      <c r="E2066" s="4">
        <v>30.86</v>
      </c>
      <c r="F2066" t="s">
        <v>36</v>
      </c>
      <c r="G2066" s="10" t="str">
        <f>TEXT(Transform_Data[[#This Row],[Date]],"mmm yyyy")</f>
        <v>Oct 2024</v>
      </c>
      <c r="H2066" s="10">
        <f>HOUR(Transform_Data[[#This Row],[Time]])</f>
        <v>21</v>
      </c>
      <c r="I2066" s="10" t="str">
        <f>IF(COUNTIF('Transform Data'!$D:$D,'Transform Data'!D2066)&gt;1,"Repeat","Single")</f>
        <v>Repeat</v>
      </c>
      <c r="J2066" s="10" t="str">
        <f>IF('Transform Data'!D2066="Cash","Cash",IF(COUNTIF('Transform Data'!$D:$D,'Transform Data'!D2066)&gt;1,"Repeat","Single"))</f>
        <v>Repeat</v>
      </c>
      <c r="K2066" s="10" t="str">
        <f t="shared" si="32"/>
        <v>TRANS-2065</v>
      </c>
    </row>
    <row r="2067" spans="1:11" x14ac:dyDescent="0.35">
      <c r="A2067" s="5">
        <v>45588</v>
      </c>
      <c r="B2067" s="3">
        <v>0.91554398148148153</v>
      </c>
      <c r="C2067" t="s">
        <v>8</v>
      </c>
      <c r="D2067" t="s">
        <v>858</v>
      </c>
      <c r="E2067" s="4">
        <v>35.76</v>
      </c>
      <c r="F2067" t="s">
        <v>15</v>
      </c>
      <c r="G2067" s="10" t="str">
        <f>TEXT(Transform_Data[[#This Row],[Date]],"mmm yyyy")</f>
        <v>Oct 2024</v>
      </c>
      <c r="H2067" s="10">
        <f>HOUR(Transform_Data[[#This Row],[Time]])</f>
        <v>21</v>
      </c>
      <c r="I2067" s="10" t="str">
        <f>IF(COUNTIF('Transform Data'!$D:$D,'Transform Data'!D2067)&gt;1,"Repeat","Single")</f>
        <v>Single</v>
      </c>
      <c r="J2067" s="10" t="str">
        <f>IF('Transform Data'!D2067="Cash","Cash",IF(COUNTIF('Transform Data'!$D:$D,'Transform Data'!D2067)&gt;1,"Repeat","Single"))</f>
        <v>Single</v>
      </c>
      <c r="K2067" s="10" t="str">
        <f t="shared" si="32"/>
        <v>TRANS-2066</v>
      </c>
    </row>
    <row r="2068" spans="1:11" x14ac:dyDescent="0.35">
      <c r="A2068" s="5">
        <v>45588</v>
      </c>
      <c r="B2068" s="3">
        <v>0.93307870370370372</v>
      </c>
      <c r="C2068" t="s">
        <v>8</v>
      </c>
      <c r="D2068" t="s">
        <v>859</v>
      </c>
      <c r="E2068" s="4">
        <v>35.76</v>
      </c>
      <c r="F2068" t="s">
        <v>32</v>
      </c>
      <c r="G2068" s="10" t="str">
        <f>TEXT(Transform_Data[[#This Row],[Date]],"mmm yyyy")</f>
        <v>Oct 2024</v>
      </c>
      <c r="H2068" s="10">
        <f>HOUR(Transform_Data[[#This Row],[Time]])</f>
        <v>22</v>
      </c>
      <c r="I2068" s="10" t="str">
        <f>IF(COUNTIF('Transform Data'!$D:$D,'Transform Data'!D2068)&gt;1,"Repeat","Single")</f>
        <v>Single</v>
      </c>
      <c r="J2068" s="10" t="str">
        <f>IF('Transform Data'!D2068="Cash","Cash",IF(COUNTIF('Transform Data'!$D:$D,'Transform Data'!D2068)&gt;1,"Repeat","Single"))</f>
        <v>Single</v>
      </c>
      <c r="K2068" s="10" t="str">
        <f t="shared" si="32"/>
        <v>TRANS-2067</v>
      </c>
    </row>
    <row r="2069" spans="1:11" x14ac:dyDescent="0.35">
      <c r="A2069" s="5">
        <v>45589</v>
      </c>
      <c r="B2069" s="3">
        <v>0.50539351851851855</v>
      </c>
      <c r="C2069" t="s">
        <v>8</v>
      </c>
      <c r="D2069" t="s">
        <v>860</v>
      </c>
      <c r="E2069" s="4">
        <v>25.96</v>
      </c>
      <c r="F2069" t="s">
        <v>28</v>
      </c>
      <c r="G2069" s="10" t="str">
        <f>TEXT(Transform_Data[[#This Row],[Date]],"mmm yyyy")</f>
        <v>Oct 2024</v>
      </c>
      <c r="H2069" s="10">
        <f>HOUR(Transform_Data[[#This Row],[Time]])</f>
        <v>12</v>
      </c>
      <c r="I2069" s="10" t="str">
        <f>IF(COUNTIF('Transform Data'!$D:$D,'Transform Data'!D2069)&gt;1,"Repeat","Single")</f>
        <v>Single</v>
      </c>
      <c r="J2069" s="10" t="str">
        <f>IF('Transform Data'!D2069="Cash","Cash",IF(COUNTIF('Transform Data'!$D:$D,'Transform Data'!D2069)&gt;1,"Repeat","Single"))</f>
        <v>Single</v>
      </c>
      <c r="K2069" s="10" t="str">
        <f t="shared" si="32"/>
        <v>TRANS-2068</v>
      </c>
    </row>
    <row r="2070" spans="1:11" x14ac:dyDescent="0.35">
      <c r="A2070" s="5">
        <v>45589</v>
      </c>
      <c r="B2070" s="3">
        <v>0.55832175925925931</v>
      </c>
      <c r="C2070" t="s">
        <v>8</v>
      </c>
      <c r="D2070" t="s">
        <v>861</v>
      </c>
      <c r="E2070" s="4">
        <v>35.76</v>
      </c>
      <c r="F2070" t="s">
        <v>24</v>
      </c>
      <c r="G2070" s="10" t="str">
        <f>TEXT(Transform_Data[[#This Row],[Date]],"mmm yyyy")</f>
        <v>Oct 2024</v>
      </c>
      <c r="H2070" s="10">
        <f>HOUR(Transform_Data[[#This Row],[Time]])</f>
        <v>13</v>
      </c>
      <c r="I2070" s="10" t="str">
        <f>IF(COUNTIF('Transform Data'!$D:$D,'Transform Data'!D2070)&gt;1,"Repeat","Single")</f>
        <v>Single</v>
      </c>
      <c r="J2070" s="10" t="str">
        <f>IF('Transform Data'!D2070="Cash","Cash",IF(COUNTIF('Transform Data'!$D:$D,'Transform Data'!D2070)&gt;1,"Repeat","Single"))</f>
        <v>Single</v>
      </c>
      <c r="K2070" s="10" t="str">
        <f t="shared" si="32"/>
        <v>TRANS-2069</v>
      </c>
    </row>
    <row r="2071" spans="1:11" x14ac:dyDescent="0.35">
      <c r="A2071" s="5">
        <v>45589</v>
      </c>
      <c r="B2071" s="3">
        <v>0.59011574074074069</v>
      </c>
      <c r="C2071" t="s">
        <v>8</v>
      </c>
      <c r="D2071" t="s">
        <v>856</v>
      </c>
      <c r="E2071" s="4">
        <v>35.76</v>
      </c>
      <c r="F2071" t="s">
        <v>24</v>
      </c>
      <c r="G2071" s="10" t="str">
        <f>TEXT(Transform_Data[[#This Row],[Date]],"mmm yyyy")</f>
        <v>Oct 2024</v>
      </c>
      <c r="H2071" s="10">
        <f>HOUR(Transform_Data[[#This Row],[Time]])</f>
        <v>14</v>
      </c>
      <c r="I2071" s="10" t="str">
        <f>IF(COUNTIF('Transform Data'!$D:$D,'Transform Data'!D2071)&gt;1,"Repeat","Single")</f>
        <v>Repeat</v>
      </c>
      <c r="J2071" s="10" t="str">
        <f>IF('Transform Data'!D2071="Cash","Cash",IF(COUNTIF('Transform Data'!$D:$D,'Transform Data'!D2071)&gt;1,"Repeat","Single"))</f>
        <v>Repeat</v>
      </c>
      <c r="K2071" s="10" t="str">
        <f t="shared" si="32"/>
        <v>TRANS-2070</v>
      </c>
    </row>
    <row r="2072" spans="1:11" x14ac:dyDescent="0.35">
      <c r="A2072" s="5">
        <v>45589</v>
      </c>
      <c r="B2072" s="3">
        <v>0.61737268518518518</v>
      </c>
      <c r="C2072" t="s">
        <v>8</v>
      </c>
      <c r="D2072" t="s">
        <v>862</v>
      </c>
      <c r="E2072" s="4">
        <v>35.76</v>
      </c>
      <c r="F2072" t="s">
        <v>15</v>
      </c>
      <c r="G2072" s="10" t="str">
        <f>TEXT(Transform_Data[[#This Row],[Date]],"mmm yyyy")</f>
        <v>Oct 2024</v>
      </c>
      <c r="H2072" s="10">
        <f>HOUR(Transform_Data[[#This Row],[Time]])</f>
        <v>14</v>
      </c>
      <c r="I2072" s="10" t="str">
        <f>IF(COUNTIF('Transform Data'!$D:$D,'Transform Data'!D2072)&gt;1,"Repeat","Single")</f>
        <v>Repeat</v>
      </c>
      <c r="J2072" s="10" t="str">
        <f>IF('Transform Data'!D2072="Cash","Cash",IF(COUNTIF('Transform Data'!$D:$D,'Transform Data'!D2072)&gt;1,"Repeat","Single"))</f>
        <v>Repeat</v>
      </c>
      <c r="K2072" s="10" t="str">
        <f t="shared" si="32"/>
        <v>TRANS-2071</v>
      </c>
    </row>
    <row r="2073" spans="1:11" x14ac:dyDescent="0.35">
      <c r="A2073" s="5">
        <v>45589</v>
      </c>
      <c r="B2073" s="3">
        <v>0.61792824074074071</v>
      </c>
      <c r="C2073" t="s">
        <v>8</v>
      </c>
      <c r="D2073" t="s">
        <v>862</v>
      </c>
      <c r="E2073" s="4">
        <v>35.76</v>
      </c>
      <c r="F2073" t="s">
        <v>32</v>
      </c>
      <c r="G2073" s="10" t="str">
        <f>TEXT(Transform_Data[[#This Row],[Date]],"mmm yyyy")</f>
        <v>Oct 2024</v>
      </c>
      <c r="H2073" s="10">
        <f>HOUR(Transform_Data[[#This Row],[Time]])</f>
        <v>14</v>
      </c>
      <c r="I2073" s="10" t="str">
        <f>IF(COUNTIF('Transform Data'!$D:$D,'Transform Data'!D2073)&gt;1,"Repeat","Single")</f>
        <v>Repeat</v>
      </c>
      <c r="J2073" s="10" t="str">
        <f>IF('Transform Data'!D2073="Cash","Cash",IF(COUNTIF('Transform Data'!$D:$D,'Transform Data'!D2073)&gt;1,"Repeat","Single"))</f>
        <v>Repeat</v>
      </c>
      <c r="K2073" s="10" t="str">
        <f t="shared" si="32"/>
        <v>TRANS-2072</v>
      </c>
    </row>
    <row r="2074" spans="1:11" x14ac:dyDescent="0.35">
      <c r="A2074" s="5">
        <v>45589</v>
      </c>
      <c r="B2074" s="3">
        <v>0.65800925925925924</v>
      </c>
      <c r="C2074" t="s">
        <v>8</v>
      </c>
      <c r="D2074" t="s">
        <v>840</v>
      </c>
      <c r="E2074" s="4">
        <v>35.76</v>
      </c>
      <c r="F2074" t="s">
        <v>32</v>
      </c>
      <c r="G2074" s="10" t="str">
        <f>TEXT(Transform_Data[[#This Row],[Date]],"mmm yyyy")</f>
        <v>Oct 2024</v>
      </c>
      <c r="H2074" s="10">
        <f>HOUR(Transform_Data[[#This Row],[Time]])</f>
        <v>15</v>
      </c>
      <c r="I2074" s="10" t="str">
        <f>IF(COUNTIF('Transform Data'!$D:$D,'Transform Data'!D2074)&gt;1,"Repeat","Single")</f>
        <v>Repeat</v>
      </c>
      <c r="J2074" s="10" t="str">
        <f>IF('Transform Data'!D2074="Cash","Cash",IF(COUNTIF('Transform Data'!$D:$D,'Transform Data'!D2074)&gt;1,"Repeat","Single"))</f>
        <v>Repeat</v>
      </c>
      <c r="K2074" s="10" t="str">
        <f t="shared" si="32"/>
        <v>TRANS-2073</v>
      </c>
    </row>
    <row r="2075" spans="1:11" x14ac:dyDescent="0.35">
      <c r="A2075" s="5">
        <v>45589</v>
      </c>
      <c r="B2075" s="3">
        <v>0.65866898148148145</v>
      </c>
      <c r="C2075" t="s">
        <v>8</v>
      </c>
      <c r="D2075" t="s">
        <v>840</v>
      </c>
      <c r="E2075" s="4">
        <v>35.76</v>
      </c>
      <c r="F2075" t="s">
        <v>32</v>
      </c>
      <c r="G2075" s="10" t="str">
        <f>TEXT(Transform_Data[[#This Row],[Date]],"mmm yyyy")</f>
        <v>Oct 2024</v>
      </c>
      <c r="H2075" s="10">
        <f>HOUR(Transform_Data[[#This Row],[Time]])</f>
        <v>15</v>
      </c>
      <c r="I2075" s="10" t="str">
        <f>IF(COUNTIF('Transform Data'!$D:$D,'Transform Data'!D2075)&gt;1,"Repeat","Single")</f>
        <v>Repeat</v>
      </c>
      <c r="J2075" s="10" t="str">
        <f>IF('Transform Data'!D2075="Cash","Cash",IF(COUNTIF('Transform Data'!$D:$D,'Transform Data'!D2075)&gt;1,"Repeat","Single"))</f>
        <v>Repeat</v>
      </c>
      <c r="K2075" s="10" t="str">
        <f t="shared" si="32"/>
        <v>TRANS-2074</v>
      </c>
    </row>
    <row r="2076" spans="1:11" x14ac:dyDescent="0.35">
      <c r="A2076" s="5">
        <v>45589</v>
      </c>
      <c r="B2076" s="3">
        <v>0.78734953703703703</v>
      </c>
      <c r="C2076" t="s">
        <v>8</v>
      </c>
      <c r="D2076" t="s">
        <v>863</v>
      </c>
      <c r="E2076" s="4">
        <v>25.96</v>
      </c>
      <c r="F2076" t="s">
        <v>28</v>
      </c>
      <c r="G2076" s="10" t="str">
        <f>TEXT(Transform_Data[[#This Row],[Date]],"mmm yyyy")</f>
        <v>Oct 2024</v>
      </c>
      <c r="H2076" s="10">
        <f>HOUR(Transform_Data[[#This Row],[Time]])</f>
        <v>18</v>
      </c>
      <c r="I2076" s="10" t="str">
        <f>IF(COUNTIF('Transform Data'!$D:$D,'Transform Data'!D2076)&gt;1,"Repeat","Single")</f>
        <v>Repeat</v>
      </c>
      <c r="J2076" s="10" t="str">
        <f>IF('Transform Data'!D2076="Cash","Cash",IF(COUNTIF('Transform Data'!$D:$D,'Transform Data'!D2076)&gt;1,"Repeat","Single"))</f>
        <v>Repeat</v>
      </c>
      <c r="K2076" s="10" t="str">
        <f t="shared" si="32"/>
        <v>TRANS-2075</v>
      </c>
    </row>
    <row r="2077" spans="1:11" x14ac:dyDescent="0.35">
      <c r="A2077" s="5">
        <v>45589</v>
      </c>
      <c r="B2077" s="3">
        <v>0.78827546296296291</v>
      </c>
      <c r="C2077" t="s">
        <v>8</v>
      </c>
      <c r="D2077" t="s">
        <v>863</v>
      </c>
      <c r="E2077" s="4">
        <v>25.96</v>
      </c>
      <c r="F2077" t="s">
        <v>28</v>
      </c>
      <c r="G2077" s="10" t="str">
        <f>TEXT(Transform_Data[[#This Row],[Date]],"mmm yyyy")</f>
        <v>Oct 2024</v>
      </c>
      <c r="H2077" s="10">
        <f>HOUR(Transform_Data[[#This Row],[Time]])</f>
        <v>18</v>
      </c>
      <c r="I2077" s="10" t="str">
        <f>IF(COUNTIF('Transform Data'!$D:$D,'Transform Data'!D2077)&gt;1,"Repeat","Single")</f>
        <v>Repeat</v>
      </c>
      <c r="J2077" s="10" t="str">
        <f>IF('Transform Data'!D2077="Cash","Cash",IF(COUNTIF('Transform Data'!$D:$D,'Transform Data'!D2077)&gt;1,"Repeat","Single"))</f>
        <v>Repeat</v>
      </c>
      <c r="K2077" s="10" t="str">
        <f t="shared" si="32"/>
        <v>TRANS-2076</v>
      </c>
    </row>
    <row r="2078" spans="1:11" x14ac:dyDescent="0.35">
      <c r="A2078" s="5">
        <v>45589</v>
      </c>
      <c r="B2078" s="3">
        <v>0.82659722222222221</v>
      </c>
      <c r="C2078" t="s">
        <v>8</v>
      </c>
      <c r="D2078" t="s">
        <v>21</v>
      </c>
      <c r="E2078" s="4">
        <v>35.76</v>
      </c>
      <c r="F2078" t="s">
        <v>32</v>
      </c>
      <c r="G2078" s="10" t="str">
        <f>TEXT(Transform_Data[[#This Row],[Date]],"mmm yyyy")</f>
        <v>Oct 2024</v>
      </c>
      <c r="H2078" s="10">
        <f>HOUR(Transform_Data[[#This Row],[Time]])</f>
        <v>19</v>
      </c>
      <c r="I2078" s="10" t="str">
        <f>IF(COUNTIF('Transform Data'!$D:$D,'Transform Data'!D2078)&gt;1,"Repeat","Single")</f>
        <v>Repeat</v>
      </c>
      <c r="J2078" s="10" t="str">
        <f>IF('Transform Data'!D2078="Cash","Cash",IF(COUNTIF('Transform Data'!$D:$D,'Transform Data'!D2078)&gt;1,"Repeat","Single"))</f>
        <v>Repeat</v>
      </c>
      <c r="K2078" s="10" t="str">
        <f t="shared" si="32"/>
        <v>TRANS-2077</v>
      </c>
    </row>
    <row r="2079" spans="1:11" x14ac:dyDescent="0.35">
      <c r="A2079" s="5">
        <v>45589</v>
      </c>
      <c r="B2079" s="3">
        <v>0.86401620370370369</v>
      </c>
      <c r="C2079" t="s">
        <v>8</v>
      </c>
      <c r="D2079" t="s">
        <v>864</v>
      </c>
      <c r="E2079" s="4">
        <v>25.96</v>
      </c>
      <c r="F2079" t="s">
        <v>28</v>
      </c>
      <c r="G2079" s="10" t="str">
        <f>TEXT(Transform_Data[[#This Row],[Date]],"mmm yyyy")</f>
        <v>Oct 2024</v>
      </c>
      <c r="H2079" s="10">
        <f>HOUR(Transform_Data[[#This Row],[Time]])</f>
        <v>20</v>
      </c>
      <c r="I2079" s="10" t="str">
        <f>IF(COUNTIF('Transform Data'!$D:$D,'Transform Data'!D2079)&gt;1,"Repeat","Single")</f>
        <v>Single</v>
      </c>
      <c r="J2079" s="10" t="str">
        <f>IF('Transform Data'!D2079="Cash","Cash",IF(COUNTIF('Transform Data'!$D:$D,'Transform Data'!D2079)&gt;1,"Repeat","Single"))</f>
        <v>Single</v>
      </c>
      <c r="K2079" s="10" t="str">
        <f t="shared" si="32"/>
        <v>TRANS-2078</v>
      </c>
    </row>
    <row r="2080" spans="1:11" x14ac:dyDescent="0.35">
      <c r="A2080" s="5">
        <v>45589</v>
      </c>
      <c r="B2080" s="3">
        <v>0.88523148148148145</v>
      </c>
      <c r="C2080" t="s">
        <v>8</v>
      </c>
      <c r="D2080" t="s">
        <v>865</v>
      </c>
      <c r="E2080" s="4">
        <v>35.76</v>
      </c>
      <c r="F2080" t="s">
        <v>15</v>
      </c>
      <c r="G2080" s="10" t="str">
        <f>TEXT(Transform_Data[[#This Row],[Date]],"mmm yyyy")</f>
        <v>Oct 2024</v>
      </c>
      <c r="H2080" s="10">
        <f>HOUR(Transform_Data[[#This Row],[Time]])</f>
        <v>21</v>
      </c>
      <c r="I2080" s="10" t="str">
        <f>IF(COUNTIF('Transform Data'!$D:$D,'Transform Data'!D2080)&gt;1,"Repeat","Single")</f>
        <v>Repeat</v>
      </c>
      <c r="J2080" s="10" t="str">
        <f>IF('Transform Data'!D2080="Cash","Cash",IF(COUNTIF('Transform Data'!$D:$D,'Transform Data'!D2080)&gt;1,"Repeat","Single"))</f>
        <v>Repeat</v>
      </c>
      <c r="K2080" s="10" t="str">
        <f t="shared" si="32"/>
        <v>TRANS-2079</v>
      </c>
    </row>
    <row r="2081" spans="1:11" x14ac:dyDescent="0.35">
      <c r="A2081" s="5">
        <v>45589</v>
      </c>
      <c r="B2081" s="3">
        <v>0.88575231481481487</v>
      </c>
      <c r="C2081" t="s">
        <v>8</v>
      </c>
      <c r="D2081" t="s">
        <v>865</v>
      </c>
      <c r="E2081" s="4">
        <v>35.76</v>
      </c>
      <c r="F2081" t="s">
        <v>15</v>
      </c>
      <c r="G2081" s="10" t="str">
        <f>TEXT(Transform_Data[[#This Row],[Date]],"mmm yyyy")</f>
        <v>Oct 2024</v>
      </c>
      <c r="H2081" s="10">
        <f>HOUR(Transform_Data[[#This Row],[Time]])</f>
        <v>21</v>
      </c>
      <c r="I2081" s="10" t="str">
        <f>IF(COUNTIF('Transform Data'!$D:$D,'Transform Data'!D2081)&gt;1,"Repeat","Single")</f>
        <v>Repeat</v>
      </c>
      <c r="J2081" s="10" t="str">
        <f>IF('Transform Data'!D2081="Cash","Cash",IF(COUNTIF('Transform Data'!$D:$D,'Transform Data'!D2081)&gt;1,"Repeat","Single"))</f>
        <v>Repeat</v>
      </c>
      <c r="K2081" s="10" t="str">
        <f t="shared" si="32"/>
        <v>TRANS-2080</v>
      </c>
    </row>
    <row r="2082" spans="1:11" x14ac:dyDescent="0.35">
      <c r="A2082" s="5">
        <v>45589</v>
      </c>
      <c r="B2082" s="3">
        <v>0.91412037037037042</v>
      </c>
      <c r="C2082" t="s">
        <v>8</v>
      </c>
      <c r="D2082" t="s">
        <v>689</v>
      </c>
      <c r="E2082" s="4">
        <v>35.76</v>
      </c>
      <c r="F2082" t="s">
        <v>15</v>
      </c>
      <c r="G2082" s="10" t="str">
        <f>TEXT(Transform_Data[[#This Row],[Date]],"mmm yyyy")</f>
        <v>Oct 2024</v>
      </c>
      <c r="H2082" s="10">
        <f>HOUR(Transform_Data[[#This Row],[Time]])</f>
        <v>21</v>
      </c>
      <c r="I2082" s="10" t="str">
        <f>IF(COUNTIF('Transform Data'!$D:$D,'Transform Data'!D2082)&gt;1,"Repeat","Single")</f>
        <v>Repeat</v>
      </c>
      <c r="J2082" s="10" t="str">
        <f>IF('Transform Data'!D2082="Cash","Cash",IF(COUNTIF('Transform Data'!$D:$D,'Transform Data'!D2082)&gt;1,"Repeat","Single"))</f>
        <v>Repeat</v>
      </c>
      <c r="K2082" s="10" t="str">
        <f t="shared" si="32"/>
        <v>TRANS-2081</v>
      </c>
    </row>
    <row r="2083" spans="1:11" x14ac:dyDescent="0.35">
      <c r="A2083" s="5">
        <v>45589</v>
      </c>
      <c r="B2083" s="3">
        <v>0.91469907407407403</v>
      </c>
      <c r="C2083" t="s">
        <v>8</v>
      </c>
      <c r="D2083" t="s">
        <v>689</v>
      </c>
      <c r="E2083" s="4">
        <v>35.76</v>
      </c>
      <c r="F2083" t="s">
        <v>24</v>
      </c>
      <c r="G2083" s="10" t="str">
        <f>TEXT(Transform_Data[[#This Row],[Date]],"mmm yyyy")</f>
        <v>Oct 2024</v>
      </c>
      <c r="H2083" s="10">
        <f>HOUR(Transform_Data[[#This Row],[Time]])</f>
        <v>21</v>
      </c>
      <c r="I2083" s="10" t="str">
        <f>IF(COUNTIF('Transform Data'!$D:$D,'Transform Data'!D2083)&gt;1,"Repeat","Single")</f>
        <v>Repeat</v>
      </c>
      <c r="J2083" s="10" t="str">
        <f>IF('Transform Data'!D2083="Cash","Cash",IF(COUNTIF('Transform Data'!$D:$D,'Transform Data'!D2083)&gt;1,"Repeat","Single"))</f>
        <v>Repeat</v>
      </c>
      <c r="K2083" s="10" t="str">
        <f t="shared" si="32"/>
        <v>TRANS-2082</v>
      </c>
    </row>
    <row r="2084" spans="1:11" x14ac:dyDescent="0.35">
      <c r="A2084" s="5">
        <v>45590</v>
      </c>
      <c r="B2084" s="3">
        <v>0.31818287037037035</v>
      </c>
      <c r="C2084" t="s">
        <v>8</v>
      </c>
      <c r="D2084" t="s">
        <v>748</v>
      </c>
      <c r="E2084" s="4">
        <v>35.76</v>
      </c>
      <c r="F2084" t="s">
        <v>24</v>
      </c>
      <c r="G2084" s="10" t="str">
        <f>TEXT(Transform_Data[[#This Row],[Date]],"mmm yyyy")</f>
        <v>Oct 2024</v>
      </c>
      <c r="H2084" s="10">
        <f>HOUR(Transform_Data[[#This Row],[Time]])</f>
        <v>7</v>
      </c>
      <c r="I2084" s="10" t="str">
        <f>IF(COUNTIF('Transform Data'!$D:$D,'Transform Data'!D2084)&gt;1,"Repeat","Single")</f>
        <v>Repeat</v>
      </c>
      <c r="J2084" s="10" t="str">
        <f>IF('Transform Data'!D2084="Cash","Cash",IF(COUNTIF('Transform Data'!$D:$D,'Transform Data'!D2084)&gt;1,"Repeat","Single"))</f>
        <v>Repeat</v>
      </c>
      <c r="K2084" s="10" t="str">
        <f t="shared" si="32"/>
        <v>TRANS-2083</v>
      </c>
    </row>
    <row r="2085" spans="1:11" x14ac:dyDescent="0.35">
      <c r="A2085" s="5">
        <v>45590</v>
      </c>
      <c r="B2085" s="3">
        <v>0.32317129629629632</v>
      </c>
      <c r="C2085" t="s">
        <v>8</v>
      </c>
      <c r="D2085" t="s">
        <v>455</v>
      </c>
      <c r="E2085" s="4">
        <v>21.06</v>
      </c>
      <c r="F2085" t="s">
        <v>5</v>
      </c>
      <c r="G2085" s="10" t="str">
        <f>TEXT(Transform_Data[[#This Row],[Date]],"mmm yyyy")</f>
        <v>Oct 2024</v>
      </c>
      <c r="H2085" s="10">
        <f>HOUR(Transform_Data[[#This Row],[Time]])</f>
        <v>7</v>
      </c>
      <c r="I2085" s="10" t="str">
        <f>IF(COUNTIF('Transform Data'!$D:$D,'Transform Data'!D2085)&gt;1,"Repeat","Single")</f>
        <v>Repeat</v>
      </c>
      <c r="J2085" s="10" t="str">
        <f>IF('Transform Data'!D2085="Cash","Cash",IF(COUNTIF('Transform Data'!$D:$D,'Transform Data'!D2085)&gt;1,"Repeat","Single"))</f>
        <v>Repeat</v>
      </c>
      <c r="K2085" s="10" t="str">
        <f t="shared" si="32"/>
        <v>TRANS-2084</v>
      </c>
    </row>
    <row r="2086" spans="1:11" x14ac:dyDescent="0.35">
      <c r="A2086" s="5">
        <v>45590</v>
      </c>
      <c r="B2086" s="3">
        <v>0.34032407407407406</v>
      </c>
      <c r="C2086" t="s">
        <v>8</v>
      </c>
      <c r="D2086" t="s">
        <v>622</v>
      </c>
      <c r="E2086" s="4">
        <v>35.76</v>
      </c>
      <c r="F2086" t="s">
        <v>10</v>
      </c>
      <c r="G2086" s="10" t="str">
        <f>TEXT(Transform_Data[[#This Row],[Date]],"mmm yyyy")</f>
        <v>Oct 2024</v>
      </c>
      <c r="H2086" s="10">
        <f>HOUR(Transform_Data[[#This Row],[Time]])</f>
        <v>8</v>
      </c>
      <c r="I2086" s="10" t="str">
        <f>IF(COUNTIF('Transform Data'!$D:$D,'Transform Data'!D2086)&gt;1,"Repeat","Single")</f>
        <v>Repeat</v>
      </c>
      <c r="J2086" s="10" t="str">
        <f>IF('Transform Data'!D2086="Cash","Cash",IF(COUNTIF('Transform Data'!$D:$D,'Transform Data'!D2086)&gt;1,"Repeat","Single"))</f>
        <v>Repeat</v>
      </c>
      <c r="K2086" s="10" t="str">
        <f t="shared" si="32"/>
        <v>TRANS-2085</v>
      </c>
    </row>
    <row r="2087" spans="1:11" x14ac:dyDescent="0.35">
      <c r="A2087" s="5">
        <v>45590</v>
      </c>
      <c r="B2087" s="3">
        <v>0.34090277777777778</v>
      </c>
      <c r="C2087" t="s">
        <v>8</v>
      </c>
      <c r="D2087" t="s">
        <v>622</v>
      </c>
      <c r="E2087" s="4">
        <v>35.76</v>
      </c>
      <c r="F2087" t="s">
        <v>32</v>
      </c>
      <c r="G2087" s="10" t="str">
        <f>TEXT(Transform_Data[[#This Row],[Date]],"mmm yyyy")</f>
        <v>Oct 2024</v>
      </c>
      <c r="H2087" s="10">
        <f>HOUR(Transform_Data[[#This Row],[Time]])</f>
        <v>8</v>
      </c>
      <c r="I2087" s="10" t="str">
        <f>IF(COUNTIF('Transform Data'!$D:$D,'Transform Data'!D2087)&gt;1,"Repeat","Single")</f>
        <v>Repeat</v>
      </c>
      <c r="J2087" s="10" t="str">
        <f>IF('Transform Data'!D2087="Cash","Cash",IF(COUNTIF('Transform Data'!$D:$D,'Transform Data'!D2087)&gt;1,"Repeat","Single"))</f>
        <v>Repeat</v>
      </c>
      <c r="K2087" s="10" t="str">
        <f t="shared" si="32"/>
        <v>TRANS-2086</v>
      </c>
    </row>
    <row r="2088" spans="1:11" x14ac:dyDescent="0.35">
      <c r="A2088" s="5">
        <v>45590</v>
      </c>
      <c r="B2088" s="3">
        <v>0.34640046296296295</v>
      </c>
      <c r="C2088" t="s">
        <v>8</v>
      </c>
      <c r="D2088" t="s">
        <v>140</v>
      </c>
      <c r="E2088" s="4">
        <v>35.76</v>
      </c>
      <c r="F2088" t="s">
        <v>10</v>
      </c>
      <c r="G2088" s="10" t="str">
        <f>TEXT(Transform_Data[[#This Row],[Date]],"mmm yyyy")</f>
        <v>Oct 2024</v>
      </c>
      <c r="H2088" s="10">
        <f>HOUR(Transform_Data[[#This Row],[Time]])</f>
        <v>8</v>
      </c>
      <c r="I2088" s="10" t="str">
        <f>IF(COUNTIF('Transform Data'!$D:$D,'Transform Data'!D2088)&gt;1,"Repeat","Single")</f>
        <v>Repeat</v>
      </c>
      <c r="J2088" s="10" t="str">
        <f>IF('Transform Data'!D2088="Cash","Cash",IF(COUNTIF('Transform Data'!$D:$D,'Transform Data'!D2088)&gt;1,"Repeat","Single"))</f>
        <v>Repeat</v>
      </c>
      <c r="K2088" s="10" t="str">
        <f t="shared" si="32"/>
        <v>TRANS-2087</v>
      </c>
    </row>
    <row r="2089" spans="1:11" x14ac:dyDescent="0.35">
      <c r="A2089" s="5">
        <v>45590</v>
      </c>
      <c r="B2089" s="3">
        <v>0.4190740740740741</v>
      </c>
      <c r="C2089" t="s">
        <v>8</v>
      </c>
      <c r="D2089" t="s">
        <v>735</v>
      </c>
      <c r="E2089" s="4">
        <v>25.96</v>
      </c>
      <c r="F2089" t="s">
        <v>28</v>
      </c>
      <c r="G2089" s="10" t="str">
        <f>TEXT(Transform_Data[[#This Row],[Date]],"mmm yyyy")</f>
        <v>Oct 2024</v>
      </c>
      <c r="H2089" s="10">
        <f>HOUR(Transform_Data[[#This Row],[Time]])</f>
        <v>10</v>
      </c>
      <c r="I2089" s="10" t="str">
        <f>IF(COUNTIF('Transform Data'!$D:$D,'Transform Data'!D2089)&gt;1,"Repeat","Single")</f>
        <v>Repeat</v>
      </c>
      <c r="J2089" s="10" t="str">
        <f>IF('Transform Data'!D2089="Cash","Cash",IF(COUNTIF('Transform Data'!$D:$D,'Transform Data'!D2089)&gt;1,"Repeat","Single"))</f>
        <v>Repeat</v>
      </c>
      <c r="K2089" s="10" t="str">
        <f t="shared" si="32"/>
        <v>TRANS-2088</v>
      </c>
    </row>
    <row r="2090" spans="1:11" x14ac:dyDescent="0.35">
      <c r="A2090" s="5">
        <v>45590</v>
      </c>
      <c r="B2090" s="3">
        <v>0.42038194444444443</v>
      </c>
      <c r="C2090" t="s">
        <v>8</v>
      </c>
      <c r="D2090" t="s">
        <v>735</v>
      </c>
      <c r="E2090" s="4">
        <v>25.96</v>
      </c>
      <c r="F2090" t="s">
        <v>28</v>
      </c>
      <c r="G2090" s="10" t="str">
        <f>TEXT(Transform_Data[[#This Row],[Date]],"mmm yyyy")</f>
        <v>Oct 2024</v>
      </c>
      <c r="H2090" s="10">
        <f>HOUR(Transform_Data[[#This Row],[Time]])</f>
        <v>10</v>
      </c>
      <c r="I2090" s="10" t="str">
        <f>IF(COUNTIF('Transform Data'!$D:$D,'Transform Data'!D2090)&gt;1,"Repeat","Single")</f>
        <v>Repeat</v>
      </c>
      <c r="J2090" s="10" t="str">
        <f>IF('Transform Data'!D2090="Cash","Cash",IF(COUNTIF('Transform Data'!$D:$D,'Transform Data'!D2090)&gt;1,"Repeat","Single"))</f>
        <v>Repeat</v>
      </c>
      <c r="K2090" s="10" t="str">
        <f t="shared" si="32"/>
        <v>TRANS-2089</v>
      </c>
    </row>
    <row r="2091" spans="1:11" x14ac:dyDescent="0.35">
      <c r="A2091" s="5">
        <v>45590</v>
      </c>
      <c r="B2091" s="3">
        <v>0.45209490740740743</v>
      </c>
      <c r="C2091" t="s">
        <v>8</v>
      </c>
      <c r="D2091" t="s">
        <v>29</v>
      </c>
      <c r="E2091" s="4">
        <v>30.86</v>
      </c>
      <c r="F2091" t="s">
        <v>36</v>
      </c>
      <c r="G2091" s="10" t="str">
        <f>TEXT(Transform_Data[[#This Row],[Date]],"mmm yyyy")</f>
        <v>Oct 2024</v>
      </c>
      <c r="H2091" s="10">
        <f>HOUR(Transform_Data[[#This Row],[Time]])</f>
        <v>10</v>
      </c>
      <c r="I2091" s="10" t="str">
        <f>IF(COUNTIF('Transform Data'!$D:$D,'Transform Data'!D2091)&gt;1,"Repeat","Single")</f>
        <v>Repeat</v>
      </c>
      <c r="J2091" s="10" t="str">
        <f>IF('Transform Data'!D2091="Cash","Cash",IF(COUNTIF('Transform Data'!$D:$D,'Transform Data'!D2091)&gt;1,"Repeat","Single"))</f>
        <v>Repeat</v>
      </c>
      <c r="K2091" s="10" t="str">
        <f t="shared" si="32"/>
        <v>TRANS-2090</v>
      </c>
    </row>
    <row r="2092" spans="1:11" x14ac:dyDescent="0.35">
      <c r="A2092" s="5">
        <v>45590</v>
      </c>
      <c r="B2092" s="3">
        <v>0.49284722222222221</v>
      </c>
      <c r="C2092" t="s">
        <v>8</v>
      </c>
      <c r="D2092" t="s">
        <v>43</v>
      </c>
      <c r="E2092" s="4">
        <v>35.76</v>
      </c>
      <c r="F2092" t="s">
        <v>10</v>
      </c>
      <c r="G2092" s="10" t="str">
        <f>TEXT(Transform_Data[[#This Row],[Date]],"mmm yyyy")</f>
        <v>Oct 2024</v>
      </c>
      <c r="H2092" s="10">
        <f>HOUR(Transform_Data[[#This Row],[Time]])</f>
        <v>11</v>
      </c>
      <c r="I2092" s="10" t="str">
        <f>IF(COUNTIF('Transform Data'!$D:$D,'Transform Data'!D2092)&gt;1,"Repeat","Single")</f>
        <v>Repeat</v>
      </c>
      <c r="J2092" s="10" t="str">
        <f>IF('Transform Data'!D2092="Cash","Cash",IF(COUNTIF('Transform Data'!$D:$D,'Transform Data'!D2092)&gt;1,"Repeat","Single"))</f>
        <v>Repeat</v>
      </c>
      <c r="K2092" s="10" t="str">
        <f t="shared" si="32"/>
        <v>TRANS-2091</v>
      </c>
    </row>
    <row r="2093" spans="1:11" x14ac:dyDescent="0.35">
      <c r="A2093" s="5">
        <v>45590</v>
      </c>
      <c r="B2093" s="3">
        <v>0.4934027777777778</v>
      </c>
      <c r="C2093" t="s">
        <v>8</v>
      </c>
      <c r="D2093" t="s">
        <v>43</v>
      </c>
      <c r="E2093" s="4">
        <v>35.76</v>
      </c>
      <c r="F2093" t="s">
        <v>10</v>
      </c>
      <c r="G2093" s="10" t="str">
        <f>TEXT(Transform_Data[[#This Row],[Date]],"mmm yyyy")</f>
        <v>Oct 2024</v>
      </c>
      <c r="H2093" s="10">
        <f>HOUR(Transform_Data[[#This Row],[Time]])</f>
        <v>11</v>
      </c>
      <c r="I2093" s="10" t="str">
        <f>IF(COUNTIF('Transform Data'!$D:$D,'Transform Data'!D2093)&gt;1,"Repeat","Single")</f>
        <v>Repeat</v>
      </c>
      <c r="J2093" s="10" t="str">
        <f>IF('Transform Data'!D2093="Cash","Cash",IF(COUNTIF('Transform Data'!$D:$D,'Transform Data'!D2093)&gt;1,"Repeat","Single"))</f>
        <v>Repeat</v>
      </c>
      <c r="K2093" s="10" t="str">
        <f t="shared" si="32"/>
        <v>TRANS-2092</v>
      </c>
    </row>
    <row r="2094" spans="1:11" x14ac:dyDescent="0.35">
      <c r="A2094" s="5">
        <v>45590</v>
      </c>
      <c r="B2094" s="3">
        <v>0.50474537037037037</v>
      </c>
      <c r="C2094" t="s">
        <v>8</v>
      </c>
      <c r="D2094" t="s">
        <v>40</v>
      </c>
      <c r="E2094" s="4">
        <v>25.96</v>
      </c>
      <c r="F2094" t="s">
        <v>20</v>
      </c>
      <c r="G2094" s="10" t="str">
        <f>TEXT(Transform_Data[[#This Row],[Date]],"mmm yyyy")</f>
        <v>Oct 2024</v>
      </c>
      <c r="H2094" s="10">
        <f>HOUR(Transform_Data[[#This Row],[Time]])</f>
        <v>12</v>
      </c>
      <c r="I2094" s="10" t="str">
        <f>IF(COUNTIF('Transform Data'!$D:$D,'Transform Data'!D2094)&gt;1,"Repeat","Single")</f>
        <v>Repeat</v>
      </c>
      <c r="J2094" s="10" t="str">
        <f>IF('Transform Data'!D2094="Cash","Cash",IF(COUNTIF('Transform Data'!$D:$D,'Transform Data'!D2094)&gt;1,"Repeat","Single"))</f>
        <v>Repeat</v>
      </c>
      <c r="K2094" s="10" t="str">
        <f t="shared" si="32"/>
        <v>TRANS-2093</v>
      </c>
    </row>
    <row r="2095" spans="1:11" x14ac:dyDescent="0.35">
      <c r="A2095" s="5">
        <v>45590</v>
      </c>
      <c r="B2095" s="3">
        <v>0.52820601851851856</v>
      </c>
      <c r="C2095" t="s">
        <v>8</v>
      </c>
      <c r="D2095" t="s">
        <v>866</v>
      </c>
      <c r="E2095" s="4">
        <v>35.76</v>
      </c>
      <c r="F2095" t="s">
        <v>32</v>
      </c>
      <c r="G2095" s="10" t="str">
        <f>TEXT(Transform_Data[[#This Row],[Date]],"mmm yyyy")</f>
        <v>Oct 2024</v>
      </c>
      <c r="H2095" s="10">
        <f>HOUR(Transform_Data[[#This Row],[Time]])</f>
        <v>12</v>
      </c>
      <c r="I2095" s="10" t="str">
        <f>IF(COUNTIF('Transform Data'!$D:$D,'Transform Data'!D2095)&gt;1,"Repeat","Single")</f>
        <v>Single</v>
      </c>
      <c r="J2095" s="10" t="str">
        <f>IF('Transform Data'!D2095="Cash","Cash",IF(COUNTIF('Transform Data'!$D:$D,'Transform Data'!D2095)&gt;1,"Repeat","Single"))</f>
        <v>Single</v>
      </c>
      <c r="K2095" s="10" t="str">
        <f t="shared" si="32"/>
        <v>TRANS-2094</v>
      </c>
    </row>
    <row r="2096" spans="1:11" x14ac:dyDescent="0.35">
      <c r="A2096" s="5">
        <v>45590</v>
      </c>
      <c r="B2096" s="3">
        <v>0.59949074074074071</v>
      </c>
      <c r="C2096" t="s">
        <v>8</v>
      </c>
      <c r="D2096" t="s">
        <v>192</v>
      </c>
      <c r="E2096" s="4">
        <v>35.76</v>
      </c>
      <c r="F2096" t="s">
        <v>24</v>
      </c>
      <c r="G2096" s="10" t="str">
        <f>TEXT(Transform_Data[[#This Row],[Date]],"mmm yyyy")</f>
        <v>Oct 2024</v>
      </c>
      <c r="H2096" s="10">
        <f>HOUR(Transform_Data[[#This Row],[Time]])</f>
        <v>14</v>
      </c>
      <c r="I2096" s="10" t="str">
        <f>IF(COUNTIF('Transform Data'!$D:$D,'Transform Data'!D2096)&gt;1,"Repeat","Single")</f>
        <v>Repeat</v>
      </c>
      <c r="J2096" s="10" t="str">
        <f>IF('Transform Data'!D2096="Cash","Cash",IF(COUNTIF('Transform Data'!$D:$D,'Transform Data'!D2096)&gt;1,"Repeat","Single"))</f>
        <v>Repeat</v>
      </c>
      <c r="K2096" s="10" t="str">
        <f t="shared" si="32"/>
        <v>TRANS-2095</v>
      </c>
    </row>
    <row r="2097" spans="1:11" x14ac:dyDescent="0.35">
      <c r="A2097" s="5">
        <v>45590</v>
      </c>
      <c r="B2097" s="3">
        <v>0.93012731481481481</v>
      </c>
      <c r="C2097" t="s">
        <v>8</v>
      </c>
      <c r="D2097" t="s">
        <v>867</v>
      </c>
      <c r="E2097" s="4">
        <v>35.76</v>
      </c>
      <c r="F2097" t="s">
        <v>15</v>
      </c>
      <c r="G2097" s="10" t="str">
        <f>TEXT(Transform_Data[[#This Row],[Date]],"mmm yyyy")</f>
        <v>Oct 2024</v>
      </c>
      <c r="H2097" s="10">
        <f>HOUR(Transform_Data[[#This Row],[Time]])</f>
        <v>22</v>
      </c>
      <c r="I2097" s="10" t="str">
        <f>IF(COUNTIF('Transform Data'!$D:$D,'Transform Data'!D2097)&gt;1,"Repeat","Single")</f>
        <v>Repeat</v>
      </c>
      <c r="J2097" s="10" t="str">
        <f>IF('Transform Data'!D2097="Cash","Cash",IF(COUNTIF('Transform Data'!$D:$D,'Transform Data'!D2097)&gt;1,"Repeat","Single"))</f>
        <v>Repeat</v>
      </c>
      <c r="K2097" s="10" t="str">
        <f t="shared" si="32"/>
        <v>TRANS-2096</v>
      </c>
    </row>
    <row r="2098" spans="1:11" x14ac:dyDescent="0.35">
      <c r="A2098" s="5">
        <v>45590</v>
      </c>
      <c r="B2098" s="3">
        <v>0.93230324074074078</v>
      </c>
      <c r="C2098" t="s">
        <v>8</v>
      </c>
      <c r="D2098" t="s">
        <v>867</v>
      </c>
      <c r="E2098" s="4">
        <v>21.06</v>
      </c>
      <c r="F2098" t="s">
        <v>5</v>
      </c>
      <c r="G2098" s="10" t="str">
        <f>TEXT(Transform_Data[[#This Row],[Date]],"mmm yyyy")</f>
        <v>Oct 2024</v>
      </c>
      <c r="H2098" s="10">
        <f>HOUR(Transform_Data[[#This Row],[Time]])</f>
        <v>22</v>
      </c>
      <c r="I2098" s="10" t="str">
        <f>IF(COUNTIF('Transform Data'!$D:$D,'Transform Data'!D2098)&gt;1,"Repeat","Single")</f>
        <v>Repeat</v>
      </c>
      <c r="J2098" s="10" t="str">
        <f>IF('Transform Data'!D2098="Cash","Cash",IF(COUNTIF('Transform Data'!$D:$D,'Transform Data'!D2098)&gt;1,"Repeat","Single"))</f>
        <v>Repeat</v>
      </c>
      <c r="K2098" s="10" t="str">
        <f t="shared" si="32"/>
        <v>TRANS-2097</v>
      </c>
    </row>
    <row r="2099" spans="1:11" x14ac:dyDescent="0.35">
      <c r="A2099" s="5">
        <v>45591</v>
      </c>
      <c r="B2099" s="3">
        <v>0.3263773148148148</v>
      </c>
      <c r="C2099" t="s">
        <v>8</v>
      </c>
      <c r="D2099" t="s">
        <v>734</v>
      </c>
      <c r="E2099" s="4">
        <v>35.76</v>
      </c>
      <c r="F2099" t="s">
        <v>24</v>
      </c>
      <c r="G2099" s="10" t="str">
        <f>TEXT(Transform_Data[[#This Row],[Date]],"mmm yyyy")</f>
        <v>Oct 2024</v>
      </c>
      <c r="H2099" s="10">
        <f>HOUR(Transform_Data[[#This Row],[Time]])</f>
        <v>7</v>
      </c>
      <c r="I2099" s="10" t="str">
        <f>IF(COUNTIF('Transform Data'!$D:$D,'Transform Data'!D2099)&gt;1,"Repeat","Single")</f>
        <v>Repeat</v>
      </c>
      <c r="J2099" s="10" t="str">
        <f>IF('Transform Data'!D2099="Cash","Cash",IF(COUNTIF('Transform Data'!$D:$D,'Transform Data'!D2099)&gt;1,"Repeat","Single"))</f>
        <v>Repeat</v>
      </c>
      <c r="K2099" s="10" t="str">
        <f t="shared" si="32"/>
        <v>TRANS-2098</v>
      </c>
    </row>
    <row r="2100" spans="1:11" x14ac:dyDescent="0.35">
      <c r="A2100" s="5">
        <v>45591</v>
      </c>
      <c r="B2100" s="3">
        <v>0.36231481481481481</v>
      </c>
      <c r="C2100" t="s">
        <v>8</v>
      </c>
      <c r="D2100" t="s">
        <v>40</v>
      </c>
      <c r="E2100" s="4">
        <v>25.96</v>
      </c>
      <c r="F2100" t="s">
        <v>20</v>
      </c>
      <c r="G2100" s="10" t="str">
        <f>TEXT(Transform_Data[[#This Row],[Date]],"mmm yyyy")</f>
        <v>Oct 2024</v>
      </c>
      <c r="H2100" s="10">
        <f>HOUR(Transform_Data[[#This Row],[Time]])</f>
        <v>8</v>
      </c>
      <c r="I2100" s="10" t="str">
        <f>IF(COUNTIF('Transform Data'!$D:$D,'Transform Data'!D2100)&gt;1,"Repeat","Single")</f>
        <v>Repeat</v>
      </c>
      <c r="J2100" s="10" t="str">
        <f>IF('Transform Data'!D2100="Cash","Cash",IF(COUNTIF('Transform Data'!$D:$D,'Transform Data'!D2100)&gt;1,"Repeat","Single"))</f>
        <v>Repeat</v>
      </c>
      <c r="K2100" s="10" t="str">
        <f t="shared" si="32"/>
        <v>TRANS-2099</v>
      </c>
    </row>
    <row r="2101" spans="1:11" x14ac:dyDescent="0.35">
      <c r="A2101" s="5">
        <v>45591</v>
      </c>
      <c r="B2101" s="3">
        <v>0.37012731481481481</v>
      </c>
      <c r="C2101" t="s">
        <v>8</v>
      </c>
      <c r="D2101" t="s">
        <v>387</v>
      </c>
      <c r="E2101" s="4">
        <v>35.76</v>
      </c>
      <c r="F2101" t="s">
        <v>24</v>
      </c>
      <c r="G2101" s="10" t="str">
        <f>TEXT(Transform_Data[[#This Row],[Date]],"mmm yyyy")</f>
        <v>Oct 2024</v>
      </c>
      <c r="H2101" s="10">
        <f>HOUR(Transform_Data[[#This Row],[Time]])</f>
        <v>8</v>
      </c>
      <c r="I2101" s="10" t="str">
        <f>IF(COUNTIF('Transform Data'!$D:$D,'Transform Data'!D2101)&gt;1,"Repeat","Single")</f>
        <v>Repeat</v>
      </c>
      <c r="J2101" s="10" t="str">
        <f>IF('Transform Data'!D2101="Cash","Cash",IF(COUNTIF('Transform Data'!$D:$D,'Transform Data'!D2101)&gt;1,"Repeat","Single"))</f>
        <v>Repeat</v>
      </c>
      <c r="K2101" s="10" t="str">
        <f t="shared" si="32"/>
        <v>TRANS-2100</v>
      </c>
    </row>
    <row r="2102" spans="1:11" x14ac:dyDescent="0.35">
      <c r="A2102" s="5">
        <v>45591</v>
      </c>
      <c r="B2102" s="3">
        <v>0.43377314814814816</v>
      </c>
      <c r="C2102" t="s">
        <v>8</v>
      </c>
      <c r="D2102" t="s">
        <v>868</v>
      </c>
      <c r="E2102" s="4">
        <v>25.96</v>
      </c>
      <c r="F2102" t="s">
        <v>28</v>
      </c>
      <c r="G2102" s="10" t="str">
        <f>TEXT(Transform_Data[[#This Row],[Date]],"mmm yyyy")</f>
        <v>Oct 2024</v>
      </c>
      <c r="H2102" s="10">
        <f>HOUR(Transform_Data[[#This Row],[Time]])</f>
        <v>10</v>
      </c>
      <c r="I2102" s="10" t="str">
        <f>IF(COUNTIF('Transform Data'!$D:$D,'Transform Data'!D2102)&gt;1,"Repeat","Single")</f>
        <v>Single</v>
      </c>
      <c r="J2102" s="10" t="str">
        <f>IF('Transform Data'!D2102="Cash","Cash",IF(COUNTIF('Transform Data'!$D:$D,'Transform Data'!D2102)&gt;1,"Repeat","Single"))</f>
        <v>Single</v>
      </c>
      <c r="K2102" s="10" t="str">
        <f t="shared" si="32"/>
        <v>TRANS-2101</v>
      </c>
    </row>
    <row r="2103" spans="1:11" x14ac:dyDescent="0.35">
      <c r="A2103" s="5">
        <v>45591</v>
      </c>
      <c r="B2103" s="3">
        <v>0.51260416666666664</v>
      </c>
      <c r="C2103" t="s">
        <v>8</v>
      </c>
      <c r="D2103" t="s">
        <v>16</v>
      </c>
      <c r="E2103" s="4">
        <v>35.76</v>
      </c>
      <c r="F2103" t="s">
        <v>10</v>
      </c>
      <c r="G2103" s="10" t="str">
        <f>TEXT(Transform_Data[[#This Row],[Date]],"mmm yyyy")</f>
        <v>Oct 2024</v>
      </c>
      <c r="H2103" s="10">
        <f>HOUR(Transform_Data[[#This Row],[Time]])</f>
        <v>12</v>
      </c>
      <c r="I2103" s="10" t="str">
        <f>IF(COUNTIF('Transform Data'!$D:$D,'Transform Data'!D2103)&gt;1,"Repeat","Single")</f>
        <v>Repeat</v>
      </c>
      <c r="J2103" s="10" t="str">
        <f>IF('Transform Data'!D2103="Cash","Cash",IF(COUNTIF('Transform Data'!$D:$D,'Transform Data'!D2103)&gt;1,"Repeat","Single"))</f>
        <v>Repeat</v>
      </c>
      <c r="K2103" s="10" t="str">
        <f t="shared" si="32"/>
        <v>TRANS-2102</v>
      </c>
    </row>
    <row r="2104" spans="1:11" x14ac:dyDescent="0.35">
      <c r="A2104" s="5">
        <v>45591</v>
      </c>
      <c r="B2104" s="3">
        <v>0.54410879629629627</v>
      </c>
      <c r="C2104" t="s">
        <v>8</v>
      </c>
      <c r="D2104" t="s">
        <v>869</v>
      </c>
      <c r="E2104" s="4">
        <v>35.76</v>
      </c>
      <c r="F2104" t="s">
        <v>32</v>
      </c>
      <c r="G2104" s="10" t="str">
        <f>TEXT(Transform_Data[[#This Row],[Date]],"mmm yyyy")</f>
        <v>Oct 2024</v>
      </c>
      <c r="H2104" s="10">
        <f>HOUR(Transform_Data[[#This Row],[Time]])</f>
        <v>13</v>
      </c>
      <c r="I2104" s="10" t="str">
        <f>IF(COUNTIF('Transform Data'!$D:$D,'Transform Data'!D2104)&gt;1,"Repeat","Single")</f>
        <v>Single</v>
      </c>
      <c r="J2104" s="10" t="str">
        <f>IF('Transform Data'!D2104="Cash","Cash",IF(COUNTIF('Transform Data'!$D:$D,'Transform Data'!D2104)&gt;1,"Repeat","Single"))</f>
        <v>Single</v>
      </c>
      <c r="K2104" s="10" t="str">
        <f t="shared" si="32"/>
        <v>TRANS-2103</v>
      </c>
    </row>
    <row r="2105" spans="1:11" x14ac:dyDescent="0.35">
      <c r="A2105" s="5">
        <v>45591</v>
      </c>
      <c r="B2105" s="3">
        <v>0.60761574074074076</v>
      </c>
      <c r="C2105" t="s">
        <v>8</v>
      </c>
      <c r="D2105" t="s">
        <v>29</v>
      </c>
      <c r="E2105" s="4">
        <v>35.76</v>
      </c>
      <c r="F2105" t="s">
        <v>32</v>
      </c>
      <c r="G2105" s="10" t="str">
        <f>TEXT(Transform_Data[[#This Row],[Date]],"mmm yyyy")</f>
        <v>Oct 2024</v>
      </c>
      <c r="H2105" s="10">
        <f>HOUR(Transform_Data[[#This Row],[Time]])</f>
        <v>14</v>
      </c>
      <c r="I2105" s="10" t="str">
        <f>IF(COUNTIF('Transform Data'!$D:$D,'Transform Data'!D2105)&gt;1,"Repeat","Single")</f>
        <v>Repeat</v>
      </c>
      <c r="J2105" s="10" t="str">
        <f>IF('Transform Data'!D2105="Cash","Cash",IF(COUNTIF('Transform Data'!$D:$D,'Transform Data'!D2105)&gt;1,"Repeat","Single"))</f>
        <v>Repeat</v>
      </c>
      <c r="K2105" s="10" t="str">
        <f t="shared" si="32"/>
        <v>TRANS-2104</v>
      </c>
    </row>
    <row r="2106" spans="1:11" x14ac:dyDescent="0.35">
      <c r="A2106" s="5">
        <v>45591</v>
      </c>
      <c r="B2106" s="3">
        <v>0.60849537037037038</v>
      </c>
      <c r="C2106" t="s">
        <v>8</v>
      </c>
      <c r="D2106" t="s">
        <v>29</v>
      </c>
      <c r="E2106" s="4">
        <v>30.86</v>
      </c>
      <c r="F2106" t="s">
        <v>36</v>
      </c>
      <c r="G2106" s="10" t="str">
        <f>TEXT(Transform_Data[[#This Row],[Date]],"mmm yyyy")</f>
        <v>Oct 2024</v>
      </c>
      <c r="H2106" s="10">
        <f>HOUR(Transform_Data[[#This Row],[Time]])</f>
        <v>14</v>
      </c>
      <c r="I2106" s="10" t="str">
        <f>IF(COUNTIF('Transform Data'!$D:$D,'Transform Data'!D2106)&gt;1,"Repeat","Single")</f>
        <v>Repeat</v>
      </c>
      <c r="J2106" s="10" t="str">
        <f>IF('Transform Data'!D2106="Cash","Cash",IF(COUNTIF('Transform Data'!$D:$D,'Transform Data'!D2106)&gt;1,"Repeat","Single"))</f>
        <v>Repeat</v>
      </c>
      <c r="K2106" s="10" t="str">
        <f t="shared" si="32"/>
        <v>TRANS-2105</v>
      </c>
    </row>
    <row r="2107" spans="1:11" x14ac:dyDescent="0.35">
      <c r="A2107" s="5">
        <v>45591</v>
      </c>
      <c r="B2107" s="3">
        <v>0.62872685185185184</v>
      </c>
      <c r="C2107" t="s">
        <v>8</v>
      </c>
      <c r="D2107" t="s">
        <v>40</v>
      </c>
      <c r="E2107" s="4">
        <v>25.96</v>
      </c>
      <c r="F2107" t="s">
        <v>20</v>
      </c>
      <c r="G2107" s="10" t="str">
        <f>TEXT(Transform_Data[[#This Row],[Date]],"mmm yyyy")</f>
        <v>Oct 2024</v>
      </c>
      <c r="H2107" s="10">
        <f>HOUR(Transform_Data[[#This Row],[Time]])</f>
        <v>15</v>
      </c>
      <c r="I2107" s="10" t="str">
        <f>IF(COUNTIF('Transform Data'!$D:$D,'Transform Data'!D2107)&gt;1,"Repeat","Single")</f>
        <v>Repeat</v>
      </c>
      <c r="J2107" s="10" t="str">
        <f>IF('Transform Data'!D2107="Cash","Cash",IF(COUNTIF('Transform Data'!$D:$D,'Transform Data'!D2107)&gt;1,"Repeat","Single"))</f>
        <v>Repeat</v>
      </c>
      <c r="K2107" s="10" t="str">
        <f t="shared" si="32"/>
        <v>TRANS-2106</v>
      </c>
    </row>
    <row r="2108" spans="1:11" x14ac:dyDescent="0.35">
      <c r="A2108" s="5">
        <v>45591</v>
      </c>
      <c r="B2108" s="3">
        <v>0.62938657407407406</v>
      </c>
      <c r="C2108" t="s">
        <v>8</v>
      </c>
      <c r="D2108" t="s">
        <v>40</v>
      </c>
      <c r="E2108" s="4">
        <v>25.96</v>
      </c>
      <c r="F2108" t="s">
        <v>20</v>
      </c>
      <c r="G2108" s="10" t="str">
        <f>TEXT(Transform_Data[[#This Row],[Date]],"mmm yyyy")</f>
        <v>Oct 2024</v>
      </c>
      <c r="H2108" s="10">
        <f>HOUR(Transform_Data[[#This Row],[Time]])</f>
        <v>15</v>
      </c>
      <c r="I2108" s="10" t="str">
        <f>IF(COUNTIF('Transform Data'!$D:$D,'Transform Data'!D2108)&gt;1,"Repeat","Single")</f>
        <v>Repeat</v>
      </c>
      <c r="J2108" s="10" t="str">
        <f>IF('Transform Data'!D2108="Cash","Cash",IF(COUNTIF('Transform Data'!$D:$D,'Transform Data'!D2108)&gt;1,"Repeat","Single"))</f>
        <v>Repeat</v>
      </c>
      <c r="K2108" s="10" t="str">
        <f t="shared" si="32"/>
        <v>TRANS-2107</v>
      </c>
    </row>
    <row r="2109" spans="1:11" x14ac:dyDescent="0.35">
      <c r="A2109" s="5">
        <v>45591</v>
      </c>
      <c r="B2109" s="3">
        <v>0.65171296296296299</v>
      </c>
      <c r="C2109" t="s">
        <v>8</v>
      </c>
      <c r="D2109" t="s">
        <v>870</v>
      </c>
      <c r="E2109" s="4">
        <v>35.76</v>
      </c>
      <c r="F2109" t="s">
        <v>32</v>
      </c>
      <c r="G2109" s="10" t="str">
        <f>TEXT(Transform_Data[[#This Row],[Date]],"mmm yyyy")</f>
        <v>Oct 2024</v>
      </c>
      <c r="H2109" s="10">
        <f>HOUR(Transform_Data[[#This Row],[Time]])</f>
        <v>15</v>
      </c>
      <c r="I2109" s="10" t="str">
        <f>IF(COUNTIF('Transform Data'!$D:$D,'Transform Data'!D2109)&gt;1,"Repeat","Single")</f>
        <v>Repeat</v>
      </c>
      <c r="J2109" s="10" t="str">
        <f>IF('Transform Data'!D2109="Cash","Cash",IF(COUNTIF('Transform Data'!$D:$D,'Transform Data'!D2109)&gt;1,"Repeat","Single"))</f>
        <v>Repeat</v>
      </c>
      <c r="K2109" s="10" t="str">
        <f t="shared" si="32"/>
        <v>TRANS-2108</v>
      </c>
    </row>
    <row r="2110" spans="1:11" x14ac:dyDescent="0.35">
      <c r="A2110" s="5">
        <v>45591</v>
      </c>
      <c r="B2110" s="3">
        <v>0.65241898148148147</v>
      </c>
      <c r="C2110" t="s">
        <v>8</v>
      </c>
      <c r="D2110" t="s">
        <v>870</v>
      </c>
      <c r="E2110" s="4">
        <v>35.76</v>
      </c>
      <c r="F2110" t="s">
        <v>32</v>
      </c>
      <c r="G2110" s="10" t="str">
        <f>TEXT(Transform_Data[[#This Row],[Date]],"mmm yyyy")</f>
        <v>Oct 2024</v>
      </c>
      <c r="H2110" s="10">
        <f>HOUR(Transform_Data[[#This Row],[Time]])</f>
        <v>15</v>
      </c>
      <c r="I2110" s="10" t="str">
        <f>IF(COUNTIF('Transform Data'!$D:$D,'Transform Data'!D2110)&gt;1,"Repeat","Single")</f>
        <v>Repeat</v>
      </c>
      <c r="J2110" s="10" t="str">
        <f>IF('Transform Data'!D2110="Cash","Cash",IF(COUNTIF('Transform Data'!$D:$D,'Transform Data'!D2110)&gt;1,"Repeat","Single"))</f>
        <v>Repeat</v>
      </c>
      <c r="K2110" s="10" t="str">
        <f t="shared" si="32"/>
        <v>TRANS-2109</v>
      </c>
    </row>
    <row r="2111" spans="1:11" x14ac:dyDescent="0.35">
      <c r="A2111" s="5">
        <v>45591</v>
      </c>
      <c r="B2111" s="3">
        <v>0.66112268518518513</v>
      </c>
      <c r="C2111" t="s">
        <v>8</v>
      </c>
      <c r="D2111" t="s">
        <v>871</v>
      </c>
      <c r="E2111" s="4">
        <v>30.86</v>
      </c>
      <c r="F2111" t="s">
        <v>36</v>
      </c>
      <c r="G2111" s="10" t="str">
        <f>TEXT(Transform_Data[[#This Row],[Date]],"mmm yyyy")</f>
        <v>Oct 2024</v>
      </c>
      <c r="H2111" s="10">
        <f>HOUR(Transform_Data[[#This Row],[Time]])</f>
        <v>15</v>
      </c>
      <c r="I2111" s="10" t="str">
        <f>IF(COUNTIF('Transform Data'!$D:$D,'Transform Data'!D2111)&gt;1,"Repeat","Single")</f>
        <v>Repeat</v>
      </c>
      <c r="J2111" s="10" t="str">
        <f>IF('Transform Data'!D2111="Cash","Cash",IF(COUNTIF('Transform Data'!$D:$D,'Transform Data'!D2111)&gt;1,"Repeat","Single"))</f>
        <v>Repeat</v>
      </c>
      <c r="K2111" s="10" t="str">
        <f t="shared" si="32"/>
        <v>TRANS-2110</v>
      </c>
    </row>
    <row r="2112" spans="1:11" x14ac:dyDescent="0.35">
      <c r="A2112" s="5">
        <v>45591</v>
      </c>
      <c r="B2112" s="3">
        <v>0.66204861111111113</v>
      </c>
      <c r="C2112" t="s">
        <v>8</v>
      </c>
      <c r="D2112" t="s">
        <v>872</v>
      </c>
      <c r="E2112" s="4">
        <v>30.86</v>
      </c>
      <c r="F2112" t="s">
        <v>36</v>
      </c>
      <c r="G2112" s="10" t="str">
        <f>TEXT(Transform_Data[[#This Row],[Date]],"mmm yyyy")</f>
        <v>Oct 2024</v>
      </c>
      <c r="H2112" s="10">
        <f>HOUR(Transform_Data[[#This Row],[Time]])</f>
        <v>15</v>
      </c>
      <c r="I2112" s="10" t="str">
        <f>IF(COUNTIF('Transform Data'!$D:$D,'Transform Data'!D2112)&gt;1,"Repeat","Single")</f>
        <v>Single</v>
      </c>
      <c r="J2112" s="10" t="str">
        <f>IF('Transform Data'!D2112="Cash","Cash",IF(COUNTIF('Transform Data'!$D:$D,'Transform Data'!D2112)&gt;1,"Repeat","Single"))</f>
        <v>Single</v>
      </c>
      <c r="K2112" s="10" t="str">
        <f t="shared" si="32"/>
        <v>TRANS-2111</v>
      </c>
    </row>
    <row r="2113" spans="1:11" x14ac:dyDescent="0.35">
      <c r="A2113" s="5">
        <v>45591</v>
      </c>
      <c r="B2113" s="3">
        <v>0.80510416666666662</v>
      </c>
      <c r="C2113" t="s">
        <v>8</v>
      </c>
      <c r="D2113" t="s">
        <v>767</v>
      </c>
      <c r="E2113" s="4">
        <v>35.76</v>
      </c>
      <c r="F2113" t="s">
        <v>24</v>
      </c>
      <c r="G2113" s="10" t="str">
        <f>TEXT(Transform_Data[[#This Row],[Date]],"mmm yyyy")</f>
        <v>Oct 2024</v>
      </c>
      <c r="H2113" s="10">
        <f>HOUR(Transform_Data[[#This Row],[Time]])</f>
        <v>19</v>
      </c>
      <c r="I2113" s="10" t="str">
        <f>IF(COUNTIF('Transform Data'!$D:$D,'Transform Data'!D2113)&gt;1,"Repeat","Single")</f>
        <v>Repeat</v>
      </c>
      <c r="J2113" s="10" t="str">
        <f>IF('Transform Data'!D2113="Cash","Cash",IF(COUNTIF('Transform Data'!$D:$D,'Transform Data'!D2113)&gt;1,"Repeat","Single"))</f>
        <v>Repeat</v>
      </c>
      <c r="K2113" s="10" t="str">
        <f t="shared" si="32"/>
        <v>TRANS-2112</v>
      </c>
    </row>
    <row r="2114" spans="1:11" x14ac:dyDescent="0.35">
      <c r="A2114" s="5">
        <v>45591</v>
      </c>
      <c r="B2114" s="3">
        <v>0.85747685185185185</v>
      </c>
      <c r="C2114" t="s">
        <v>8</v>
      </c>
      <c r="D2114" t="s">
        <v>873</v>
      </c>
      <c r="E2114" s="4">
        <v>30.86</v>
      </c>
      <c r="F2114" t="s">
        <v>36</v>
      </c>
      <c r="G2114" s="10" t="str">
        <f>TEXT(Transform_Data[[#This Row],[Date]],"mmm yyyy")</f>
        <v>Oct 2024</v>
      </c>
      <c r="H2114" s="10">
        <f>HOUR(Transform_Data[[#This Row],[Time]])</f>
        <v>20</v>
      </c>
      <c r="I2114" s="10" t="str">
        <f>IF(COUNTIF('Transform Data'!$D:$D,'Transform Data'!D2114)&gt;1,"Repeat","Single")</f>
        <v>Single</v>
      </c>
      <c r="J2114" s="10" t="str">
        <f>IF('Transform Data'!D2114="Cash","Cash",IF(COUNTIF('Transform Data'!$D:$D,'Transform Data'!D2114)&gt;1,"Repeat","Single"))</f>
        <v>Single</v>
      </c>
      <c r="K2114" s="10" t="str">
        <f t="shared" ref="K2114:K2177" si="33">"TRANS-"&amp;TEXT(ROW(A2113),"0000")</f>
        <v>TRANS-2113</v>
      </c>
    </row>
    <row r="2115" spans="1:11" x14ac:dyDescent="0.35">
      <c r="A2115" s="5">
        <v>45592</v>
      </c>
      <c r="B2115" s="3">
        <v>0.45967592592592593</v>
      </c>
      <c r="C2115" t="s">
        <v>8</v>
      </c>
      <c r="D2115" t="s">
        <v>400</v>
      </c>
      <c r="E2115" s="4">
        <v>30.86</v>
      </c>
      <c r="F2115" t="s">
        <v>36</v>
      </c>
      <c r="G2115" s="10" t="str">
        <f>TEXT(Transform_Data[[#This Row],[Date]],"mmm yyyy")</f>
        <v>Oct 2024</v>
      </c>
      <c r="H2115" s="10">
        <f>HOUR(Transform_Data[[#This Row],[Time]])</f>
        <v>11</v>
      </c>
      <c r="I2115" s="10" t="str">
        <f>IF(COUNTIF('Transform Data'!$D:$D,'Transform Data'!D2115)&gt;1,"Repeat","Single")</f>
        <v>Repeat</v>
      </c>
      <c r="J2115" s="10" t="str">
        <f>IF('Transform Data'!D2115="Cash","Cash",IF(COUNTIF('Transform Data'!$D:$D,'Transform Data'!D2115)&gt;1,"Repeat","Single"))</f>
        <v>Repeat</v>
      </c>
      <c r="K2115" s="10" t="str">
        <f t="shared" si="33"/>
        <v>TRANS-2114</v>
      </c>
    </row>
    <row r="2116" spans="1:11" x14ac:dyDescent="0.35">
      <c r="A2116" s="5">
        <v>45592</v>
      </c>
      <c r="B2116" s="3">
        <v>0.5370949074074074</v>
      </c>
      <c r="C2116" t="s">
        <v>8</v>
      </c>
      <c r="D2116" t="s">
        <v>29</v>
      </c>
      <c r="E2116" s="4">
        <v>35.76</v>
      </c>
      <c r="F2116" t="s">
        <v>32</v>
      </c>
      <c r="G2116" s="10" t="str">
        <f>TEXT(Transform_Data[[#This Row],[Date]],"mmm yyyy")</f>
        <v>Oct 2024</v>
      </c>
      <c r="H2116" s="10">
        <f>HOUR(Transform_Data[[#This Row],[Time]])</f>
        <v>12</v>
      </c>
      <c r="I2116" s="10" t="str">
        <f>IF(COUNTIF('Transform Data'!$D:$D,'Transform Data'!D2116)&gt;1,"Repeat","Single")</f>
        <v>Repeat</v>
      </c>
      <c r="J2116" s="10" t="str">
        <f>IF('Transform Data'!D2116="Cash","Cash",IF(COUNTIF('Transform Data'!$D:$D,'Transform Data'!D2116)&gt;1,"Repeat","Single"))</f>
        <v>Repeat</v>
      </c>
      <c r="K2116" s="10" t="str">
        <f t="shared" si="33"/>
        <v>TRANS-2115</v>
      </c>
    </row>
    <row r="2117" spans="1:11" x14ac:dyDescent="0.35">
      <c r="A2117" s="5">
        <v>45592</v>
      </c>
      <c r="B2117" s="3">
        <v>0.53781250000000003</v>
      </c>
      <c r="C2117" t="s">
        <v>8</v>
      </c>
      <c r="D2117" t="s">
        <v>29</v>
      </c>
      <c r="E2117" s="4">
        <v>30.86</v>
      </c>
      <c r="F2117" t="s">
        <v>36</v>
      </c>
      <c r="G2117" s="10" t="str">
        <f>TEXT(Transform_Data[[#This Row],[Date]],"mmm yyyy")</f>
        <v>Oct 2024</v>
      </c>
      <c r="H2117" s="10">
        <f>HOUR(Transform_Data[[#This Row],[Time]])</f>
        <v>12</v>
      </c>
      <c r="I2117" s="10" t="str">
        <f>IF(COUNTIF('Transform Data'!$D:$D,'Transform Data'!D2117)&gt;1,"Repeat","Single")</f>
        <v>Repeat</v>
      </c>
      <c r="J2117" s="10" t="str">
        <f>IF('Transform Data'!D2117="Cash","Cash",IF(COUNTIF('Transform Data'!$D:$D,'Transform Data'!D2117)&gt;1,"Repeat","Single"))</f>
        <v>Repeat</v>
      </c>
      <c r="K2117" s="10" t="str">
        <f t="shared" si="33"/>
        <v>TRANS-2116</v>
      </c>
    </row>
    <row r="2118" spans="1:11" x14ac:dyDescent="0.35">
      <c r="A2118" s="5">
        <v>45592</v>
      </c>
      <c r="B2118" s="3">
        <v>0.5720601851851852</v>
      </c>
      <c r="C2118" t="s">
        <v>8</v>
      </c>
      <c r="D2118" t="s">
        <v>874</v>
      </c>
      <c r="E2118" s="4">
        <v>35.76</v>
      </c>
      <c r="F2118" t="s">
        <v>24</v>
      </c>
      <c r="G2118" s="10" t="str">
        <f>TEXT(Transform_Data[[#This Row],[Date]],"mmm yyyy")</f>
        <v>Oct 2024</v>
      </c>
      <c r="H2118" s="10">
        <f>HOUR(Transform_Data[[#This Row],[Time]])</f>
        <v>13</v>
      </c>
      <c r="I2118" s="10" t="str">
        <f>IF(COUNTIF('Transform Data'!$D:$D,'Transform Data'!D2118)&gt;1,"Repeat","Single")</f>
        <v>Single</v>
      </c>
      <c r="J2118" s="10" t="str">
        <f>IF('Transform Data'!D2118="Cash","Cash",IF(COUNTIF('Transform Data'!$D:$D,'Transform Data'!D2118)&gt;1,"Repeat","Single"))</f>
        <v>Single</v>
      </c>
      <c r="K2118" s="10" t="str">
        <f t="shared" si="33"/>
        <v>TRANS-2117</v>
      </c>
    </row>
    <row r="2119" spans="1:11" x14ac:dyDescent="0.35">
      <c r="A2119" s="5">
        <v>45592</v>
      </c>
      <c r="B2119" s="3">
        <v>0.67854166666666671</v>
      </c>
      <c r="C2119" t="s">
        <v>8</v>
      </c>
      <c r="D2119" t="s">
        <v>21</v>
      </c>
      <c r="E2119" s="4">
        <v>35.76</v>
      </c>
      <c r="F2119" t="s">
        <v>32</v>
      </c>
      <c r="G2119" s="10" t="str">
        <f>TEXT(Transform_Data[[#This Row],[Date]],"mmm yyyy")</f>
        <v>Oct 2024</v>
      </c>
      <c r="H2119" s="10">
        <f>HOUR(Transform_Data[[#This Row],[Time]])</f>
        <v>16</v>
      </c>
      <c r="I2119" s="10" t="str">
        <f>IF(COUNTIF('Transform Data'!$D:$D,'Transform Data'!D2119)&gt;1,"Repeat","Single")</f>
        <v>Repeat</v>
      </c>
      <c r="J2119" s="10" t="str">
        <f>IF('Transform Data'!D2119="Cash","Cash",IF(COUNTIF('Transform Data'!$D:$D,'Transform Data'!D2119)&gt;1,"Repeat","Single"))</f>
        <v>Repeat</v>
      </c>
      <c r="K2119" s="10" t="str">
        <f t="shared" si="33"/>
        <v>TRANS-2118</v>
      </c>
    </row>
    <row r="2120" spans="1:11" x14ac:dyDescent="0.35">
      <c r="A2120" s="5">
        <v>45593</v>
      </c>
      <c r="B2120" s="3">
        <v>0.32393518518518516</v>
      </c>
      <c r="C2120" t="s">
        <v>8</v>
      </c>
      <c r="D2120" t="s">
        <v>748</v>
      </c>
      <c r="E2120" s="4">
        <v>35.76</v>
      </c>
      <c r="F2120" t="s">
        <v>24</v>
      </c>
      <c r="G2120" s="10" t="str">
        <f>TEXT(Transform_Data[[#This Row],[Date]],"mmm yyyy")</f>
        <v>Oct 2024</v>
      </c>
      <c r="H2120" s="10">
        <f>HOUR(Transform_Data[[#This Row],[Time]])</f>
        <v>7</v>
      </c>
      <c r="I2120" s="10" t="str">
        <f>IF(COUNTIF('Transform Data'!$D:$D,'Transform Data'!D2120)&gt;1,"Repeat","Single")</f>
        <v>Repeat</v>
      </c>
      <c r="J2120" s="10" t="str">
        <f>IF('Transform Data'!D2120="Cash","Cash",IF(COUNTIF('Transform Data'!$D:$D,'Transform Data'!D2120)&gt;1,"Repeat","Single"))</f>
        <v>Repeat</v>
      </c>
      <c r="K2120" s="10" t="str">
        <f t="shared" si="33"/>
        <v>TRANS-2119</v>
      </c>
    </row>
    <row r="2121" spans="1:11" x14ac:dyDescent="0.35">
      <c r="A2121" s="5">
        <v>45593</v>
      </c>
      <c r="B2121" s="3">
        <v>0.33416666666666667</v>
      </c>
      <c r="C2121" t="s">
        <v>8</v>
      </c>
      <c r="D2121" t="s">
        <v>875</v>
      </c>
      <c r="E2121" s="4">
        <v>25.96</v>
      </c>
      <c r="F2121" t="s">
        <v>28</v>
      </c>
      <c r="G2121" s="10" t="str">
        <f>TEXT(Transform_Data[[#This Row],[Date]],"mmm yyyy")</f>
        <v>Oct 2024</v>
      </c>
      <c r="H2121" s="10">
        <f>HOUR(Transform_Data[[#This Row],[Time]])</f>
        <v>8</v>
      </c>
      <c r="I2121" s="10" t="str">
        <f>IF(COUNTIF('Transform Data'!$D:$D,'Transform Data'!D2121)&gt;1,"Repeat","Single")</f>
        <v>Single</v>
      </c>
      <c r="J2121" s="10" t="str">
        <f>IF('Transform Data'!D2121="Cash","Cash",IF(COUNTIF('Transform Data'!$D:$D,'Transform Data'!D2121)&gt;1,"Repeat","Single"))</f>
        <v>Single</v>
      </c>
      <c r="K2121" s="10" t="str">
        <f t="shared" si="33"/>
        <v>TRANS-2120</v>
      </c>
    </row>
    <row r="2122" spans="1:11" x14ac:dyDescent="0.35">
      <c r="A2122" s="5">
        <v>45593</v>
      </c>
      <c r="B2122" s="3">
        <v>0.35766203703703703</v>
      </c>
      <c r="C2122" t="s">
        <v>8</v>
      </c>
      <c r="D2122" t="s">
        <v>735</v>
      </c>
      <c r="E2122" s="4">
        <v>35.76</v>
      </c>
      <c r="F2122" t="s">
        <v>32</v>
      </c>
      <c r="G2122" s="10" t="str">
        <f>TEXT(Transform_Data[[#This Row],[Date]],"mmm yyyy")</f>
        <v>Oct 2024</v>
      </c>
      <c r="H2122" s="10">
        <f>HOUR(Transform_Data[[#This Row],[Time]])</f>
        <v>8</v>
      </c>
      <c r="I2122" s="10" t="str">
        <f>IF(COUNTIF('Transform Data'!$D:$D,'Transform Data'!D2122)&gt;1,"Repeat","Single")</f>
        <v>Repeat</v>
      </c>
      <c r="J2122" s="10" t="str">
        <f>IF('Transform Data'!D2122="Cash","Cash",IF(COUNTIF('Transform Data'!$D:$D,'Transform Data'!D2122)&gt;1,"Repeat","Single"))</f>
        <v>Repeat</v>
      </c>
      <c r="K2122" s="10" t="str">
        <f t="shared" si="33"/>
        <v>TRANS-2121</v>
      </c>
    </row>
    <row r="2123" spans="1:11" x14ac:dyDescent="0.35">
      <c r="A2123" s="5">
        <v>45593</v>
      </c>
      <c r="B2123" s="3">
        <v>0.38590277777777776</v>
      </c>
      <c r="C2123" t="s">
        <v>8</v>
      </c>
      <c r="D2123" t="s">
        <v>296</v>
      </c>
      <c r="E2123" s="4">
        <v>30.86</v>
      </c>
      <c r="F2123" t="s">
        <v>36</v>
      </c>
      <c r="G2123" s="10" t="str">
        <f>TEXT(Transform_Data[[#This Row],[Date]],"mmm yyyy")</f>
        <v>Oct 2024</v>
      </c>
      <c r="H2123" s="10">
        <f>HOUR(Transform_Data[[#This Row],[Time]])</f>
        <v>9</v>
      </c>
      <c r="I2123" s="10" t="str">
        <f>IF(COUNTIF('Transform Data'!$D:$D,'Transform Data'!D2123)&gt;1,"Repeat","Single")</f>
        <v>Repeat</v>
      </c>
      <c r="J2123" s="10" t="str">
        <f>IF('Transform Data'!D2123="Cash","Cash",IF(COUNTIF('Transform Data'!$D:$D,'Transform Data'!D2123)&gt;1,"Repeat","Single"))</f>
        <v>Repeat</v>
      </c>
      <c r="K2123" s="10" t="str">
        <f t="shared" si="33"/>
        <v>TRANS-2122</v>
      </c>
    </row>
    <row r="2124" spans="1:11" x14ac:dyDescent="0.35">
      <c r="A2124" s="5">
        <v>45593</v>
      </c>
      <c r="B2124" s="3">
        <v>0.48791666666666667</v>
      </c>
      <c r="C2124" t="s">
        <v>8</v>
      </c>
      <c r="D2124" t="s">
        <v>876</v>
      </c>
      <c r="E2124" s="4">
        <v>35.76</v>
      </c>
      <c r="F2124" t="s">
        <v>32</v>
      </c>
      <c r="G2124" s="10" t="str">
        <f>TEXT(Transform_Data[[#This Row],[Date]],"mmm yyyy")</f>
        <v>Oct 2024</v>
      </c>
      <c r="H2124" s="10">
        <f>HOUR(Transform_Data[[#This Row],[Time]])</f>
        <v>11</v>
      </c>
      <c r="I2124" s="10" t="str">
        <f>IF(COUNTIF('Transform Data'!$D:$D,'Transform Data'!D2124)&gt;1,"Repeat","Single")</f>
        <v>Repeat</v>
      </c>
      <c r="J2124" s="10" t="str">
        <f>IF('Transform Data'!D2124="Cash","Cash",IF(COUNTIF('Transform Data'!$D:$D,'Transform Data'!D2124)&gt;1,"Repeat","Single"))</f>
        <v>Repeat</v>
      </c>
      <c r="K2124" s="10" t="str">
        <f t="shared" si="33"/>
        <v>TRANS-2123</v>
      </c>
    </row>
    <row r="2125" spans="1:11" x14ac:dyDescent="0.35">
      <c r="A2125" s="5">
        <v>45593</v>
      </c>
      <c r="B2125" s="3">
        <v>0.48869212962962966</v>
      </c>
      <c r="C2125" t="s">
        <v>8</v>
      </c>
      <c r="D2125" t="s">
        <v>876</v>
      </c>
      <c r="E2125" s="4">
        <v>35.76</v>
      </c>
      <c r="F2125" t="s">
        <v>32</v>
      </c>
      <c r="G2125" s="10" t="str">
        <f>TEXT(Transform_Data[[#This Row],[Date]],"mmm yyyy")</f>
        <v>Oct 2024</v>
      </c>
      <c r="H2125" s="10">
        <f>HOUR(Transform_Data[[#This Row],[Time]])</f>
        <v>11</v>
      </c>
      <c r="I2125" s="10" t="str">
        <f>IF(COUNTIF('Transform Data'!$D:$D,'Transform Data'!D2125)&gt;1,"Repeat","Single")</f>
        <v>Repeat</v>
      </c>
      <c r="J2125" s="10" t="str">
        <f>IF('Transform Data'!D2125="Cash","Cash",IF(COUNTIF('Transform Data'!$D:$D,'Transform Data'!D2125)&gt;1,"Repeat","Single"))</f>
        <v>Repeat</v>
      </c>
      <c r="K2125" s="10" t="str">
        <f t="shared" si="33"/>
        <v>TRANS-2124</v>
      </c>
    </row>
    <row r="2126" spans="1:11" x14ac:dyDescent="0.35">
      <c r="A2126" s="5">
        <v>45593</v>
      </c>
      <c r="B2126" s="3">
        <v>0.50111111111111106</v>
      </c>
      <c r="C2126" t="s">
        <v>8</v>
      </c>
      <c r="D2126" t="s">
        <v>759</v>
      </c>
      <c r="E2126" s="4">
        <v>35.76</v>
      </c>
      <c r="F2126" t="s">
        <v>15</v>
      </c>
      <c r="G2126" s="10" t="str">
        <f>TEXT(Transform_Data[[#This Row],[Date]],"mmm yyyy")</f>
        <v>Oct 2024</v>
      </c>
      <c r="H2126" s="10">
        <f>HOUR(Transform_Data[[#This Row],[Time]])</f>
        <v>12</v>
      </c>
      <c r="I2126" s="10" t="str">
        <f>IF(COUNTIF('Transform Data'!$D:$D,'Transform Data'!D2126)&gt;1,"Repeat","Single")</f>
        <v>Repeat</v>
      </c>
      <c r="J2126" s="10" t="str">
        <f>IF('Transform Data'!D2126="Cash","Cash",IF(COUNTIF('Transform Data'!$D:$D,'Transform Data'!D2126)&gt;1,"Repeat","Single"))</f>
        <v>Repeat</v>
      </c>
      <c r="K2126" s="10" t="str">
        <f t="shared" si="33"/>
        <v>TRANS-2125</v>
      </c>
    </row>
    <row r="2127" spans="1:11" x14ac:dyDescent="0.35">
      <c r="A2127" s="5">
        <v>45593</v>
      </c>
      <c r="B2127" s="3">
        <v>0.50178240740740743</v>
      </c>
      <c r="C2127" t="s">
        <v>8</v>
      </c>
      <c r="D2127" t="s">
        <v>877</v>
      </c>
      <c r="E2127" s="4">
        <v>30.86</v>
      </c>
      <c r="F2127" t="s">
        <v>36</v>
      </c>
      <c r="G2127" s="10" t="str">
        <f>TEXT(Transform_Data[[#This Row],[Date]],"mmm yyyy")</f>
        <v>Oct 2024</v>
      </c>
      <c r="H2127" s="10">
        <f>HOUR(Transform_Data[[#This Row],[Time]])</f>
        <v>12</v>
      </c>
      <c r="I2127" s="10" t="str">
        <f>IF(COUNTIF('Transform Data'!$D:$D,'Transform Data'!D2127)&gt;1,"Repeat","Single")</f>
        <v>Single</v>
      </c>
      <c r="J2127" s="10" t="str">
        <f>IF('Transform Data'!D2127="Cash","Cash",IF(COUNTIF('Transform Data'!$D:$D,'Transform Data'!D2127)&gt;1,"Repeat","Single"))</f>
        <v>Single</v>
      </c>
      <c r="K2127" s="10" t="str">
        <f t="shared" si="33"/>
        <v>TRANS-2126</v>
      </c>
    </row>
    <row r="2128" spans="1:11" x14ac:dyDescent="0.35">
      <c r="A2128" s="5">
        <v>45593</v>
      </c>
      <c r="B2128" s="3">
        <v>0.51493055555555556</v>
      </c>
      <c r="C2128" t="s">
        <v>8</v>
      </c>
      <c r="D2128" t="s">
        <v>878</v>
      </c>
      <c r="E2128" s="4">
        <v>35.76</v>
      </c>
      <c r="F2128" t="s">
        <v>24</v>
      </c>
      <c r="G2128" s="10" t="str">
        <f>TEXT(Transform_Data[[#This Row],[Date]],"mmm yyyy")</f>
        <v>Oct 2024</v>
      </c>
      <c r="H2128" s="10">
        <f>HOUR(Transform_Data[[#This Row],[Time]])</f>
        <v>12</v>
      </c>
      <c r="I2128" s="10" t="str">
        <f>IF(COUNTIF('Transform Data'!$D:$D,'Transform Data'!D2128)&gt;1,"Repeat","Single")</f>
        <v>Single</v>
      </c>
      <c r="J2128" s="10" t="str">
        <f>IF('Transform Data'!D2128="Cash","Cash",IF(COUNTIF('Transform Data'!$D:$D,'Transform Data'!D2128)&gt;1,"Repeat","Single"))</f>
        <v>Single</v>
      </c>
      <c r="K2128" s="10" t="str">
        <f t="shared" si="33"/>
        <v>TRANS-2127</v>
      </c>
    </row>
    <row r="2129" spans="1:11" x14ac:dyDescent="0.35">
      <c r="A2129" s="5">
        <v>45593</v>
      </c>
      <c r="B2129" s="3">
        <v>0.59090277777777778</v>
      </c>
      <c r="C2129" t="s">
        <v>8</v>
      </c>
      <c r="D2129" t="s">
        <v>871</v>
      </c>
      <c r="E2129" s="4">
        <v>30.86</v>
      </c>
      <c r="F2129" t="s">
        <v>36</v>
      </c>
      <c r="G2129" s="10" t="str">
        <f>TEXT(Transform_Data[[#This Row],[Date]],"mmm yyyy")</f>
        <v>Oct 2024</v>
      </c>
      <c r="H2129" s="10">
        <f>HOUR(Transform_Data[[#This Row],[Time]])</f>
        <v>14</v>
      </c>
      <c r="I2129" s="10" t="str">
        <f>IF(COUNTIF('Transform Data'!$D:$D,'Transform Data'!D2129)&gt;1,"Repeat","Single")</f>
        <v>Repeat</v>
      </c>
      <c r="J2129" s="10" t="str">
        <f>IF('Transform Data'!D2129="Cash","Cash",IF(COUNTIF('Transform Data'!$D:$D,'Transform Data'!D2129)&gt;1,"Repeat","Single"))</f>
        <v>Repeat</v>
      </c>
      <c r="K2129" s="10" t="str">
        <f t="shared" si="33"/>
        <v>TRANS-2128</v>
      </c>
    </row>
    <row r="2130" spans="1:11" x14ac:dyDescent="0.35">
      <c r="A2130" s="5">
        <v>45593</v>
      </c>
      <c r="B2130" s="3">
        <v>0.59162037037037041</v>
      </c>
      <c r="C2130" t="s">
        <v>8</v>
      </c>
      <c r="D2130" t="s">
        <v>871</v>
      </c>
      <c r="E2130" s="4">
        <v>30.86</v>
      </c>
      <c r="F2130" t="s">
        <v>36</v>
      </c>
      <c r="G2130" s="10" t="str">
        <f>TEXT(Transform_Data[[#This Row],[Date]],"mmm yyyy")</f>
        <v>Oct 2024</v>
      </c>
      <c r="H2130" s="10">
        <f>HOUR(Transform_Data[[#This Row],[Time]])</f>
        <v>14</v>
      </c>
      <c r="I2130" s="10" t="str">
        <f>IF(COUNTIF('Transform Data'!$D:$D,'Transform Data'!D2130)&gt;1,"Repeat","Single")</f>
        <v>Repeat</v>
      </c>
      <c r="J2130" s="10" t="str">
        <f>IF('Transform Data'!D2130="Cash","Cash",IF(COUNTIF('Transform Data'!$D:$D,'Transform Data'!D2130)&gt;1,"Repeat","Single"))</f>
        <v>Repeat</v>
      </c>
      <c r="K2130" s="10" t="str">
        <f t="shared" si="33"/>
        <v>TRANS-2129</v>
      </c>
    </row>
    <row r="2131" spans="1:11" x14ac:dyDescent="0.35">
      <c r="A2131" s="5">
        <v>45593</v>
      </c>
      <c r="B2131" s="3">
        <v>0.60484953703703703</v>
      </c>
      <c r="C2131" t="s">
        <v>8</v>
      </c>
      <c r="D2131" t="s">
        <v>879</v>
      </c>
      <c r="E2131" s="4">
        <v>30.86</v>
      </c>
      <c r="F2131" t="s">
        <v>36</v>
      </c>
      <c r="G2131" s="10" t="str">
        <f>TEXT(Transform_Data[[#This Row],[Date]],"mmm yyyy")</f>
        <v>Oct 2024</v>
      </c>
      <c r="H2131" s="10">
        <f>HOUR(Transform_Data[[#This Row],[Time]])</f>
        <v>14</v>
      </c>
      <c r="I2131" s="10" t="str">
        <f>IF(COUNTIF('Transform Data'!$D:$D,'Transform Data'!D2131)&gt;1,"Repeat","Single")</f>
        <v>Single</v>
      </c>
      <c r="J2131" s="10" t="str">
        <f>IF('Transform Data'!D2131="Cash","Cash",IF(COUNTIF('Transform Data'!$D:$D,'Transform Data'!D2131)&gt;1,"Repeat","Single"))</f>
        <v>Single</v>
      </c>
      <c r="K2131" s="10" t="str">
        <f t="shared" si="33"/>
        <v>TRANS-2130</v>
      </c>
    </row>
    <row r="2132" spans="1:11" x14ac:dyDescent="0.35">
      <c r="A2132" s="5">
        <v>45593</v>
      </c>
      <c r="B2132" s="3">
        <v>0.66759259259259263</v>
      </c>
      <c r="C2132" t="s">
        <v>8</v>
      </c>
      <c r="D2132" t="s">
        <v>213</v>
      </c>
      <c r="E2132" s="4">
        <v>35.76</v>
      </c>
      <c r="F2132" t="s">
        <v>32</v>
      </c>
      <c r="G2132" s="10" t="str">
        <f>TEXT(Transform_Data[[#This Row],[Date]],"mmm yyyy")</f>
        <v>Oct 2024</v>
      </c>
      <c r="H2132" s="10">
        <f>HOUR(Transform_Data[[#This Row],[Time]])</f>
        <v>16</v>
      </c>
      <c r="I2132" s="10" t="str">
        <f>IF(COUNTIF('Transform Data'!$D:$D,'Transform Data'!D2132)&gt;1,"Repeat","Single")</f>
        <v>Repeat</v>
      </c>
      <c r="J2132" s="10" t="str">
        <f>IF('Transform Data'!D2132="Cash","Cash",IF(COUNTIF('Transform Data'!$D:$D,'Transform Data'!D2132)&gt;1,"Repeat","Single"))</f>
        <v>Repeat</v>
      </c>
      <c r="K2132" s="10" t="str">
        <f t="shared" si="33"/>
        <v>TRANS-2131</v>
      </c>
    </row>
    <row r="2133" spans="1:11" x14ac:dyDescent="0.35">
      <c r="A2133" s="5">
        <v>45593</v>
      </c>
      <c r="B2133" s="3">
        <v>0.74673611111111116</v>
      </c>
      <c r="C2133" t="s">
        <v>8</v>
      </c>
      <c r="D2133" t="s">
        <v>880</v>
      </c>
      <c r="E2133" s="4">
        <v>35.76</v>
      </c>
      <c r="F2133" t="s">
        <v>10</v>
      </c>
      <c r="G2133" s="10" t="str">
        <f>TEXT(Transform_Data[[#This Row],[Date]],"mmm yyyy")</f>
        <v>Oct 2024</v>
      </c>
      <c r="H2133" s="10">
        <f>HOUR(Transform_Data[[#This Row],[Time]])</f>
        <v>17</v>
      </c>
      <c r="I2133" s="10" t="str">
        <f>IF(COUNTIF('Transform Data'!$D:$D,'Transform Data'!D2133)&gt;1,"Repeat","Single")</f>
        <v>Repeat</v>
      </c>
      <c r="J2133" s="10" t="str">
        <f>IF('Transform Data'!D2133="Cash","Cash",IF(COUNTIF('Transform Data'!$D:$D,'Transform Data'!D2133)&gt;1,"Repeat","Single"))</f>
        <v>Repeat</v>
      </c>
      <c r="K2133" s="10" t="str">
        <f t="shared" si="33"/>
        <v>TRANS-2132</v>
      </c>
    </row>
    <row r="2134" spans="1:11" x14ac:dyDescent="0.35">
      <c r="A2134" s="5">
        <v>45593</v>
      </c>
      <c r="B2134" s="3">
        <v>0.74724537037037042</v>
      </c>
      <c r="C2134" t="s">
        <v>8</v>
      </c>
      <c r="D2134" t="s">
        <v>880</v>
      </c>
      <c r="E2134" s="4">
        <v>35.76</v>
      </c>
      <c r="F2134" t="s">
        <v>10</v>
      </c>
      <c r="G2134" s="10" t="str">
        <f>TEXT(Transform_Data[[#This Row],[Date]],"mmm yyyy")</f>
        <v>Oct 2024</v>
      </c>
      <c r="H2134" s="10">
        <f>HOUR(Transform_Data[[#This Row],[Time]])</f>
        <v>17</v>
      </c>
      <c r="I2134" s="10" t="str">
        <f>IF(COUNTIF('Transform Data'!$D:$D,'Transform Data'!D2134)&gt;1,"Repeat","Single")</f>
        <v>Repeat</v>
      </c>
      <c r="J2134" s="10" t="str">
        <f>IF('Transform Data'!D2134="Cash","Cash",IF(COUNTIF('Transform Data'!$D:$D,'Transform Data'!D2134)&gt;1,"Repeat","Single"))</f>
        <v>Repeat</v>
      </c>
      <c r="K2134" s="10" t="str">
        <f t="shared" si="33"/>
        <v>TRANS-2133</v>
      </c>
    </row>
    <row r="2135" spans="1:11" x14ac:dyDescent="0.35">
      <c r="A2135" s="5">
        <v>45593</v>
      </c>
      <c r="B2135" s="3">
        <v>0.79890046296296291</v>
      </c>
      <c r="C2135" t="s">
        <v>8</v>
      </c>
      <c r="D2135" t="s">
        <v>311</v>
      </c>
      <c r="E2135" s="4">
        <v>35.76</v>
      </c>
      <c r="F2135" t="s">
        <v>24</v>
      </c>
      <c r="G2135" s="10" t="str">
        <f>TEXT(Transform_Data[[#This Row],[Date]],"mmm yyyy")</f>
        <v>Oct 2024</v>
      </c>
      <c r="H2135" s="10">
        <f>HOUR(Transform_Data[[#This Row],[Time]])</f>
        <v>19</v>
      </c>
      <c r="I2135" s="10" t="str">
        <f>IF(COUNTIF('Transform Data'!$D:$D,'Transform Data'!D2135)&gt;1,"Repeat","Single")</f>
        <v>Repeat</v>
      </c>
      <c r="J2135" s="10" t="str">
        <f>IF('Transform Data'!D2135="Cash","Cash",IF(COUNTIF('Transform Data'!$D:$D,'Transform Data'!D2135)&gt;1,"Repeat","Single"))</f>
        <v>Repeat</v>
      </c>
      <c r="K2135" s="10" t="str">
        <f t="shared" si="33"/>
        <v>TRANS-2134</v>
      </c>
    </row>
    <row r="2136" spans="1:11" x14ac:dyDescent="0.35">
      <c r="A2136" s="5">
        <v>45593</v>
      </c>
      <c r="B2136" s="3">
        <v>0.88892361111111107</v>
      </c>
      <c r="C2136" t="s">
        <v>8</v>
      </c>
      <c r="D2136" t="s">
        <v>382</v>
      </c>
      <c r="E2136" s="4">
        <v>30.86</v>
      </c>
      <c r="F2136" t="s">
        <v>36</v>
      </c>
      <c r="G2136" s="10" t="str">
        <f>TEXT(Transform_Data[[#This Row],[Date]],"mmm yyyy")</f>
        <v>Oct 2024</v>
      </c>
      <c r="H2136" s="10">
        <f>HOUR(Transform_Data[[#This Row],[Time]])</f>
        <v>21</v>
      </c>
      <c r="I2136" s="10" t="str">
        <f>IF(COUNTIF('Transform Data'!$D:$D,'Transform Data'!D2136)&gt;1,"Repeat","Single")</f>
        <v>Repeat</v>
      </c>
      <c r="J2136" s="10" t="str">
        <f>IF('Transform Data'!D2136="Cash","Cash",IF(COUNTIF('Transform Data'!$D:$D,'Transform Data'!D2136)&gt;1,"Repeat","Single"))</f>
        <v>Repeat</v>
      </c>
      <c r="K2136" s="10" t="str">
        <f t="shared" si="33"/>
        <v>TRANS-2135</v>
      </c>
    </row>
    <row r="2137" spans="1:11" x14ac:dyDescent="0.35">
      <c r="A2137" s="5">
        <v>45593</v>
      </c>
      <c r="B2137" s="3">
        <v>0.92071759259259256</v>
      </c>
      <c r="C2137" t="s">
        <v>8</v>
      </c>
      <c r="D2137" t="s">
        <v>747</v>
      </c>
      <c r="E2137" s="4">
        <v>30.86</v>
      </c>
      <c r="F2137" t="s">
        <v>36</v>
      </c>
      <c r="G2137" s="10" t="str">
        <f>TEXT(Transform_Data[[#This Row],[Date]],"mmm yyyy")</f>
        <v>Oct 2024</v>
      </c>
      <c r="H2137" s="10">
        <f>HOUR(Transform_Data[[#This Row],[Time]])</f>
        <v>22</v>
      </c>
      <c r="I2137" s="10" t="str">
        <f>IF(COUNTIF('Transform Data'!$D:$D,'Transform Data'!D2137)&gt;1,"Repeat","Single")</f>
        <v>Repeat</v>
      </c>
      <c r="J2137" s="10" t="str">
        <f>IF('Transform Data'!D2137="Cash","Cash",IF(COUNTIF('Transform Data'!$D:$D,'Transform Data'!D2137)&gt;1,"Repeat","Single"))</f>
        <v>Repeat</v>
      </c>
      <c r="K2137" s="10" t="str">
        <f t="shared" si="33"/>
        <v>TRANS-2136</v>
      </c>
    </row>
    <row r="2138" spans="1:11" x14ac:dyDescent="0.35">
      <c r="A2138" s="5">
        <v>45594</v>
      </c>
      <c r="B2138" s="3">
        <v>0.36171296296296296</v>
      </c>
      <c r="C2138" t="s">
        <v>8</v>
      </c>
      <c r="D2138" t="s">
        <v>856</v>
      </c>
      <c r="E2138" s="4">
        <v>35.76</v>
      </c>
      <c r="F2138" t="s">
        <v>32</v>
      </c>
      <c r="G2138" s="10" t="str">
        <f>TEXT(Transform_Data[[#This Row],[Date]],"mmm yyyy")</f>
        <v>Oct 2024</v>
      </c>
      <c r="H2138" s="10">
        <f>HOUR(Transform_Data[[#This Row],[Time]])</f>
        <v>8</v>
      </c>
      <c r="I2138" s="10" t="str">
        <f>IF(COUNTIF('Transform Data'!$D:$D,'Transform Data'!D2138)&gt;1,"Repeat","Single")</f>
        <v>Repeat</v>
      </c>
      <c r="J2138" s="10" t="str">
        <f>IF('Transform Data'!D2138="Cash","Cash",IF(COUNTIF('Transform Data'!$D:$D,'Transform Data'!D2138)&gt;1,"Repeat","Single"))</f>
        <v>Repeat</v>
      </c>
      <c r="K2138" s="10" t="str">
        <f t="shared" si="33"/>
        <v>TRANS-2137</v>
      </c>
    </row>
    <row r="2139" spans="1:11" x14ac:dyDescent="0.35">
      <c r="A2139" s="5">
        <v>45594</v>
      </c>
      <c r="B2139" s="3">
        <v>0.36603009259259262</v>
      </c>
      <c r="C2139" t="s">
        <v>8</v>
      </c>
      <c r="D2139" t="s">
        <v>735</v>
      </c>
      <c r="E2139" s="4">
        <v>35.76</v>
      </c>
      <c r="F2139" t="s">
        <v>32</v>
      </c>
      <c r="G2139" s="10" t="str">
        <f>TEXT(Transform_Data[[#This Row],[Date]],"mmm yyyy")</f>
        <v>Oct 2024</v>
      </c>
      <c r="H2139" s="10">
        <f>HOUR(Transform_Data[[#This Row],[Time]])</f>
        <v>8</v>
      </c>
      <c r="I2139" s="10" t="str">
        <f>IF(COUNTIF('Transform Data'!$D:$D,'Transform Data'!D2139)&gt;1,"Repeat","Single")</f>
        <v>Repeat</v>
      </c>
      <c r="J2139" s="10" t="str">
        <f>IF('Transform Data'!D2139="Cash","Cash",IF(COUNTIF('Transform Data'!$D:$D,'Transform Data'!D2139)&gt;1,"Repeat","Single"))</f>
        <v>Repeat</v>
      </c>
      <c r="K2139" s="10" t="str">
        <f t="shared" si="33"/>
        <v>TRANS-2138</v>
      </c>
    </row>
    <row r="2140" spans="1:11" x14ac:dyDescent="0.35">
      <c r="A2140" s="5">
        <v>45594</v>
      </c>
      <c r="B2140" s="3">
        <v>0.39718750000000003</v>
      </c>
      <c r="C2140" t="s">
        <v>8</v>
      </c>
      <c r="D2140" t="s">
        <v>622</v>
      </c>
      <c r="E2140" s="4">
        <v>35.76</v>
      </c>
      <c r="F2140" t="s">
        <v>32</v>
      </c>
      <c r="G2140" s="10" t="str">
        <f>TEXT(Transform_Data[[#This Row],[Date]],"mmm yyyy")</f>
        <v>Oct 2024</v>
      </c>
      <c r="H2140" s="10">
        <f>HOUR(Transform_Data[[#This Row],[Time]])</f>
        <v>9</v>
      </c>
      <c r="I2140" s="10" t="str">
        <f>IF(COUNTIF('Transform Data'!$D:$D,'Transform Data'!D2140)&gt;1,"Repeat","Single")</f>
        <v>Repeat</v>
      </c>
      <c r="J2140" s="10" t="str">
        <f>IF('Transform Data'!D2140="Cash","Cash",IF(COUNTIF('Transform Data'!$D:$D,'Transform Data'!D2140)&gt;1,"Repeat","Single"))</f>
        <v>Repeat</v>
      </c>
      <c r="K2140" s="10" t="str">
        <f t="shared" si="33"/>
        <v>TRANS-2139</v>
      </c>
    </row>
    <row r="2141" spans="1:11" x14ac:dyDescent="0.35">
      <c r="A2141" s="5">
        <v>45594</v>
      </c>
      <c r="B2141" s="3">
        <v>0.49983796296296296</v>
      </c>
      <c r="C2141" t="s">
        <v>8</v>
      </c>
      <c r="D2141" t="s">
        <v>881</v>
      </c>
      <c r="E2141" s="4">
        <v>30.86</v>
      </c>
      <c r="F2141" t="s">
        <v>36</v>
      </c>
      <c r="G2141" s="10" t="str">
        <f>TEXT(Transform_Data[[#This Row],[Date]],"mmm yyyy")</f>
        <v>Oct 2024</v>
      </c>
      <c r="H2141" s="10">
        <f>HOUR(Transform_Data[[#This Row],[Time]])</f>
        <v>11</v>
      </c>
      <c r="I2141" s="10" t="str">
        <f>IF(COUNTIF('Transform Data'!$D:$D,'Transform Data'!D2141)&gt;1,"Repeat","Single")</f>
        <v>Single</v>
      </c>
      <c r="J2141" s="10" t="str">
        <f>IF('Transform Data'!D2141="Cash","Cash",IF(COUNTIF('Transform Data'!$D:$D,'Transform Data'!D2141)&gt;1,"Repeat","Single"))</f>
        <v>Single</v>
      </c>
      <c r="K2141" s="10" t="str">
        <f t="shared" si="33"/>
        <v>TRANS-2140</v>
      </c>
    </row>
    <row r="2142" spans="1:11" x14ac:dyDescent="0.35">
      <c r="A2142" s="5">
        <v>45594</v>
      </c>
      <c r="B2142" s="3">
        <v>0.51500000000000001</v>
      </c>
      <c r="C2142" t="s">
        <v>8</v>
      </c>
      <c r="D2142" t="s">
        <v>882</v>
      </c>
      <c r="E2142" s="4">
        <v>21.06</v>
      </c>
      <c r="F2142" t="s">
        <v>5</v>
      </c>
      <c r="G2142" s="10" t="str">
        <f>TEXT(Transform_Data[[#This Row],[Date]],"mmm yyyy")</f>
        <v>Oct 2024</v>
      </c>
      <c r="H2142" s="10">
        <f>HOUR(Transform_Data[[#This Row],[Time]])</f>
        <v>12</v>
      </c>
      <c r="I2142" s="10" t="str">
        <f>IF(COUNTIF('Transform Data'!$D:$D,'Transform Data'!D2142)&gt;1,"Repeat","Single")</f>
        <v>Single</v>
      </c>
      <c r="J2142" s="10" t="str">
        <f>IF('Transform Data'!D2142="Cash","Cash",IF(COUNTIF('Transform Data'!$D:$D,'Transform Data'!D2142)&gt;1,"Repeat","Single"))</f>
        <v>Single</v>
      </c>
      <c r="K2142" s="10" t="str">
        <f t="shared" si="33"/>
        <v>TRANS-2141</v>
      </c>
    </row>
    <row r="2143" spans="1:11" x14ac:dyDescent="0.35">
      <c r="A2143" s="5">
        <v>45594</v>
      </c>
      <c r="B2143" s="3">
        <v>0.59424768518518523</v>
      </c>
      <c r="C2143" t="s">
        <v>8</v>
      </c>
      <c r="D2143" t="s">
        <v>883</v>
      </c>
      <c r="E2143" s="4">
        <v>25.96</v>
      </c>
      <c r="F2143" t="s">
        <v>20</v>
      </c>
      <c r="G2143" s="10" t="str">
        <f>TEXT(Transform_Data[[#This Row],[Date]],"mmm yyyy")</f>
        <v>Oct 2024</v>
      </c>
      <c r="H2143" s="10">
        <f>HOUR(Transform_Data[[#This Row],[Time]])</f>
        <v>14</v>
      </c>
      <c r="I2143" s="10" t="str">
        <f>IF(COUNTIF('Transform Data'!$D:$D,'Transform Data'!D2143)&gt;1,"Repeat","Single")</f>
        <v>Repeat</v>
      </c>
      <c r="J2143" s="10" t="str">
        <f>IF('Transform Data'!D2143="Cash","Cash",IF(COUNTIF('Transform Data'!$D:$D,'Transform Data'!D2143)&gt;1,"Repeat","Single"))</f>
        <v>Repeat</v>
      </c>
      <c r="K2143" s="10" t="str">
        <f t="shared" si="33"/>
        <v>TRANS-2142</v>
      </c>
    </row>
    <row r="2144" spans="1:11" x14ac:dyDescent="0.35">
      <c r="A2144" s="5">
        <v>45594</v>
      </c>
      <c r="B2144" s="3">
        <v>0.59513888888888888</v>
      </c>
      <c r="C2144" t="s">
        <v>8</v>
      </c>
      <c r="D2144" t="s">
        <v>883</v>
      </c>
      <c r="E2144" s="4">
        <v>25.96</v>
      </c>
      <c r="F2144" t="s">
        <v>20</v>
      </c>
      <c r="G2144" s="10" t="str">
        <f>TEXT(Transform_Data[[#This Row],[Date]],"mmm yyyy")</f>
        <v>Oct 2024</v>
      </c>
      <c r="H2144" s="10">
        <f>HOUR(Transform_Data[[#This Row],[Time]])</f>
        <v>14</v>
      </c>
      <c r="I2144" s="10" t="str">
        <f>IF(COUNTIF('Transform Data'!$D:$D,'Transform Data'!D2144)&gt;1,"Repeat","Single")</f>
        <v>Repeat</v>
      </c>
      <c r="J2144" s="10" t="str">
        <f>IF('Transform Data'!D2144="Cash","Cash",IF(COUNTIF('Transform Data'!$D:$D,'Transform Data'!D2144)&gt;1,"Repeat","Single"))</f>
        <v>Repeat</v>
      </c>
      <c r="K2144" s="10" t="str">
        <f t="shared" si="33"/>
        <v>TRANS-2143</v>
      </c>
    </row>
    <row r="2145" spans="1:11" x14ac:dyDescent="0.35">
      <c r="A2145" s="5">
        <v>45594</v>
      </c>
      <c r="B2145" s="3">
        <v>0.60943287037037042</v>
      </c>
      <c r="C2145" t="s">
        <v>8</v>
      </c>
      <c r="D2145" t="s">
        <v>884</v>
      </c>
      <c r="E2145" s="4">
        <v>35.76</v>
      </c>
      <c r="F2145" t="s">
        <v>24</v>
      </c>
      <c r="G2145" s="10" t="str">
        <f>TEXT(Transform_Data[[#This Row],[Date]],"mmm yyyy")</f>
        <v>Oct 2024</v>
      </c>
      <c r="H2145" s="10">
        <f>HOUR(Transform_Data[[#This Row],[Time]])</f>
        <v>14</v>
      </c>
      <c r="I2145" s="10" t="str">
        <f>IF(COUNTIF('Transform Data'!$D:$D,'Transform Data'!D2145)&gt;1,"Repeat","Single")</f>
        <v>Single</v>
      </c>
      <c r="J2145" s="10" t="str">
        <f>IF('Transform Data'!D2145="Cash","Cash",IF(COUNTIF('Transform Data'!$D:$D,'Transform Data'!D2145)&gt;1,"Repeat","Single"))</f>
        <v>Single</v>
      </c>
      <c r="K2145" s="10" t="str">
        <f t="shared" si="33"/>
        <v>TRANS-2144</v>
      </c>
    </row>
    <row r="2146" spans="1:11" x14ac:dyDescent="0.35">
      <c r="A2146" s="5">
        <v>45594</v>
      </c>
      <c r="B2146" s="3">
        <v>0.67329861111111111</v>
      </c>
      <c r="C2146" t="s">
        <v>8</v>
      </c>
      <c r="D2146" t="s">
        <v>885</v>
      </c>
      <c r="E2146" s="4">
        <v>35.76</v>
      </c>
      <c r="F2146" t="s">
        <v>15</v>
      </c>
      <c r="G2146" s="10" t="str">
        <f>TEXT(Transform_Data[[#This Row],[Date]],"mmm yyyy")</f>
        <v>Oct 2024</v>
      </c>
      <c r="H2146" s="10">
        <f>HOUR(Transform_Data[[#This Row],[Time]])</f>
        <v>16</v>
      </c>
      <c r="I2146" s="10" t="str">
        <f>IF(COUNTIF('Transform Data'!$D:$D,'Transform Data'!D2146)&gt;1,"Repeat","Single")</f>
        <v>Single</v>
      </c>
      <c r="J2146" s="10" t="str">
        <f>IF('Transform Data'!D2146="Cash","Cash",IF(COUNTIF('Transform Data'!$D:$D,'Transform Data'!D2146)&gt;1,"Repeat","Single"))</f>
        <v>Single</v>
      </c>
      <c r="K2146" s="10" t="str">
        <f t="shared" si="33"/>
        <v>TRANS-2145</v>
      </c>
    </row>
    <row r="2147" spans="1:11" x14ac:dyDescent="0.35">
      <c r="A2147" s="5">
        <v>45594</v>
      </c>
      <c r="B2147" s="3">
        <v>0.67425925925925922</v>
      </c>
      <c r="C2147" t="s">
        <v>8</v>
      </c>
      <c r="D2147" t="s">
        <v>886</v>
      </c>
      <c r="E2147" s="4">
        <v>35.76</v>
      </c>
      <c r="F2147" t="s">
        <v>10</v>
      </c>
      <c r="G2147" s="10" t="str">
        <f>TEXT(Transform_Data[[#This Row],[Date]],"mmm yyyy")</f>
        <v>Oct 2024</v>
      </c>
      <c r="H2147" s="10">
        <f>HOUR(Transform_Data[[#This Row],[Time]])</f>
        <v>16</v>
      </c>
      <c r="I2147" s="10" t="str">
        <f>IF(COUNTIF('Transform Data'!$D:$D,'Transform Data'!D2147)&gt;1,"Repeat","Single")</f>
        <v>Single</v>
      </c>
      <c r="J2147" s="10" t="str">
        <f>IF('Transform Data'!D2147="Cash","Cash",IF(COUNTIF('Transform Data'!$D:$D,'Transform Data'!D2147)&gt;1,"Repeat","Single"))</f>
        <v>Single</v>
      </c>
      <c r="K2147" s="10" t="str">
        <f t="shared" si="33"/>
        <v>TRANS-2146</v>
      </c>
    </row>
    <row r="2148" spans="1:11" x14ac:dyDescent="0.35">
      <c r="A2148" s="5">
        <v>45594</v>
      </c>
      <c r="B2148" s="3">
        <v>0.67885416666666665</v>
      </c>
      <c r="C2148" t="s">
        <v>8</v>
      </c>
      <c r="D2148" t="s">
        <v>279</v>
      </c>
      <c r="E2148" s="4">
        <v>35.76</v>
      </c>
      <c r="F2148" t="s">
        <v>10</v>
      </c>
      <c r="G2148" s="10" t="str">
        <f>TEXT(Transform_Data[[#This Row],[Date]],"mmm yyyy")</f>
        <v>Oct 2024</v>
      </c>
      <c r="H2148" s="10">
        <f>HOUR(Transform_Data[[#This Row],[Time]])</f>
        <v>16</v>
      </c>
      <c r="I2148" s="10" t="str">
        <f>IF(COUNTIF('Transform Data'!$D:$D,'Transform Data'!D2148)&gt;1,"Repeat","Single")</f>
        <v>Repeat</v>
      </c>
      <c r="J2148" s="10" t="str">
        <f>IF('Transform Data'!D2148="Cash","Cash",IF(COUNTIF('Transform Data'!$D:$D,'Transform Data'!D2148)&gt;1,"Repeat","Single"))</f>
        <v>Repeat</v>
      </c>
      <c r="K2148" s="10" t="str">
        <f t="shared" si="33"/>
        <v>TRANS-2147</v>
      </c>
    </row>
    <row r="2149" spans="1:11" x14ac:dyDescent="0.35">
      <c r="A2149" s="5">
        <v>45594</v>
      </c>
      <c r="B2149" s="3">
        <v>0.75143518518518515</v>
      </c>
      <c r="C2149" t="s">
        <v>8</v>
      </c>
      <c r="D2149" t="s">
        <v>887</v>
      </c>
      <c r="E2149" s="4">
        <v>30.86</v>
      </c>
      <c r="F2149" t="s">
        <v>36</v>
      </c>
      <c r="G2149" s="10" t="str">
        <f>TEXT(Transform_Data[[#This Row],[Date]],"mmm yyyy")</f>
        <v>Oct 2024</v>
      </c>
      <c r="H2149" s="10">
        <f>HOUR(Transform_Data[[#This Row],[Time]])</f>
        <v>18</v>
      </c>
      <c r="I2149" s="10" t="str">
        <f>IF(COUNTIF('Transform Data'!$D:$D,'Transform Data'!D2149)&gt;1,"Repeat","Single")</f>
        <v>Repeat</v>
      </c>
      <c r="J2149" s="10" t="str">
        <f>IF('Transform Data'!D2149="Cash","Cash",IF(COUNTIF('Transform Data'!$D:$D,'Transform Data'!D2149)&gt;1,"Repeat","Single"))</f>
        <v>Repeat</v>
      </c>
      <c r="K2149" s="10" t="str">
        <f t="shared" si="33"/>
        <v>TRANS-2148</v>
      </c>
    </row>
    <row r="2150" spans="1:11" x14ac:dyDescent="0.35">
      <c r="A2150" s="5">
        <v>45594</v>
      </c>
      <c r="B2150" s="3">
        <v>0.7520486111111111</v>
      </c>
      <c r="C2150" t="s">
        <v>8</v>
      </c>
      <c r="D2150" t="s">
        <v>887</v>
      </c>
      <c r="E2150" s="4">
        <v>30.86</v>
      </c>
      <c r="F2150" t="s">
        <v>36</v>
      </c>
      <c r="G2150" s="10" t="str">
        <f>TEXT(Transform_Data[[#This Row],[Date]],"mmm yyyy")</f>
        <v>Oct 2024</v>
      </c>
      <c r="H2150" s="10">
        <f>HOUR(Transform_Data[[#This Row],[Time]])</f>
        <v>18</v>
      </c>
      <c r="I2150" s="10" t="str">
        <f>IF(COUNTIF('Transform Data'!$D:$D,'Transform Data'!D2150)&gt;1,"Repeat","Single")</f>
        <v>Repeat</v>
      </c>
      <c r="J2150" s="10" t="str">
        <f>IF('Transform Data'!D2150="Cash","Cash",IF(COUNTIF('Transform Data'!$D:$D,'Transform Data'!D2150)&gt;1,"Repeat","Single"))</f>
        <v>Repeat</v>
      </c>
      <c r="K2150" s="10" t="str">
        <f t="shared" si="33"/>
        <v>TRANS-2149</v>
      </c>
    </row>
    <row r="2151" spans="1:11" x14ac:dyDescent="0.35">
      <c r="A2151" s="5">
        <v>45594</v>
      </c>
      <c r="B2151" s="3">
        <v>0.79311342592592593</v>
      </c>
      <c r="C2151" t="s">
        <v>8</v>
      </c>
      <c r="D2151" t="s">
        <v>888</v>
      </c>
      <c r="E2151" s="4">
        <v>30.86</v>
      </c>
      <c r="F2151" t="s">
        <v>36</v>
      </c>
      <c r="G2151" s="10" t="str">
        <f>TEXT(Transform_Data[[#This Row],[Date]],"mmm yyyy")</f>
        <v>Oct 2024</v>
      </c>
      <c r="H2151" s="10">
        <f>HOUR(Transform_Data[[#This Row],[Time]])</f>
        <v>19</v>
      </c>
      <c r="I2151" s="10" t="str">
        <f>IF(COUNTIF('Transform Data'!$D:$D,'Transform Data'!D2151)&gt;1,"Repeat","Single")</f>
        <v>Single</v>
      </c>
      <c r="J2151" s="10" t="str">
        <f>IF('Transform Data'!D2151="Cash","Cash",IF(COUNTIF('Transform Data'!$D:$D,'Transform Data'!D2151)&gt;1,"Repeat","Single"))</f>
        <v>Single</v>
      </c>
      <c r="K2151" s="10" t="str">
        <f t="shared" si="33"/>
        <v>TRANS-2150</v>
      </c>
    </row>
    <row r="2152" spans="1:11" x14ac:dyDescent="0.35">
      <c r="A2152" s="5">
        <v>45594</v>
      </c>
      <c r="B2152" s="3">
        <v>0.7956481481481481</v>
      </c>
      <c r="C2152" t="s">
        <v>8</v>
      </c>
      <c r="D2152" t="s">
        <v>260</v>
      </c>
      <c r="E2152" s="4">
        <v>35.76</v>
      </c>
      <c r="F2152" t="s">
        <v>24</v>
      </c>
      <c r="G2152" s="10" t="str">
        <f>TEXT(Transform_Data[[#This Row],[Date]],"mmm yyyy")</f>
        <v>Oct 2024</v>
      </c>
      <c r="H2152" s="10">
        <f>HOUR(Transform_Data[[#This Row],[Time]])</f>
        <v>19</v>
      </c>
      <c r="I2152" s="10" t="str">
        <f>IF(COUNTIF('Transform Data'!$D:$D,'Transform Data'!D2152)&gt;1,"Repeat","Single")</f>
        <v>Repeat</v>
      </c>
      <c r="J2152" s="10" t="str">
        <f>IF('Transform Data'!D2152="Cash","Cash",IF(COUNTIF('Transform Data'!$D:$D,'Transform Data'!D2152)&gt;1,"Repeat","Single"))</f>
        <v>Repeat</v>
      </c>
      <c r="K2152" s="10" t="str">
        <f t="shared" si="33"/>
        <v>TRANS-2151</v>
      </c>
    </row>
    <row r="2153" spans="1:11" x14ac:dyDescent="0.35">
      <c r="A2153" s="5">
        <v>45594</v>
      </c>
      <c r="B2153" s="3">
        <v>0.82722222222222219</v>
      </c>
      <c r="C2153" t="s">
        <v>8</v>
      </c>
      <c r="D2153" t="s">
        <v>21</v>
      </c>
      <c r="E2153" s="4">
        <v>35.76</v>
      </c>
      <c r="F2153" t="s">
        <v>15</v>
      </c>
      <c r="G2153" s="10" t="str">
        <f>TEXT(Transform_Data[[#This Row],[Date]],"mmm yyyy")</f>
        <v>Oct 2024</v>
      </c>
      <c r="H2153" s="10">
        <f>HOUR(Transform_Data[[#This Row],[Time]])</f>
        <v>19</v>
      </c>
      <c r="I2153" s="10" t="str">
        <f>IF(COUNTIF('Transform Data'!$D:$D,'Transform Data'!D2153)&gt;1,"Repeat","Single")</f>
        <v>Repeat</v>
      </c>
      <c r="J2153" s="10" t="str">
        <f>IF('Transform Data'!D2153="Cash","Cash",IF(COUNTIF('Transform Data'!$D:$D,'Transform Data'!D2153)&gt;1,"Repeat","Single"))</f>
        <v>Repeat</v>
      </c>
      <c r="K2153" s="10" t="str">
        <f t="shared" si="33"/>
        <v>TRANS-2152</v>
      </c>
    </row>
    <row r="2154" spans="1:11" x14ac:dyDescent="0.35">
      <c r="A2154" s="5">
        <v>45594</v>
      </c>
      <c r="B2154" s="3">
        <v>0.8291898148148148</v>
      </c>
      <c r="C2154" t="s">
        <v>8</v>
      </c>
      <c r="D2154" t="s">
        <v>21</v>
      </c>
      <c r="E2154" s="4">
        <v>35.76</v>
      </c>
      <c r="F2154" t="s">
        <v>32</v>
      </c>
      <c r="G2154" s="10" t="str">
        <f>TEXT(Transform_Data[[#This Row],[Date]],"mmm yyyy")</f>
        <v>Oct 2024</v>
      </c>
      <c r="H2154" s="10">
        <f>HOUR(Transform_Data[[#This Row],[Time]])</f>
        <v>19</v>
      </c>
      <c r="I2154" s="10" t="str">
        <f>IF(COUNTIF('Transform Data'!$D:$D,'Transform Data'!D2154)&gt;1,"Repeat","Single")</f>
        <v>Repeat</v>
      </c>
      <c r="J2154" s="10" t="str">
        <f>IF('Transform Data'!D2154="Cash","Cash",IF(COUNTIF('Transform Data'!$D:$D,'Transform Data'!D2154)&gt;1,"Repeat","Single"))</f>
        <v>Repeat</v>
      </c>
      <c r="K2154" s="10" t="str">
        <f t="shared" si="33"/>
        <v>TRANS-2153</v>
      </c>
    </row>
    <row r="2155" spans="1:11" x14ac:dyDescent="0.35">
      <c r="A2155" s="5">
        <v>45594</v>
      </c>
      <c r="B2155" s="3">
        <v>0.83859953703703705</v>
      </c>
      <c r="C2155" t="s">
        <v>8</v>
      </c>
      <c r="D2155" t="s">
        <v>851</v>
      </c>
      <c r="E2155" s="4">
        <v>35.76</v>
      </c>
      <c r="F2155" t="s">
        <v>32</v>
      </c>
      <c r="G2155" s="10" t="str">
        <f>TEXT(Transform_Data[[#This Row],[Date]],"mmm yyyy")</f>
        <v>Oct 2024</v>
      </c>
      <c r="H2155" s="10">
        <f>HOUR(Transform_Data[[#This Row],[Time]])</f>
        <v>20</v>
      </c>
      <c r="I2155" s="10" t="str">
        <f>IF(COUNTIF('Transform Data'!$D:$D,'Transform Data'!D2155)&gt;1,"Repeat","Single")</f>
        <v>Repeat</v>
      </c>
      <c r="J2155" s="10" t="str">
        <f>IF('Transform Data'!D2155="Cash","Cash",IF(COUNTIF('Transform Data'!$D:$D,'Transform Data'!D2155)&gt;1,"Repeat","Single"))</f>
        <v>Repeat</v>
      </c>
      <c r="K2155" s="10" t="str">
        <f t="shared" si="33"/>
        <v>TRANS-2154</v>
      </c>
    </row>
    <row r="2156" spans="1:11" x14ac:dyDescent="0.35">
      <c r="A2156" s="5">
        <v>45595</v>
      </c>
      <c r="B2156" s="3">
        <v>0.32783564814814814</v>
      </c>
      <c r="C2156" t="s">
        <v>8</v>
      </c>
      <c r="D2156" t="s">
        <v>755</v>
      </c>
      <c r="E2156" s="4">
        <v>35.76</v>
      </c>
      <c r="F2156" t="s">
        <v>32</v>
      </c>
      <c r="G2156" s="10" t="str">
        <f>TEXT(Transform_Data[[#This Row],[Date]],"mmm yyyy")</f>
        <v>Oct 2024</v>
      </c>
      <c r="H2156" s="10">
        <f>HOUR(Transform_Data[[#This Row],[Time]])</f>
        <v>7</v>
      </c>
      <c r="I2156" s="10" t="str">
        <f>IF(COUNTIF('Transform Data'!$D:$D,'Transform Data'!D2156)&gt;1,"Repeat","Single")</f>
        <v>Repeat</v>
      </c>
      <c r="J2156" s="10" t="str">
        <f>IF('Transform Data'!D2156="Cash","Cash",IF(COUNTIF('Transform Data'!$D:$D,'Transform Data'!D2156)&gt;1,"Repeat","Single"))</f>
        <v>Repeat</v>
      </c>
      <c r="K2156" s="10" t="str">
        <f t="shared" si="33"/>
        <v>TRANS-2155</v>
      </c>
    </row>
    <row r="2157" spans="1:11" x14ac:dyDescent="0.35">
      <c r="A2157" s="5">
        <v>45595</v>
      </c>
      <c r="B2157" s="3">
        <v>0.36557870370370371</v>
      </c>
      <c r="C2157" t="s">
        <v>8</v>
      </c>
      <c r="D2157" t="s">
        <v>623</v>
      </c>
      <c r="E2157" s="4">
        <v>30.86</v>
      </c>
      <c r="F2157" t="s">
        <v>36</v>
      </c>
      <c r="G2157" s="10" t="str">
        <f>TEXT(Transform_Data[[#This Row],[Date]],"mmm yyyy")</f>
        <v>Oct 2024</v>
      </c>
      <c r="H2157" s="10">
        <f>HOUR(Transform_Data[[#This Row],[Time]])</f>
        <v>8</v>
      </c>
      <c r="I2157" s="10" t="str">
        <f>IF(COUNTIF('Transform Data'!$D:$D,'Transform Data'!D2157)&gt;1,"Repeat","Single")</f>
        <v>Repeat</v>
      </c>
      <c r="J2157" s="10" t="str">
        <f>IF('Transform Data'!D2157="Cash","Cash",IF(COUNTIF('Transform Data'!$D:$D,'Transform Data'!D2157)&gt;1,"Repeat","Single"))</f>
        <v>Repeat</v>
      </c>
      <c r="K2157" s="10" t="str">
        <f t="shared" si="33"/>
        <v>TRANS-2156</v>
      </c>
    </row>
    <row r="2158" spans="1:11" x14ac:dyDescent="0.35">
      <c r="A2158" s="5">
        <v>45595</v>
      </c>
      <c r="B2158" s="3">
        <v>0.36630787037037038</v>
      </c>
      <c r="C2158" t="s">
        <v>8</v>
      </c>
      <c r="D2158" t="s">
        <v>623</v>
      </c>
      <c r="E2158" s="4">
        <v>30.86</v>
      </c>
      <c r="F2158" t="s">
        <v>36</v>
      </c>
      <c r="G2158" s="10" t="str">
        <f>TEXT(Transform_Data[[#This Row],[Date]],"mmm yyyy")</f>
        <v>Oct 2024</v>
      </c>
      <c r="H2158" s="10">
        <f>HOUR(Transform_Data[[#This Row],[Time]])</f>
        <v>8</v>
      </c>
      <c r="I2158" s="10" t="str">
        <f>IF(COUNTIF('Transform Data'!$D:$D,'Transform Data'!D2158)&gt;1,"Repeat","Single")</f>
        <v>Repeat</v>
      </c>
      <c r="J2158" s="10" t="str">
        <f>IF('Transform Data'!D2158="Cash","Cash",IF(COUNTIF('Transform Data'!$D:$D,'Transform Data'!D2158)&gt;1,"Repeat","Single"))</f>
        <v>Repeat</v>
      </c>
      <c r="K2158" s="10" t="str">
        <f t="shared" si="33"/>
        <v>TRANS-2157</v>
      </c>
    </row>
    <row r="2159" spans="1:11" x14ac:dyDescent="0.35">
      <c r="A2159" s="5">
        <v>45595</v>
      </c>
      <c r="B2159" s="3">
        <v>0.38297453703703704</v>
      </c>
      <c r="C2159" t="s">
        <v>8</v>
      </c>
      <c r="D2159" t="s">
        <v>889</v>
      </c>
      <c r="E2159" s="4">
        <v>35.76</v>
      </c>
      <c r="F2159" t="s">
        <v>32</v>
      </c>
      <c r="G2159" s="10" t="str">
        <f>TEXT(Transform_Data[[#This Row],[Date]],"mmm yyyy")</f>
        <v>Oct 2024</v>
      </c>
      <c r="H2159" s="10">
        <f>HOUR(Transform_Data[[#This Row],[Time]])</f>
        <v>9</v>
      </c>
      <c r="I2159" s="10" t="str">
        <f>IF(COUNTIF('Transform Data'!$D:$D,'Transform Data'!D2159)&gt;1,"Repeat","Single")</f>
        <v>Single</v>
      </c>
      <c r="J2159" s="10" t="str">
        <f>IF('Transform Data'!D2159="Cash","Cash",IF(COUNTIF('Transform Data'!$D:$D,'Transform Data'!D2159)&gt;1,"Repeat","Single"))</f>
        <v>Single</v>
      </c>
      <c r="K2159" s="10" t="str">
        <f t="shared" si="33"/>
        <v>TRANS-2158</v>
      </c>
    </row>
    <row r="2160" spans="1:11" x14ac:dyDescent="0.35">
      <c r="A2160" s="5">
        <v>45595</v>
      </c>
      <c r="B2160" s="3">
        <v>0.43880787037037039</v>
      </c>
      <c r="C2160" t="s">
        <v>8</v>
      </c>
      <c r="D2160" t="s">
        <v>890</v>
      </c>
      <c r="E2160" s="4">
        <v>35.76</v>
      </c>
      <c r="F2160" t="s">
        <v>32</v>
      </c>
      <c r="G2160" s="10" t="str">
        <f>TEXT(Transform_Data[[#This Row],[Date]],"mmm yyyy")</f>
        <v>Oct 2024</v>
      </c>
      <c r="H2160" s="10">
        <f>HOUR(Transform_Data[[#This Row],[Time]])</f>
        <v>10</v>
      </c>
      <c r="I2160" s="10" t="str">
        <f>IF(COUNTIF('Transform Data'!$D:$D,'Transform Data'!D2160)&gt;1,"Repeat","Single")</f>
        <v>Repeat</v>
      </c>
      <c r="J2160" s="10" t="str">
        <f>IF('Transform Data'!D2160="Cash","Cash",IF(COUNTIF('Transform Data'!$D:$D,'Transform Data'!D2160)&gt;1,"Repeat","Single"))</f>
        <v>Repeat</v>
      </c>
      <c r="K2160" s="10" t="str">
        <f t="shared" si="33"/>
        <v>TRANS-2159</v>
      </c>
    </row>
    <row r="2161" spans="1:11" x14ac:dyDescent="0.35">
      <c r="A2161" s="5">
        <v>45595</v>
      </c>
      <c r="B2161" s="3">
        <v>0.43966435185185188</v>
      </c>
      <c r="C2161" t="s">
        <v>8</v>
      </c>
      <c r="D2161" t="s">
        <v>890</v>
      </c>
      <c r="E2161" s="4">
        <v>35.76</v>
      </c>
      <c r="F2161" t="s">
        <v>32</v>
      </c>
      <c r="G2161" s="10" t="str">
        <f>TEXT(Transform_Data[[#This Row],[Date]],"mmm yyyy")</f>
        <v>Oct 2024</v>
      </c>
      <c r="H2161" s="10">
        <f>HOUR(Transform_Data[[#This Row],[Time]])</f>
        <v>10</v>
      </c>
      <c r="I2161" s="10" t="str">
        <f>IF(COUNTIF('Transform Data'!$D:$D,'Transform Data'!D2161)&gt;1,"Repeat","Single")</f>
        <v>Repeat</v>
      </c>
      <c r="J2161" s="10" t="str">
        <f>IF('Transform Data'!D2161="Cash","Cash",IF(COUNTIF('Transform Data'!$D:$D,'Transform Data'!D2161)&gt;1,"Repeat","Single"))</f>
        <v>Repeat</v>
      </c>
      <c r="K2161" s="10" t="str">
        <f t="shared" si="33"/>
        <v>TRANS-2160</v>
      </c>
    </row>
    <row r="2162" spans="1:11" x14ac:dyDescent="0.35">
      <c r="A2162" s="5">
        <v>45595</v>
      </c>
      <c r="B2162" s="3">
        <v>0.50607638888888884</v>
      </c>
      <c r="C2162" t="s">
        <v>8</v>
      </c>
      <c r="D2162" t="s">
        <v>428</v>
      </c>
      <c r="E2162" s="4">
        <v>35.76</v>
      </c>
      <c r="F2162" t="s">
        <v>32</v>
      </c>
      <c r="G2162" s="10" t="str">
        <f>TEXT(Transform_Data[[#This Row],[Date]],"mmm yyyy")</f>
        <v>Oct 2024</v>
      </c>
      <c r="H2162" s="10">
        <f>HOUR(Transform_Data[[#This Row],[Time]])</f>
        <v>12</v>
      </c>
      <c r="I2162" s="10" t="str">
        <f>IF(COUNTIF('Transform Data'!$D:$D,'Transform Data'!D2162)&gt;1,"Repeat","Single")</f>
        <v>Repeat</v>
      </c>
      <c r="J2162" s="10" t="str">
        <f>IF('Transform Data'!D2162="Cash","Cash",IF(COUNTIF('Transform Data'!$D:$D,'Transform Data'!D2162)&gt;1,"Repeat","Single"))</f>
        <v>Repeat</v>
      </c>
      <c r="K2162" s="10" t="str">
        <f t="shared" si="33"/>
        <v>TRANS-2161</v>
      </c>
    </row>
    <row r="2163" spans="1:11" x14ac:dyDescent="0.35">
      <c r="A2163" s="5">
        <v>45595</v>
      </c>
      <c r="B2163" s="3">
        <v>0.50678240740740743</v>
      </c>
      <c r="C2163" t="s">
        <v>8</v>
      </c>
      <c r="D2163" t="s">
        <v>428</v>
      </c>
      <c r="E2163" s="4">
        <v>25.96</v>
      </c>
      <c r="F2163" t="s">
        <v>28</v>
      </c>
      <c r="G2163" s="10" t="str">
        <f>TEXT(Transform_Data[[#This Row],[Date]],"mmm yyyy")</f>
        <v>Oct 2024</v>
      </c>
      <c r="H2163" s="10">
        <f>HOUR(Transform_Data[[#This Row],[Time]])</f>
        <v>12</v>
      </c>
      <c r="I2163" s="10" t="str">
        <f>IF(COUNTIF('Transform Data'!$D:$D,'Transform Data'!D2163)&gt;1,"Repeat","Single")</f>
        <v>Repeat</v>
      </c>
      <c r="J2163" s="10" t="str">
        <f>IF('Transform Data'!D2163="Cash","Cash",IF(COUNTIF('Transform Data'!$D:$D,'Transform Data'!D2163)&gt;1,"Repeat","Single"))</f>
        <v>Repeat</v>
      </c>
      <c r="K2163" s="10" t="str">
        <f t="shared" si="33"/>
        <v>TRANS-2162</v>
      </c>
    </row>
    <row r="2164" spans="1:11" x14ac:dyDescent="0.35">
      <c r="A2164" s="5">
        <v>45595</v>
      </c>
      <c r="B2164" s="3">
        <v>0.50761574074074078</v>
      </c>
      <c r="C2164" t="s">
        <v>8</v>
      </c>
      <c r="D2164" t="s">
        <v>786</v>
      </c>
      <c r="E2164" s="4">
        <v>30.86</v>
      </c>
      <c r="F2164" t="s">
        <v>36</v>
      </c>
      <c r="G2164" s="10" t="str">
        <f>TEXT(Transform_Data[[#This Row],[Date]],"mmm yyyy")</f>
        <v>Oct 2024</v>
      </c>
      <c r="H2164" s="10">
        <f>HOUR(Transform_Data[[#This Row],[Time]])</f>
        <v>12</v>
      </c>
      <c r="I2164" s="10" t="str">
        <f>IF(COUNTIF('Transform Data'!$D:$D,'Transform Data'!D2164)&gt;1,"Repeat","Single")</f>
        <v>Repeat</v>
      </c>
      <c r="J2164" s="10" t="str">
        <f>IF('Transform Data'!D2164="Cash","Cash",IF(COUNTIF('Transform Data'!$D:$D,'Transform Data'!D2164)&gt;1,"Repeat","Single"))</f>
        <v>Repeat</v>
      </c>
      <c r="K2164" s="10" t="str">
        <f t="shared" si="33"/>
        <v>TRANS-2163</v>
      </c>
    </row>
    <row r="2165" spans="1:11" x14ac:dyDescent="0.35">
      <c r="A2165" s="5">
        <v>45595</v>
      </c>
      <c r="B2165" s="3">
        <v>0.52569444444444446</v>
      </c>
      <c r="C2165" t="s">
        <v>8</v>
      </c>
      <c r="D2165" t="s">
        <v>891</v>
      </c>
      <c r="E2165" s="4">
        <v>25.96</v>
      </c>
      <c r="F2165" t="s">
        <v>28</v>
      </c>
      <c r="G2165" s="10" t="str">
        <f>TEXT(Transform_Data[[#This Row],[Date]],"mmm yyyy")</f>
        <v>Oct 2024</v>
      </c>
      <c r="H2165" s="10">
        <f>HOUR(Transform_Data[[#This Row],[Time]])</f>
        <v>12</v>
      </c>
      <c r="I2165" s="10" t="str">
        <f>IF(COUNTIF('Transform Data'!$D:$D,'Transform Data'!D2165)&gt;1,"Repeat","Single")</f>
        <v>Single</v>
      </c>
      <c r="J2165" s="10" t="str">
        <f>IF('Transform Data'!D2165="Cash","Cash",IF(COUNTIF('Transform Data'!$D:$D,'Transform Data'!D2165)&gt;1,"Repeat","Single"))</f>
        <v>Single</v>
      </c>
      <c r="K2165" s="10" t="str">
        <f t="shared" si="33"/>
        <v>TRANS-2164</v>
      </c>
    </row>
    <row r="2166" spans="1:11" x14ac:dyDescent="0.35">
      <c r="A2166" s="5">
        <v>45595</v>
      </c>
      <c r="B2166" s="3">
        <v>0.62864583333333335</v>
      </c>
      <c r="C2166" t="s">
        <v>8</v>
      </c>
      <c r="D2166" t="s">
        <v>21</v>
      </c>
      <c r="E2166" s="4">
        <v>35.76</v>
      </c>
      <c r="F2166" t="s">
        <v>32</v>
      </c>
      <c r="G2166" s="10" t="str">
        <f>TEXT(Transform_Data[[#This Row],[Date]],"mmm yyyy")</f>
        <v>Oct 2024</v>
      </c>
      <c r="H2166" s="10">
        <f>HOUR(Transform_Data[[#This Row],[Time]])</f>
        <v>15</v>
      </c>
      <c r="I2166" s="10" t="str">
        <f>IF(COUNTIF('Transform Data'!$D:$D,'Transform Data'!D2166)&gt;1,"Repeat","Single")</f>
        <v>Repeat</v>
      </c>
      <c r="J2166" s="10" t="str">
        <f>IF('Transform Data'!D2166="Cash","Cash",IF(COUNTIF('Transform Data'!$D:$D,'Transform Data'!D2166)&gt;1,"Repeat","Single"))</f>
        <v>Repeat</v>
      </c>
      <c r="K2166" s="10" t="str">
        <f t="shared" si="33"/>
        <v>TRANS-2165</v>
      </c>
    </row>
    <row r="2167" spans="1:11" x14ac:dyDescent="0.35">
      <c r="A2167" s="5">
        <v>45595</v>
      </c>
      <c r="B2167" s="3">
        <v>0.62989583333333332</v>
      </c>
      <c r="C2167" t="s">
        <v>8</v>
      </c>
      <c r="D2167" t="s">
        <v>21</v>
      </c>
      <c r="E2167" s="4">
        <v>35.76</v>
      </c>
      <c r="F2167" t="s">
        <v>32</v>
      </c>
      <c r="G2167" s="10" t="str">
        <f>TEXT(Transform_Data[[#This Row],[Date]],"mmm yyyy")</f>
        <v>Oct 2024</v>
      </c>
      <c r="H2167" s="10">
        <f>HOUR(Transform_Data[[#This Row],[Time]])</f>
        <v>15</v>
      </c>
      <c r="I2167" s="10" t="str">
        <f>IF(COUNTIF('Transform Data'!$D:$D,'Transform Data'!D2167)&gt;1,"Repeat","Single")</f>
        <v>Repeat</v>
      </c>
      <c r="J2167" s="10" t="str">
        <f>IF('Transform Data'!D2167="Cash","Cash",IF(COUNTIF('Transform Data'!$D:$D,'Transform Data'!D2167)&gt;1,"Repeat","Single"))</f>
        <v>Repeat</v>
      </c>
      <c r="K2167" s="10" t="str">
        <f t="shared" si="33"/>
        <v>TRANS-2166</v>
      </c>
    </row>
    <row r="2168" spans="1:11" x14ac:dyDescent="0.35">
      <c r="A2168" s="5">
        <v>45595</v>
      </c>
      <c r="B2168" s="3">
        <v>0.67</v>
      </c>
      <c r="C2168" t="s">
        <v>8</v>
      </c>
      <c r="D2168" t="s">
        <v>892</v>
      </c>
      <c r="E2168" s="4">
        <v>30.86</v>
      </c>
      <c r="F2168" t="s">
        <v>36</v>
      </c>
      <c r="G2168" s="10" t="str">
        <f>TEXT(Transform_Data[[#This Row],[Date]],"mmm yyyy")</f>
        <v>Oct 2024</v>
      </c>
      <c r="H2168" s="10">
        <f>HOUR(Transform_Data[[#This Row],[Time]])</f>
        <v>16</v>
      </c>
      <c r="I2168" s="10" t="str">
        <f>IF(COUNTIF('Transform Data'!$D:$D,'Transform Data'!D2168)&gt;1,"Repeat","Single")</f>
        <v>Single</v>
      </c>
      <c r="J2168" s="10" t="str">
        <f>IF('Transform Data'!D2168="Cash","Cash",IF(COUNTIF('Transform Data'!$D:$D,'Transform Data'!D2168)&gt;1,"Repeat","Single"))</f>
        <v>Single</v>
      </c>
      <c r="K2168" s="10" t="str">
        <f t="shared" si="33"/>
        <v>TRANS-2167</v>
      </c>
    </row>
    <row r="2169" spans="1:11" x14ac:dyDescent="0.35">
      <c r="A2169" s="5">
        <v>45595</v>
      </c>
      <c r="B2169" s="3">
        <v>0.75569444444444445</v>
      </c>
      <c r="C2169" t="s">
        <v>8</v>
      </c>
      <c r="D2169" t="s">
        <v>893</v>
      </c>
      <c r="E2169" s="4">
        <v>35.76</v>
      </c>
      <c r="F2169" t="s">
        <v>15</v>
      </c>
      <c r="G2169" s="10" t="str">
        <f>TEXT(Transform_Data[[#This Row],[Date]],"mmm yyyy")</f>
        <v>Oct 2024</v>
      </c>
      <c r="H2169" s="10">
        <f>HOUR(Transform_Data[[#This Row],[Time]])</f>
        <v>18</v>
      </c>
      <c r="I2169" s="10" t="str">
        <f>IF(COUNTIF('Transform Data'!$D:$D,'Transform Data'!D2169)&gt;1,"Repeat","Single")</f>
        <v>Single</v>
      </c>
      <c r="J2169" s="10" t="str">
        <f>IF('Transform Data'!D2169="Cash","Cash",IF(COUNTIF('Transform Data'!$D:$D,'Transform Data'!D2169)&gt;1,"Repeat","Single"))</f>
        <v>Single</v>
      </c>
      <c r="K2169" s="10" t="str">
        <f t="shared" si="33"/>
        <v>TRANS-2168</v>
      </c>
    </row>
    <row r="2170" spans="1:11" x14ac:dyDescent="0.35">
      <c r="A2170" s="5">
        <v>45595</v>
      </c>
      <c r="B2170" s="3">
        <v>0.80452546296296301</v>
      </c>
      <c r="C2170" t="s">
        <v>8</v>
      </c>
      <c r="D2170" t="s">
        <v>871</v>
      </c>
      <c r="E2170" s="4">
        <v>30.86</v>
      </c>
      <c r="F2170" t="s">
        <v>36</v>
      </c>
      <c r="G2170" s="10" t="str">
        <f>TEXT(Transform_Data[[#This Row],[Date]],"mmm yyyy")</f>
        <v>Oct 2024</v>
      </c>
      <c r="H2170" s="10">
        <f>HOUR(Transform_Data[[#This Row],[Time]])</f>
        <v>19</v>
      </c>
      <c r="I2170" s="10" t="str">
        <f>IF(COUNTIF('Transform Data'!$D:$D,'Transform Data'!D2170)&gt;1,"Repeat","Single")</f>
        <v>Repeat</v>
      </c>
      <c r="J2170" s="10" t="str">
        <f>IF('Transform Data'!D2170="Cash","Cash",IF(COUNTIF('Transform Data'!$D:$D,'Transform Data'!D2170)&gt;1,"Repeat","Single"))</f>
        <v>Repeat</v>
      </c>
      <c r="K2170" s="10" t="str">
        <f t="shared" si="33"/>
        <v>TRANS-2169</v>
      </c>
    </row>
    <row r="2171" spans="1:11" x14ac:dyDescent="0.35">
      <c r="A2171" s="5">
        <v>45595</v>
      </c>
      <c r="B2171" s="3">
        <v>0.82177083333333334</v>
      </c>
      <c r="C2171" t="s">
        <v>8</v>
      </c>
      <c r="D2171" t="s">
        <v>894</v>
      </c>
      <c r="E2171" s="4">
        <v>30.86</v>
      </c>
      <c r="F2171" t="s">
        <v>36</v>
      </c>
      <c r="G2171" s="10" t="str">
        <f>TEXT(Transform_Data[[#This Row],[Date]],"mmm yyyy")</f>
        <v>Oct 2024</v>
      </c>
      <c r="H2171" s="10">
        <f>HOUR(Transform_Data[[#This Row],[Time]])</f>
        <v>19</v>
      </c>
      <c r="I2171" s="10" t="str">
        <f>IF(COUNTIF('Transform Data'!$D:$D,'Transform Data'!D2171)&gt;1,"Repeat","Single")</f>
        <v>Repeat</v>
      </c>
      <c r="J2171" s="10" t="str">
        <f>IF('Transform Data'!D2171="Cash","Cash",IF(COUNTIF('Transform Data'!$D:$D,'Transform Data'!D2171)&gt;1,"Repeat","Single"))</f>
        <v>Repeat</v>
      </c>
      <c r="K2171" s="10" t="str">
        <f t="shared" si="33"/>
        <v>TRANS-2170</v>
      </c>
    </row>
    <row r="2172" spans="1:11" x14ac:dyDescent="0.35">
      <c r="A2172" s="5">
        <v>45596</v>
      </c>
      <c r="B2172" s="3">
        <v>0.32936342592592593</v>
      </c>
      <c r="C2172" t="s">
        <v>8</v>
      </c>
      <c r="D2172" t="s">
        <v>755</v>
      </c>
      <c r="E2172" s="4">
        <v>35.76</v>
      </c>
      <c r="F2172" t="s">
        <v>32</v>
      </c>
      <c r="G2172" s="10" t="str">
        <f>TEXT(Transform_Data[[#This Row],[Date]],"mmm yyyy")</f>
        <v>Oct 2024</v>
      </c>
      <c r="H2172" s="10">
        <f>HOUR(Transform_Data[[#This Row],[Time]])</f>
        <v>7</v>
      </c>
      <c r="I2172" s="10" t="str">
        <f>IF(COUNTIF('Transform Data'!$D:$D,'Transform Data'!D2172)&gt;1,"Repeat","Single")</f>
        <v>Repeat</v>
      </c>
      <c r="J2172" s="10" t="str">
        <f>IF('Transform Data'!D2172="Cash","Cash",IF(COUNTIF('Transform Data'!$D:$D,'Transform Data'!D2172)&gt;1,"Repeat","Single"))</f>
        <v>Repeat</v>
      </c>
      <c r="K2172" s="10" t="str">
        <f t="shared" si="33"/>
        <v>TRANS-2171</v>
      </c>
    </row>
    <row r="2173" spans="1:11" x14ac:dyDescent="0.35">
      <c r="A2173" s="5">
        <v>45596</v>
      </c>
      <c r="B2173" s="3">
        <v>0.36033564814814817</v>
      </c>
      <c r="C2173" t="s">
        <v>8</v>
      </c>
      <c r="D2173" t="s">
        <v>735</v>
      </c>
      <c r="E2173" s="4">
        <v>35.76</v>
      </c>
      <c r="F2173" t="s">
        <v>32</v>
      </c>
      <c r="G2173" s="10" t="str">
        <f>TEXT(Transform_Data[[#This Row],[Date]],"mmm yyyy")</f>
        <v>Oct 2024</v>
      </c>
      <c r="H2173" s="10">
        <f>HOUR(Transform_Data[[#This Row],[Time]])</f>
        <v>8</v>
      </c>
      <c r="I2173" s="10" t="str">
        <f>IF(COUNTIF('Transform Data'!$D:$D,'Transform Data'!D2173)&gt;1,"Repeat","Single")</f>
        <v>Repeat</v>
      </c>
      <c r="J2173" s="10" t="str">
        <f>IF('Transform Data'!D2173="Cash","Cash",IF(COUNTIF('Transform Data'!$D:$D,'Transform Data'!D2173)&gt;1,"Repeat","Single"))</f>
        <v>Repeat</v>
      </c>
      <c r="K2173" s="10" t="str">
        <f t="shared" si="33"/>
        <v>TRANS-2172</v>
      </c>
    </row>
    <row r="2174" spans="1:11" x14ac:dyDescent="0.35">
      <c r="A2174" s="5">
        <v>45596</v>
      </c>
      <c r="B2174" s="3">
        <v>0.38771990740740742</v>
      </c>
      <c r="C2174" t="s">
        <v>8</v>
      </c>
      <c r="D2174" t="s">
        <v>29</v>
      </c>
      <c r="E2174" s="4">
        <v>30.86</v>
      </c>
      <c r="F2174" t="s">
        <v>36</v>
      </c>
      <c r="G2174" s="10" t="str">
        <f>TEXT(Transform_Data[[#This Row],[Date]],"mmm yyyy")</f>
        <v>Oct 2024</v>
      </c>
      <c r="H2174" s="10">
        <f>HOUR(Transform_Data[[#This Row],[Time]])</f>
        <v>9</v>
      </c>
      <c r="I2174" s="10" t="str">
        <f>IF(COUNTIF('Transform Data'!$D:$D,'Transform Data'!D2174)&gt;1,"Repeat","Single")</f>
        <v>Repeat</v>
      </c>
      <c r="J2174" s="10" t="str">
        <f>IF('Transform Data'!D2174="Cash","Cash",IF(COUNTIF('Transform Data'!$D:$D,'Transform Data'!D2174)&gt;1,"Repeat","Single"))</f>
        <v>Repeat</v>
      </c>
      <c r="K2174" s="10" t="str">
        <f t="shared" si="33"/>
        <v>TRANS-2173</v>
      </c>
    </row>
    <row r="2175" spans="1:11" x14ac:dyDescent="0.35">
      <c r="A2175" s="5">
        <v>45596</v>
      </c>
      <c r="B2175" s="3">
        <v>0.6662731481481482</v>
      </c>
      <c r="C2175" t="s">
        <v>8</v>
      </c>
      <c r="D2175" t="s">
        <v>895</v>
      </c>
      <c r="E2175" s="4">
        <v>35.76</v>
      </c>
      <c r="F2175" t="s">
        <v>32</v>
      </c>
      <c r="G2175" s="10" t="str">
        <f>TEXT(Transform_Data[[#This Row],[Date]],"mmm yyyy")</f>
        <v>Oct 2024</v>
      </c>
      <c r="H2175" s="10">
        <f>HOUR(Transform_Data[[#This Row],[Time]])</f>
        <v>15</v>
      </c>
      <c r="I2175" s="10" t="str">
        <f>IF(COUNTIF('Transform Data'!$D:$D,'Transform Data'!D2175)&gt;1,"Repeat","Single")</f>
        <v>Single</v>
      </c>
      <c r="J2175" s="10" t="str">
        <f>IF('Transform Data'!D2175="Cash","Cash",IF(COUNTIF('Transform Data'!$D:$D,'Transform Data'!D2175)&gt;1,"Repeat","Single"))</f>
        <v>Single</v>
      </c>
      <c r="K2175" s="10" t="str">
        <f t="shared" si="33"/>
        <v>TRANS-2174</v>
      </c>
    </row>
    <row r="2176" spans="1:11" x14ac:dyDescent="0.35">
      <c r="A2176" s="5">
        <v>45596</v>
      </c>
      <c r="B2176" s="3">
        <v>0.66701388888888891</v>
      </c>
      <c r="C2176" t="s">
        <v>8</v>
      </c>
      <c r="D2176" t="s">
        <v>896</v>
      </c>
      <c r="E2176" s="4">
        <v>30.86</v>
      </c>
      <c r="F2176" t="s">
        <v>36</v>
      </c>
      <c r="G2176" s="10" t="str">
        <f>TEXT(Transform_Data[[#This Row],[Date]],"mmm yyyy")</f>
        <v>Oct 2024</v>
      </c>
      <c r="H2176" s="10">
        <f>HOUR(Transform_Data[[#This Row],[Time]])</f>
        <v>16</v>
      </c>
      <c r="I2176" s="10" t="str">
        <f>IF(COUNTIF('Transform Data'!$D:$D,'Transform Data'!D2176)&gt;1,"Repeat","Single")</f>
        <v>Single</v>
      </c>
      <c r="J2176" s="10" t="str">
        <f>IF('Transform Data'!D2176="Cash","Cash",IF(COUNTIF('Transform Data'!$D:$D,'Transform Data'!D2176)&gt;1,"Repeat","Single"))</f>
        <v>Single</v>
      </c>
      <c r="K2176" s="10" t="str">
        <f t="shared" si="33"/>
        <v>TRANS-2175</v>
      </c>
    </row>
    <row r="2177" spans="1:11" x14ac:dyDescent="0.35">
      <c r="A2177" s="5">
        <v>45597</v>
      </c>
      <c r="B2177" s="3">
        <v>0.35003472222222221</v>
      </c>
      <c r="C2177" t="s">
        <v>8</v>
      </c>
      <c r="D2177" t="s">
        <v>894</v>
      </c>
      <c r="E2177" s="4">
        <v>35.76</v>
      </c>
      <c r="F2177" t="s">
        <v>10</v>
      </c>
      <c r="G2177" s="10" t="str">
        <f>TEXT(Transform_Data[[#This Row],[Date]],"mmm yyyy")</f>
        <v>Nov 2024</v>
      </c>
      <c r="H2177" s="10">
        <f>HOUR(Transform_Data[[#This Row],[Time]])</f>
        <v>8</v>
      </c>
      <c r="I2177" s="10" t="str">
        <f>IF(COUNTIF('Transform Data'!$D:$D,'Transform Data'!D2177)&gt;1,"Repeat","Single")</f>
        <v>Repeat</v>
      </c>
      <c r="J2177" s="10" t="str">
        <f>IF('Transform Data'!D2177="Cash","Cash",IF(COUNTIF('Transform Data'!$D:$D,'Transform Data'!D2177)&gt;1,"Repeat","Single"))</f>
        <v>Repeat</v>
      </c>
      <c r="K2177" s="10" t="str">
        <f t="shared" si="33"/>
        <v>TRANS-2176</v>
      </c>
    </row>
    <row r="2178" spans="1:11" x14ac:dyDescent="0.35">
      <c r="A2178" s="5">
        <v>45597</v>
      </c>
      <c r="B2178" s="3">
        <v>0.3548263888888889</v>
      </c>
      <c r="C2178" t="s">
        <v>8</v>
      </c>
      <c r="D2178" t="s">
        <v>357</v>
      </c>
      <c r="E2178" s="4">
        <v>25.96</v>
      </c>
      <c r="F2178" t="s">
        <v>28</v>
      </c>
      <c r="G2178" s="10" t="str">
        <f>TEXT(Transform_Data[[#This Row],[Date]],"mmm yyyy")</f>
        <v>Nov 2024</v>
      </c>
      <c r="H2178" s="10">
        <f>HOUR(Transform_Data[[#This Row],[Time]])</f>
        <v>8</v>
      </c>
      <c r="I2178" s="10" t="str">
        <f>IF(COUNTIF('Transform Data'!$D:$D,'Transform Data'!D2178)&gt;1,"Repeat","Single")</f>
        <v>Repeat</v>
      </c>
      <c r="J2178" s="10" t="str">
        <f>IF('Transform Data'!D2178="Cash","Cash",IF(COUNTIF('Transform Data'!$D:$D,'Transform Data'!D2178)&gt;1,"Repeat","Single"))</f>
        <v>Repeat</v>
      </c>
      <c r="K2178" s="10" t="str">
        <f t="shared" ref="K2178:K2241" si="34">"TRANS-"&amp;TEXT(ROW(A2177),"0000")</f>
        <v>TRANS-2177</v>
      </c>
    </row>
    <row r="2179" spans="1:11" x14ac:dyDescent="0.35">
      <c r="A2179" s="5">
        <v>45597</v>
      </c>
      <c r="B2179" s="3">
        <v>0.45474537037037038</v>
      </c>
      <c r="C2179" t="s">
        <v>8</v>
      </c>
      <c r="D2179" t="s">
        <v>664</v>
      </c>
      <c r="E2179" s="4">
        <v>35.76</v>
      </c>
      <c r="F2179" t="s">
        <v>32</v>
      </c>
      <c r="G2179" s="10" t="str">
        <f>TEXT(Transform_Data[[#This Row],[Date]],"mmm yyyy")</f>
        <v>Nov 2024</v>
      </c>
      <c r="H2179" s="10">
        <f>HOUR(Transform_Data[[#This Row],[Time]])</f>
        <v>10</v>
      </c>
      <c r="I2179" s="10" t="str">
        <f>IF(COUNTIF('Transform Data'!$D:$D,'Transform Data'!D2179)&gt;1,"Repeat","Single")</f>
        <v>Repeat</v>
      </c>
      <c r="J2179" s="10" t="str">
        <f>IF('Transform Data'!D2179="Cash","Cash",IF(COUNTIF('Transform Data'!$D:$D,'Transform Data'!D2179)&gt;1,"Repeat","Single"))</f>
        <v>Repeat</v>
      </c>
      <c r="K2179" s="10" t="str">
        <f t="shared" si="34"/>
        <v>TRANS-2178</v>
      </c>
    </row>
    <row r="2180" spans="1:11" x14ac:dyDescent="0.35">
      <c r="A2180" s="5">
        <v>45597</v>
      </c>
      <c r="B2180" s="3">
        <v>0.52877314814814813</v>
      </c>
      <c r="C2180" t="s">
        <v>8</v>
      </c>
      <c r="D2180" t="s">
        <v>43</v>
      </c>
      <c r="E2180" s="4">
        <v>35.76</v>
      </c>
      <c r="F2180" t="s">
        <v>10</v>
      </c>
      <c r="G2180" s="10" t="str">
        <f>TEXT(Transform_Data[[#This Row],[Date]],"mmm yyyy")</f>
        <v>Nov 2024</v>
      </c>
      <c r="H2180" s="10">
        <f>HOUR(Transform_Data[[#This Row],[Time]])</f>
        <v>12</v>
      </c>
      <c r="I2180" s="10" t="str">
        <f>IF(COUNTIF('Transform Data'!$D:$D,'Transform Data'!D2180)&gt;1,"Repeat","Single")</f>
        <v>Repeat</v>
      </c>
      <c r="J2180" s="10" t="str">
        <f>IF('Transform Data'!D2180="Cash","Cash",IF(COUNTIF('Transform Data'!$D:$D,'Transform Data'!D2180)&gt;1,"Repeat","Single"))</f>
        <v>Repeat</v>
      </c>
      <c r="K2180" s="10" t="str">
        <f t="shared" si="34"/>
        <v>TRANS-2179</v>
      </c>
    </row>
    <row r="2181" spans="1:11" x14ac:dyDescent="0.35">
      <c r="A2181" s="5">
        <v>45597</v>
      </c>
      <c r="B2181" s="3">
        <v>0.52937500000000004</v>
      </c>
      <c r="C2181" t="s">
        <v>8</v>
      </c>
      <c r="D2181" t="s">
        <v>43</v>
      </c>
      <c r="E2181" s="4">
        <v>35.76</v>
      </c>
      <c r="F2181" t="s">
        <v>10</v>
      </c>
      <c r="G2181" s="10" t="str">
        <f>TEXT(Transform_Data[[#This Row],[Date]],"mmm yyyy")</f>
        <v>Nov 2024</v>
      </c>
      <c r="H2181" s="10">
        <f>HOUR(Transform_Data[[#This Row],[Time]])</f>
        <v>12</v>
      </c>
      <c r="I2181" s="10" t="str">
        <f>IF(COUNTIF('Transform Data'!$D:$D,'Transform Data'!D2181)&gt;1,"Repeat","Single")</f>
        <v>Repeat</v>
      </c>
      <c r="J2181" s="10" t="str">
        <f>IF('Transform Data'!D2181="Cash","Cash",IF(COUNTIF('Transform Data'!$D:$D,'Transform Data'!D2181)&gt;1,"Repeat","Single"))</f>
        <v>Repeat</v>
      </c>
      <c r="K2181" s="10" t="str">
        <f t="shared" si="34"/>
        <v>TRANS-2180</v>
      </c>
    </row>
    <row r="2182" spans="1:11" x14ac:dyDescent="0.35">
      <c r="A2182" s="5">
        <v>45597</v>
      </c>
      <c r="B2182" s="3">
        <v>0.66368055555555561</v>
      </c>
      <c r="C2182" t="s">
        <v>8</v>
      </c>
      <c r="D2182" t="s">
        <v>897</v>
      </c>
      <c r="E2182" s="4">
        <v>25.96</v>
      </c>
      <c r="F2182" t="s">
        <v>20</v>
      </c>
      <c r="G2182" s="10" t="str">
        <f>TEXT(Transform_Data[[#This Row],[Date]],"mmm yyyy")</f>
        <v>Nov 2024</v>
      </c>
      <c r="H2182" s="10">
        <f>HOUR(Transform_Data[[#This Row],[Time]])</f>
        <v>15</v>
      </c>
      <c r="I2182" s="10" t="str">
        <f>IF(COUNTIF('Transform Data'!$D:$D,'Transform Data'!D2182)&gt;1,"Repeat","Single")</f>
        <v>Single</v>
      </c>
      <c r="J2182" s="10" t="str">
        <f>IF('Transform Data'!D2182="Cash","Cash",IF(COUNTIF('Transform Data'!$D:$D,'Transform Data'!D2182)&gt;1,"Repeat","Single"))</f>
        <v>Single</v>
      </c>
      <c r="K2182" s="10" t="str">
        <f t="shared" si="34"/>
        <v>TRANS-2181</v>
      </c>
    </row>
    <row r="2183" spans="1:11" x14ac:dyDescent="0.35">
      <c r="A2183" s="5">
        <v>45597</v>
      </c>
      <c r="B2183" s="3">
        <v>0.945775462962963</v>
      </c>
      <c r="C2183" t="s">
        <v>8</v>
      </c>
      <c r="D2183" t="s">
        <v>747</v>
      </c>
      <c r="E2183" s="4">
        <v>30.86</v>
      </c>
      <c r="F2183" t="s">
        <v>36</v>
      </c>
      <c r="G2183" s="10" t="str">
        <f>TEXT(Transform_Data[[#This Row],[Date]],"mmm yyyy")</f>
        <v>Nov 2024</v>
      </c>
      <c r="H2183" s="10">
        <f>HOUR(Transform_Data[[#This Row],[Time]])</f>
        <v>22</v>
      </c>
      <c r="I2183" s="10" t="str">
        <f>IF(COUNTIF('Transform Data'!$D:$D,'Transform Data'!D2183)&gt;1,"Repeat","Single")</f>
        <v>Repeat</v>
      </c>
      <c r="J2183" s="10" t="str">
        <f>IF('Transform Data'!D2183="Cash","Cash",IF(COUNTIF('Transform Data'!$D:$D,'Transform Data'!D2183)&gt;1,"Repeat","Single"))</f>
        <v>Repeat</v>
      </c>
      <c r="K2183" s="10" t="str">
        <f t="shared" si="34"/>
        <v>TRANS-2182</v>
      </c>
    </row>
    <row r="2184" spans="1:11" x14ac:dyDescent="0.35">
      <c r="A2184" s="5">
        <v>45598</v>
      </c>
      <c r="B2184" s="3">
        <v>0.34703703703703703</v>
      </c>
      <c r="C2184" t="s">
        <v>8</v>
      </c>
      <c r="D2184" t="s">
        <v>40</v>
      </c>
      <c r="E2184" s="4">
        <v>25.96</v>
      </c>
      <c r="F2184" t="s">
        <v>20</v>
      </c>
      <c r="G2184" s="10" t="str">
        <f>TEXT(Transform_Data[[#This Row],[Date]],"mmm yyyy")</f>
        <v>Nov 2024</v>
      </c>
      <c r="H2184" s="10">
        <f>HOUR(Transform_Data[[#This Row],[Time]])</f>
        <v>8</v>
      </c>
      <c r="I2184" s="10" t="str">
        <f>IF(COUNTIF('Transform Data'!$D:$D,'Transform Data'!D2184)&gt;1,"Repeat","Single")</f>
        <v>Repeat</v>
      </c>
      <c r="J2184" s="10" t="str">
        <f>IF('Transform Data'!D2184="Cash","Cash",IF(COUNTIF('Transform Data'!$D:$D,'Transform Data'!D2184)&gt;1,"Repeat","Single"))</f>
        <v>Repeat</v>
      </c>
      <c r="K2184" s="10" t="str">
        <f t="shared" si="34"/>
        <v>TRANS-2183</v>
      </c>
    </row>
    <row r="2185" spans="1:11" x14ac:dyDescent="0.35">
      <c r="A2185" s="5">
        <v>45598</v>
      </c>
      <c r="B2185" s="3">
        <v>0.43454861111111109</v>
      </c>
      <c r="C2185" t="s">
        <v>8</v>
      </c>
      <c r="D2185" t="s">
        <v>880</v>
      </c>
      <c r="E2185" s="4">
        <v>35.76</v>
      </c>
      <c r="F2185" t="s">
        <v>10</v>
      </c>
      <c r="G2185" s="10" t="str">
        <f>TEXT(Transform_Data[[#This Row],[Date]],"mmm yyyy")</f>
        <v>Nov 2024</v>
      </c>
      <c r="H2185" s="10">
        <f>HOUR(Transform_Data[[#This Row],[Time]])</f>
        <v>10</v>
      </c>
      <c r="I2185" s="10" t="str">
        <f>IF(COUNTIF('Transform Data'!$D:$D,'Transform Data'!D2185)&gt;1,"Repeat","Single")</f>
        <v>Repeat</v>
      </c>
      <c r="J2185" s="10" t="str">
        <f>IF('Transform Data'!D2185="Cash","Cash",IF(COUNTIF('Transform Data'!$D:$D,'Transform Data'!D2185)&gt;1,"Repeat","Single"))</f>
        <v>Repeat</v>
      </c>
      <c r="K2185" s="10" t="str">
        <f t="shared" si="34"/>
        <v>TRANS-2184</v>
      </c>
    </row>
    <row r="2186" spans="1:11" x14ac:dyDescent="0.35">
      <c r="A2186" s="5">
        <v>45598</v>
      </c>
      <c r="B2186" s="3">
        <v>0.43968750000000001</v>
      </c>
      <c r="C2186" t="s">
        <v>8</v>
      </c>
      <c r="D2186" t="s">
        <v>11</v>
      </c>
      <c r="E2186" s="4">
        <v>30.86</v>
      </c>
      <c r="F2186" t="s">
        <v>36</v>
      </c>
      <c r="G2186" s="10" t="str">
        <f>TEXT(Transform_Data[[#This Row],[Date]],"mmm yyyy")</f>
        <v>Nov 2024</v>
      </c>
      <c r="H2186" s="10">
        <f>HOUR(Transform_Data[[#This Row],[Time]])</f>
        <v>10</v>
      </c>
      <c r="I2186" s="10" t="str">
        <f>IF(COUNTIF('Transform Data'!$D:$D,'Transform Data'!D2186)&gt;1,"Repeat","Single")</f>
        <v>Repeat</v>
      </c>
      <c r="J2186" s="10" t="str">
        <f>IF('Transform Data'!D2186="Cash","Cash",IF(COUNTIF('Transform Data'!$D:$D,'Transform Data'!D2186)&gt;1,"Repeat","Single"))</f>
        <v>Repeat</v>
      </c>
      <c r="K2186" s="10" t="str">
        <f t="shared" si="34"/>
        <v>TRANS-2185</v>
      </c>
    </row>
    <row r="2187" spans="1:11" x14ac:dyDescent="0.35">
      <c r="A2187" s="5">
        <v>45598</v>
      </c>
      <c r="B2187" s="3">
        <v>0.62099537037037034</v>
      </c>
      <c r="C2187" t="s">
        <v>8</v>
      </c>
      <c r="D2187" t="s">
        <v>898</v>
      </c>
      <c r="E2187" s="4">
        <v>30.86</v>
      </c>
      <c r="F2187" t="s">
        <v>36</v>
      </c>
      <c r="G2187" s="10" t="str">
        <f>TEXT(Transform_Data[[#This Row],[Date]],"mmm yyyy")</f>
        <v>Nov 2024</v>
      </c>
      <c r="H2187" s="10">
        <f>HOUR(Transform_Data[[#This Row],[Time]])</f>
        <v>14</v>
      </c>
      <c r="I2187" s="10" t="str">
        <f>IF(COUNTIF('Transform Data'!$D:$D,'Transform Data'!D2187)&gt;1,"Repeat","Single")</f>
        <v>Single</v>
      </c>
      <c r="J2187" s="10" t="str">
        <f>IF('Transform Data'!D2187="Cash","Cash",IF(COUNTIF('Transform Data'!$D:$D,'Transform Data'!D2187)&gt;1,"Repeat","Single"))</f>
        <v>Single</v>
      </c>
      <c r="K2187" s="10" t="str">
        <f t="shared" si="34"/>
        <v>TRANS-2186</v>
      </c>
    </row>
    <row r="2188" spans="1:11" x14ac:dyDescent="0.35">
      <c r="A2188" s="5">
        <v>45598</v>
      </c>
      <c r="B2188" s="3">
        <v>0.68350694444444449</v>
      </c>
      <c r="C2188" t="s">
        <v>8</v>
      </c>
      <c r="D2188" t="s">
        <v>21</v>
      </c>
      <c r="E2188" s="4">
        <v>35.76</v>
      </c>
      <c r="F2188" t="s">
        <v>15</v>
      </c>
      <c r="G2188" s="10" t="str">
        <f>TEXT(Transform_Data[[#This Row],[Date]],"mmm yyyy")</f>
        <v>Nov 2024</v>
      </c>
      <c r="H2188" s="10">
        <f>HOUR(Transform_Data[[#This Row],[Time]])</f>
        <v>16</v>
      </c>
      <c r="I2188" s="10" t="str">
        <f>IF(COUNTIF('Transform Data'!$D:$D,'Transform Data'!D2188)&gt;1,"Repeat","Single")</f>
        <v>Repeat</v>
      </c>
      <c r="J2188" s="10" t="str">
        <f>IF('Transform Data'!D2188="Cash","Cash",IF(COUNTIF('Transform Data'!$D:$D,'Transform Data'!D2188)&gt;1,"Repeat","Single"))</f>
        <v>Repeat</v>
      </c>
      <c r="K2188" s="10" t="str">
        <f t="shared" si="34"/>
        <v>TRANS-2187</v>
      </c>
    </row>
    <row r="2189" spans="1:11" x14ac:dyDescent="0.35">
      <c r="A2189" s="5">
        <v>45598</v>
      </c>
      <c r="B2189" s="3">
        <v>0.6846875</v>
      </c>
      <c r="C2189" t="s">
        <v>8</v>
      </c>
      <c r="D2189" t="s">
        <v>21</v>
      </c>
      <c r="E2189" s="4">
        <v>35.76</v>
      </c>
      <c r="F2189" t="s">
        <v>32</v>
      </c>
      <c r="G2189" s="10" t="str">
        <f>TEXT(Transform_Data[[#This Row],[Date]],"mmm yyyy")</f>
        <v>Nov 2024</v>
      </c>
      <c r="H2189" s="10">
        <f>HOUR(Transform_Data[[#This Row],[Time]])</f>
        <v>16</v>
      </c>
      <c r="I2189" s="10" t="str">
        <f>IF(COUNTIF('Transform Data'!$D:$D,'Transform Data'!D2189)&gt;1,"Repeat","Single")</f>
        <v>Repeat</v>
      </c>
      <c r="J2189" s="10" t="str">
        <f>IF('Transform Data'!D2189="Cash","Cash",IF(COUNTIF('Transform Data'!$D:$D,'Transform Data'!D2189)&gt;1,"Repeat","Single"))</f>
        <v>Repeat</v>
      </c>
      <c r="K2189" s="10" t="str">
        <f t="shared" si="34"/>
        <v>TRANS-2188</v>
      </c>
    </row>
    <row r="2190" spans="1:11" x14ac:dyDescent="0.35">
      <c r="A2190" s="5">
        <v>45598</v>
      </c>
      <c r="B2190" s="3">
        <v>0.69241898148148151</v>
      </c>
      <c r="C2190" t="s">
        <v>8</v>
      </c>
      <c r="D2190" t="s">
        <v>899</v>
      </c>
      <c r="E2190" s="4">
        <v>35.76</v>
      </c>
      <c r="F2190" t="s">
        <v>32</v>
      </c>
      <c r="G2190" s="10" t="str">
        <f>TEXT(Transform_Data[[#This Row],[Date]],"mmm yyyy")</f>
        <v>Nov 2024</v>
      </c>
      <c r="H2190" s="10">
        <f>HOUR(Transform_Data[[#This Row],[Time]])</f>
        <v>16</v>
      </c>
      <c r="I2190" s="10" t="str">
        <f>IF(COUNTIF('Transform Data'!$D:$D,'Transform Data'!D2190)&gt;1,"Repeat","Single")</f>
        <v>Single</v>
      </c>
      <c r="J2190" s="10" t="str">
        <f>IF('Transform Data'!D2190="Cash","Cash",IF(COUNTIF('Transform Data'!$D:$D,'Transform Data'!D2190)&gt;1,"Repeat","Single"))</f>
        <v>Single</v>
      </c>
      <c r="K2190" s="10" t="str">
        <f t="shared" si="34"/>
        <v>TRANS-2189</v>
      </c>
    </row>
    <row r="2191" spans="1:11" x14ac:dyDescent="0.35">
      <c r="A2191" s="5">
        <v>45598</v>
      </c>
      <c r="B2191" s="3">
        <v>0.7628125</v>
      </c>
      <c r="C2191" t="s">
        <v>8</v>
      </c>
      <c r="D2191" t="s">
        <v>672</v>
      </c>
      <c r="E2191" s="4">
        <v>30.86</v>
      </c>
      <c r="F2191" t="s">
        <v>36</v>
      </c>
      <c r="G2191" s="10" t="str">
        <f>TEXT(Transform_Data[[#This Row],[Date]],"mmm yyyy")</f>
        <v>Nov 2024</v>
      </c>
      <c r="H2191" s="10">
        <f>HOUR(Transform_Data[[#This Row],[Time]])</f>
        <v>18</v>
      </c>
      <c r="I2191" s="10" t="str">
        <f>IF(COUNTIF('Transform Data'!$D:$D,'Transform Data'!D2191)&gt;1,"Repeat","Single")</f>
        <v>Repeat</v>
      </c>
      <c r="J2191" s="10" t="str">
        <f>IF('Transform Data'!D2191="Cash","Cash",IF(COUNTIF('Transform Data'!$D:$D,'Transform Data'!D2191)&gt;1,"Repeat","Single"))</f>
        <v>Repeat</v>
      </c>
      <c r="K2191" s="10" t="str">
        <f t="shared" si="34"/>
        <v>TRANS-2190</v>
      </c>
    </row>
    <row r="2192" spans="1:11" x14ac:dyDescent="0.35">
      <c r="A2192" s="5">
        <v>45598</v>
      </c>
      <c r="B2192" s="3">
        <v>0.79054398148148153</v>
      </c>
      <c r="C2192" t="s">
        <v>8</v>
      </c>
      <c r="D2192" t="s">
        <v>900</v>
      </c>
      <c r="E2192" s="4">
        <v>25.96</v>
      </c>
      <c r="F2192" t="s">
        <v>28</v>
      </c>
      <c r="G2192" s="10" t="str">
        <f>TEXT(Transform_Data[[#This Row],[Date]],"mmm yyyy")</f>
        <v>Nov 2024</v>
      </c>
      <c r="H2192" s="10">
        <f>HOUR(Transform_Data[[#This Row],[Time]])</f>
        <v>18</v>
      </c>
      <c r="I2192" s="10" t="str">
        <f>IF(COUNTIF('Transform Data'!$D:$D,'Transform Data'!D2192)&gt;1,"Repeat","Single")</f>
        <v>Single</v>
      </c>
      <c r="J2192" s="10" t="str">
        <f>IF('Transform Data'!D2192="Cash","Cash",IF(COUNTIF('Transform Data'!$D:$D,'Transform Data'!D2192)&gt;1,"Repeat","Single"))</f>
        <v>Single</v>
      </c>
      <c r="K2192" s="10" t="str">
        <f t="shared" si="34"/>
        <v>TRANS-2191</v>
      </c>
    </row>
    <row r="2193" spans="1:11" x14ac:dyDescent="0.35">
      <c r="A2193" s="5">
        <v>45599</v>
      </c>
      <c r="B2193" s="3">
        <v>0.34930555555555554</v>
      </c>
      <c r="C2193" t="s">
        <v>8</v>
      </c>
      <c r="D2193" t="s">
        <v>40</v>
      </c>
      <c r="E2193" s="4">
        <v>25.96</v>
      </c>
      <c r="F2193" t="s">
        <v>20</v>
      </c>
      <c r="G2193" s="10" t="str">
        <f>TEXT(Transform_Data[[#This Row],[Date]],"mmm yyyy")</f>
        <v>Nov 2024</v>
      </c>
      <c r="H2193" s="10">
        <f>HOUR(Transform_Data[[#This Row],[Time]])</f>
        <v>8</v>
      </c>
      <c r="I2193" s="10" t="str">
        <f>IF(COUNTIF('Transform Data'!$D:$D,'Transform Data'!D2193)&gt;1,"Repeat","Single")</f>
        <v>Repeat</v>
      </c>
      <c r="J2193" s="10" t="str">
        <f>IF('Transform Data'!D2193="Cash","Cash",IF(COUNTIF('Transform Data'!$D:$D,'Transform Data'!D2193)&gt;1,"Repeat","Single"))</f>
        <v>Repeat</v>
      </c>
      <c r="K2193" s="10" t="str">
        <f t="shared" si="34"/>
        <v>TRANS-2192</v>
      </c>
    </row>
    <row r="2194" spans="1:11" x14ac:dyDescent="0.35">
      <c r="A2194" s="5">
        <v>45599</v>
      </c>
      <c r="B2194" s="3">
        <v>0.40770833333333334</v>
      </c>
      <c r="C2194" t="s">
        <v>8</v>
      </c>
      <c r="D2194" t="s">
        <v>16</v>
      </c>
      <c r="E2194" s="4">
        <v>30.86</v>
      </c>
      <c r="F2194" t="s">
        <v>36</v>
      </c>
      <c r="G2194" s="10" t="str">
        <f>TEXT(Transform_Data[[#This Row],[Date]],"mmm yyyy")</f>
        <v>Nov 2024</v>
      </c>
      <c r="H2194" s="10">
        <f>HOUR(Transform_Data[[#This Row],[Time]])</f>
        <v>9</v>
      </c>
      <c r="I2194" s="10" t="str">
        <f>IF(COUNTIF('Transform Data'!$D:$D,'Transform Data'!D2194)&gt;1,"Repeat","Single")</f>
        <v>Repeat</v>
      </c>
      <c r="J2194" s="10" t="str">
        <f>IF('Transform Data'!D2194="Cash","Cash",IF(COUNTIF('Transform Data'!$D:$D,'Transform Data'!D2194)&gt;1,"Repeat","Single"))</f>
        <v>Repeat</v>
      </c>
      <c r="K2194" s="10" t="str">
        <f t="shared" si="34"/>
        <v>TRANS-2193</v>
      </c>
    </row>
    <row r="2195" spans="1:11" x14ac:dyDescent="0.35">
      <c r="A2195" s="5">
        <v>45599</v>
      </c>
      <c r="B2195" s="3">
        <v>0.40847222222222224</v>
      </c>
      <c r="C2195" t="s">
        <v>8</v>
      </c>
      <c r="D2195" t="s">
        <v>16</v>
      </c>
      <c r="E2195" s="4">
        <v>30.86</v>
      </c>
      <c r="F2195" t="s">
        <v>36</v>
      </c>
      <c r="G2195" s="10" t="str">
        <f>TEXT(Transform_Data[[#This Row],[Date]],"mmm yyyy")</f>
        <v>Nov 2024</v>
      </c>
      <c r="H2195" s="10">
        <f>HOUR(Transform_Data[[#This Row],[Time]])</f>
        <v>9</v>
      </c>
      <c r="I2195" s="10" t="str">
        <f>IF(COUNTIF('Transform Data'!$D:$D,'Transform Data'!D2195)&gt;1,"Repeat","Single")</f>
        <v>Repeat</v>
      </c>
      <c r="J2195" s="10" t="str">
        <f>IF('Transform Data'!D2195="Cash","Cash",IF(COUNTIF('Transform Data'!$D:$D,'Transform Data'!D2195)&gt;1,"Repeat","Single"))</f>
        <v>Repeat</v>
      </c>
      <c r="K2195" s="10" t="str">
        <f t="shared" si="34"/>
        <v>TRANS-2194</v>
      </c>
    </row>
    <row r="2196" spans="1:11" x14ac:dyDescent="0.35">
      <c r="A2196" s="5">
        <v>45599</v>
      </c>
      <c r="B2196" s="3">
        <v>0.55128472222222225</v>
      </c>
      <c r="C2196" t="s">
        <v>8</v>
      </c>
      <c r="D2196" t="s">
        <v>901</v>
      </c>
      <c r="E2196" s="4">
        <v>35.76</v>
      </c>
      <c r="F2196" t="s">
        <v>32</v>
      </c>
      <c r="G2196" s="10" t="str">
        <f>TEXT(Transform_Data[[#This Row],[Date]],"mmm yyyy")</f>
        <v>Nov 2024</v>
      </c>
      <c r="H2196" s="10">
        <f>HOUR(Transform_Data[[#This Row],[Time]])</f>
        <v>13</v>
      </c>
      <c r="I2196" s="10" t="str">
        <f>IF(COUNTIF('Transform Data'!$D:$D,'Transform Data'!D2196)&gt;1,"Repeat","Single")</f>
        <v>Repeat</v>
      </c>
      <c r="J2196" s="10" t="str">
        <f>IF('Transform Data'!D2196="Cash","Cash",IF(COUNTIF('Transform Data'!$D:$D,'Transform Data'!D2196)&gt;1,"Repeat","Single"))</f>
        <v>Repeat</v>
      </c>
      <c r="K2196" s="10" t="str">
        <f t="shared" si="34"/>
        <v>TRANS-2195</v>
      </c>
    </row>
    <row r="2197" spans="1:11" x14ac:dyDescent="0.35">
      <c r="A2197" s="5">
        <v>45599</v>
      </c>
      <c r="B2197" s="3">
        <v>0.55203703703703699</v>
      </c>
      <c r="C2197" t="s">
        <v>8</v>
      </c>
      <c r="D2197" t="s">
        <v>901</v>
      </c>
      <c r="E2197" s="4">
        <v>30.86</v>
      </c>
      <c r="F2197" t="s">
        <v>36</v>
      </c>
      <c r="G2197" s="10" t="str">
        <f>TEXT(Transform_Data[[#This Row],[Date]],"mmm yyyy")</f>
        <v>Nov 2024</v>
      </c>
      <c r="H2197" s="10">
        <f>HOUR(Transform_Data[[#This Row],[Time]])</f>
        <v>13</v>
      </c>
      <c r="I2197" s="10" t="str">
        <f>IF(COUNTIF('Transform Data'!$D:$D,'Transform Data'!D2197)&gt;1,"Repeat","Single")</f>
        <v>Repeat</v>
      </c>
      <c r="J2197" s="10" t="str">
        <f>IF('Transform Data'!D2197="Cash","Cash",IF(COUNTIF('Transform Data'!$D:$D,'Transform Data'!D2197)&gt;1,"Repeat","Single"))</f>
        <v>Repeat</v>
      </c>
      <c r="K2197" s="10" t="str">
        <f t="shared" si="34"/>
        <v>TRANS-2196</v>
      </c>
    </row>
    <row r="2198" spans="1:11" x14ac:dyDescent="0.35">
      <c r="A2198" s="5">
        <v>45599</v>
      </c>
      <c r="B2198" s="3">
        <v>0.55444444444444441</v>
      </c>
      <c r="C2198" t="s">
        <v>8</v>
      </c>
      <c r="D2198" t="s">
        <v>282</v>
      </c>
      <c r="E2198" s="4">
        <v>35.76</v>
      </c>
      <c r="F2198" t="s">
        <v>10</v>
      </c>
      <c r="G2198" s="10" t="str">
        <f>TEXT(Transform_Data[[#This Row],[Date]],"mmm yyyy")</f>
        <v>Nov 2024</v>
      </c>
      <c r="H2198" s="10">
        <f>HOUR(Transform_Data[[#This Row],[Time]])</f>
        <v>13</v>
      </c>
      <c r="I2198" s="10" t="str">
        <f>IF(COUNTIF('Transform Data'!$D:$D,'Transform Data'!D2198)&gt;1,"Repeat","Single")</f>
        <v>Repeat</v>
      </c>
      <c r="J2198" s="10" t="str">
        <f>IF('Transform Data'!D2198="Cash","Cash",IF(COUNTIF('Transform Data'!$D:$D,'Transform Data'!D2198)&gt;1,"Repeat","Single"))</f>
        <v>Repeat</v>
      </c>
      <c r="K2198" s="10" t="str">
        <f t="shared" si="34"/>
        <v>TRANS-2197</v>
      </c>
    </row>
    <row r="2199" spans="1:11" x14ac:dyDescent="0.35">
      <c r="A2199" s="5">
        <v>45599</v>
      </c>
      <c r="B2199" s="3">
        <v>0.57243055555555555</v>
      </c>
      <c r="C2199" t="s">
        <v>8</v>
      </c>
      <c r="D2199" t="s">
        <v>902</v>
      </c>
      <c r="E2199" s="4">
        <v>25.96</v>
      </c>
      <c r="F2199" t="s">
        <v>28</v>
      </c>
      <c r="G2199" s="10" t="str">
        <f>TEXT(Transform_Data[[#This Row],[Date]],"mmm yyyy")</f>
        <v>Nov 2024</v>
      </c>
      <c r="H2199" s="10">
        <f>HOUR(Transform_Data[[#This Row],[Time]])</f>
        <v>13</v>
      </c>
      <c r="I2199" s="10" t="str">
        <f>IF(COUNTIF('Transform Data'!$D:$D,'Transform Data'!D2199)&gt;1,"Repeat","Single")</f>
        <v>Single</v>
      </c>
      <c r="J2199" s="10" t="str">
        <f>IF('Transform Data'!D2199="Cash","Cash",IF(COUNTIF('Transform Data'!$D:$D,'Transform Data'!D2199)&gt;1,"Repeat","Single"))</f>
        <v>Single</v>
      </c>
      <c r="K2199" s="10" t="str">
        <f t="shared" si="34"/>
        <v>TRANS-2198</v>
      </c>
    </row>
    <row r="2200" spans="1:11" x14ac:dyDescent="0.35">
      <c r="A2200" s="5">
        <v>45599</v>
      </c>
      <c r="B2200" s="3">
        <v>0.58265046296296297</v>
      </c>
      <c r="C2200" t="s">
        <v>8</v>
      </c>
      <c r="D2200" t="s">
        <v>903</v>
      </c>
      <c r="E2200" s="4">
        <v>30.86</v>
      </c>
      <c r="F2200" t="s">
        <v>36</v>
      </c>
      <c r="G2200" s="10" t="str">
        <f>TEXT(Transform_Data[[#This Row],[Date]],"mmm yyyy")</f>
        <v>Nov 2024</v>
      </c>
      <c r="H2200" s="10">
        <f>HOUR(Transform_Data[[#This Row],[Time]])</f>
        <v>13</v>
      </c>
      <c r="I2200" s="10" t="str">
        <f>IF(COUNTIF('Transform Data'!$D:$D,'Transform Data'!D2200)&gt;1,"Repeat","Single")</f>
        <v>Repeat</v>
      </c>
      <c r="J2200" s="10" t="str">
        <f>IF('Transform Data'!D2200="Cash","Cash",IF(COUNTIF('Transform Data'!$D:$D,'Transform Data'!D2200)&gt;1,"Repeat","Single"))</f>
        <v>Repeat</v>
      </c>
      <c r="K2200" s="10" t="str">
        <f t="shared" si="34"/>
        <v>TRANS-2199</v>
      </c>
    </row>
    <row r="2201" spans="1:11" x14ac:dyDescent="0.35">
      <c r="A2201" s="5">
        <v>45599</v>
      </c>
      <c r="B2201" s="3">
        <v>0.67728009259259259</v>
      </c>
      <c r="C2201" t="s">
        <v>8</v>
      </c>
      <c r="D2201" t="s">
        <v>674</v>
      </c>
      <c r="E2201" s="4">
        <v>35.76</v>
      </c>
      <c r="F2201" t="s">
        <v>15</v>
      </c>
      <c r="G2201" s="10" t="str">
        <f>TEXT(Transform_Data[[#This Row],[Date]],"mmm yyyy")</f>
        <v>Nov 2024</v>
      </c>
      <c r="H2201" s="10">
        <f>HOUR(Transform_Data[[#This Row],[Time]])</f>
        <v>16</v>
      </c>
      <c r="I2201" s="10" t="str">
        <f>IF(COUNTIF('Transform Data'!$D:$D,'Transform Data'!D2201)&gt;1,"Repeat","Single")</f>
        <v>Repeat</v>
      </c>
      <c r="J2201" s="10" t="str">
        <f>IF('Transform Data'!D2201="Cash","Cash",IF(COUNTIF('Transform Data'!$D:$D,'Transform Data'!D2201)&gt;1,"Repeat","Single"))</f>
        <v>Repeat</v>
      </c>
      <c r="K2201" s="10" t="str">
        <f t="shared" si="34"/>
        <v>TRANS-2200</v>
      </c>
    </row>
    <row r="2202" spans="1:11" x14ac:dyDescent="0.35">
      <c r="A2202" s="5">
        <v>45599</v>
      </c>
      <c r="B2202" s="3">
        <v>0.67827546296296293</v>
      </c>
      <c r="C2202" t="s">
        <v>8</v>
      </c>
      <c r="D2202" t="s">
        <v>674</v>
      </c>
      <c r="E2202" s="4">
        <v>35.76</v>
      </c>
      <c r="F2202" t="s">
        <v>15</v>
      </c>
      <c r="G2202" s="10" t="str">
        <f>TEXT(Transform_Data[[#This Row],[Date]],"mmm yyyy")</f>
        <v>Nov 2024</v>
      </c>
      <c r="H2202" s="10">
        <f>HOUR(Transform_Data[[#This Row],[Time]])</f>
        <v>16</v>
      </c>
      <c r="I2202" s="10" t="str">
        <f>IF(COUNTIF('Transform Data'!$D:$D,'Transform Data'!D2202)&gt;1,"Repeat","Single")</f>
        <v>Repeat</v>
      </c>
      <c r="J2202" s="10" t="str">
        <f>IF('Transform Data'!D2202="Cash","Cash",IF(COUNTIF('Transform Data'!$D:$D,'Transform Data'!D2202)&gt;1,"Repeat","Single"))</f>
        <v>Repeat</v>
      </c>
      <c r="K2202" s="10" t="str">
        <f t="shared" si="34"/>
        <v>TRANS-2201</v>
      </c>
    </row>
    <row r="2203" spans="1:11" x14ac:dyDescent="0.35">
      <c r="A2203" s="5">
        <v>45599</v>
      </c>
      <c r="B2203" s="3">
        <v>0.68098379629629635</v>
      </c>
      <c r="C2203" t="s">
        <v>8</v>
      </c>
      <c r="D2203" t="s">
        <v>904</v>
      </c>
      <c r="E2203" s="4">
        <v>25.96</v>
      </c>
      <c r="F2203" t="s">
        <v>28</v>
      </c>
      <c r="G2203" s="10" t="str">
        <f>TEXT(Transform_Data[[#This Row],[Date]],"mmm yyyy")</f>
        <v>Nov 2024</v>
      </c>
      <c r="H2203" s="10">
        <f>HOUR(Transform_Data[[#This Row],[Time]])</f>
        <v>16</v>
      </c>
      <c r="I2203" s="10" t="str">
        <f>IF(COUNTIF('Transform Data'!$D:$D,'Transform Data'!D2203)&gt;1,"Repeat","Single")</f>
        <v>Repeat</v>
      </c>
      <c r="J2203" s="10" t="str">
        <f>IF('Transform Data'!D2203="Cash","Cash",IF(COUNTIF('Transform Data'!$D:$D,'Transform Data'!D2203)&gt;1,"Repeat","Single"))</f>
        <v>Repeat</v>
      </c>
      <c r="K2203" s="10" t="str">
        <f t="shared" si="34"/>
        <v>TRANS-2202</v>
      </c>
    </row>
    <row r="2204" spans="1:11" x14ac:dyDescent="0.35">
      <c r="A2204" s="5">
        <v>45599</v>
      </c>
      <c r="B2204" s="3">
        <v>0.68178240740740736</v>
      </c>
      <c r="C2204" t="s">
        <v>8</v>
      </c>
      <c r="D2204" t="s">
        <v>904</v>
      </c>
      <c r="E2204" s="4">
        <v>25.96</v>
      </c>
      <c r="F2204" t="s">
        <v>28</v>
      </c>
      <c r="G2204" s="10" t="str">
        <f>TEXT(Transform_Data[[#This Row],[Date]],"mmm yyyy")</f>
        <v>Nov 2024</v>
      </c>
      <c r="H2204" s="10">
        <f>HOUR(Transform_Data[[#This Row],[Time]])</f>
        <v>16</v>
      </c>
      <c r="I2204" s="10" t="str">
        <f>IF(COUNTIF('Transform Data'!$D:$D,'Transform Data'!D2204)&gt;1,"Repeat","Single")</f>
        <v>Repeat</v>
      </c>
      <c r="J2204" s="10" t="str">
        <f>IF('Transform Data'!D2204="Cash","Cash",IF(COUNTIF('Transform Data'!$D:$D,'Transform Data'!D2204)&gt;1,"Repeat","Single"))</f>
        <v>Repeat</v>
      </c>
      <c r="K2204" s="10" t="str">
        <f t="shared" si="34"/>
        <v>TRANS-2203</v>
      </c>
    </row>
    <row r="2205" spans="1:11" x14ac:dyDescent="0.35">
      <c r="A2205" s="5">
        <v>45599</v>
      </c>
      <c r="B2205" s="3">
        <v>0.85155092592592596</v>
      </c>
      <c r="C2205" t="s">
        <v>8</v>
      </c>
      <c r="D2205" t="s">
        <v>279</v>
      </c>
      <c r="E2205" s="4">
        <v>35.76</v>
      </c>
      <c r="F2205" t="s">
        <v>10</v>
      </c>
      <c r="G2205" s="10" t="str">
        <f>TEXT(Transform_Data[[#This Row],[Date]],"mmm yyyy")</f>
        <v>Nov 2024</v>
      </c>
      <c r="H2205" s="10">
        <f>HOUR(Transform_Data[[#This Row],[Time]])</f>
        <v>20</v>
      </c>
      <c r="I2205" s="10" t="str">
        <f>IF(COUNTIF('Transform Data'!$D:$D,'Transform Data'!D2205)&gt;1,"Repeat","Single")</f>
        <v>Repeat</v>
      </c>
      <c r="J2205" s="10" t="str">
        <f>IF('Transform Data'!D2205="Cash","Cash",IF(COUNTIF('Transform Data'!$D:$D,'Transform Data'!D2205)&gt;1,"Repeat","Single"))</f>
        <v>Repeat</v>
      </c>
      <c r="K2205" s="10" t="str">
        <f t="shared" si="34"/>
        <v>TRANS-2204</v>
      </c>
    </row>
    <row r="2206" spans="1:11" x14ac:dyDescent="0.35">
      <c r="A2206" s="5">
        <v>45600</v>
      </c>
      <c r="B2206" s="3">
        <v>0.32194444444444442</v>
      </c>
      <c r="C2206" t="s">
        <v>8</v>
      </c>
      <c r="D2206" t="s">
        <v>748</v>
      </c>
      <c r="E2206" s="4">
        <v>35.76</v>
      </c>
      <c r="F2206" t="s">
        <v>32</v>
      </c>
      <c r="G2206" s="10" t="str">
        <f>TEXT(Transform_Data[[#This Row],[Date]],"mmm yyyy")</f>
        <v>Nov 2024</v>
      </c>
      <c r="H2206" s="10">
        <f>HOUR(Transform_Data[[#This Row],[Time]])</f>
        <v>7</v>
      </c>
      <c r="I2206" s="10" t="str">
        <f>IF(COUNTIF('Transform Data'!$D:$D,'Transform Data'!D2206)&gt;1,"Repeat","Single")</f>
        <v>Repeat</v>
      </c>
      <c r="J2206" s="10" t="str">
        <f>IF('Transform Data'!D2206="Cash","Cash",IF(COUNTIF('Transform Data'!$D:$D,'Transform Data'!D2206)&gt;1,"Repeat","Single"))</f>
        <v>Repeat</v>
      </c>
      <c r="K2206" s="10" t="str">
        <f t="shared" si="34"/>
        <v>TRANS-2205</v>
      </c>
    </row>
    <row r="2207" spans="1:11" x14ac:dyDescent="0.35">
      <c r="A2207" s="5">
        <v>45600</v>
      </c>
      <c r="B2207" s="3">
        <v>0.35940972222222223</v>
      </c>
      <c r="C2207" t="s">
        <v>8</v>
      </c>
      <c r="D2207" t="s">
        <v>29</v>
      </c>
      <c r="E2207" s="4">
        <v>35.76</v>
      </c>
      <c r="F2207" t="s">
        <v>32</v>
      </c>
      <c r="G2207" s="10" t="str">
        <f>TEXT(Transform_Data[[#This Row],[Date]],"mmm yyyy")</f>
        <v>Nov 2024</v>
      </c>
      <c r="H2207" s="10">
        <f>HOUR(Transform_Data[[#This Row],[Time]])</f>
        <v>8</v>
      </c>
      <c r="I2207" s="10" t="str">
        <f>IF(COUNTIF('Transform Data'!$D:$D,'Transform Data'!D2207)&gt;1,"Repeat","Single")</f>
        <v>Repeat</v>
      </c>
      <c r="J2207" s="10" t="str">
        <f>IF('Transform Data'!D2207="Cash","Cash",IF(COUNTIF('Transform Data'!$D:$D,'Transform Data'!D2207)&gt;1,"Repeat","Single"))</f>
        <v>Repeat</v>
      </c>
      <c r="K2207" s="10" t="str">
        <f t="shared" si="34"/>
        <v>TRANS-2206</v>
      </c>
    </row>
    <row r="2208" spans="1:11" x14ac:dyDescent="0.35">
      <c r="A2208" s="5">
        <v>45600</v>
      </c>
      <c r="B2208" s="3">
        <v>0.36039351851851853</v>
      </c>
      <c r="C2208" t="s">
        <v>8</v>
      </c>
      <c r="D2208" t="s">
        <v>29</v>
      </c>
      <c r="E2208" s="4">
        <v>30.86</v>
      </c>
      <c r="F2208" t="s">
        <v>36</v>
      </c>
      <c r="G2208" s="10" t="str">
        <f>TEXT(Transform_Data[[#This Row],[Date]],"mmm yyyy")</f>
        <v>Nov 2024</v>
      </c>
      <c r="H2208" s="10">
        <f>HOUR(Transform_Data[[#This Row],[Time]])</f>
        <v>8</v>
      </c>
      <c r="I2208" s="10" t="str">
        <f>IF(COUNTIF('Transform Data'!$D:$D,'Transform Data'!D2208)&gt;1,"Repeat","Single")</f>
        <v>Repeat</v>
      </c>
      <c r="J2208" s="10" t="str">
        <f>IF('Transform Data'!D2208="Cash","Cash",IF(COUNTIF('Transform Data'!$D:$D,'Transform Data'!D2208)&gt;1,"Repeat","Single"))</f>
        <v>Repeat</v>
      </c>
      <c r="K2208" s="10" t="str">
        <f t="shared" si="34"/>
        <v>TRANS-2207</v>
      </c>
    </row>
    <row r="2209" spans="1:11" x14ac:dyDescent="0.35">
      <c r="A2209" s="5">
        <v>45600</v>
      </c>
      <c r="B2209" s="3">
        <v>0.52332175925925928</v>
      </c>
      <c r="C2209" t="s">
        <v>8</v>
      </c>
      <c r="D2209" t="s">
        <v>905</v>
      </c>
      <c r="E2209" s="4">
        <v>25.96</v>
      </c>
      <c r="F2209" t="s">
        <v>28</v>
      </c>
      <c r="G2209" s="10" t="str">
        <f>TEXT(Transform_Data[[#This Row],[Date]],"mmm yyyy")</f>
        <v>Nov 2024</v>
      </c>
      <c r="H2209" s="10">
        <f>HOUR(Transform_Data[[#This Row],[Time]])</f>
        <v>12</v>
      </c>
      <c r="I2209" s="10" t="str">
        <f>IF(COUNTIF('Transform Data'!$D:$D,'Transform Data'!D2209)&gt;1,"Repeat","Single")</f>
        <v>Single</v>
      </c>
      <c r="J2209" s="10" t="str">
        <f>IF('Transform Data'!D2209="Cash","Cash",IF(COUNTIF('Transform Data'!$D:$D,'Transform Data'!D2209)&gt;1,"Repeat","Single"))</f>
        <v>Single</v>
      </c>
      <c r="K2209" s="10" t="str">
        <f t="shared" si="34"/>
        <v>TRANS-2208</v>
      </c>
    </row>
    <row r="2210" spans="1:11" x14ac:dyDescent="0.35">
      <c r="A2210" s="5">
        <v>45600</v>
      </c>
      <c r="B2210" s="3">
        <v>0.52437500000000004</v>
      </c>
      <c r="C2210" t="s">
        <v>8</v>
      </c>
      <c r="D2210" t="s">
        <v>906</v>
      </c>
      <c r="E2210" s="4">
        <v>30.86</v>
      </c>
      <c r="F2210" t="s">
        <v>36</v>
      </c>
      <c r="G2210" s="10" t="str">
        <f>TEXT(Transform_Data[[#This Row],[Date]],"mmm yyyy")</f>
        <v>Nov 2024</v>
      </c>
      <c r="H2210" s="10">
        <f>HOUR(Transform_Data[[#This Row],[Time]])</f>
        <v>12</v>
      </c>
      <c r="I2210" s="10" t="str">
        <f>IF(COUNTIF('Transform Data'!$D:$D,'Transform Data'!D2210)&gt;1,"Repeat","Single")</f>
        <v>Single</v>
      </c>
      <c r="J2210" s="10" t="str">
        <f>IF('Transform Data'!D2210="Cash","Cash",IF(COUNTIF('Transform Data'!$D:$D,'Transform Data'!D2210)&gt;1,"Repeat","Single"))</f>
        <v>Single</v>
      </c>
      <c r="K2210" s="10" t="str">
        <f t="shared" si="34"/>
        <v>TRANS-2209</v>
      </c>
    </row>
    <row r="2211" spans="1:11" x14ac:dyDescent="0.35">
      <c r="A2211" s="5">
        <v>45600</v>
      </c>
      <c r="B2211" s="3">
        <v>0.61432870370370374</v>
      </c>
      <c r="C2211" t="s">
        <v>8</v>
      </c>
      <c r="D2211" t="s">
        <v>43</v>
      </c>
      <c r="E2211" s="4">
        <v>35.76</v>
      </c>
      <c r="F2211" t="s">
        <v>10</v>
      </c>
      <c r="G2211" s="10" t="str">
        <f>TEXT(Transform_Data[[#This Row],[Date]],"mmm yyyy")</f>
        <v>Nov 2024</v>
      </c>
      <c r="H2211" s="10">
        <f>HOUR(Transform_Data[[#This Row],[Time]])</f>
        <v>14</v>
      </c>
      <c r="I2211" s="10" t="str">
        <f>IF(COUNTIF('Transform Data'!$D:$D,'Transform Data'!D2211)&gt;1,"Repeat","Single")</f>
        <v>Repeat</v>
      </c>
      <c r="J2211" s="10" t="str">
        <f>IF('Transform Data'!D2211="Cash","Cash",IF(COUNTIF('Transform Data'!$D:$D,'Transform Data'!D2211)&gt;1,"Repeat","Single"))</f>
        <v>Repeat</v>
      </c>
      <c r="K2211" s="10" t="str">
        <f t="shared" si="34"/>
        <v>TRANS-2210</v>
      </c>
    </row>
    <row r="2212" spans="1:11" x14ac:dyDescent="0.35">
      <c r="A2212" s="5">
        <v>45600</v>
      </c>
      <c r="B2212" s="3">
        <v>0.61481481481481481</v>
      </c>
      <c r="C2212" t="s">
        <v>8</v>
      </c>
      <c r="D2212" t="s">
        <v>43</v>
      </c>
      <c r="E2212" s="4">
        <v>35.76</v>
      </c>
      <c r="F2212" t="s">
        <v>10</v>
      </c>
      <c r="G2212" s="10" t="str">
        <f>TEXT(Transform_Data[[#This Row],[Date]],"mmm yyyy")</f>
        <v>Nov 2024</v>
      </c>
      <c r="H2212" s="10">
        <f>HOUR(Transform_Data[[#This Row],[Time]])</f>
        <v>14</v>
      </c>
      <c r="I2212" s="10" t="str">
        <f>IF(COUNTIF('Transform Data'!$D:$D,'Transform Data'!D2212)&gt;1,"Repeat","Single")</f>
        <v>Repeat</v>
      </c>
      <c r="J2212" s="10" t="str">
        <f>IF('Transform Data'!D2212="Cash","Cash",IF(COUNTIF('Transform Data'!$D:$D,'Transform Data'!D2212)&gt;1,"Repeat","Single"))</f>
        <v>Repeat</v>
      </c>
      <c r="K2212" s="10" t="str">
        <f t="shared" si="34"/>
        <v>TRANS-2211</v>
      </c>
    </row>
    <row r="2213" spans="1:11" x14ac:dyDescent="0.35">
      <c r="A2213" s="5">
        <v>45601</v>
      </c>
      <c r="B2213" s="3">
        <v>0.32605324074074077</v>
      </c>
      <c r="C2213" t="s">
        <v>8</v>
      </c>
      <c r="D2213" t="s">
        <v>748</v>
      </c>
      <c r="E2213" s="4">
        <v>35.76</v>
      </c>
      <c r="F2213" t="s">
        <v>10</v>
      </c>
      <c r="G2213" s="10" t="str">
        <f>TEXT(Transform_Data[[#This Row],[Date]],"mmm yyyy")</f>
        <v>Nov 2024</v>
      </c>
      <c r="H2213" s="10">
        <f>HOUR(Transform_Data[[#This Row],[Time]])</f>
        <v>7</v>
      </c>
      <c r="I2213" s="10" t="str">
        <f>IF(COUNTIF('Transform Data'!$D:$D,'Transform Data'!D2213)&gt;1,"Repeat","Single")</f>
        <v>Repeat</v>
      </c>
      <c r="J2213" s="10" t="str">
        <f>IF('Transform Data'!D2213="Cash","Cash",IF(COUNTIF('Transform Data'!$D:$D,'Transform Data'!D2213)&gt;1,"Repeat","Single"))</f>
        <v>Repeat</v>
      </c>
      <c r="K2213" s="10" t="str">
        <f t="shared" si="34"/>
        <v>TRANS-2212</v>
      </c>
    </row>
    <row r="2214" spans="1:11" x14ac:dyDescent="0.35">
      <c r="A2214" s="5">
        <v>45601</v>
      </c>
      <c r="B2214" s="3">
        <v>0.37894675925925925</v>
      </c>
      <c r="C2214" t="s">
        <v>8</v>
      </c>
      <c r="D2214" t="s">
        <v>29</v>
      </c>
      <c r="E2214" s="4">
        <v>30.86</v>
      </c>
      <c r="F2214" t="s">
        <v>36</v>
      </c>
      <c r="G2214" s="10" t="str">
        <f>TEXT(Transform_Data[[#This Row],[Date]],"mmm yyyy")</f>
        <v>Nov 2024</v>
      </c>
      <c r="H2214" s="10">
        <f>HOUR(Transform_Data[[#This Row],[Time]])</f>
        <v>9</v>
      </c>
      <c r="I2214" s="10" t="str">
        <f>IF(COUNTIF('Transform Data'!$D:$D,'Transform Data'!D2214)&gt;1,"Repeat","Single")</f>
        <v>Repeat</v>
      </c>
      <c r="J2214" s="10" t="str">
        <f>IF('Transform Data'!D2214="Cash","Cash",IF(COUNTIF('Transform Data'!$D:$D,'Transform Data'!D2214)&gt;1,"Repeat","Single"))</f>
        <v>Repeat</v>
      </c>
      <c r="K2214" s="10" t="str">
        <f t="shared" si="34"/>
        <v>TRANS-2213</v>
      </c>
    </row>
    <row r="2215" spans="1:11" x14ac:dyDescent="0.35">
      <c r="A2215" s="5">
        <v>45601</v>
      </c>
      <c r="B2215" s="3">
        <v>0.38347222222222221</v>
      </c>
      <c r="C2215" t="s">
        <v>8</v>
      </c>
      <c r="D2215" t="s">
        <v>783</v>
      </c>
      <c r="E2215" s="4">
        <v>35.76</v>
      </c>
      <c r="F2215" t="s">
        <v>24</v>
      </c>
      <c r="G2215" s="10" t="str">
        <f>TEXT(Transform_Data[[#This Row],[Date]],"mmm yyyy")</f>
        <v>Nov 2024</v>
      </c>
      <c r="H2215" s="10">
        <f>HOUR(Transform_Data[[#This Row],[Time]])</f>
        <v>9</v>
      </c>
      <c r="I2215" s="10" t="str">
        <f>IF(COUNTIF('Transform Data'!$D:$D,'Transform Data'!D2215)&gt;1,"Repeat","Single")</f>
        <v>Repeat</v>
      </c>
      <c r="J2215" s="10" t="str">
        <f>IF('Transform Data'!D2215="Cash","Cash",IF(COUNTIF('Transform Data'!$D:$D,'Transform Data'!D2215)&gt;1,"Repeat","Single"))</f>
        <v>Repeat</v>
      </c>
      <c r="K2215" s="10" t="str">
        <f t="shared" si="34"/>
        <v>TRANS-2214</v>
      </c>
    </row>
    <row r="2216" spans="1:11" x14ac:dyDescent="0.35">
      <c r="A2216" s="5">
        <v>45601</v>
      </c>
      <c r="B2216" s="3">
        <v>0.38449074074074074</v>
      </c>
      <c r="C2216" t="s">
        <v>8</v>
      </c>
      <c r="D2216" t="s">
        <v>783</v>
      </c>
      <c r="E2216" s="4">
        <v>30.86</v>
      </c>
      <c r="F2216" t="s">
        <v>36</v>
      </c>
      <c r="G2216" s="10" t="str">
        <f>TEXT(Transform_Data[[#This Row],[Date]],"mmm yyyy")</f>
        <v>Nov 2024</v>
      </c>
      <c r="H2216" s="10">
        <f>HOUR(Transform_Data[[#This Row],[Time]])</f>
        <v>9</v>
      </c>
      <c r="I2216" s="10" t="str">
        <f>IF(COUNTIF('Transform Data'!$D:$D,'Transform Data'!D2216)&gt;1,"Repeat","Single")</f>
        <v>Repeat</v>
      </c>
      <c r="J2216" s="10" t="str">
        <f>IF('Transform Data'!D2216="Cash","Cash",IF(COUNTIF('Transform Data'!$D:$D,'Transform Data'!D2216)&gt;1,"Repeat","Single"))</f>
        <v>Repeat</v>
      </c>
      <c r="K2216" s="10" t="str">
        <f t="shared" si="34"/>
        <v>TRANS-2215</v>
      </c>
    </row>
    <row r="2217" spans="1:11" x14ac:dyDescent="0.35">
      <c r="A2217" s="5">
        <v>45601</v>
      </c>
      <c r="B2217" s="3">
        <v>0.44564814814814813</v>
      </c>
      <c r="C2217" t="s">
        <v>8</v>
      </c>
      <c r="D2217" t="s">
        <v>43</v>
      </c>
      <c r="E2217" s="4">
        <v>30.86</v>
      </c>
      <c r="F2217" t="s">
        <v>36</v>
      </c>
      <c r="G2217" s="10" t="str">
        <f>TEXT(Transform_Data[[#This Row],[Date]],"mmm yyyy")</f>
        <v>Nov 2024</v>
      </c>
      <c r="H2217" s="10">
        <f>HOUR(Transform_Data[[#This Row],[Time]])</f>
        <v>10</v>
      </c>
      <c r="I2217" s="10" t="str">
        <f>IF(COUNTIF('Transform Data'!$D:$D,'Transform Data'!D2217)&gt;1,"Repeat","Single")</f>
        <v>Repeat</v>
      </c>
      <c r="J2217" s="10" t="str">
        <f>IF('Transform Data'!D2217="Cash","Cash",IF(COUNTIF('Transform Data'!$D:$D,'Transform Data'!D2217)&gt;1,"Repeat","Single"))</f>
        <v>Repeat</v>
      </c>
      <c r="K2217" s="10" t="str">
        <f t="shared" si="34"/>
        <v>TRANS-2216</v>
      </c>
    </row>
    <row r="2218" spans="1:11" x14ac:dyDescent="0.35">
      <c r="A2218" s="5">
        <v>45601</v>
      </c>
      <c r="B2218" s="3">
        <v>0.49130787037037038</v>
      </c>
      <c r="C2218" t="s">
        <v>8</v>
      </c>
      <c r="D2218" t="s">
        <v>907</v>
      </c>
      <c r="E2218" s="4">
        <v>35.76</v>
      </c>
      <c r="F2218" t="s">
        <v>10</v>
      </c>
      <c r="G2218" s="10" t="str">
        <f>TEXT(Transform_Data[[#This Row],[Date]],"mmm yyyy")</f>
        <v>Nov 2024</v>
      </c>
      <c r="H2218" s="10">
        <f>HOUR(Transform_Data[[#This Row],[Time]])</f>
        <v>11</v>
      </c>
      <c r="I2218" s="10" t="str">
        <f>IF(COUNTIF('Transform Data'!$D:$D,'Transform Data'!D2218)&gt;1,"Repeat","Single")</f>
        <v>Single</v>
      </c>
      <c r="J2218" s="10" t="str">
        <f>IF('Transform Data'!D2218="Cash","Cash",IF(COUNTIF('Transform Data'!$D:$D,'Transform Data'!D2218)&gt;1,"Repeat","Single"))</f>
        <v>Single</v>
      </c>
      <c r="K2218" s="10" t="str">
        <f t="shared" si="34"/>
        <v>TRANS-2217</v>
      </c>
    </row>
    <row r="2219" spans="1:11" x14ac:dyDescent="0.35">
      <c r="A2219" s="5">
        <v>45601</v>
      </c>
      <c r="B2219" s="3">
        <v>0.49192129629629627</v>
      </c>
      <c r="C2219" t="s">
        <v>8</v>
      </c>
      <c r="D2219" t="s">
        <v>908</v>
      </c>
      <c r="E2219" s="4">
        <v>35.76</v>
      </c>
      <c r="F2219" t="s">
        <v>32</v>
      </c>
      <c r="G2219" s="10" t="str">
        <f>TEXT(Transform_Data[[#This Row],[Date]],"mmm yyyy")</f>
        <v>Nov 2024</v>
      </c>
      <c r="H2219" s="10">
        <f>HOUR(Transform_Data[[#This Row],[Time]])</f>
        <v>11</v>
      </c>
      <c r="I2219" s="10" t="str">
        <f>IF(COUNTIF('Transform Data'!$D:$D,'Transform Data'!D2219)&gt;1,"Repeat","Single")</f>
        <v>Single</v>
      </c>
      <c r="J2219" s="10" t="str">
        <f>IF('Transform Data'!D2219="Cash","Cash",IF(COUNTIF('Transform Data'!$D:$D,'Transform Data'!D2219)&gt;1,"Repeat","Single"))</f>
        <v>Single</v>
      </c>
      <c r="K2219" s="10" t="str">
        <f t="shared" si="34"/>
        <v>TRANS-2218</v>
      </c>
    </row>
    <row r="2220" spans="1:11" x14ac:dyDescent="0.35">
      <c r="A2220" s="5">
        <v>45601</v>
      </c>
      <c r="B2220" s="3">
        <v>0.60876157407407405</v>
      </c>
      <c r="C2220" t="s">
        <v>8</v>
      </c>
      <c r="D2220" t="s">
        <v>909</v>
      </c>
      <c r="E2220" s="4">
        <v>35.76</v>
      </c>
      <c r="F2220" t="s">
        <v>32</v>
      </c>
      <c r="G2220" s="10" t="str">
        <f>TEXT(Transform_Data[[#This Row],[Date]],"mmm yyyy")</f>
        <v>Nov 2024</v>
      </c>
      <c r="H2220" s="10">
        <f>HOUR(Transform_Data[[#This Row],[Time]])</f>
        <v>14</v>
      </c>
      <c r="I2220" s="10" t="str">
        <f>IF(COUNTIF('Transform Data'!$D:$D,'Transform Data'!D2220)&gt;1,"Repeat","Single")</f>
        <v>Single</v>
      </c>
      <c r="J2220" s="10" t="str">
        <f>IF('Transform Data'!D2220="Cash","Cash",IF(COUNTIF('Transform Data'!$D:$D,'Transform Data'!D2220)&gt;1,"Repeat","Single"))</f>
        <v>Single</v>
      </c>
      <c r="K2220" s="10" t="str">
        <f t="shared" si="34"/>
        <v>TRANS-2219</v>
      </c>
    </row>
    <row r="2221" spans="1:11" x14ac:dyDescent="0.35">
      <c r="A2221" s="5">
        <v>45601</v>
      </c>
      <c r="B2221" s="3">
        <v>0.61236111111111113</v>
      </c>
      <c r="C2221" t="s">
        <v>8</v>
      </c>
      <c r="D2221" t="s">
        <v>910</v>
      </c>
      <c r="E2221" s="4">
        <v>35.76</v>
      </c>
      <c r="F2221" t="s">
        <v>32</v>
      </c>
      <c r="G2221" s="10" t="str">
        <f>TEXT(Transform_Data[[#This Row],[Date]],"mmm yyyy")</f>
        <v>Nov 2024</v>
      </c>
      <c r="H2221" s="10">
        <f>HOUR(Transform_Data[[#This Row],[Time]])</f>
        <v>14</v>
      </c>
      <c r="I2221" s="10" t="str">
        <f>IF(COUNTIF('Transform Data'!$D:$D,'Transform Data'!D2221)&gt;1,"Repeat","Single")</f>
        <v>Single</v>
      </c>
      <c r="J2221" s="10" t="str">
        <f>IF('Transform Data'!D2221="Cash","Cash",IF(COUNTIF('Transform Data'!$D:$D,'Transform Data'!D2221)&gt;1,"Repeat","Single"))</f>
        <v>Single</v>
      </c>
      <c r="K2221" s="10" t="str">
        <f t="shared" si="34"/>
        <v>TRANS-2220</v>
      </c>
    </row>
    <row r="2222" spans="1:11" x14ac:dyDescent="0.35">
      <c r="A2222" s="5">
        <v>45601</v>
      </c>
      <c r="B2222" s="3">
        <v>0.78675925925925927</v>
      </c>
      <c r="C2222" t="s">
        <v>8</v>
      </c>
      <c r="D2222" t="s">
        <v>508</v>
      </c>
      <c r="E2222" s="4">
        <v>35.76</v>
      </c>
      <c r="F2222" t="s">
        <v>24</v>
      </c>
      <c r="G2222" s="10" t="str">
        <f>TEXT(Transform_Data[[#This Row],[Date]],"mmm yyyy")</f>
        <v>Nov 2024</v>
      </c>
      <c r="H2222" s="10">
        <f>HOUR(Transform_Data[[#This Row],[Time]])</f>
        <v>18</v>
      </c>
      <c r="I2222" s="10" t="str">
        <f>IF(COUNTIF('Transform Data'!$D:$D,'Transform Data'!D2222)&gt;1,"Repeat","Single")</f>
        <v>Repeat</v>
      </c>
      <c r="J2222" s="10" t="str">
        <f>IF('Transform Data'!D2222="Cash","Cash",IF(COUNTIF('Transform Data'!$D:$D,'Transform Data'!D2222)&gt;1,"Repeat","Single"))</f>
        <v>Repeat</v>
      </c>
      <c r="K2222" s="10" t="str">
        <f t="shared" si="34"/>
        <v>TRANS-2221</v>
      </c>
    </row>
    <row r="2223" spans="1:11" x14ac:dyDescent="0.35">
      <c r="A2223" s="5">
        <v>45601</v>
      </c>
      <c r="B2223" s="3">
        <v>0.7876157407407407</v>
      </c>
      <c r="C2223" t="s">
        <v>8</v>
      </c>
      <c r="D2223" t="s">
        <v>508</v>
      </c>
      <c r="E2223" s="4">
        <v>35.76</v>
      </c>
      <c r="F2223" t="s">
        <v>24</v>
      </c>
      <c r="G2223" s="10" t="str">
        <f>TEXT(Transform_Data[[#This Row],[Date]],"mmm yyyy")</f>
        <v>Nov 2024</v>
      </c>
      <c r="H2223" s="10">
        <f>HOUR(Transform_Data[[#This Row],[Time]])</f>
        <v>18</v>
      </c>
      <c r="I2223" s="10" t="str">
        <f>IF(COUNTIF('Transform Data'!$D:$D,'Transform Data'!D2223)&gt;1,"Repeat","Single")</f>
        <v>Repeat</v>
      </c>
      <c r="J2223" s="10" t="str">
        <f>IF('Transform Data'!D2223="Cash","Cash",IF(COUNTIF('Transform Data'!$D:$D,'Transform Data'!D2223)&gt;1,"Repeat","Single"))</f>
        <v>Repeat</v>
      </c>
      <c r="K2223" s="10" t="str">
        <f t="shared" si="34"/>
        <v>TRANS-2222</v>
      </c>
    </row>
    <row r="2224" spans="1:11" x14ac:dyDescent="0.35">
      <c r="A2224" s="5">
        <v>45601</v>
      </c>
      <c r="B2224" s="3">
        <v>0.78840277777777779</v>
      </c>
      <c r="C2224" t="s">
        <v>8</v>
      </c>
      <c r="D2224" t="s">
        <v>508</v>
      </c>
      <c r="E2224" s="4">
        <v>35.76</v>
      </c>
      <c r="F2224" t="s">
        <v>24</v>
      </c>
      <c r="G2224" s="10" t="str">
        <f>TEXT(Transform_Data[[#This Row],[Date]],"mmm yyyy")</f>
        <v>Nov 2024</v>
      </c>
      <c r="H2224" s="10">
        <f>HOUR(Transform_Data[[#This Row],[Time]])</f>
        <v>18</v>
      </c>
      <c r="I2224" s="10" t="str">
        <f>IF(COUNTIF('Transform Data'!$D:$D,'Transform Data'!D2224)&gt;1,"Repeat","Single")</f>
        <v>Repeat</v>
      </c>
      <c r="J2224" s="10" t="str">
        <f>IF('Transform Data'!D2224="Cash","Cash",IF(COUNTIF('Transform Data'!$D:$D,'Transform Data'!D2224)&gt;1,"Repeat","Single"))</f>
        <v>Repeat</v>
      </c>
      <c r="K2224" s="10" t="str">
        <f t="shared" si="34"/>
        <v>TRANS-2223</v>
      </c>
    </row>
    <row r="2225" spans="1:11" x14ac:dyDescent="0.35">
      <c r="A2225" s="5">
        <v>45601</v>
      </c>
      <c r="B2225" s="3">
        <v>0.90328703703703705</v>
      </c>
      <c r="C2225" t="s">
        <v>8</v>
      </c>
      <c r="D2225" t="s">
        <v>911</v>
      </c>
      <c r="E2225" s="4">
        <v>35.76</v>
      </c>
      <c r="F2225" t="s">
        <v>10</v>
      </c>
      <c r="G2225" s="10" t="str">
        <f>TEXT(Transform_Data[[#This Row],[Date]],"mmm yyyy")</f>
        <v>Nov 2024</v>
      </c>
      <c r="H2225" s="10">
        <f>HOUR(Transform_Data[[#This Row],[Time]])</f>
        <v>21</v>
      </c>
      <c r="I2225" s="10" t="str">
        <f>IF(COUNTIF('Transform Data'!$D:$D,'Transform Data'!D2225)&gt;1,"Repeat","Single")</f>
        <v>Repeat</v>
      </c>
      <c r="J2225" s="10" t="str">
        <f>IF('Transform Data'!D2225="Cash","Cash",IF(COUNTIF('Transform Data'!$D:$D,'Transform Data'!D2225)&gt;1,"Repeat","Single"))</f>
        <v>Repeat</v>
      </c>
      <c r="K2225" s="10" t="str">
        <f t="shared" si="34"/>
        <v>TRANS-2224</v>
      </c>
    </row>
    <row r="2226" spans="1:11" x14ac:dyDescent="0.35">
      <c r="A2226" s="5">
        <v>45601</v>
      </c>
      <c r="B2226" s="3">
        <v>0.90418981481481486</v>
      </c>
      <c r="C2226" t="s">
        <v>8</v>
      </c>
      <c r="D2226" t="s">
        <v>911</v>
      </c>
      <c r="E2226" s="4">
        <v>35.76</v>
      </c>
      <c r="F2226" t="s">
        <v>10</v>
      </c>
      <c r="G2226" s="10" t="str">
        <f>TEXT(Transform_Data[[#This Row],[Date]],"mmm yyyy")</f>
        <v>Nov 2024</v>
      </c>
      <c r="H2226" s="10">
        <f>HOUR(Transform_Data[[#This Row],[Time]])</f>
        <v>21</v>
      </c>
      <c r="I2226" s="10" t="str">
        <f>IF(COUNTIF('Transform Data'!$D:$D,'Transform Data'!D2226)&gt;1,"Repeat","Single")</f>
        <v>Repeat</v>
      </c>
      <c r="J2226" s="10" t="str">
        <f>IF('Transform Data'!D2226="Cash","Cash",IF(COUNTIF('Transform Data'!$D:$D,'Transform Data'!D2226)&gt;1,"Repeat","Single"))</f>
        <v>Repeat</v>
      </c>
      <c r="K2226" s="10" t="str">
        <f t="shared" si="34"/>
        <v>TRANS-2225</v>
      </c>
    </row>
    <row r="2227" spans="1:11" x14ac:dyDescent="0.35">
      <c r="A2227" s="5">
        <v>45601</v>
      </c>
      <c r="B2227" s="3">
        <v>0.91271990740740738</v>
      </c>
      <c r="C2227" t="s">
        <v>8</v>
      </c>
      <c r="D2227" t="s">
        <v>774</v>
      </c>
      <c r="E2227" s="4">
        <v>35.76</v>
      </c>
      <c r="F2227" t="s">
        <v>15</v>
      </c>
      <c r="G2227" s="10" t="str">
        <f>TEXT(Transform_Data[[#This Row],[Date]],"mmm yyyy")</f>
        <v>Nov 2024</v>
      </c>
      <c r="H2227" s="10">
        <f>HOUR(Transform_Data[[#This Row],[Time]])</f>
        <v>21</v>
      </c>
      <c r="I2227" s="10" t="str">
        <f>IF(COUNTIF('Transform Data'!$D:$D,'Transform Data'!D2227)&gt;1,"Repeat","Single")</f>
        <v>Repeat</v>
      </c>
      <c r="J2227" s="10" t="str">
        <f>IF('Transform Data'!D2227="Cash","Cash",IF(COUNTIF('Transform Data'!$D:$D,'Transform Data'!D2227)&gt;1,"Repeat","Single"))</f>
        <v>Repeat</v>
      </c>
      <c r="K2227" s="10" t="str">
        <f t="shared" si="34"/>
        <v>TRANS-2226</v>
      </c>
    </row>
    <row r="2228" spans="1:11" x14ac:dyDescent="0.35">
      <c r="A2228" s="5">
        <v>45601</v>
      </c>
      <c r="B2228" s="3">
        <v>0.92071759259259256</v>
      </c>
      <c r="C2228" t="s">
        <v>8</v>
      </c>
      <c r="D2228" t="s">
        <v>689</v>
      </c>
      <c r="E2228" s="4">
        <v>35.76</v>
      </c>
      <c r="F2228" t="s">
        <v>15</v>
      </c>
      <c r="G2228" s="10" t="str">
        <f>TEXT(Transform_Data[[#This Row],[Date]],"mmm yyyy")</f>
        <v>Nov 2024</v>
      </c>
      <c r="H2228" s="10">
        <f>HOUR(Transform_Data[[#This Row],[Time]])</f>
        <v>22</v>
      </c>
      <c r="I2228" s="10" t="str">
        <f>IF(COUNTIF('Transform Data'!$D:$D,'Transform Data'!D2228)&gt;1,"Repeat","Single")</f>
        <v>Repeat</v>
      </c>
      <c r="J2228" s="10" t="str">
        <f>IF('Transform Data'!D2228="Cash","Cash",IF(COUNTIF('Transform Data'!$D:$D,'Transform Data'!D2228)&gt;1,"Repeat","Single"))</f>
        <v>Repeat</v>
      </c>
      <c r="K2228" s="10" t="str">
        <f t="shared" si="34"/>
        <v>TRANS-2227</v>
      </c>
    </row>
    <row r="2229" spans="1:11" x14ac:dyDescent="0.35">
      <c r="A2229" s="5">
        <v>45601</v>
      </c>
      <c r="B2229" s="3">
        <v>0.9212731481481482</v>
      </c>
      <c r="C2229" t="s">
        <v>8</v>
      </c>
      <c r="D2229" t="s">
        <v>689</v>
      </c>
      <c r="E2229" s="4">
        <v>30.86</v>
      </c>
      <c r="F2229" t="s">
        <v>36</v>
      </c>
      <c r="G2229" s="10" t="str">
        <f>TEXT(Transform_Data[[#This Row],[Date]],"mmm yyyy")</f>
        <v>Nov 2024</v>
      </c>
      <c r="H2229" s="10">
        <f>HOUR(Transform_Data[[#This Row],[Time]])</f>
        <v>22</v>
      </c>
      <c r="I2229" s="10" t="str">
        <f>IF(COUNTIF('Transform Data'!$D:$D,'Transform Data'!D2229)&gt;1,"Repeat","Single")</f>
        <v>Repeat</v>
      </c>
      <c r="J2229" s="10" t="str">
        <f>IF('Transform Data'!D2229="Cash","Cash",IF(COUNTIF('Transform Data'!$D:$D,'Transform Data'!D2229)&gt;1,"Repeat","Single"))</f>
        <v>Repeat</v>
      </c>
      <c r="K2229" s="10" t="str">
        <f t="shared" si="34"/>
        <v>TRANS-2228</v>
      </c>
    </row>
    <row r="2230" spans="1:11" x14ac:dyDescent="0.35">
      <c r="A2230" s="5">
        <v>45602</v>
      </c>
      <c r="B2230" s="3">
        <v>0.34126157407407409</v>
      </c>
      <c r="C2230" t="s">
        <v>8</v>
      </c>
      <c r="D2230" t="s">
        <v>622</v>
      </c>
      <c r="E2230" s="4">
        <v>35.76</v>
      </c>
      <c r="F2230" t="s">
        <v>32</v>
      </c>
      <c r="G2230" s="10" t="str">
        <f>TEXT(Transform_Data[[#This Row],[Date]],"mmm yyyy")</f>
        <v>Nov 2024</v>
      </c>
      <c r="H2230" s="10">
        <f>HOUR(Transform_Data[[#This Row],[Time]])</f>
        <v>8</v>
      </c>
      <c r="I2230" s="10" t="str">
        <f>IF(COUNTIF('Transform Data'!$D:$D,'Transform Data'!D2230)&gt;1,"Repeat","Single")</f>
        <v>Repeat</v>
      </c>
      <c r="J2230" s="10" t="str">
        <f>IF('Transform Data'!D2230="Cash","Cash",IF(COUNTIF('Transform Data'!$D:$D,'Transform Data'!D2230)&gt;1,"Repeat","Single"))</f>
        <v>Repeat</v>
      </c>
      <c r="K2230" s="10" t="str">
        <f t="shared" si="34"/>
        <v>TRANS-2229</v>
      </c>
    </row>
    <row r="2231" spans="1:11" x14ac:dyDescent="0.35">
      <c r="A2231" s="5">
        <v>45602</v>
      </c>
      <c r="B2231" s="3">
        <v>0.48994212962962963</v>
      </c>
      <c r="C2231" t="s">
        <v>8</v>
      </c>
      <c r="D2231" t="s">
        <v>912</v>
      </c>
      <c r="E2231" s="4">
        <v>21.06</v>
      </c>
      <c r="F2231" t="s">
        <v>5</v>
      </c>
      <c r="G2231" s="10" t="str">
        <f>TEXT(Transform_Data[[#This Row],[Date]],"mmm yyyy")</f>
        <v>Nov 2024</v>
      </c>
      <c r="H2231" s="10">
        <f>HOUR(Transform_Data[[#This Row],[Time]])</f>
        <v>11</v>
      </c>
      <c r="I2231" s="10" t="str">
        <f>IF(COUNTIF('Transform Data'!$D:$D,'Transform Data'!D2231)&gt;1,"Repeat","Single")</f>
        <v>Single</v>
      </c>
      <c r="J2231" s="10" t="str">
        <f>IF('Transform Data'!D2231="Cash","Cash",IF(COUNTIF('Transform Data'!$D:$D,'Transform Data'!D2231)&gt;1,"Repeat","Single"))</f>
        <v>Single</v>
      </c>
      <c r="K2231" s="10" t="str">
        <f t="shared" si="34"/>
        <v>TRANS-2230</v>
      </c>
    </row>
    <row r="2232" spans="1:11" x14ac:dyDescent="0.35">
      <c r="A2232" s="5">
        <v>45602</v>
      </c>
      <c r="B2232" s="3">
        <v>0.55245370370370372</v>
      </c>
      <c r="C2232" t="s">
        <v>8</v>
      </c>
      <c r="D2232" t="s">
        <v>794</v>
      </c>
      <c r="E2232" s="4">
        <v>25.96</v>
      </c>
      <c r="F2232" t="s">
        <v>28</v>
      </c>
      <c r="G2232" s="10" t="str">
        <f>TEXT(Transform_Data[[#This Row],[Date]],"mmm yyyy")</f>
        <v>Nov 2024</v>
      </c>
      <c r="H2232" s="10">
        <f>HOUR(Transform_Data[[#This Row],[Time]])</f>
        <v>13</v>
      </c>
      <c r="I2232" s="10" t="str">
        <f>IF(COUNTIF('Transform Data'!$D:$D,'Transform Data'!D2232)&gt;1,"Repeat","Single")</f>
        <v>Repeat</v>
      </c>
      <c r="J2232" s="10" t="str">
        <f>IF('Transform Data'!D2232="Cash","Cash",IF(COUNTIF('Transform Data'!$D:$D,'Transform Data'!D2232)&gt;1,"Repeat","Single"))</f>
        <v>Repeat</v>
      </c>
      <c r="K2232" s="10" t="str">
        <f t="shared" si="34"/>
        <v>TRANS-2231</v>
      </c>
    </row>
    <row r="2233" spans="1:11" x14ac:dyDescent="0.35">
      <c r="A2233" s="5">
        <v>45602</v>
      </c>
      <c r="B2233" s="3">
        <v>0.65574074074074074</v>
      </c>
      <c r="C2233" t="s">
        <v>8</v>
      </c>
      <c r="D2233" t="s">
        <v>674</v>
      </c>
      <c r="E2233" s="4">
        <v>35.76</v>
      </c>
      <c r="F2233" t="s">
        <v>24</v>
      </c>
      <c r="G2233" s="10" t="str">
        <f>TEXT(Transform_Data[[#This Row],[Date]],"mmm yyyy")</f>
        <v>Nov 2024</v>
      </c>
      <c r="H2233" s="10">
        <f>HOUR(Transform_Data[[#This Row],[Time]])</f>
        <v>15</v>
      </c>
      <c r="I2233" s="10" t="str">
        <f>IF(COUNTIF('Transform Data'!$D:$D,'Transform Data'!D2233)&gt;1,"Repeat","Single")</f>
        <v>Repeat</v>
      </c>
      <c r="J2233" s="10" t="str">
        <f>IF('Transform Data'!D2233="Cash","Cash",IF(COUNTIF('Transform Data'!$D:$D,'Transform Data'!D2233)&gt;1,"Repeat","Single"))</f>
        <v>Repeat</v>
      </c>
      <c r="K2233" s="10" t="str">
        <f t="shared" si="34"/>
        <v>TRANS-2232</v>
      </c>
    </row>
    <row r="2234" spans="1:11" x14ac:dyDescent="0.35">
      <c r="A2234" s="5">
        <v>45602</v>
      </c>
      <c r="B2234" s="3">
        <v>0.66716435185185186</v>
      </c>
      <c r="C2234" t="s">
        <v>8</v>
      </c>
      <c r="D2234" t="s">
        <v>913</v>
      </c>
      <c r="E2234" s="4">
        <v>35.76</v>
      </c>
      <c r="F2234" t="s">
        <v>32</v>
      </c>
      <c r="G2234" s="10" t="str">
        <f>TEXT(Transform_Data[[#This Row],[Date]],"mmm yyyy")</f>
        <v>Nov 2024</v>
      </c>
      <c r="H2234" s="10">
        <f>HOUR(Transform_Data[[#This Row],[Time]])</f>
        <v>16</v>
      </c>
      <c r="I2234" s="10" t="str">
        <f>IF(COUNTIF('Transform Data'!$D:$D,'Transform Data'!D2234)&gt;1,"Repeat","Single")</f>
        <v>Single</v>
      </c>
      <c r="J2234" s="10" t="str">
        <f>IF('Transform Data'!D2234="Cash","Cash",IF(COUNTIF('Transform Data'!$D:$D,'Transform Data'!D2234)&gt;1,"Repeat","Single"))</f>
        <v>Single</v>
      </c>
      <c r="K2234" s="10" t="str">
        <f t="shared" si="34"/>
        <v>TRANS-2233</v>
      </c>
    </row>
    <row r="2235" spans="1:11" x14ac:dyDescent="0.35">
      <c r="A2235" s="5">
        <v>45602</v>
      </c>
      <c r="B2235" s="3">
        <v>0.66811342592592593</v>
      </c>
      <c r="C2235" t="s">
        <v>8</v>
      </c>
      <c r="D2235" t="s">
        <v>914</v>
      </c>
      <c r="E2235" s="4">
        <v>35.76</v>
      </c>
      <c r="F2235" t="s">
        <v>24</v>
      </c>
      <c r="G2235" s="10" t="str">
        <f>TEXT(Transform_Data[[#This Row],[Date]],"mmm yyyy")</f>
        <v>Nov 2024</v>
      </c>
      <c r="H2235" s="10">
        <f>HOUR(Transform_Data[[#This Row],[Time]])</f>
        <v>16</v>
      </c>
      <c r="I2235" s="10" t="str">
        <f>IF(COUNTIF('Transform Data'!$D:$D,'Transform Data'!D2235)&gt;1,"Repeat","Single")</f>
        <v>Repeat</v>
      </c>
      <c r="J2235" s="10" t="str">
        <f>IF('Transform Data'!D2235="Cash","Cash",IF(COUNTIF('Transform Data'!$D:$D,'Transform Data'!D2235)&gt;1,"Repeat","Single"))</f>
        <v>Repeat</v>
      </c>
      <c r="K2235" s="10" t="str">
        <f t="shared" si="34"/>
        <v>TRANS-2234</v>
      </c>
    </row>
    <row r="2236" spans="1:11" x14ac:dyDescent="0.35">
      <c r="A2236" s="5">
        <v>45602</v>
      </c>
      <c r="B2236" s="3">
        <v>0.77826388888888887</v>
      </c>
      <c r="C2236" t="s">
        <v>8</v>
      </c>
      <c r="D2236" t="s">
        <v>915</v>
      </c>
      <c r="E2236" s="4">
        <v>35.76</v>
      </c>
      <c r="F2236" t="s">
        <v>15</v>
      </c>
      <c r="G2236" s="10" t="str">
        <f>TEXT(Transform_Data[[#This Row],[Date]],"mmm yyyy")</f>
        <v>Nov 2024</v>
      </c>
      <c r="H2236" s="10">
        <f>HOUR(Transform_Data[[#This Row],[Time]])</f>
        <v>18</v>
      </c>
      <c r="I2236" s="10" t="str">
        <f>IF(COUNTIF('Transform Data'!$D:$D,'Transform Data'!D2236)&gt;1,"Repeat","Single")</f>
        <v>Repeat</v>
      </c>
      <c r="J2236" s="10" t="str">
        <f>IF('Transform Data'!D2236="Cash","Cash",IF(COUNTIF('Transform Data'!$D:$D,'Transform Data'!D2236)&gt;1,"Repeat","Single"))</f>
        <v>Repeat</v>
      </c>
      <c r="K2236" s="10" t="str">
        <f t="shared" si="34"/>
        <v>TRANS-2235</v>
      </c>
    </row>
    <row r="2237" spans="1:11" x14ac:dyDescent="0.35">
      <c r="A2237" s="5">
        <v>45602</v>
      </c>
      <c r="B2237" s="3">
        <v>0.7788194444444444</v>
      </c>
      <c r="C2237" t="s">
        <v>8</v>
      </c>
      <c r="D2237" t="s">
        <v>915</v>
      </c>
      <c r="E2237" s="4">
        <v>35.76</v>
      </c>
      <c r="F2237" t="s">
        <v>15</v>
      </c>
      <c r="G2237" s="10" t="str">
        <f>TEXT(Transform_Data[[#This Row],[Date]],"mmm yyyy")</f>
        <v>Nov 2024</v>
      </c>
      <c r="H2237" s="10">
        <f>HOUR(Transform_Data[[#This Row],[Time]])</f>
        <v>18</v>
      </c>
      <c r="I2237" s="10" t="str">
        <f>IF(COUNTIF('Transform Data'!$D:$D,'Transform Data'!D2237)&gt;1,"Repeat","Single")</f>
        <v>Repeat</v>
      </c>
      <c r="J2237" s="10" t="str">
        <f>IF('Transform Data'!D2237="Cash","Cash",IF(COUNTIF('Transform Data'!$D:$D,'Transform Data'!D2237)&gt;1,"Repeat","Single"))</f>
        <v>Repeat</v>
      </c>
      <c r="K2237" s="10" t="str">
        <f t="shared" si="34"/>
        <v>TRANS-2236</v>
      </c>
    </row>
    <row r="2238" spans="1:11" x14ac:dyDescent="0.35">
      <c r="A2238" s="5">
        <v>45603</v>
      </c>
      <c r="B2238" s="3">
        <v>0.51197916666666665</v>
      </c>
      <c r="C2238" t="s">
        <v>8</v>
      </c>
      <c r="D2238" t="s">
        <v>916</v>
      </c>
      <c r="E2238" s="4">
        <v>35.76</v>
      </c>
      <c r="F2238" t="s">
        <v>32</v>
      </c>
      <c r="G2238" s="10" t="str">
        <f>TEXT(Transform_Data[[#This Row],[Date]],"mmm yyyy")</f>
        <v>Nov 2024</v>
      </c>
      <c r="H2238" s="10">
        <f>HOUR(Transform_Data[[#This Row],[Time]])</f>
        <v>12</v>
      </c>
      <c r="I2238" s="10" t="str">
        <f>IF(COUNTIF('Transform Data'!$D:$D,'Transform Data'!D2238)&gt;1,"Repeat","Single")</f>
        <v>Single</v>
      </c>
      <c r="J2238" s="10" t="str">
        <f>IF('Transform Data'!D2238="Cash","Cash",IF(COUNTIF('Transform Data'!$D:$D,'Transform Data'!D2238)&gt;1,"Repeat","Single"))</f>
        <v>Single</v>
      </c>
      <c r="K2238" s="10" t="str">
        <f t="shared" si="34"/>
        <v>TRANS-2237</v>
      </c>
    </row>
    <row r="2239" spans="1:11" x14ac:dyDescent="0.35">
      <c r="A2239" s="5">
        <v>45603</v>
      </c>
      <c r="B2239" s="3">
        <v>0.65983796296296293</v>
      </c>
      <c r="C2239" t="s">
        <v>8</v>
      </c>
      <c r="D2239" t="s">
        <v>917</v>
      </c>
      <c r="E2239" s="4">
        <v>25.96</v>
      </c>
      <c r="F2239" t="s">
        <v>28</v>
      </c>
      <c r="G2239" s="10" t="str">
        <f>TEXT(Transform_Data[[#This Row],[Date]],"mmm yyyy")</f>
        <v>Nov 2024</v>
      </c>
      <c r="H2239" s="10">
        <f>HOUR(Transform_Data[[#This Row],[Time]])</f>
        <v>15</v>
      </c>
      <c r="I2239" s="10" t="str">
        <f>IF(COUNTIF('Transform Data'!$D:$D,'Transform Data'!D2239)&gt;1,"Repeat","Single")</f>
        <v>Single</v>
      </c>
      <c r="J2239" s="10" t="str">
        <f>IF('Transform Data'!D2239="Cash","Cash",IF(COUNTIF('Transform Data'!$D:$D,'Transform Data'!D2239)&gt;1,"Repeat","Single"))</f>
        <v>Single</v>
      </c>
      <c r="K2239" s="10" t="str">
        <f t="shared" si="34"/>
        <v>TRANS-2238</v>
      </c>
    </row>
    <row r="2240" spans="1:11" x14ac:dyDescent="0.35">
      <c r="A2240" s="5">
        <v>45603</v>
      </c>
      <c r="B2240" s="3">
        <v>0.69420138888888894</v>
      </c>
      <c r="C2240" t="s">
        <v>8</v>
      </c>
      <c r="D2240" t="s">
        <v>918</v>
      </c>
      <c r="E2240" s="4">
        <v>25.96</v>
      </c>
      <c r="F2240" t="s">
        <v>28</v>
      </c>
      <c r="G2240" s="10" t="str">
        <f>TEXT(Transform_Data[[#This Row],[Date]],"mmm yyyy")</f>
        <v>Nov 2024</v>
      </c>
      <c r="H2240" s="10">
        <f>HOUR(Transform_Data[[#This Row],[Time]])</f>
        <v>16</v>
      </c>
      <c r="I2240" s="10" t="str">
        <f>IF(COUNTIF('Transform Data'!$D:$D,'Transform Data'!D2240)&gt;1,"Repeat","Single")</f>
        <v>Single</v>
      </c>
      <c r="J2240" s="10" t="str">
        <f>IF('Transform Data'!D2240="Cash","Cash",IF(COUNTIF('Transform Data'!$D:$D,'Transform Data'!D2240)&gt;1,"Repeat","Single"))</f>
        <v>Single</v>
      </c>
      <c r="K2240" s="10" t="str">
        <f t="shared" si="34"/>
        <v>TRANS-2239</v>
      </c>
    </row>
    <row r="2241" spans="1:11" x14ac:dyDescent="0.35">
      <c r="A2241" s="5">
        <v>45603</v>
      </c>
      <c r="B2241" s="3">
        <v>0.76218750000000002</v>
      </c>
      <c r="C2241" t="s">
        <v>8</v>
      </c>
      <c r="D2241" t="s">
        <v>880</v>
      </c>
      <c r="E2241" s="4">
        <v>35.76</v>
      </c>
      <c r="F2241" t="s">
        <v>10</v>
      </c>
      <c r="G2241" s="10" t="str">
        <f>TEXT(Transform_Data[[#This Row],[Date]],"mmm yyyy")</f>
        <v>Nov 2024</v>
      </c>
      <c r="H2241" s="10">
        <f>HOUR(Transform_Data[[#This Row],[Time]])</f>
        <v>18</v>
      </c>
      <c r="I2241" s="10" t="str">
        <f>IF(COUNTIF('Transform Data'!$D:$D,'Transform Data'!D2241)&gt;1,"Repeat","Single")</f>
        <v>Repeat</v>
      </c>
      <c r="J2241" s="10" t="str">
        <f>IF('Transform Data'!D2241="Cash","Cash",IF(COUNTIF('Transform Data'!$D:$D,'Transform Data'!D2241)&gt;1,"Repeat","Single"))</f>
        <v>Repeat</v>
      </c>
      <c r="K2241" s="10" t="str">
        <f t="shared" si="34"/>
        <v>TRANS-2240</v>
      </c>
    </row>
    <row r="2242" spans="1:11" x14ac:dyDescent="0.35">
      <c r="A2242" s="5">
        <v>45603</v>
      </c>
      <c r="B2242" s="3">
        <v>0.80571759259259257</v>
      </c>
      <c r="C2242" t="s">
        <v>8</v>
      </c>
      <c r="D2242" t="s">
        <v>919</v>
      </c>
      <c r="E2242" s="4">
        <v>35.76</v>
      </c>
      <c r="F2242" t="s">
        <v>15</v>
      </c>
      <c r="G2242" s="10" t="str">
        <f>TEXT(Transform_Data[[#This Row],[Date]],"mmm yyyy")</f>
        <v>Nov 2024</v>
      </c>
      <c r="H2242" s="10">
        <f>HOUR(Transform_Data[[#This Row],[Time]])</f>
        <v>19</v>
      </c>
      <c r="I2242" s="10" t="str">
        <f>IF(COUNTIF('Transform Data'!$D:$D,'Transform Data'!D2242)&gt;1,"Repeat","Single")</f>
        <v>Repeat</v>
      </c>
      <c r="J2242" s="10" t="str">
        <f>IF('Transform Data'!D2242="Cash","Cash",IF(COUNTIF('Transform Data'!$D:$D,'Transform Data'!D2242)&gt;1,"Repeat","Single"))</f>
        <v>Repeat</v>
      </c>
      <c r="K2242" s="10" t="str">
        <f t="shared" ref="K2242:K2305" si="35">"TRANS-"&amp;TEXT(ROW(A2241),"0000")</f>
        <v>TRANS-2241</v>
      </c>
    </row>
    <row r="2243" spans="1:11" x14ac:dyDescent="0.35">
      <c r="A2243" s="5">
        <v>45603</v>
      </c>
      <c r="B2243" s="3">
        <v>0.80668981481481483</v>
      </c>
      <c r="C2243" t="s">
        <v>8</v>
      </c>
      <c r="D2243" t="s">
        <v>919</v>
      </c>
      <c r="E2243" s="4">
        <v>35.76</v>
      </c>
      <c r="F2243" t="s">
        <v>32</v>
      </c>
      <c r="G2243" s="10" t="str">
        <f>TEXT(Transform_Data[[#This Row],[Date]],"mmm yyyy")</f>
        <v>Nov 2024</v>
      </c>
      <c r="H2243" s="10">
        <f>HOUR(Transform_Data[[#This Row],[Time]])</f>
        <v>19</v>
      </c>
      <c r="I2243" s="10" t="str">
        <f>IF(COUNTIF('Transform Data'!$D:$D,'Transform Data'!D2243)&gt;1,"Repeat","Single")</f>
        <v>Repeat</v>
      </c>
      <c r="J2243" s="10" t="str">
        <f>IF('Transform Data'!D2243="Cash","Cash",IF(COUNTIF('Transform Data'!$D:$D,'Transform Data'!D2243)&gt;1,"Repeat","Single"))</f>
        <v>Repeat</v>
      </c>
      <c r="K2243" s="10" t="str">
        <f t="shared" si="35"/>
        <v>TRANS-2242</v>
      </c>
    </row>
    <row r="2244" spans="1:11" x14ac:dyDescent="0.35">
      <c r="A2244" s="5">
        <v>45603</v>
      </c>
      <c r="B2244" s="3">
        <v>0.83506944444444442</v>
      </c>
      <c r="C2244" t="s">
        <v>8</v>
      </c>
      <c r="D2244" t="s">
        <v>21</v>
      </c>
      <c r="E2244" s="4">
        <v>35.76</v>
      </c>
      <c r="F2244" t="s">
        <v>32</v>
      </c>
      <c r="G2244" s="10" t="str">
        <f>TEXT(Transform_Data[[#This Row],[Date]],"mmm yyyy")</f>
        <v>Nov 2024</v>
      </c>
      <c r="H2244" s="10">
        <f>HOUR(Transform_Data[[#This Row],[Time]])</f>
        <v>20</v>
      </c>
      <c r="I2244" s="10" t="str">
        <f>IF(COUNTIF('Transform Data'!$D:$D,'Transform Data'!D2244)&gt;1,"Repeat","Single")</f>
        <v>Repeat</v>
      </c>
      <c r="J2244" s="10" t="str">
        <f>IF('Transform Data'!D2244="Cash","Cash",IF(COUNTIF('Transform Data'!$D:$D,'Transform Data'!D2244)&gt;1,"Repeat","Single"))</f>
        <v>Repeat</v>
      </c>
      <c r="K2244" s="10" t="str">
        <f t="shared" si="35"/>
        <v>TRANS-2243</v>
      </c>
    </row>
    <row r="2245" spans="1:11" x14ac:dyDescent="0.35">
      <c r="A2245" s="5">
        <v>45604</v>
      </c>
      <c r="B2245" s="3">
        <v>0.37895833333333334</v>
      </c>
      <c r="C2245" t="s">
        <v>8</v>
      </c>
      <c r="D2245" t="s">
        <v>29</v>
      </c>
      <c r="E2245" s="4">
        <v>30.86</v>
      </c>
      <c r="F2245" t="s">
        <v>36</v>
      </c>
      <c r="G2245" s="10" t="str">
        <f>TEXT(Transform_Data[[#This Row],[Date]],"mmm yyyy")</f>
        <v>Nov 2024</v>
      </c>
      <c r="H2245" s="10">
        <f>HOUR(Transform_Data[[#This Row],[Time]])</f>
        <v>9</v>
      </c>
      <c r="I2245" s="10" t="str">
        <f>IF(COUNTIF('Transform Data'!$D:$D,'Transform Data'!D2245)&gt;1,"Repeat","Single")</f>
        <v>Repeat</v>
      </c>
      <c r="J2245" s="10" t="str">
        <f>IF('Transform Data'!D2245="Cash","Cash",IF(COUNTIF('Transform Data'!$D:$D,'Transform Data'!D2245)&gt;1,"Repeat","Single"))</f>
        <v>Repeat</v>
      </c>
      <c r="K2245" s="10" t="str">
        <f t="shared" si="35"/>
        <v>TRANS-2244</v>
      </c>
    </row>
    <row r="2246" spans="1:11" x14ac:dyDescent="0.35">
      <c r="A2246" s="5">
        <v>45604</v>
      </c>
      <c r="B2246" s="3">
        <v>0.4079861111111111</v>
      </c>
      <c r="C2246" t="s">
        <v>8</v>
      </c>
      <c r="D2246" t="s">
        <v>428</v>
      </c>
      <c r="E2246" s="4">
        <v>25.96</v>
      </c>
      <c r="F2246" t="s">
        <v>28</v>
      </c>
      <c r="G2246" s="10" t="str">
        <f>TEXT(Transform_Data[[#This Row],[Date]],"mmm yyyy")</f>
        <v>Nov 2024</v>
      </c>
      <c r="H2246" s="10">
        <f>HOUR(Transform_Data[[#This Row],[Time]])</f>
        <v>9</v>
      </c>
      <c r="I2246" s="10" t="str">
        <f>IF(COUNTIF('Transform Data'!$D:$D,'Transform Data'!D2246)&gt;1,"Repeat","Single")</f>
        <v>Repeat</v>
      </c>
      <c r="J2246" s="10" t="str">
        <f>IF('Transform Data'!D2246="Cash","Cash",IF(COUNTIF('Transform Data'!$D:$D,'Transform Data'!D2246)&gt;1,"Repeat","Single"))</f>
        <v>Repeat</v>
      </c>
      <c r="K2246" s="10" t="str">
        <f t="shared" si="35"/>
        <v>TRANS-2245</v>
      </c>
    </row>
    <row r="2247" spans="1:11" x14ac:dyDescent="0.35">
      <c r="A2247" s="5">
        <v>45604</v>
      </c>
      <c r="B2247" s="3">
        <v>0.40901620370370373</v>
      </c>
      <c r="C2247" t="s">
        <v>8</v>
      </c>
      <c r="D2247" t="s">
        <v>428</v>
      </c>
      <c r="E2247" s="4">
        <v>25.96</v>
      </c>
      <c r="F2247" t="s">
        <v>28</v>
      </c>
      <c r="G2247" s="10" t="str">
        <f>TEXT(Transform_Data[[#This Row],[Date]],"mmm yyyy")</f>
        <v>Nov 2024</v>
      </c>
      <c r="H2247" s="10">
        <f>HOUR(Transform_Data[[#This Row],[Time]])</f>
        <v>9</v>
      </c>
      <c r="I2247" s="10" t="str">
        <f>IF(COUNTIF('Transform Data'!$D:$D,'Transform Data'!D2247)&gt;1,"Repeat","Single")</f>
        <v>Repeat</v>
      </c>
      <c r="J2247" s="10" t="str">
        <f>IF('Transform Data'!D2247="Cash","Cash",IF(COUNTIF('Transform Data'!$D:$D,'Transform Data'!D2247)&gt;1,"Repeat","Single"))</f>
        <v>Repeat</v>
      </c>
      <c r="K2247" s="10" t="str">
        <f t="shared" si="35"/>
        <v>TRANS-2246</v>
      </c>
    </row>
    <row r="2248" spans="1:11" x14ac:dyDescent="0.35">
      <c r="A2248" s="5">
        <v>45604</v>
      </c>
      <c r="B2248" s="3">
        <v>0.49109953703703701</v>
      </c>
      <c r="C2248" t="s">
        <v>8</v>
      </c>
      <c r="D2248" t="s">
        <v>547</v>
      </c>
      <c r="E2248" s="4">
        <v>35.76</v>
      </c>
      <c r="F2248" t="s">
        <v>24</v>
      </c>
      <c r="G2248" s="10" t="str">
        <f>TEXT(Transform_Data[[#This Row],[Date]],"mmm yyyy")</f>
        <v>Nov 2024</v>
      </c>
      <c r="H2248" s="10">
        <f>HOUR(Transform_Data[[#This Row],[Time]])</f>
        <v>11</v>
      </c>
      <c r="I2248" s="10" t="str">
        <f>IF(COUNTIF('Transform Data'!$D:$D,'Transform Data'!D2248)&gt;1,"Repeat","Single")</f>
        <v>Repeat</v>
      </c>
      <c r="J2248" s="10" t="str">
        <f>IF('Transform Data'!D2248="Cash","Cash",IF(COUNTIF('Transform Data'!$D:$D,'Transform Data'!D2248)&gt;1,"Repeat","Single"))</f>
        <v>Repeat</v>
      </c>
      <c r="K2248" s="10" t="str">
        <f t="shared" si="35"/>
        <v>TRANS-2247</v>
      </c>
    </row>
    <row r="2249" spans="1:11" x14ac:dyDescent="0.35">
      <c r="A2249" s="5">
        <v>45604</v>
      </c>
      <c r="B2249" s="3">
        <v>0.55917824074074074</v>
      </c>
      <c r="C2249" t="s">
        <v>8</v>
      </c>
      <c r="D2249" t="s">
        <v>920</v>
      </c>
      <c r="E2249" s="4">
        <v>35.76</v>
      </c>
      <c r="F2249" t="s">
        <v>32</v>
      </c>
      <c r="G2249" s="10" t="str">
        <f>TEXT(Transform_Data[[#This Row],[Date]],"mmm yyyy")</f>
        <v>Nov 2024</v>
      </c>
      <c r="H2249" s="10">
        <f>HOUR(Transform_Data[[#This Row],[Time]])</f>
        <v>13</v>
      </c>
      <c r="I2249" s="10" t="str">
        <f>IF(COUNTIF('Transform Data'!$D:$D,'Transform Data'!D2249)&gt;1,"Repeat","Single")</f>
        <v>Repeat</v>
      </c>
      <c r="J2249" s="10" t="str">
        <f>IF('Transform Data'!D2249="Cash","Cash",IF(COUNTIF('Transform Data'!$D:$D,'Transform Data'!D2249)&gt;1,"Repeat","Single"))</f>
        <v>Repeat</v>
      </c>
      <c r="K2249" s="10" t="str">
        <f t="shared" si="35"/>
        <v>TRANS-2248</v>
      </c>
    </row>
    <row r="2250" spans="1:11" x14ac:dyDescent="0.35">
      <c r="A2250" s="5">
        <v>45604</v>
      </c>
      <c r="B2250" s="3">
        <v>0.55991898148148145</v>
      </c>
      <c r="C2250" t="s">
        <v>8</v>
      </c>
      <c r="D2250" t="s">
        <v>920</v>
      </c>
      <c r="E2250" s="4">
        <v>35.76</v>
      </c>
      <c r="F2250" t="s">
        <v>32</v>
      </c>
      <c r="G2250" s="10" t="str">
        <f>TEXT(Transform_Data[[#This Row],[Date]],"mmm yyyy")</f>
        <v>Nov 2024</v>
      </c>
      <c r="H2250" s="10">
        <f>HOUR(Transform_Data[[#This Row],[Time]])</f>
        <v>13</v>
      </c>
      <c r="I2250" s="10" t="str">
        <f>IF(COUNTIF('Transform Data'!$D:$D,'Transform Data'!D2250)&gt;1,"Repeat","Single")</f>
        <v>Repeat</v>
      </c>
      <c r="J2250" s="10" t="str">
        <f>IF('Transform Data'!D2250="Cash","Cash",IF(COUNTIF('Transform Data'!$D:$D,'Transform Data'!D2250)&gt;1,"Repeat","Single"))</f>
        <v>Repeat</v>
      </c>
      <c r="K2250" s="10" t="str">
        <f t="shared" si="35"/>
        <v>TRANS-2249</v>
      </c>
    </row>
    <row r="2251" spans="1:11" x14ac:dyDescent="0.35">
      <c r="A2251" s="5">
        <v>45604</v>
      </c>
      <c r="B2251" s="3">
        <v>0.68960648148148151</v>
      </c>
      <c r="C2251" t="s">
        <v>8</v>
      </c>
      <c r="D2251" t="s">
        <v>921</v>
      </c>
      <c r="E2251" s="4">
        <v>30.86</v>
      </c>
      <c r="F2251" t="s">
        <v>36</v>
      </c>
      <c r="G2251" s="10" t="str">
        <f>TEXT(Transform_Data[[#This Row],[Date]],"mmm yyyy")</f>
        <v>Nov 2024</v>
      </c>
      <c r="H2251" s="10">
        <f>HOUR(Transform_Data[[#This Row],[Time]])</f>
        <v>16</v>
      </c>
      <c r="I2251" s="10" t="str">
        <f>IF(COUNTIF('Transform Data'!$D:$D,'Transform Data'!D2251)&gt;1,"Repeat","Single")</f>
        <v>Single</v>
      </c>
      <c r="J2251" s="10" t="str">
        <f>IF('Transform Data'!D2251="Cash","Cash",IF(COUNTIF('Transform Data'!$D:$D,'Transform Data'!D2251)&gt;1,"Repeat","Single"))</f>
        <v>Single</v>
      </c>
      <c r="K2251" s="10" t="str">
        <f t="shared" si="35"/>
        <v>TRANS-2250</v>
      </c>
    </row>
    <row r="2252" spans="1:11" x14ac:dyDescent="0.35">
      <c r="A2252" s="5">
        <v>45604</v>
      </c>
      <c r="B2252" s="3">
        <v>0.70518518518518514</v>
      </c>
      <c r="C2252" t="s">
        <v>8</v>
      </c>
      <c r="D2252" t="s">
        <v>922</v>
      </c>
      <c r="E2252" s="4">
        <v>30.86</v>
      </c>
      <c r="F2252" t="s">
        <v>36</v>
      </c>
      <c r="G2252" s="10" t="str">
        <f>TEXT(Transform_Data[[#This Row],[Date]],"mmm yyyy")</f>
        <v>Nov 2024</v>
      </c>
      <c r="H2252" s="10">
        <f>HOUR(Transform_Data[[#This Row],[Time]])</f>
        <v>16</v>
      </c>
      <c r="I2252" s="10" t="str">
        <f>IF(COUNTIF('Transform Data'!$D:$D,'Transform Data'!D2252)&gt;1,"Repeat","Single")</f>
        <v>Single</v>
      </c>
      <c r="J2252" s="10" t="str">
        <f>IF('Transform Data'!D2252="Cash","Cash",IF(COUNTIF('Transform Data'!$D:$D,'Transform Data'!D2252)&gt;1,"Repeat","Single"))</f>
        <v>Single</v>
      </c>
      <c r="K2252" s="10" t="str">
        <f t="shared" si="35"/>
        <v>TRANS-2251</v>
      </c>
    </row>
    <row r="2253" spans="1:11" x14ac:dyDescent="0.35">
      <c r="A2253" s="5">
        <v>45604</v>
      </c>
      <c r="B2253" s="3">
        <v>0.84273148148148147</v>
      </c>
      <c r="C2253" t="s">
        <v>8</v>
      </c>
      <c r="D2253" t="s">
        <v>923</v>
      </c>
      <c r="E2253" s="4">
        <v>35.76</v>
      </c>
      <c r="F2253" t="s">
        <v>15</v>
      </c>
      <c r="G2253" s="10" t="str">
        <f>TEXT(Transform_Data[[#This Row],[Date]],"mmm yyyy")</f>
        <v>Nov 2024</v>
      </c>
      <c r="H2253" s="10">
        <f>HOUR(Transform_Data[[#This Row],[Time]])</f>
        <v>20</v>
      </c>
      <c r="I2253" s="10" t="str">
        <f>IF(COUNTIF('Transform Data'!$D:$D,'Transform Data'!D2253)&gt;1,"Repeat","Single")</f>
        <v>Repeat</v>
      </c>
      <c r="J2253" s="10" t="str">
        <f>IF('Transform Data'!D2253="Cash","Cash",IF(COUNTIF('Transform Data'!$D:$D,'Transform Data'!D2253)&gt;1,"Repeat","Single"))</f>
        <v>Repeat</v>
      </c>
      <c r="K2253" s="10" t="str">
        <f t="shared" si="35"/>
        <v>TRANS-2252</v>
      </c>
    </row>
    <row r="2254" spans="1:11" x14ac:dyDescent="0.35">
      <c r="A2254" s="5">
        <v>45604</v>
      </c>
      <c r="B2254" s="3">
        <v>0.84333333333333338</v>
      </c>
      <c r="C2254" t="s">
        <v>8</v>
      </c>
      <c r="D2254" t="s">
        <v>924</v>
      </c>
      <c r="E2254" s="4">
        <v>35.76</v>
      </c>
      <c r="F2254" t="s">
        <v>15</v>
      </c>
      <c r="G2254" s="10" t="str">
        <f>TEXT(Transform_Data[[#This Row],[Date]],"mmm yyyy")</f>
        <v>Nov 2024</v>
      </c>
      <c r="H2254" s="10">
        <f>HOUR(Transform_Data[[#This Row],[Time]])</f>
        <v>20</v>
      </c>
      <c r="I2254" s="10" t="str">
        <f>IF(COUNTIF('Transform Data'!$D:$D,'Transform Data'!D2254)&gt;1,"Repeat","Single")</f>
        <v>Repeat</v>
      </c>
      <c r="J2254" s="10" t="str">
        <f>IF('Transform Data'!D2254="Cash","Cash",IF(COUNTIF('Transform Data'!$D:$D,'Transform Data'!D2254)&gt;1,"Repeat","Single"))</f>
        <v>Repeat</v>
      </c>
      <c r="K2254" s="10" t="str">
        <f t="shared" si="35"/>
        <v>TRANS-2253</v>
      </c>
    </row>
    <row r="2255" spans="1:11" x14ac:dyDescent="0.35">
      <c r="A2255" s="5">
        <v>45604</v>
      </c>
      <c r="B2255" s="3">
        <v>0.84398148148148144</v>
      </c>
      <c r="C2255" t="s">
        <v>8</v>
      </c>
      <c r="D2255" t="s">
        <v>924</v>
      </c>
      <c r="E2255" s="4">
        <v>35.76</v>
      </c>
      <c r="F2255" t="s">
        <v>15</v>
      </c>
      <c r="G2255" s="10" t="str">
        <f>TEXT(Transform_Data[[#This Row],[Date]],"mmm yyyy")</f>
        <v>Nov 2024</v>
      </c>
      <c r="H2255" s="10">
        <f>HOUR(Transform_Data[[#This Row],[Time]])</f>
        <v>20</v>
      </c>
      <c r="I2255" s="10" t="str">
        <f>IF(COUNTIF('Transform Data'!$D:$D,'Transform Data'!D2255)&gt;1,"Repeat","Single")</f>
        <v>Repeat</v>
      </c>
      <c r="J2255" s="10" t="str">
        <f>IF('Transform Data'!D2255="Cash","Cash",IF(COUNTIF('Transform Data'!$D:$D,'Transform Data'!D2255)&gt;1,"Repeat","Single"))</f>
        <v>Repeat</v>
      </c>
      <c r="K2255" s="10" t="str">
        <f t="shared" si="35"/>
        <v>TRANS-2254</v>
      </c>
    </row>
    <row r="2256" spans="1:11" x14ac:dyDescent="0.35">
      <c r="A2256" s="5">
        <v>45604</v>
      </c>
      <c r="B2256" s="3">
        <v>0.93552083333333336</v>
      </c>
      <c r="C2256" t="s">
        <v>8</v>
      </c>
      <c r="D2256" t="s">
        <v>742</v>
      </c>
      <c r="E2256" s="4">
        <v>35.76</v>
      </c>
      <c r="F2256" t="s">
        <v>32</v>
      </c>
      <c r="G2256" s="10" t="str">
        <f>TEXT(Transform_Data[[#This Row],[Date]],"mmm yyyy")</f>
        <v>Nov 2024</v>
      </c>
      <c r="H2256" s="10">
        <f>HOUR(Transform_Data[[#This Row],[Time]])</f>
        <v>22</v>
      </c>
      <c r="I2256" s="10" t="str">
        <f>IF(COUNTIF('Transform Data'!$D:$D,'Transform Data'!D2256)&gt;1,"Repeat","Single")</f>
        <v>Repeat</v>
      </c>
      <c r="J2256" s="10" t="str">
        <f>IF('Transform Data'!D2256="Cash","Cash",IF(COUNTIF('Transform Data'!$D:$D,'Transform Data'!D2256)&gt;1,"Repeat","Single"))</f>
        <v>Repeat</v>
      </c>
      <c r="K2256" s="10" t="str">
        <f t="shared" si="35"/>
        <v>TRANS-2255</v>
      </c>
    </row>
    <row r="2257" spans="1:11" x14ac:dyDescent="0.35">
      <c r="A2257" s="5">
        <v>45605</v>
      </c>
      <c r="B2257" s="3">
        <v>0.42243055555555553</v>
      </c>
      <c r="C2257" t="s">
        <v>8</v>
      </c>
      <c r="D2257" t="s">
        <v>29</v>
      </c>
      <c r="E2257" s="4">
        <v>30.86</v>
      </c>
      <c r="F2257" t="s">
        <v>36</v>
      </c>
      <c r="G2257" s="10" t="str">
        <f>TEXT(Transform_Data[[#This Row],[Date]],"mmm yyyy")</f>
        <v>Nov 2024</v>
      </c>
      <c r="H2257" s="10">
        <f>HOUR(Transform_Data[[#This Row],[Time]])</f>
        <v>10</v>
      </c>
      <c r="I2257" s="10" t="str">
        <f>IF(COUNTIF('Transform Data'!$D:$D,'Transform Data'!D2257)&gt;1,"Repeat","Single")</f>
        <v>Repeat</v>
      </c>
      <c r="J2257" s="10" t="str">
        <f>IF('Transform Data'!D2257="Cash","Cash",IF(COUNTIF('Transform Data'!$D:$D,'Transform Data'!D2257)&gt;1,"Repeat","Single"))</f>
        <v>Repeat</v>
      </c>
      <c r="K2257" s="10" t="str">
        <f t="shared" si="35"/>
        <v>TRANS-2256</v>
      </c>
    </row>
    <row r="2258" spans="1:11" x14ac:dyDescent="0.35">
      <c r="A2258" s="5">
        <v>45605</v>
      </c>
      <c r="B2258" s="3">
        <v>0.45981481481481479</v>
      </c>
      <c r="C2258" t="s">
        <v>8</v>
      </c>
      <c r="D2258" t="s">
        <v>40</v>
      </c>
      <c r="E2258" s="4">
        <v>25.96</v>
      </c>
      <c r="F2258" t="s">
        <v>20</v>
      </c>
      <c r="G2258" s="10" t="str">
        <f>TEXT(Transform_Data[[#This Row],[Date]],"mmm yyyy")</f>
        <v>Nov 2024</v>
      </c>
      <c r="H2258" s="10">
        <f>HOUR(Transform_Data[[#This Row],[Time]])</f>
        <v>11</v>
      </c>
      <c r="I2258" s="10" t="str">
        <f>IF(COUNTIF('Transform Data'!$D:$D,'Transform Data'!D2258)&gt;1,"Repeat","Single")</f>
        <v>Repeat</v>
      </c>
      <c r="J2258" s="10" t="str">
        <f>IF('Transform Data'!D2258="Cash","Cash",IF(COUNTIF('Transform Data'!$D:$D,'Transform Data'!D2258)&gt;1,"Repeat","Single"))</f>
        <v>Repeat</v>
      </c>
      <c r="K2258" s="10" t="str">
        <f t="shared" si="35"/>
        <v>TRANS-2257</v>
      </c>
    </row>
    <row r="2259" spans="1:11" x14ac:dyDescent="0.35">
      <c r="A2259" s="5">
        <v>45605</v>
      </c>
      <c r="B2259" s="3">
        <v>0.46041666666666664</v>
      </c>
      <c r="C2259" t="s">
        <v>8</v>
      </c>
      <c r="D2259" t="s">
        <v>40</v>
      </c>
      <c r="E2259" s="4">
        <v>25.96</v>
      </c>
      <c r="F2259" t="s">
        <v>20</v>
      </c>
      <c r="G2259" s="10" t="str">
        <f>TEXT(Transform_Data[[#This Row],[Date]],"mmm yyyy")</f>
        <v>Nov 2024</v>
      </c>
      <c r="H2259" s="10">
        <f>HOUR(Transform_Data[[#This Row],[Time]])</f>
        <v>11</v>
      </c>
      <c r="I2259" s="10" t="str">
        <f>IF(COUNTIF('Transform Data'!$D:$D,'Transform Data'!D2259)&gt;1,"Repeat","Single")</f>
        <v>Repeat</v>
      </c>
      <c r="J2259" s="10" t="str">
        <f>IF('Transform Data'!D2259="Cash","Cash",IF(COUNTIF('Transform Data'!$D:$D,'Transform Data'!D2259)&gt;1,"Repeat","Single"))</f>
        <v>Repeat</v>
      </c>
      <c r="K2259" s="10" t="str">
        <f t="shared" si="35"/>
        <v>TRANS-2258</v>
      </c>
    </row>
    <row r="2260" spans="1:11" x14ac:dyDescent="0.35">
      <c r="A2260" s="5">
        <v>45605</v>
      </c>
      <c r="B2260" s="3">
        <v>0.46439814814814817</v>
      </c>
      <c r="C2260" t="s">
        <v>8</v>
      </c>
      <c r="D2260" t="s">
        <v>925</v>
      </c>
      <c r="E2260" s="4">
        <v>35.76</v>
      </c>
      <c r="F2260" t="s">
        <v>32</v>
      </c>
      <c r="G2260" s="10" t="str">
        <f>TEXT(Transform_Data[[#This Row],[Date]],"mmm yyyy")</f>
        <v>Nov 2024</v>
      </c>
      <c r="H2260" s="10">
        <f>HOUR(Transform_Data[[#This Row],[Time]])</f>
        <v>11</v>
      </c>
      <c r="I2260" s="10" t="str">
        <f>IF(COUNTIF('Transform Data'!$D:$D,'Transform Data'!D2260)&gt;1,"Repeat","Single")</f>
        <v>Single</v>
      </c>
      <c r="J2260" s="10" t="str">
        <f>IF('Transform Data'!D2260="Cash","Cash",IF(COUNTIF('Transform Data'!$D:$D,'Transform Data'!D2260)&gt;1,"Repeat","Single"))</f>
        <v>Single</v>
      </c>
      <c r="K2260" s="10" t="str">
        <f t="shared" si="35"/>
        <v>TRANS-2259</v>
      </c>
    </row>
    <row r="2261" spans="1:11" x14ac:dyDescent="0.35">
      <c r="A2261" s="5">
        <v>45605</v>
      </c>
      <c r="B2261" s="3">
        <v>0.57655092592592594</v>
      </c>
      <c r="C2261" t="s">
        <v>8</v>
      </c>
      <c r="D2261" t="s">
        <v>923</v>
      </c>
      <c r="E2261" s="4">
        <v>35.76</v>
      </c>
      <c r="F2261" t="s">
        <v>15</v>
      </c>
      <c r="G2261" s="10" t="str">
        <f>TEXT(Transform_Data[[#This Row],[Date]],"mmm yyyy")</f>
        <v>Nov 2024</v>
      </c>
      <c r="H2261" s="10">
        <f>HOUR(Transform_Data[[#This Row],[Time]])</f>
        <v>13</v>
      </c>
      <c r="I2261" s="10" t="str">
        <f>IF(COUNTIF('Transform Data'!$D:$D,'Transform Data'!D2261)&gt;1,"Repeat","Single")</f>
        <v>Repeat</v>
      </c>
      <c r="J2261" s="10" t="str">
        <f>IF('Transform Data'!D2261="Cash","Cash",IF(COUNTIF('Transform Data'!$D:$D,'Transform Data'!D2261)&gt;1,"Repeat","Single"))</f>
        <v>Repeat</v>
      </c>
      <c r="K2261" s="10" t="str">
        <f t="shared" si="35"/>
        <v>TRANS-2260</v>
      </c>
    </row>
    <row r="2262" spans="1:11" x14ac:dyDescent="0.35">
      <c r="A2262" s="5">
        <v>45605</v>
      </c>
      <c r="B2262" s="3">
        <v>0.57702546296296298</v>
      </c>
      <c r="C2262" t="s">
        <v>8</v>
      </c>
      <c r="D2262" t="s">
        <v>923</v>
      </c>
      <c r="E2262" s="4">
        <v>35.76</v>
      </c>
      <c r="F2262" t="s">
        <v>15</v>
      </c>
      <c r="G2262" s="10" t="str">
        <f>TEXT(Transform_Data[[#This Row],[Date]],"mmm yyyy")</f>
        <v>Nov 2024</v>
      </c>
      <c r="H2262" s="10">
        <f>HOUR(Transform_Data[[#This Row],[Time]])</f>
        <v>13</v>
      </c>
      <c r="I2262" s="10" t="str">
        <f>IF(COUNTIF('Transform Data'!$D:$D,'Transform Data'!D2262)&gt;1,"Repeat","Single")</f>
        <v>Repeat</v>
      </c>
      <c r="J2262" s="10" t="str">
        <f>IF('Transform Data'!D2262="Cash","Cash",IF(COUNTIF('Transform Data'!$D:$D,'Transform Data'!D2262)&gt;1,"Repeat","Single"))</f>
        <v>Repeat</v>
      </c>
      <c r="K2262" s="10" t="str">
        <f t="shared" si="35"/>
        <v>TRANS-2261</v>
      </c>
    </row>
    <row r="2263" spans="1:11" x14ac:dyDescent="0.35">
      <c r="A2263" s="5">
        <v>45605</v>
      </c>
      <c r="B2263" s="3">
        <v>0.59850694444444441</v>
      </c>
      <c r="C2263" t="s">
        <v>8</v>
      </c>
      <c r="D2263" t="s">
        <v>926</v>
      </c>
      <c r="E2263" s="4">
        <v>35.76</v>
      </c>
      <c r="F2263" t="s">
        <v>15</v>
      </c>
      <c r="G2263" s="10" t="str">
        <f>TEXT(Transform_Data[[#This Row],[Date]],"mmm yyyy")</f>
        <v>Nov 2024</v>
      </c>
      <c r="H2263" s="10">
        <f>HOUR(Transform_Data[[#This Row],[Time]])</f>
        <v>14</v>
      </c>
      <c r="I2263" s="10" t="str">
        <f>IF(COUNTIF('Transform Data'!$D:$D,'Transform Data'!D2263)&gt;1,"Repeat","Single")</f>
        <v>Repeat</v>
      </c>
      <c r="J2263" s="10" t="str">
        <f>IF('Transform Data'!D2263="Cash","Cash",IF(COUNTIF('Transform Data'!$D:$D,'Transform Data'!D2263)&gt;1,"Repeat","Single"))</f>
        <v>Repeat</v>
      </c>
      <c r="K2263" s="10" t="str">
        <f t="shared" si="35"/>
        <v>TRANS-2262</v>
      </c>
    </row>
    <row r="2264" spans="1:11" x14ac:dyDescent="0.35">
      <c r="A2264" s="5">
        <v>45605</v>
      </c>
      <c r="B2264" s="3">
        <v>0.59918981481481481</v>
      </c>
      <c r="C2264" t="s">
        <v>8</v>
      </c>
      <c r="D2264" t="s">
        <v>926</v>
      </c>
      <c r="E2264" s="4">
        <v>35.76</v>
      </c>
      <c r="F2264" t="s">
        <v>15</v>
      </c>
      <c r="G2264" s="10" t="str">
        <f>TEXT(Transform_Data[[#This Row],[Date]],"mmm yyyy")</f>
        <v>Nov 2024</v>
      </c>
      <c r="H2264" s="10">
        <f>HOUR(Transform_Data[[#This Row],[Time]])</f>
        <v>14</v>
      </c>
      <c r="I2264" s="10" t="str">
        <f>IF(COUNTIF('Transform Data'!$D:$D,'Transform Data'!D2264)&gt;1,"Repeat","Single")</f>
        <v>Repeat</v>
      </c>
      <c r="J2264" s="10" t="str">
        <f>IF('Transform Data'!D2264="Cash","Cash",IF(COUNTIF('Transform Data'!$D:$D,'Transform Data'!D2264)&gt;1,"Repeat","Single"))</f>
        <v>Repeat</v>
      </c>
      <c r="K2264" s="10" t="str">
        <f t="shared" si="35"/>
        <v>TRANS-2263</v>
      </c>
    </row>
    <row r="2265" spans="1:11" x14ac:dyDescent="0.35">
      <c r="A2265" s="5">
        <v>45605</v>
      </c>
      <c r="B2265" s="3">
        <v>0.60940972222222223</v>
      </c>
      <c r="C2265" t="s">
        <v>8</v>
      </c>
      <c r="D2265" t="s">
        <v>927</v>
      </c>
      <c r="E2265" s="4">
        <v>25.96</v>
      </c>
      <c r="F2265" t="s">
        <v>28</v>
      </c>
      <c r="G2265" s="10" t="str">
        <f>TEXT(Transform_Data[[#This Row],[Date]],"mmm yyyy")</f>
        <v>Nov 2024</v>
      </c>
      <c r="H2265" s="10">
        <f>HOUR(Transform_Data[[#This Row],[Time]])</f>
        <v>14</v>
      </c>
      <c r="I2265" s="10" t="str">
        <f>IF(COUNTIF('Transform Data'!$D:$D,'Transform Data'!D2265)&gt;1,"Repeat","Single")</f>
        <v>Single</v>
      </c>
      <c r="J2265" s="10" t="str">
        <f>IF('Transform Data'!D2265="Cash","Cash",IF(COUNTIF('Transform Data'!$D:$D,'Transform Data'!D2265)&gt;1,"Repeat","Single"))</f>
        <v>Single</v>
      </c>
      <c r="K2265" s="10" t="str">
        <f t="shared" si="35"/>
        <v>TRANS-2264</v>
      </c>
    </row>
    <row r="2266" spans="1:11" x14ac:dyDescent="0.35">
      <c r="A2266" s="5">
        <v>45605</v>
      </c>
      <c r="B2266" s="3">
        <v>0.64571759259259254</v>
      </c>
      <c r="C2266" t="s">
        <v>8</v>
      </c>
      <c r="D2266" t="s">
        <v>29</v>
      </c>
      <c r="E2266" s="4">
        <v>30.86</v>
      </c>
      <c r="F2266" t="s">
        <v>36</v>
      </c>
      <c r="G2266" s="10" t="str">
        <f>TEXT(Transform_Data[[#This Row],[Date]],"mmm yyyy")</f>
        <v>Nov 2024</v>
      </c>
      <c r="H2266" s="10">
        <f>HOUR(Transform_Data[[#This Row],[Time]])</f>
        <v>15</v>
      </c>
      <c r="I2266" s="10" t="str">
        <f>IF(COUNTIF('Transform Data'!$D:$D,'Transform Data'!D2266)&gt;1,"Repeat","Single")</f>
        <v>Repeat</v>
      </c>
      <c r="J2266" s="10" t="str">
        <f>IF('Transform Data'!D2266="Cash","Cash",IF(COUNTIF('Transform Data'!$D:$D,'Transform Data'!D2266)&gt;1,"Repeat","Single"))</f>
        <v>Repeat</v>
      </c>
      <c r="K2266" s="10" t="str">
        <f t="shared" si="35"/>
        <v>TRANS-2265</v>
      </c>
    </row>
    <row r="2267" spans="1:11" x14ac:dyDescent="0.35">
      <c r="A2267" s="5">
        <v>45605</v>
      </c>
      <c r="B2267" s="3">
        <v>0.67762731481481486</v>
      </c>
      <c r="C2267" t="s">
        <v>8</v>
      </c>
      <c r="D2267" t="s">
        <v>622</v>
      </c>
      <c r="E2267" s="4">
        <v>35.76</v>
      </c>
      <c r="F2267" t="s">
        <v>32</v>
      </c>
      <c r="G2267" s="10" t="str">
        <f>TEXT(Transform_Data[[#This Row],[Date]],"mmm yyyy")</f>
        <v>Nov 2024</v>
      </c>
      <c r="H2267" s="10">
        <f>HOUR(Transform_Data[[#This Row],[Time]])</f>
        <v>16</v>
      </c>
      <c r="I2267" s="10" t="str">
        <f>IF(COUNTIF('Transform Data'!$D:$D,'Transform Data'!D2267)&gt;1,"Repeat","Single")</f>
        <v>Repeat</v>
      </c>
      <c r="J2267" s="10" t="str">
        <f>IF('Transform Data'!D2267="Cash","Cash",IF(COUNTIF('Transform Data'!$D:$D,'Transform Data'!D2267)&gt;1,"Repeat","Single"))</f>
        <v>Repeat</v>
      </c>
      <c r="K2267" s="10" t="str">
        <f t="shared" si="35"/>
        <v>TRANS-2266</v>
      </c>
    </row>
    <row r="2268" spans="1:11" x14ac:dyDescent="0.35">
      <c r="A2268" s="5">
        <v>45605</v>
      </c>
      <c r="B2268" s="3">
        <v>0.67837962962962961</v>
      </c>
      <c r="C2268" t="s">
        <v>8</v>
      </c>
      <c r="D2268" t="s">
        <v>622</v>
      </c>
      <c r="E2268" s="4">
        <v>35.76</v>
      </c>
      <c r="F2268" t="s">
        <v>10</v>
      </c>
      <c r="G2268" s="10" t="str">
        <f>TEXT(Transform_Data[[#This Row],[Date]],"mmm yyyy")</f>
        <v>Nov 2024</v>
      </c>
      <c r="H2268" s="10">
        <f>HOUR(Transform_Data[[#This Row],[Time]])</f>
        <v>16</v>
      </c>
      <c r="I2268" s="10" t="str">
        <f>IF(COUNTIF('Transform Data'!$D:$D,'Transform Data'!D2268)&gt;1,"Repeat","Single")</f>
        <v>Repeat</v>
      </c>
      <c r="J2268" s="10" t="str">
        <f>IF('Transform Data'!D2268="Cash","Cash",IF(COUNTIF('Transform Data'!$D:$D,'Transform Data'!D2268)&gt;1,"Repeat","Single"))</f>
        <v>Repeat</v>
      </c>
      <c r="K2268" s="10" t="str">
        <f t="shared" si="35"/>
        <v>TRANS-2267</v>
      </c>
    </row>
    <row r="2269" spans="1:11" x14ac:dyDescent="0.35">
      <c r="A2269" s="5">
        <v>45605</v>
      </c>
      <c r="B2269" s="3">
        <v>0.86254629629629631</v>
      </c>
      <c r="C2269" t="s">
        <v>8</v>
      </c>
      <c r="D2269" t="s">
        <v>928</v>
      </c>
      <c r="E2269" s="4">
        <v>25.96</v>
      </c>
      <c r="F2269" t="s">
        <v>28</v>
      </c>
      <c r="G2269" s="10" t="str">
        <f>TEXT(Transform_Data[[#This Row],[Date]],"mmm yyyy")</f>
        <v>Nov 2024</v>
      </c>
      <c r="H2269" s="10">
        <f>HOUR(Transform_Data[[#This Row],[Time]])</f>
        <v>20</v>
      </c>
      <c r="I2269" s="10" t="str">
        <f>IF(COUNTIF('Transform Data'!$D:$D,'Transform Data'!D2269)&gt;1,"Repeat","Single")</f>
        <v>Repeat</v>
      </c>
      <c r="J2269" s="10" t="str">
        <f>IF('Transform Data'!D2269="Cash","Cash",IF(COUNTIF('Transform Data'!$D:$D,'Transform Data'!D2269)&gt;1,"Repeat","Single"))</f>
        <v>Repeat</v>
      </c>
      <c r="K2269" s="10" t="str">
        <f t="shared" si="35"/>
        <v>TRANS-2268</v>
      </c>
    </row>
    <row r="2270" spans="1:11" x14ac:dyDescent="0.35">
      <c r="A2270" s="5">
        <v>45605</v>
      </c>
      <c r="B2270" s="3">
        <v>0.86350694444444442</v>
      </c>
      <c r="C2270" t="s">
        <v>8</v>
      </c>
      <c r="D2270" t="s">
        <v>928</v>
      </c>
      <c r="E2270" s="4">
        <v>35.76</v>
      </c>
      <c r="F2270" t="s">
        <v>32</v>
      </c>
      <c r="G2270" s="10" t="str">
        <f>TEXT(Transform_Data[[#This Row],[Date]],"mmm yyyy")</f>
        <v>Nov 2024</v>
      </c>
      <c r="H2270" s="10">
        <f>HOUR(Transform_Data[[#This Row],[Time]])</f>
        <v>20</v>
      </c>
      <c r="I2270" s="10" t="str">
        <f>IF(COUNTIF('Transform Data'!$D:$D,'Transform Data'!D2270)&gt;1,"Repeat","Single")</f>
        <v>Repeat</v>
      </c>
      <c r="J2270" s="10" t="str">
        <f>IF('Transform Data'!D2270="Cash","Cash",IF(COUNTIF('Transform Data'!$D:$D,'Transform Data'!D2270)&gt;1,"Repeat","Single"))</f>
        <v>Repeat</v>
      </c>
      <c r="K2270" s="10" t="str">
        <f t="shared" si="35"/>
        <v>TRANS-2269</v>
      </c>
    </row>
    <row r="2271" spans="1:11" x14ac:dyDescent="0.35">
      <c r="A2271" s="5">
        <v>45605</v>
      </c>
      <c r="B2271" s="3">
        <v>0.92600694444444442</v>
      </c>
      <c r="C2271" t="s">
        <v>8</v>
      </c>
      <c r="D2271" t="s">
        <v>929</v>
      </c>
      <c r="E2271" s="4">
        <v>35.76</v>
      </c>
      <c r="F2271" t="s">
        <v>10</v>
      </c>
      <c r="G2271" s="10" t="str">
        <f>TEXT(Transform_Data[[#This Row],[Date]],"mmm yyyy")</f>
        <v>Nov 2024</v>
      </c>
      <c r="H2271" s="10">
        <f>HOUR(Transform_Data[[#This Row],[Time]])</f>
        <v>22</v>
      </c>
      <c r="I2271" s="10" t="str">
        <f>IF(COUNTIF('Transform Data'!$D:$D,'Transform Data'!D2271)&gt;1,"Repeat","Single")</f>
        <v>Repeat</v>
      </c>
      <c r="J2271" s="10" t="str">
        <f>IF('Transform Data'!D2271="Cash","Cash",IF(COUNTIF('Transform Data'!$D:$D,'Transform Data'!D2271)&gt;1,"Repeat","Single"))</f>
        <v>Repeat</v>
      </c>
      <c r="K2271" s="10" t="str">
        <f t="shared" si="35"/>
        <v>TRANS-2270</v>
      </c>
    </row>
    <row r="2272" spans="1:11" x14ac:dyDescent="0.35">
      <c r="A2272" s="5">
        <v>45605</v>
      </c>
      <c r="B2272" s="3">
        <v>0.95344907407407409</v>
      </c>
      <c r="C2272" t="s">
        <v>8</v>
      </c>
      <c r="D2272" t="s">
        <v>930</v>
      </c>
      <c r="E2272" s="4">
        <v>25.96</v>
      </c>
      <c r="F2272" t="s">
        <v>28</v>
      </c>
      <c r="G2272" s="10" t="str">
        <f>TEXT(Transform_Data[[#This Row],[Date]],"mmm yyyy")</f>
        <v>Nov 2024</v>
      </c>
      <c r="H2272" s="10">
        <f>HOUR(Transform_Data[[#This Row],[Time]])</f>
        <v>22</v>
      </c>
      <c r="I2272" s="10" t="str">
        <f>IF(COUNTIF('Transform Data'!$D:$D,'Transform Data'!D2272)&gt;1,"Repeat","Single")</f>
        <v>Repeat</v>
      </c>
      <c r="J2272" s="10" t="str">
        <f>IF('Transform Data'!D2272="Cash","Cash",IF(COUNTIF('Transform Data'!$D:$D,'Transform Data'!D2272)&gt;1,"Repeat","Single"))</f>
        <v>Repeat</v>
      </c>
      <c r="K2272" s="10" t="str">
        <f t="shared" si="35"/>
        <v>TRANS-2271</v>
      </c>
    </row>
    <row r="2273" spans="1:11" x14ac:dyDescent="0.35">
      <c r="A2273" s="5">
        <v>45605</v>
      </c>
      <c r="B2273" s="3">
        <v>0.95438657407407412</v>
      </c>
      <c r="C2273" t="s">
        <v>8</v>
      </c>
      <c r="D2273" t="s">
        <v>931</v>
      </c>
      <c r="E2273" s="4">
        <v>25.96</v>
      </c>
      <c r="F2273" t="s">
        <v>28</v>
      </c>
      <c r="G2273" s="10" t="str">
        <f>TEXT(Transform_Data[[#This Row],[Date]],"mmm yyyy")</f>
        <v>Nov 2024</v>
      </c>
      <c r="H2273" s="10">
        <f>HOUR(Transform_Data[[#This Row],[Time]])</f>
        <v>22</v>
      </c>
      <c r="I2273" s="10" t="str">
        <f>IF(COUNTIF('Transform Data'!$D:$D,'Transform Data'!D2273)&gt;1,"Repeat","Single")</f>
        <v>Single</v>
      </c>
      <c r="J2273" s="10" t="str">
        <f>IF('Transform Data'!D2273="Cash","Cash",IF(COUNTIF('Transform Data'!$D:$D,'Transform Data'!D2273)&gt;1,"Repeat","Single"))</f>
        <v>Single</v>
      </c>
      <c r="K2273" s="10" t="str">
        <f t="shared" si="35"/>
        <v>TRANS-2272</v>
      </c>
    </row>
    <row r="2274" spans="1:11" x14ac:dyDescent="0.35">
      <c r="A2274" s="5">
        <v>45606</v>
      </c>
      <c r="B2274" s="3">
        <v>0.40718749999999998</v>
      </c>
      <c r="C2274" t="s">
        <v>8</v>
      </c>
      <c r="D2274" t="s">
        <v>932</v>
      </c>
      <c r="E2274" s="4">
        <v>25.96</v>
      </c>
      <c r="F2274" t="s">
        <v>28</v>
      </c>
      <c r="G2274" s="10" t="str">
        <f>TEXT(Transform_Data[[#This Row],[Date]],"mmm yyyy")</f>
        <v>Nov 2024</v>
      </c>
      <c r="H2274" s="10">
        <f>HOUR(Transform_Data[[#This Row],[Time]])</f>
        <v>9</v>
      </c>
      <c r="I2274" s="10" t="str">
        <f>IF(COUNTIF('Transform Data'!$D:$D,'Transform Data'!D2274)&gt;1,"Repeat","Single")</f>
        <v>Single</v>
      </c>
      <c r="J2274" s="10" t="str">
        <f>IF('Transform Data'!D2274="Cash","Cash",IF(COUNTIF('Transform Data'!$D:$D,'Transform Data'!D2274)&gt;1,"Repeat","Single"))</f>
        <v>Single</v>
      </c>
      <c r="K2274" s="10" t="str">
        <f t="shared" si="35"/>
        <v>TRANS-2273</v>
      </c>
    </row>
    <row r="2275" spans="1:11" x14ac:dyDescent="0.35">
      <c r="A2275" s="5">
        <v>45606</v>
      </c>
      <c r="B2275" s="3">
        <v>0.74498842592592596</v>
      </c>
      <c r="C2275" t="s">
        <v>8</v>
      </c>
      <c r="D2275" t="s">
        <v>933</v>
      </c>
      <c r="E2275" s="4">
        <v>35.76</v>
      </c>
      <c r="F2275" t="s">
        <v>10</v>
      </c>
      <c r="G2275" s="10" t="str">
        <f>TEXT(Transform_Data[[#This Row],[Date]],"mmm yyyy")</f>
        <v>Nov 2024</v>
      </c>
      <c r="H2275" s="10">
        <f>HOUR(Transform_Data[[#This Row],[Time]])</f>
        <v>17</v>
      </c>
      <c r="I2275" s="10" t="str">
        <f>IF(COUNTIF('Transform Data'!$D:$D,'Transform Data'!D2275)&gt;1,"Repeat","Single")</f>
        <v>Single</v>
      </c>
      <c r="J2275" s="10" t="str">
        <f>IF('Transform Data'!D2275="Cash","Cash",IF(COUNTIF('Transform Data'!$D:$D,'Transform Data'!D2275)&gt;1,"Repeat","Single"))</f>
        <v>Single</v>
      </c>
      <c r="K2275" s="10" t="str">
        <f t="shared" si="35"/>
        <v>TRANS-2274</v>
      </c>
    </row>
    <row r="2276" spans="1:11" x14ac:dyDescent="0.35">
      <c r="A2276" s="5">
        <v>45606</v>
      </c>
      <c r="B2276" s="3">
        <v>0.75894675925925925</v>
      </c>
      <c r="C2276" t="s">
        <v>8</v>
      </c>
      <c r="D2276" t="s">
        <v>934</v>
      </c>
      <c r="E2276" s="4">
        <v>35.76</v>
      </c>
      <c r="F2276" t="s">
        <v>15</v>
      </c>
      <c r="G2276" s="10" t="str">
        <f>TEXT(Transform_Data[[#This Row],[Date]],"mmm yyyy")</f>
        <v>Nov 2024</v>
      </c>
      <c r="H2276" s="10">
        <f>HOUR(Transform_Data[[#This Row],[Time]])</f>
        <v>18</v>
      </c>
      <c r="I2276" s="10" t="str">
        <f>IF(COUNTIF('Transform Data'!$D:$D,'Transform Data'!D2276)&gt;1,"Repeat","Single")</f>
        <v>Single</v>
      </c>
      <c r="J2276" s="10" t="str">
        <f>IF('Transform Data'!D2276="Cash","Cash",IF(COUNTIF('Transform Data'!$D:$D,'Transform Data'!D2276)&gt;1,"Repeat","Single"))</f>
        <v>Single</v>
      </c>
      <c r="K2276" s="10" t="str">
        <f t="shared" si="35"/>
        <v>TRANS-2275</v>
      </c>
    </row>
    <row r="2277" spans="1:11" x14ac:dyDescent="0.35">
      <c r="A2277" s="5">
        <v>45606</v>
      </c>
      <c r="B2277" s="3">
        <v>0.75975694444444442</v>
      </c>
      <c r="C2277" t="s">
        <v>8</v>
      </c>
      <c r="D2277" t="s">
        <v>935</v>
      </c>
      <c r="E2277" s="4">
        <v>35.76</v>
      </c>
      <c r="F2277" t="s">
        <v>15</v>
      </c>
      <c r="G2277" s="10" t="str">
        <f>TEXT(Transform_Data[[#This Row],[Date]],"mmm yyyy")</f>
        <v>Nov 2024</v>
      </c>
      <c r="H2277" s="10">
        <f>HOUR(Transform_Data[[#This Row],[Time]])</f>
        <v>18</v>
      </c>
      <c r="I2277" s="10" t="str">
        <f>IF(COUNTIF('Transform Data'!$D:$D,'Transform Data'!D2277)&gt;1,"Repeat","Single")</f>
        <v>Single</v>
      </c>
      <c r="J2277" s="10" t="str">
        <f>IF('Transform Data'!D2277="Cash","Cash",IF(COUNTIF('Transform Data'!$D:$D,'Transform Data'!D2277)&gt;1,"Repeat","Single"))</f>
        <v>Single</v>
      </c>
      <c r="K2277" s="10" t="str">
        <f t="shared" si="35"/>
        <v>TRANS-2276</v>
      </c>
    </row>
    <row r="2278" spans="1:11" x14ac:dyDescent="0.35">
      <c r="A2278" s="5">
        <v>45606</v>
      </c>
      <c r="B2278" s="3">
        <v>0.85981481481481481</v>
      </c>
      <c r="C2278" t="s">
        <v>8</v>
      </c>
      <c r="D2278" t="s">
        <v>936</v>
      </c>
      <c r="E2278" s="4">
        <v>35.76</v>
      </c>
      <c r="F2278" t="s">
        <v>24</v>
      </c>
      <c r="G2278" s="10" t="str">
        <f>TEXT(Transform_Data[[#This Row],[Date]],"mmm yyyy")</f>
        <v>Nov 2024</v>
      </c>
      <c r="H2278" s="10">
        <f>HOUR(Transform_Data[[#This Row],[Time]])</f>
        <v>20</v>
      </c>
      <c r="I2278" s="10" t="str">
        <f>IF(COUNTIF('Transform Data'!$D:$D,'Transform Data'!D2278)&gt;1,"Repeat","Single")</f>
        <v>Repeat</v>
      </c>
      <c r="J2278" s="10" t="str">
        <f>IF('Transform Data'!D2278="Cash","Cash",IF(COUNTIF('Transform Data'!$D:$D,'Transform Data'!D2278)&gt;1,"Repeat","Single"))</f>
        <v>Repeat</v>
      </c>
      <c r="K2278" s="10" t="str">
        <f t="shared" si="35"/>
        <v>TRANS-2277</v>
      </c>
    </row>
    <row r="2279" spans="1:11" x14ac:dyDescent="0.35">
      <c r="A2279" s="5">
        <v>45606</v>
      </c>
      <c r="B2279" s="3">
        <v>0.86048611111111106</v>
      </c>
      <c r="C2279" t="s">
        <v>8</v>
      </c>
      <c r="D2279" t="s">
        <v>936</v>
      </c>
      <c r="E2279" s="4">
        <v>35.76</v>
      </c>
      <c r="F2279" t="s">
        <v>24</v>
      </c>
      <c r="G2279" s="10" t="str">
        <f>TEXT(Transform_Data[[#This Row],[Date]],"mmm yyyy")</f>
        <v>Nov 2024</v>
      </c>
      <c r="H2279" s="10">
        <f>HOUR(Transform_Data[[#This Row],[Time]])</f>
        <v>20</v>
      </c>
      <c r="I2279" s="10" t="str">
        <f>IF(COUNTIF('Transform Data'!$D:$D,'Transform Data'!D2279)&gt;1,"Repeat","Single")</f>
        <v>Repeat</v>
      </c>
      <c r="J2279" s="10" t="str">
        <f>IF('Transform Data'!D2279="Cash","Cash",IF(COUNTIF('Transform Data'!$D:$D,'Transform Data'!D2279)&gt;1,"Repeat","Single"))</f>
        <v>Repeat</v>
      </c>
      <c r="K2279" s="10" t="str">
        <f t="shared" si="35"/>
        <v>TRANS-2278</v>
      </c>
    </row>
    <row r="2280" spans="1:11" x14ac:dyDescent="0.35">
      <c r="A2280" s="5">
        <v>45607</v>
      </c>
      <c r="B2280" s="3">
        <v>0.32530092592592591</v>
      </c>
      <c r="C2280" t="s">
        <v>8</v>
      </c>
      <c r="D2280" t="s">
        <v>748</v>
      </c>
      <c r="E2280" s="4">
        <v>35.76</v>
      </c>
      <c r="F2280" t="s">
        <v>24</v>
      </c>
      <c r="G2280" s="10" t="str">
        <f>TEXT(Transform_Data[[#This Row],[Date]],"mmm yyyy")</f>
        <v>Nov 2024</v>
      </c>
      <c r="H2280" s="10">
        <f>HOUR(Transform_Data[[#This Row],[Time]])</f>
        <v>7</v>
      </c>
      <c r="I2280" s="10" t="str">
        <f>IF(COUNTIF('Transform Data'!$D:$D,'Transform Data'!D2280)&gt;1,"Repeat","Single")</f>
        <v>Repeat</v>
      </c>
      <c r="J2280" s="10" t="str">
        <f>IF('Transform Data'!D2280="Cash","Cash",IF(COUNTIF('Transform Data'!$D:$D,'Transform Data'!D2280)&gt;1,"Repeat","Single"))</f>
        <v>Repeat</v>
      </c>
      <c r="K2280" s="10" t="str">
        <f t="shared" si="35"/>
        <v>TRANS-2279</v>
      </c>
    </row>
    <row r="2281" spans="1:11" x14ac:dyDescent="0.35">
      <c r="A2281" s="5">
        <v>45607</v>
      </c>
      <c r="B2281" s="3">
        <v>0.41140046296296295</v>
      </c>
      <c r="C2281" t="s">
        <v>8</v>
      </c>
      <c r="D2281" t="s">
        <v>29</v>
      </c>
      <c r="E2281" s="4">
        <v>30.86</v>
      </c>
      <c r="F2281" t="s">
        <v>36</v>
      </c>
      <c r="G2281" s="10" t="str">
        <f>TEXT(Transform_Data[[#This Row],[Date]],"mmm yyyy")</f>
        <v>Nov 2024</v>
      </c>
      <c r="H2281" s="10">
        <f>HOUR(Transform_Data[[#This Row],[Time]])</f>
        <v>9</v>
      </c>
      <c r="I2281" s="10" t="str">
        <f>IF(COUNTIF('Transform Data'!$D:$D,'Transform Data'!D2281)&gt;1,"Repeat","Single")</f>
        <v>Repeat</v>
      </c>
      <c r="J2281" s="10" t="str">
        <f>IF('Transform Data'!D2281="Cash","Cash",IF(COUNTIF('Transform Data'!$D:$D,'Transform Data'!D2281)&gt;1,"Repeat","Single"))</f>
        <v>Repeat</v>
      </c>
      <c r="K2281" s="10" t="str">
        <f t="shared" si="35"/>
        <v>TRANS-2280</v>
      </c>
    </row>
    <row r="2282" spans="1:11" x14ac:dyDescent="0.35">
      <c r="A2282" s="5">
        <v>45607</v>
      </c>
      <c r="B2282" s="3">
        <v>0.42996527777777777</v>
      </c>
      <c r="C2282" t="s">
        <v>8</v>
      </c>
      <c r="D2282" t="s">
        <v>40</v>
      </c>
      <c r="E2282" s="4">
        <v>25.96</v>
      </c>
      <c r="F2282" t="s">
        <v>20</v>
      </c>
      <c r="G2282" s="10" t="str">
        <f>TEXT(Transform_Data[[#This Row],[Date]],"mmm yyyy")</f>
        <v>Nov 2024</v>
      </c>
      <c r="H2282" s="10">
        <f>HOUR(Transform_Data[[#This Row],[Time]])</f>
        <v>10</v>
      </c>
      <c r="I2282" s="10" t="str">
        <f>IF(COUNTIF('Transform Data'!$D:$D,'Transform Data'!D2282)&gt;1,"Repeat","Single")</f>
        <v>Repeat</v>
      </c>
      <c r="J2282" s="10" t="str">
        <f>IF('Transform Data'!D2282="Cash","Cash",IF(COUNTIF('Transform Data'!$D:$D,'Transform Data'!D2282)&gt;1,"Repeat","Single"))</f>
        <v>Repeat</v>
      </c>
      <c r="K2282" s="10" t="str">
        <f t="shared" si="35"/>
        <v>TRANS-2281</v>
      </c>
    </row>
    <row r="2283" spans="1:11" x14ac:dyDescent="0.35">
      <c r="A2283" s="5">
        <v>45607</v>
      </c>
      <c r="B2283" s="3">
        <v>0.67967592592592596</v>
      </c>
      <c r="C2283" t="s">
        <v>8</v>
      </c>
      <c r="D2283" t="s">
        <v>260</v>
      </c>
      <c r="E2283" s="4">
        <v>35.76</v>
      </c>
      <c r="F2283" t="s">
        <v>24</v>
      </c>
      <c r="G2283" s="10" t="str">
        <f>TEXT(Transform_Data[[#This Row],[Date]],"mmm yyyy")</f>
        <v>Nov 2024</v>
      </c>
      <c r="H2283" s="10">
        <f>HOUR(Transform_Data[[#This Row],[Time]])</f>
        <v>16</v>
      </c>
      <c r="I2283" s="10" t="str">
        <f>IF(COUNTIF('Transform Data'!$D:$D,'Transform Data'!D2283)&gt;1,"Repeat","Single")</f>
        <v>Repeat</v>
      </c>
      <c r="J2283" s="10" t="str">
        <f>IF('Transform Data'!D2283="Cash","Cash",IF(COUNTIF('Transform Data'!$D:$D,'Transform Data'!D2283)&gt;1,"Repeat","Single"))</f>
        <v>Repeat</v>
      </c>
      <c r="K2283" s="10" t="str">
        <f t="shared" si="35"/>
        <v>TRANS-2282</v>
      </c>
    </row>
    <row r="2284" spans="1:11" x14ac:dyDescent="0.35">
      <c r="A2284" s="5">
        <v>45607</v>
      </c>
      <c r="B2284" s="3">
        <v>0.68046296296296294</v>
      </c>
      <c r="C2284" t="s">
        <v>8</v>
      </c>
      <c r="D2284" t="s">
        <v>260</v>
      </c>
      <c r="E2284" s="4">
        <v>35.76</v>
      </c>
      <c r="F2284" t="s">
        <v>15</v>
      </c>
      <c r="G2284" s="10" t="str">
        <f>TEXT(Transform_Data[[#This Row],[Date]],"mmm yyyy")</f>
        <v>Nov 2024</v>
      </c>
      <c r="H2284" s="10">
        <f>HOUR(Transform_Data[[#This Row],[Time]])</f>
        <v>16</v>
      </c>
      <c r="I2284" s="10" t="str">
        <f>IF(COUNTIF('Transform Data'!$D:$D,'Transform Data'!D2284)&gt;1,"Repeat","Single")</f>
        <v>Repeat</v>
      </c>
      <c r="J2284" s="10" t="str">
        <f>IF('Transform Data'!D2284="Cash","Cash",IF(COUNTIF('Transform Data'!$D:$D,'Transform Data'!D2284)&gt;1,"Repeat","Single"))</f>
        <v>Repeat</v>
      </c>
      <c r="K2284" s="10" t="str">
        <f t="shared" si="35"/>
        <v>TRANS-2283</v>
      </c>
    </row>
    <row r="2285" spans="1:11" x14ac:dyDescent="0.35">
      <c r="A2285" s="5">
        <v>45607</v>
      </c>
      <c r="B2285" s="3">
        <v>0.73162037037037042</v>
      </c>
      <c r="C2285" t="s">
        <v>8</v>
      </c>
      <c r="D2285" t="s">
        <v>937</v>
      </c>
      <c r="E2285" s="4">
        <v>35.76</v>
      </c>
      <c r="F2285" t="s">
        <v>24</v>
      </c>
      <c r="G2285" s="10" t="str">
        <f>TEXT(Transform_Data[[#This Row],[Date]],"mmm yyyy")</f>
        <v>Nov 2024</v>
      </c>
      <c r="H2285" s="10">
        <f>HOUR(Transform_Data[[#This Row],[Time]])</f>
        <v>17</v>
      </c>
      <c r="I2285" s="10" t="str">
        <f>IF(COUNTIF('Transform Data'!$D:$D,'Transform Data'!D2285)&gt;1,"Repeat","Single")</f>
        <v>Single</v>
      </c>
      <c r="J2285" s="10" t="str">
        <f>IF('Transform Data'!D2285="Cash","Cash",IF(COUNTIF('Transform Data'!$D:$D,'Transform Data'!D2285)&gt;1,"Repeat","Single"))</f>
        <v>Single</v>
      </c>
      <c r="K2285" s="10" t="str">
        <f t="shared" si="35"/>
        <v>TRANS-2284</v>
      </c>
    </row>
    <row r="2286" spans="1:11" x14ac:dyDescent="0.35">
      <c r="A2286" s="5">
        <v>45607</v>
      </c>
      <c r="B2286" s="3">
        <v>0.79219907407407408</v>
      </c>
      <c r="C2286" t="s">
        <v>8</v>
      </c>
      <c r="D2286" t="s">
        <v>938</v>
      </c>
      <c r="E2286" s="4">
        <v>35.76</v>
      </c>
      <c r="F2286" t="s">
        <v>32</v>
      </c>
      <c r="G2286" s="10" t="str">
        <f>TEXT(Transform_Data[[#This Row],[Date]],"mmm yyyy")</f>
        <v>Nov 2024</v>
      </c>
      <c r="H2286" s="10">
        <f>HOUR(Transform_Data[[#This Row],[Time]])</f>
        <v>19</v>
      </c>
      <c r="I2286" s="10" t="str">
        <f>IF(COUNTIF('Transform Data'!$D:$D,'Transform Data'!D2286)&gt;1,"Repeat","Single")</f>
        <v>Repeat</v>
      </c>
      <c r="J2286" s="10" t="str">
        <f>IF('Transform Data'!D2286="Cash","Cash",IF(COUNTIF('Transform Data'!$D:$D,'Transform Data'!D2286)&gt;1,"Repeat","Single"))</f>
        <v>Repeat</v>
      </c>
      <c r="K2286" s="10" t="str">
        <f t="shared" si="35"/>
        <v>TRANS-2285</v>
      </c>
    </row>
    <row r="2287" spans="1:11" x14ac:dyDescent="0.35">
      <c r="A2287" s="5">
        <v>45607</v>
      </c>
      <c r="B2287" s="3">
        <v>0.79461805555555554</v>
      </c>
      <c r="C2287" t="s">
        <v>8</v>
      </c>
      <c r="D2287" t="s">
        <v>939</v>
      </c>
      <c r="E2287" s="4">
        <v>35.76</v>
      </c>
      <c r="F2287" t="s">
        <v>15</v>
      </c>
      <c r="G2287" s="10" t="str">
        <f>TEXT(Transform_Data[[#This Row],[Date]],"mmm yyyy")</f>
        <v>Nov 2024</v>
      </c>
      <c r="H2287" s="10">
        <f>HOUR(Transform_Data[[#This Row],[Time]])</f>
        <v>19</v>
      </c>
      <c r="I2287" s="10" t="str">
        <f>IF(COUNTIF('Transform Data'!$D:$D,'Transform Data'!D2287)&gt;1,"Repeat","Single")</f>
        <v>Single</v>
      </c>
      <c r="J2287" s="10" t="str">
        <f>IF('Transform Data'!D2287="Cash","Cash",IF(COUNTIF('Transform Data'!$D:$D,'Transform Data'!D2287)&gt;1,"Repeat","Single"))</f>
        <v>Single</v>
      </c>
      <c r="K2287" s="10" t="str">
        <f t="shared" si="35"/>
        <v>TRANS-2286</v>
      </c>
    </row>
    <row r="2288" spans="1:11" x14ac:dyDescent="0.35">
      <c r="A2288" s="5">
        <v>45607</v>
      </c>
      <c r="B2288" s="3">
        <v>0.88091435185185185</v>
      </c>
      <c r="C2288" t="s">
        <v>8</v>
      </c>
      <c r="D2288" t="s">
        <v>940</v>
      </c>
      <c r="E2288" s="4">
        <v>35.76</v>
      </c>
      <c r="F2288" t="s">
        <v>32</v>
      </c>
      <c r="G2288" s="10" t="str">
        <f>TEXT(Transform_Data[[#This Row],[Date]],"mmm yyyy")</f>
        <v>Nov 2024</v>
      </c>
      <c r="H2288" s="10">
        <f>HOUR(Transform_Data[[#This Row],[Time]])</f>
        <v>21</v>
      </c>
      <c r="I2288" s="10" t="str">
        <f>IF(COUNTIF('Transform Data'!$D:$D,'Transform Data'!D2288)&gt;1,"Repeat","Single")</f>
        <v>Repeat</v>
      </c>
      <c r="J2288" s="10" t="str">
        <f>IF('Transform Data'!D2288="Cash","Cash",IF(COUNTIF('Transform Data'!$D:$D,'Transform Data'!D2288)&gt;1,"Repeat","Single"))</f>
        <v>Repeat</v>
      </c>
      <c r="K2288" s="10" t="str">
        <f t="shared" si="35"/>
        <v>TRANS-2287</v>
      </c>
    </row>
    <row r="2289" spans="1:11" x14ac:dyDescent="0.35">
      <c r="A2289" s="5">
        <v>45607</v>
      </c>
      <c r="B2289" s="3">
        <v>0.88178240740740743</v>
      </c>
      <c r="C2289" t="s">
        <v>8</v>
      </c>
      <c r="D2289" t="s">
        <v>940</v>
      </c>
      <c r="E2289" s="4">
        <v>35.76</v>
      </c>
      <c r="F2289" t="s">
        <v>32</v>
      </c>
      <c r="G2289" s="10" t="str">
        <f>TEXT(Transform_Data[[#This Row],[Date]],"mmm yyyy")</f>
        <v>Nov 2024</v>
      </c>
      <c r="H2289" s="10">
        <f>HOUR(Transform_Data[[#This Row],[Time]])</f>
        <v>21</v>
      </c>
      <c r="I2289" s="10" t="str">
        <f>IF(COUNTIF('Transform Data'!$D:$D,'Transform Data'!D2289)&gt;1,"Repeat","Single")</f>
        <v>Repeat</v>
      </c>
      <c r="J2289" s="10" t="str">
        <f>IF('Transform Data'!D2289="Cash","Cash",IF(COUNTIF('Transform Data'!$D:$D,'Transform Data'!D2289)&gt;1,"Repeat","Single"))</f>
        <v>Repeat</v>
      </c>
      <c r="K2289" s="10" t="str">
        <f t="shared" si="35"/>
        <v>TRANS-2288</v>
      </c>
    </row>
    <row r="2290" spans="1:11" x14ac:dyDescent="0.35">
      <c r="A2290" s="5">
        <v>45608</v>
      </c>
      <c r="B2290" s="3">
        <v>0.4188425925925926</v>
      </c>
      <c r="C2290" t="s">
        <v>8</v>
      </c>
      <c r="D2290" t="s">
        <v>941</v>
      </c>
      <c r="E2290" s="4">
        <v>35.76</v>
      </c>
      <c r="F2290" t="s">
        <v>32</v>
      </c>
      <c r="G2290" s="10" t="str">
        <f>TEXT(Transform_Data[[#This Row],[Date]],"mmm yyyy")</f>
        <v>Nov 2024</v>
      </c>
      <c r="H2290" s="10">
        <f>HOUR(Transform_Data[[#This Row],[Time]])</f>
        <v>10</v>
      </c>
      <c r="I2290" s="10" t="str">
        <f>IF(COUNTIF('Transform Data'!$D:$D,'Transform Data'!D2290)&gt;1,"Repeat","Single")</f>
        <v>Single</v>
      </c>
      <c r="J2290" s="10" t="str">
        <f>IF('Transform Data'!D2290="Cash","Cash",IF(COUNTIF('Transform Data'!$D:$D,'Transform Data'!D2290)&gt;1,"Repeat","Single"))</f>
        <v>Single</v>
      </c>
      <c r="K2290" s="10" t="str">
        <f t="shared" si="35"/>
        <v>TRANS-2289</v>
      </c>
    </row>
    <row r="2291" spans="1:11" x14ac:dyDescent="0.35">
      <c r="A2291" s="5">
        <v>45608</v>
      </c>
      <c r="B2291" s="3">
        <v>0.55260416666666667</v>
      </c>
      <c r="C2291" t="s">
        <v>8</v>
      </c>
      <c r="D2291" t="s">
        <v>942</v>
      </c>
      <c r="E2291" s="4">
        <v>35.76</v>
      </c>
      <c r="F2291" t="s">
        <v>32</v>
      </c>
      <c r="G2291" s="10" t="str">
        <f>TEXT(Transform_Data[[#This Row],[Date]],"mmm yyyy")</f>
        <v>Nov 2024</v>
      </c>
      <c r="H2291" s="10">
        <f>HOUR(Transform_Data[[#This Row],[Time]])</f>
        <v>13</v>
      </c>
      <c r="I2291" s="10" t="str">
        <f>IF(COUNTIF('Transform Data'!$D:$D,'Transform Data'!D2291)&gt;1,"Repeat","Single")</f>
        <v>Single</v>
      </c>
      <c r="J2291" s="10" t="str">
        <f>IF('Transform Data'!D2291="Cash","Cash",IF(COUNTIF('Transform Data'!$D:$D,'Transform Data'!D2291)&gt;1,"Repeat","Single"))</f>
        <v>Single</v>
      </c>
      <c r="K2291" s="10" t="str">
        <f t="shared" si="35"/>
        <v>TRANS-2290</v>
      </c>
    </row>
    <row r="2292" spans="1:11" x14ac:dyDescent="0.35">
      <c r="A2292" s="5">
        <v>45608</v>
      </c>
      <c r="B2292" s="3">
        <v>0.61057870370370371</v>
      </c>
      <c r="C2292" t="s">
        <v>8</v>
      </c>
      <c r="D2292" t="s">
        <v>743</v>
      </c>
      <c r="E2292" s="4">
        <v>35.76</v>
      </c>
      <c r="F2292" t="s">
        <v>32</v>
      </c>
      <c r="G2292" s="10" t="str">
        <f>TEXT(Transform_Data[[#This Row],[Date]],"mmm yyyy")</f>
        <v>Nov 2024</v>
      </c>
      <c r="H2292" s="10">
        <f>HOUR(Transform_Data[[#This Row],[Time]])</f>
        <v>14</v>
      </c>
      <c r="I2292" s="10" t="str">
        <f>IF(COUNTIF('Transform Data'!$D:$D,'Transform Data'!D2292)&gt;1,"Repeat","Single")</f>
        <v>Repeat</v>
      </c>
      <c r="J2292" s="10" t="str">
        <f>IF('Transform Data'!D2292="Cash","Cash",IF(COUNTIF('Transform Data'!$D:$D,'Transform Data'!D2292)&gt;1,"Repeat","Single"))</f>
        <v>Repeat</v>
      </c>
      <c r="K2292" s="10" t="str">
        <f t="shared" si="35"/>
        <v>TRANS-2291</v>
      </c>
    </row>
    <row r="2293" spans="1:11" x14ac:dyDescent="0.35">
      <c r="A2293" s="5">
        <v>45608</v>
      </c>
      <c r="B2293" s="3">
        <v>0.69946759259259261</v>
      </c>
      <c r="C2293" t="s">
        <v>8</v>
      </c>
      <c r="D2293" t="s">
        <v>943</v>
      </c>
      <c r="E2293" s="4">
        <v>35.76</v>
      </c>
      <c r="F2293" t="s">
        <v>15</v>
      </c>
      <c r="G2293" s="10" t="str">
        <f>TEXT(Transform_Data[[#This Row],[Date]],"mmm yyyy")</f>
        <v>Nov 2024</v>
      </c>
      <c r="H2293" s="10">
        <f>HOUR(Transform_Data[[#This Row],[Time]])</f>
        <v>16</v>
      </c>
      <c r="I2293" s="10" t="str">
        <f>IF(COUNTIF('Transform Data'!$D:$D,'Transform Data'!D2293)&gt;1,"Repeat","Single")</f>
        <v>Repeat</v>
      </c>
      <c r="J2293" s="10" t="str">
        <f>IF('Transform Data'!D2293="Cash","Cash",IF(COUNTIF('Transform Data'!$D:$D,'Transform Data'!D2293)&gt;1,"Repeat","Single"))</f>
        <v>Repeat</v>
      </c>
      <c r="K2293" s="10" t="str">
        <f t="shared" si="35"/>
        <v>TRANS-2292</v>
      </c>
    </row>
    <row r="2294" spans="1:11" x14ac:dyDescent="0.35">
      <c r="A2294" s="5">
        <v>45608</v>
      </c>
      <c r="B2294" s="3">
        <v>0.70004629629629633</v>
      </c>
      <c r="C2294" t="s">
        <v>8</v>
      </c>
      <c r="D2294" t="s">
        <v>943</v>
      </c>
      <c r="E2294" s="4">
        <v>35.76</v>
      </c>
      <c r="F2294" t="s">
        <v>15</v>
      </c>
      <c r="G2294" s="10" t="str">
        <f>TEXT(Transform_Data[[#This Row],[Date]],"mmm yyyy")</f>
        <v>Nov 2024</v>
      </c>
      <c r="H2294" s="10">
        <f>HOUR(Transform_Data[[#This Row],[Time]])</f>
        <v>16</v>
      </c>
      <c r="I2294" s="10" t="str">
        <f>IF(COUNTIF('Transform Data'!$D:$D,'Transform Data'!D2294)&gt;1,"Repeat","Single")</f>
        <v>Repeat</v>
      </c>
      <c r="J2294" s="10" t="str">
        <f>IF('Transform Data'!D2294="Cash","Cash",IF(COUNTIF('Transform Data'!$D:$D,'Transform Data'!D2294)&gt;1,"Repeat","Single"))</f>
        <v>Repeat</v>
      </c>
      <c r="K2294" s="10" t="str">
        <f t="shared" si="35"/>
        <v>TRANS-2293</v>
      </c>
    </row>
    <row r="2295" spans="1:11" x14ac:dyDescent="0.35">
      <c r="A2295" s="5">
        <v>45608</v>
      </c>
      <c r="B2295" s="3">
        <v>0.70072916666666663</v>
      </c>
      <c r="C2295" t="s">
        <v>8</v>
      </c>
      <c r="D2295" t="s">
        <v>943</v>
      </c>
      <c r="E2295" s="4">
        <v>35.76</v>
      </c>
      <c r="F2295" t="s">
        <v>10</v>
      </c>
      <c r="G2295" s="10" t="str">
        <f>TEXT(Transform_Data[[#This Row],[Date]],"mmm yyyy")</f>
        <v>Nov 2024</v>
      </c>
      <c r="H2295" s="10">
        <f>HOUR(Transform_Data[[#This Row],[Time]])</f>
        <v>16</v>
      </c>
      <c r="I2295" s="10" t="str">
        <f>IF(COUNTIF('Transform Data'!$D:$D,'Transform Data'!D2295)&gt;1,"Repeat","Single")</f>
        <v>Repeat</v>
      </c>
      <c r="J2295" s="10" t="str">
        <f>IF('Transform Data'!D2295="Cash","Cash",IF(COUNTIF('Transform Data'!$D:$D,'Transform Data'!D2295)&gt;1,"Repeat","Single"))</f>
        <v>Repeat</v>
      </c>
      <c r="K2295" s="10" t="str">
        <f t="shared" si="35"/>
        <v>TRANS-2294</v>
      </c>
    </row>
    <row r="2296" spans="1:11" x14ac:dyDescent="0.35">
      <c r="A2296" s="5">
        <v>45608</v>
      </c>
      <c r="B2296" s="3">
        <v>0.78141203703703699</v>
      </c>
      <c r="C2296" t="s">
        <v>8</v>
      </c>
      <c r="D2296" t="s">
        <v>748</v>
      </c>
      <c r="E2296" s="4">
        <v>35.76</v>
      </c>
      <c r="F2296" t="s">
        <v>24</v>
      </c>
      <c r="G2296" s="10" t="str">
        <f>TEXT(Transform_Data[[#This Row],[Date]],"mmm yyyy")</f>
        <v>Nov 2024</v>
      </c>
      <c r="H2296" s="10">
        <f>HOUR(Transform_Data[[#This Row],[Time]])</f>
        <v>18</v>
      </c>
      <c r="I2296" s="10" t="str">
        <f>IF(COUNTIF('Transform Data'!$D:$D,'Transform Data'!D2296)&gt;1,"Repeat","Single")</f>
        <v>Repeat</v>
      </c>
      <c r="J2296" s="10" t="str">
        <f>IF('Transform Data'!D2296="Cash","Cash",IF(COUNTIF('Transform Data'!$D:$D,'Transform Data'!D2296)&gt;1,"Repeat","Single"))</f>
        <v>Repeat</v>
      </c>
      <c r="K2296" s="10" t="str">
        <f t="shared" si="35"/>
        <v>TRANS-2295</v>
      </c>
    </row>
    <row r="2297" spans="1:11" x14ac:dyDescent="0.35">
      <c r="A2297" s="5">
        <v>45608</v>
      </c>
      <c r="B2297" s="3">
        <v>0.83885416666666668</v>
      </c>
      <c r="C2297" t="s">
        <v>8</v>
      </c>
      <c r="D2297" t="s">
        <v>944</v>
      </c>
      <c r="E2297" s="4">
        <v>35.76</v>
      </c>
      <c r="F2297" t="s">
        <v>32</v>
      </c>
      <c r="G2297" s="10" t="str">
        <f>TEXT(Transform_Data[[#This Row],[Date]],"mmm yyyy")</f>
        <v>Nov 2024</v>
      </c>
      <c r="H2297" s="10">
        <f>HOUR(Transform_Data[[#This Row],[Time]])</f>
        <v>20</v>
      </c>
      <c r="I2297" s="10" t="str">
        <f>IF(COUNTIF('Transform Data'!$D:$D,'Transform Data'!D2297)&gt;1,"Repeat","Single")</f>
        <v>Repeat</v>
      </c>
      <c r="J2297" s="10" t="str">
        <f>IF('Transform Data'!D2297="Cash","Cash",IF(COUNTIF('Transform Data'!$D:$D,'Transform Data'!D2297)&gt;1,"Repeat","Single"))</f>
        <v>Repeat</v>
      </c>
      <c r="K2297" s="10" t="str">
        <f t="shared" si="35"/>
        <v>TRANS-2296</v>
      </c>
    </row>
    <row r="2298" spans="1:11" x14ac:dyDescent="0.35">
      <c r="A2298" s="5">
        <v>45608</v>
      </c>
      <c r="B2298" s="3">
        <v>0.83982638888888894</v>
      </c>
      <c r="C2298" t="s">
        <v>8</v>
      </c>
      <c r="D2298" t="s">
        <v>945</v>
      </c>
      <c r="E2298" s="4">
        <v>35.76</v>
      </c>
      <c r="F2298" t="s">
        <v>10</v>
      </c>
      <c r="G2298" s="10" t="str">
        <f>TEXT(Transform_Data[[#This Row],[Date]],"mmm yyyy")</f>
        <v>Nov 2024</v>
      </c>
      <c r="H2298" s="10">
        <f>HOUR(Transform_Data[[#This Row],[Time]])</f>
        <v>20</v>
      </c>
      <c r="I2298" s="10" t="str">
        <f>IF(COUNTIF('Transform Data'!$D:$D,'Transform Data'!D2298)&gt;1,"Repeat","Single")</f>
        <v>Single</v>
      </c>
      <c r="J2298" s="10" t="str">
        <f>IF('Transform Data'!D2298="Cash","Cash",IF(COUNTIF('Transform Data'!$D:$D,'Transform Data'!D2298)&gt;1,"Repeat","Single"))</f>
        <v>Single</v>
      </c>
      <c r="K2298" s="10" t="str">
        <f t="shared" si="35"/>
        <v>TRANS-2297</v>
      </c>
    </row>
    <row r="2299" spans="1:11" x14ac:dyDescent="0.35">
      <c r="A2299" s="5">
        <v>45609</v>
      </c>
      <c r="B2299" s="3">
        <v>0.33969907407407407</v>
      </c>
      <c r="C2299" t="s">
        <v>8</v>
      </c>
      <c r="D2299" t="s">
        <v>946</v>
      </c>
      <c r="E2299" s="4">
        <v>30.86</v>
      </c>
      <c r="F2299" t="s">
        <v>36</v>
      </c>
      <c r="G2299" s="10" t="str">
        <f>TEXT(Transform_Data[[#This Row],[Date]],"mmm yyyy")</f>
        <v>Nov 2024</v>
      </c>
      <c r="H2299" s="10">
        <f>HOUR(Transform_Data[[#This Row],[Time]])</f>
        <v>8</v>
      </c>
      <c r="I2299" s="10" t="str">
        <f>IF(COUNTIF('Transform Data'!$D:$D,'Transform Data'!D2299)&gt;1,"Repeat","Single")</f>
        <v>Single</v>
      </c>
      <c r="J2299" s="10" t="str">
        <f>IF('Transform Data'!D2299="Cash","Cash",IF(COUNTIF('Transform Data'!$D:$D,'Transform Data'!D2299)&gt;1,"Repeat","Single"))</f>
        <v>Single</v>
      </c>
      <c r="K2299" s="10" t="str">
        <f t="shared" si="35"/>
        <v>TRANS-2298</v>
      </c>
    </row>
    <row r="2300" spans="1:11" x14ac:dyDescent="0.35">
      <c r="A2300" s="5">
        <v>45609</v>
      </c>
      <c r="B2300" s="3">
        <v>0.44285879629629632</v>
      </c>
      <c r="C2300" t="s">
        <v>8</v>
      </c>
      <c r="D2300" t="s">
        <v>944</v>
      </c>
      <c r="E2300" s="4">
        <v>35.76</v>
      </c>
      <c r="F2300" t="s">
        <v>32</v>
      </c>
      <c r="G2300" s="10" t="str">
        <f>TEXT(Transform_Data[[#This Row],[Date]],"mmm yyyy")</f>
        <v>Nov 2024</v>
      </c>
      <c r="H2300" s="10">
        <f>HOUR(Transform_Data[[#This Row],[Time]])</f>
        <v>10</v>
      </c>
      <c r="I2300" s="10" t="str">
        <f>IF(COUNTIF('Transform Data'!$D:$D,'Transform Data'!D2300)&gt;1,"Repeat","Single")</f>
        <v>Repeat</v>
      </c>
      <c r="J2300" s="10" t="str">
        <f>IF('Transform Data'!D2300="Cash","Cash",IF(COUNTIF('Transform Data'!$D:$D,'Transform Data'!D2300)&gt;1,"Repeat","Single"))</f>
        <v>Repeat</v>
      </c>
      <c r="K2300" s="10" t="str">
        <f t="shared" si="35"/>
        <v>TRANS-2299</v>
      </c>
    </row>
    <row r="2301" spans="1:11" x14ac:dyDescent="0.35">
      <c r="A2301" s="5">
        <v>45609</v>
      </c>
      <c r="B2301" s="3">
        <v>0.55548611111111112</v>
      </c>
      <c r="C2301" t="s">
        <v>8</v>
      </c>
      <c r="D2301" t="s">
        <v>947</v>
      </c>
      <c r="E2301" s="4">
        <v>30.86</v>
      </c>
      <c r="F2301" t="s">
        <v>36</v>
      </c>
      <c r="G2301" s="10" t="str">
        <f>TEXT(Transform_Data[[#This Row],[Date]],"mmm yyyy")</f>
        <v>Nov 2024</v>
      </c>
      <c r="H2301" s="10">
        <f>HOUR(Transform_Data[[#This Row],[Time]])</f>
        <v>13</v>
      </c>
      <c r="I2301" s="10" t="str">
        <f>IF(COUNTIF('Transform Data'!$D:$D,'Transform Data'!D2301)&gt;1,"Repeat","Single")</f>
        <v>Repeat</v>
      </c>
      <c r="J2301" s="10" t="str">
        <f>IF('Transform Data'!D2301="Cash","Cash",IF(COUNTIF('Transform Data'!$D:$D,'Transform Data'!D2301)&gt;1,"Repeat","Single"))</f>
        <v>Repeat</v>
      </c>
      <c r="K2301" s="10" t="str">
        <f t="shared" si="35"/>
        <v>TRANS-2300</v>
      </c>
    </row>
    <row r="2302" spans="1:11" x14ac:dyDescent="0.35">
      <c r="A2302" s="5">
        <v>45609</v>
      </c>
      <c r="B2302" s="3">
        <v>0.55622685185185183</v>
      </c>
      <c r="C2302" t="s">
        <v>8</v>
      </c>
      <c r="D2302" t="s">
        <v>947</v>
      </c>
      <c r="E2302" s="4">
        <v>30.86</v>
      </c>
      <c r="F2302" t="s">
        <v>36</v>
      </c>
      <c r="G2302" s="10" t="str">
        <f>TEXT(Transform_Data[[#This Row],[Date]],"mmm yyyy")</f>
        <v>Nov 2024</v>
      </c>
      <c r="H2302" s="10">
        <f>HOUR(Transform_Data[[#This Row],[Time]])</f>
        <v>13</v>
      </c>
      <c r="I2302" s="10" t="str">
        <f>IF(COUNTIF('Transform Data'!$D:$D,'Transform Data'!D2302)&gt;1,"Repeat","Single")</f>
        <v>Repeat</v>
      </c>
      <c r="J2302" s="10" t="str">
        <f>IF('Transform Data'!D2302="Cash","Cash",IF(COUNTIF('Transform Data'!$D:$D,'Transform Data'!D2302)&gt;1,"Repeat","Single"))</f>
        <v>Repeat</v>
      </c>
      <c r="K2302" s="10" t="str">
        <f t="shared" si="35"/>
        <v>TRANS-2301</v>
      </c>
    </row>
    <row r="2303" spans="1:11" x14ac:dyDescent="0.35">
      <c r="A2303" s="5">
        <v>45609</v>
      </c>
      <c r="B2303" s="3">
        <v>0.59548611111111116</v>
      </c>
      <c r="C2303" t="s">
        <v>8</v>
      </c>
      <c r="D2303" t="s">
        <v>948</v>
      </c>
      <c r="E2303" s="4">
        <v>30.86</v>
      </c>
      <c r="F2303" t="s">
        <v>36</v>
      </c>
      <c r="G2303" s="10" t="str">
        <f>TEXT(Transform_Data[[#This Row],[Date]],"mmm yyyy")</f>
        <v>Nov 2024</v>
      </c>
      <c r="H2303" s="10">
        <f>HOUR(Transform_Data[[#This Row],[Time]])</f>
        <v>14</v>
      </c>
      <c r="I2303" s="10" t="str">
        <f>IF(COUNTIF('Transform Data'!$D:$D,'Transform Data'!D2303)&gt;1,"Repeat","Single")</f>
        <v>Repeat</v>
      </c>
      <c r="J2303" s="10" t="str">
        <f>IF('Transform Data'!D2303="Cash","Cash",IF(COUNTIF('Transform Data'!$D:$D,'Transform Data'!D2303)&gt;1,"Repeat","Single"))</f>
        <v>Repeat</v>
      </c>
      <c r="K2303" s="10" t="str">
        <f t="shared" si="35"/>
        <v>TRANS-2302</v>
      </c>
    </row>
    <row r="2304" spans="1:11" x14ac:dyDescent="0.35">
      <c r="A2304" s="5">
        <v>45609</v>
      </c>
      <c r="B2304" s="3">
        <v>0.61594907407407407</v>
      </c>
      <c r="C2304" t="s">
        <v>8</v>
      </c>
      <c r="D2304" t="s">
        <v>944</v>
      </c>
      <c r="E2304" s="4">
        <v>35.76</v>
      </c>
      <c r="F2304" t="s">
        <v>32</v>
      </c>
      <c r="G2304" s="10" t="str">
        <f>TEXT(Transform_Data[[#This Row],[Date]],"mmm yyyy")</f>
        <v>Nov 2024</v>
      </c>
      <c r="H2304" s="10">
        <f>HOUR(Transform_Data[[#This Row],[Time]])</f>
        <v>14</v>
      </c>
      <c r="I2304" s="10" t="str">
        <f>IF(COUNTIF('Transform Data'!$D:$D,'Transform Data'!D2304)&gt;1,"Repeat","Single")</f>
        <v>Repeat</v>
      </c>
      <c r="J2304" s="10" t="str">
        <f>IF('Transform Data'!D2304="Cash","Cash",IF(COUNTIF('Transform Data'!$D:$D,'Transform Data'!D2304)&gt;1,"Repeat","Single"))</f>
        <v>Repeat</v>
      </c>
      <c r="K2304" s="10" t="str">
        <f t="shared" si="35"/>
        <v>TRANS-2303</v>
      </c>
    </row>
    <row r="2305" spans="1:11" x14ac:dyDescent="0.35">
      <c r="A2305" s="5">
        <v>45610</v>
      </c>
      <c r="B2305" s="3">
        <v>0.40031250000000002</v>
      </c>
      <c r="C2305" t="s">
        <v>8</v>
      </c>
      <c r="D2305" t="s">
        <v>944</v>
      </c>
      <c r="E2305" s="4">
        <v>35.76</v>
      </c>
      <c r="F2305" t="s">
        <v>32</v>
      </c>
      <c r="G2305" s="10" t="str">
        <f>TEXT(Transform_Data[[#This Row],[Date]],"mmm yyyy")</f>
        <v>Nov 2024</v>
      </c>
      <c r="H2305" s="10">
        <f>HOUR(Transform_Data[[#This Row],[Time]])</f>
        <v>9</v>
      </c>
      <c r="I2305" s="10" t="str">
        <f>IF(COUNTIF('Transform Data'!$D:$D,'Transform Data'!D2305)&gt;1,"Repeat","Single")</f>
        <v>Repeat</v>
      </c>
      <c r="J2305" s="10" t="str">
        <f>IF('Transform Data'!D2305="Cash","Cash",IF(COUNTIF('Transform Data'!$D:$D,'Transform Data'!D2305)&gt;1,"Repeat","Single"))</f>
        <v>Repeat</v>
      </c>
      <c r="K2305" s="10" t="str">
        <f t="shared" si="35"/>
        <v>TRANS-2304</v>
      </c>
    </row>
    <row r="2306" spans="1:11" x14ac:dyDescent="0.35">
      <c r="A2306" s="5">
        <v>45610</v>
      </c>
      <c r="B2306" s="3">
        <v>0.42131944444444447</v>
      </c>
      <c r="C2306" t="s">
        <v>8</v>
      </c>
      <c r="D2306" t="s">
        <v>949</v>
      </c>
      <c r="E2306" s="4">
        <v>25.96</v>
      </c>
      <c r="F2306" t="s">
        <v>28</v>
      </c>
      <c r="G2306" s="10" t="str">
        <f>TEXT(Transform_Data[[#This Row],[Date]],"mmm yyyy")</f>
        <v>Nov 2024</v>
      </c>
      <c r="H2306" s="10">
        <f>HOUR(Transform_Data[[#This Row],[Time]])</f>
        <v>10</v>
      </c>
      <c r="I2306" s="10" t="str">
        <f>IF(COUNTIF('Transform Data'!$D:$D,'Transform Data'!D2306)&gt;1,"Repeat","Single")</f>
        <v>Single</v>
      </c>
      <c r="J2306" s="10" t="str">
        <f>IF('Transform Data'!D2306="Cash","Cash",IF(COUNTIF('Transform Data'!$D:$D,'Transform Data'!D2306)&gt;1,"Repeat","Single"))</f>
        <v>Single</v>
      </c>
      <c r="K2306" s="10" t="str">
        <f t="shared" ref="K2306:K2369" si="36">"TRANS-"&amp;TEXT(ROW(A2305),"0000")</f>
        <v>TRANS-2305</v>
      </c>
    </row>
    <row r="2307" spans="1:11" x14ac:dyDescent="0.35">
      <c r="A2307" s="5">
        <v>45610</v>
      </c>
      <c r="B2307" s="3">
        <v>0.53391203703703705</v>
      </c>
      <c r="C2307" t="s">
        <v>8</v>
      </c>
      <c r="D2307" t="s">
        <v>950</v>
      </c>
      <c r="E2307" s="4">
        <v>21.06</v>
      </c>
      <c r="F2307" t="s">
        <v>5</v>
      </c>
      <c r="G2307" s="10" t="str">
        <f>TEXT(Transform_Data[[#This Row],[Date]],"mmm yyyy")</f>
        <v>Nov 2024</v>
      </c>
      <c r="H2307" s="10">
        <f>HOUR(Transform_Data[[#This Row],[Time]])</f>
        <v>12</v>
      </c>
      <c r="I2307" s="10" t="str">
        <f>IF(COUNTIF('Transform Data'!$D:$D,'Transform Data'!D2307)&gt;1,"Repeat","Single")</f>
        <v>Single</v>
      </c>
      <c r="J2307" s="10" t="str">
        <f>IF('Transform Data'!D2307="Cash","Cash",IF(COUNTIF('Transform Data'!$D:$D,'Transform Data'!D2307)&gt;1,"Repeat","Single"))</f>
        <v>Single</v>
      </c>
      <c r="K2307" s="10" t="str">
        <f t="shared" si="36"/>
        <v>TRANS-2306</v>
      </c>
    </row>
    <row r="2308" spans="1:11" x14ac:dyDescent="0.35">
      <c r="A2308" s="5">
        <v>45610</v>
      </c>
      <c r="B2308" s="3">
        <v>0.62760416666666663</v>
      </c>
      <c r="C2308" t="s">
        <v>8</v>
      </c>
      <c r="D2308" t="s">
        <v>951</v>
      </c>
      <c r="E2308" s="4">
        <v>35.76</v>
      </c>
      <c r="F2308" t="s">
        <v>24</v>
      </c>
      <c r="G2308" s="10" t="str">
        <f>TEXT(Transform_Data[[#This Row],[Date]],"mmm yyyy")</f>
        <v>Nov 2024</v>
      </c>
      <c r="H2308" s="10">
        <f>HOUR(Transform_Data[[#This Row],[Time]])</f>
        <v>15</v>
      </c>
      <c r="I2308" s="10" t="str">
        <f>IF(COUNTIF('Transform Data'!$D:$D,'Transform Data'!D2308)&gt;1,"Repeat","Single")</f>
        <v>Single</v>
      </c>
      <c r="J2308" s="10" t="str">
        <f>IF('Transform Data'!D2308="Cash","Cash",IF(COUNTIF('Transform Data'!$D:$D,'Transform Data'!D2308)&gt;1,"Repeat","Single"))</f>
        <v>Single</v>
      </c>
      <c r="K2308" s="10" t="str">
        <f t="shared" si="36"/>
        <v>TRANS-2307</v>
      </c>
    </row>
    <row r="2309" spans="1:11" x14ac:dyDescent="0.35">
      <c r="A2309" s="5">
        <v>45610</v>
      </c>
      <c r="B2309" s="3">
        <v>0.62842592592592594</v>
      </c>
      <c r="C2309" t="s">
        <v>8</v>
      </c>
      <c r="D2309" t="s">
        <v>952</v>
      </c>
      <c r="E2309" s="4">
        <v>35.76</v>
      </c>
      <c r="F2309" t="s">
        <v>32</v>
      </c>
      <c r="G2309" s="10" t="str">
        <f>TEXT(Transform_Data[[#This Row],[Date]],"mmm yyyy")</f>
        <v>Nov 2024</v>
      </c>
      <c r="H2309" s="10">
        <f>HOUR(Transform_Data[[#This Row],[Time]])</f>
        <v>15</v>
      </c>
      <c r="I2309" s="10" t="str">
        <f>IF(COUNTIF('Transform Data'!$D:$D,'Transform Data'!D2309)&gt;1,"Repeat","Single")</f>
        <v>Repeat</v>
      </c>
      <c r="J2309" s="10" t="str">
        <f>IF('Transform Data'!D2309="Cash","Cash",IF(COUNTIF('Transform Data'!$D:$D,'Transform Data'!D2309)&gt;1,"Repeat","Single"))</f>
        <v>Repeat</v>
      </c>
      <c r="K2309" s="10" t="str">
        <f t="shared" si="36"/>
        <v>TRANS-2308</v>
      </c>
    </row>
    <row r="2310" spans="1:11" x14ac:dyDescent="0.35">
      <c r="A2310" s="5">
        <v>45610</v>
      </c>
      <c r="B2310" s="3">
        <v>0.62903935185185189</v>
      </c>
      <c r="C2310" t="s">
        <v>8</v>
      </c>
      <c r="D2310" t="s">
        <v>952</v>
      </c>
      <c r="E2310" s="4">
        <v>35.76</v>
      </c>
      <c r="F2310" t="s">
        <v>24</v>
      </c>
      <c r="G2310" s="10" t="str">
        <f>TEXT(Transform_Data[[#This Row],[Date]],"mmm yyyy")</f>
        <v>Nov 2024</v>
      </c>
      <c r="H2310" s="10">
        <f>HOUR(Transform_Data[[#This Row],[Time]])</f>
        <v>15</v>
      </c>
      <c r="I2310" s="10" t="str">
        <f>IF(COUNTIF('Transform Data'!$D:$D,'Transform Data'!D2310)&gt;1,"Repeat","Single")</f>
        <v>Repeat</v>
      </c>
      <c r="J2310" s="10" t="str">
        <f>IF('Transform Data'!D2310="Cash","Cash",IF(COUNTIF('Transform Data'!$D:$D,'Transform Data'!D2310)&gt;1,"Repeat","Single"))</f>
        <v>Repeat</v>
      </c>
      <c r="K2310" s="10" t="str">
        <f t="shared" si="36"/>
        <v>TRANS-2309</v>
      </c>
    </row>
    <row r="2311" spans="1:11" x14ac:dyDescent="0.35">
      <c r="A2311" s="5">
        <v>45610</v>
      </c>
      <c r="B2311" s="3">
        <v>0.67578703703703702</v>
      </c>
      <c r="C2311" t="s">
        <v>8</v>
      </c>
      <c r="D2311" t="s">
        <v>871</v>
      </c>
      <c r="E2311" s="4">
        <v>30.86</v>
      </c>
      <c r="F2311" t="s">
        <v>36</v>
      </c>
      <c r="G2311" s="10" t="str">
        <f>TEXT(Transform_Data[[#This Row],[Date]],"mmm yyyy")</f>
        <v>Nov 2024</v>
      </c>
      <c r="H2311" s="10">
        <f>HOUR(Transform_Data[[#This Row],[Time]])</f>
        <v>16</v>
      </c>
      <c r="I2311" s="10" t="str">
        <f>IF(COUNTIF('Transform Data'!$D:$D,'Transform Data'!D2311)&gt;1,"Repeat","Single")</f>
        <v>Repeat</v>
      </c>
      <c r="J2311" s="10" t="str">
        <f>IF('Transform Data'!D2311="Cash","Cash",IF(COUNTIF('Transform Data'!$D:$D,'Transform Data'!D2311)&gt;1,"Repeat","Single"))</f>
        <v>Repeat</v>
      </c>
      <c r="K2311" s="10" t="str">
        <f t="shared" si="36"/>
        <v>TRANS-2310</v>
      </c>
    </row>
    <row r="2312" spans="1:11" x14ac:dyDescent="0.35">
      <c r="A2312" s="5">
        <v>45610</v>
      </c>
      <c r="B2312" s="3">
        <v>0.67663194444444441</v>
      </c>
      <c r="C2312" t="s">
        <v>8</v>
      </c>
      <c r="D2312" t="s">
        <v>871</v>
      </c>
      <c r="E2312" s="4">
        <v>35.76</v>
      </c>
      <c r="F2312" t="s">
        <v>24</v>
      </c>
      <c r="G2312" s="10" t="str">
        <f>TEXT(Transform_Data[[#This Row],[Date]],"mmm yyyy")</f>
        <v>Nov 2024</v>
      </c>
      <c r="H2312" s="10">
        <f>HOUR(Transform_Data[[#This Row],[Time]])</f>
        <v>16</v>
      </c>
      <c r="I2312" s="10" t="str">
        <f>IF(COUNTIF('Transform Data'!$D:$D,'Transform Data'!D2312)&gt;1,"Repeat","Single")</f>
        <v>Repeat</v>
      </c>
      <c r="J2312" s="10" t="str">
        <f>IF('Transform Data'!D2312="Cash","Cash",IF(COUNTIF('Transform Data'!$D:$D,'Transform Data'!D2312)&gt;1,"Repeat","Single"))</f>
        <v>Repeat</v>
      </c>
      <c r="K2312" s="10" t="str">
        <f t="shared" si="36"/>
        <v>TRANS-2311</v>
      </c>
    </row>
    <row r="2313" spans="1:11" x14ac:dyDescent="0.35">
      <c r="A2313" s="5">
        <v>45610</v>
      </c>
      <c r="B2313" s="3">
        <v>0.82182870370370376</v>
      </c>
      <c r="C2313" t="s">
        <v>8</v>
      </c>
      <c r="D2313" t="s">
        <v>21</v>
      </c>
      <c r="E2313" s="4">
        <v>35.76</v>
      </c>
      <c r="F2313" t="s">
        <v>15</v>
      </c>
      <c r="G2313" s="10" t="str">
        <f>TEXT(Transform_Data[[#This Row],[Date]],"mmm yyyy")</f>
        <v>Nov 2024</v>
      </c>
      <c r="H2313" s="10">
        <f>HOUR(Transform_Data[[#This Row],[Time]])</f>
        <v>19</v>
      </c>
      <c r="I2313" s="10" t="str">
        <f>IF(COUNTIF('Transform Data'!$D:$D,'Transform Data'!D2313)&gt;1,"Repeat","Single")</f>
        <v>Repeat</v>
      </c>
      <c r="J2313" s="10" t="str">
        <f>IF('Transform Data'!D2313="Cash","Cash",IF(COUNTIF('Transform Data'!$D:$D,'Transform Data'!D2313)&gt;1,"Repeat","Single"))</f>
        <v>Repeat</v>
      </c>
      <c r="K2313" s="10" t="str">
        <f t="shared" si="36"/>
        <v>TRANS-2312</v>
      </c>
    </row>
    <row r="2314" spans="1:11" x14ac:dyDescent="0.35">
      <c r="A2314" s="5">
        <v>45610</v>
      </c>
      <c r="B2314" s="3">
        <v>0.82403935185185184</v>
      </c>
      <c r="C2314" t="s">
        <v>8</v>
      </c>
      <c r="D2314" t="s">
        <v>21</v>
      </c>
      <c r="E2314" s="4">
        <v>35.76</v>
      </c>
      <c r="F2314" t="s">
        <v>15</v>
      </c>
      <c r="G2314" s="10" t="str">
        <f>TEXT(Transform_Data[[#This Row],[Date]],"mmm yyyy")</f>
        <v>Nov 2024</v>
      </c>
      <c r="H2314" s="10">
        <f>HOUR(Transform_Data[[#This Row],[Time]])</f>
        <v>19</v>
      </c>
      <c r="I2314" s="10" t="str">
        <f>IF(COUNTIF('Transform Data'!$D:$D,'Transform Data'!D2314)&gt;1,"Repeat","Single")</f>
        <v>Repeat</v>
      </c>
      <c r="J2314" s="10" t="str">
        <f>IF('Transform Data'!D2314="Cash","Cash",IF(COUNTIF('Transform Data'!$D:$D,'Transform Data'!D2314)&gt;1,"Repeat","Single"))</f>
        <v>Repeat</v>
      </c>
      <c r="K2314" s="10" t="str">
        <f t="shared" si="36"/>
        <v>TRANS-2313</v>
      </c>
    </row>
    <row r="2315" spans="1:11" x14ac:dyDescent="0.35">
      <c r="A2315" s="5">
        <v>45610</v>
      </c>
      <c r="B2315" s="3">
        <v>0.85520833333333335</v>
      </c>
      <c r="C2315" t="s">
        <v>8</v>
      </c>
      <c r="D2315" t="s">
        <v>929</v>
      </c>
      <c r="E2315" s="4">
        <v>35.76</v>
      </c>
      <c r="F2315" t="s">
        <v>10</v>
      </c>
      <c r="G2315" s="10" t="str">
        <f>TEXT(Transform_Data[[#This Row],[Date]],"mmm yyyy")</f>
        <v>Nov 2024</v>
      </c>
      <c r="H2315" s="10">
        <f>HOUR(Transform_Data[[#This Row],[Time]])</f>
        <v>20</v>
      </c>
      <c r="I2315" s="10" t="str">
        <f>IF(COUNTIF('Transform Data'!$D:$D,'Transform Data'!D2315)&gt;1,"Repeat","Single")</f>
        <v>Repeat</v>
      </c>
      <c r="J2315" s="10" t="str">
        <f>IF('Transform Data'!D2315="Cash","Cash",IF(COUNTIF('Transform Data'!$D:$D,'Transform Data'!D2315)&gt;1,"Repeat","Single"))</f>
        <v>Repeat</v>
      </c>
      <c r="K2315" s="10" t="str">
        <f t="shared" si="36"/>
        <v>TRANS-2314</v>
      </c>
    </row>
    <row r="2316" spans="1:11" x14ac:dyDescent="0.35">
      <c r="A2316" s="5">
        <v>45610</v>
      </c>
      <c r="B2316" s="3">
        <v>0.85590277777777779</v>
      </c>
      <c r="C2316" t="s">
        <v>8</v>
      </c>
      <c r="D2316" t="s">
        <v>929</v>
      </c>
      <c r="E2316" s="4">
        <v>35.76</v>
      </c>
      <c r="F2316" t="s">
        <v>15</v>
      </c>
      <c r="G2316" s="10" t="str">
        <f>TEXT(Transform_Data[[#This Row],[Date]],"mmm yyyy")</f>
        <v>Nov 2024</v>
      </c>
      <c r="H2316" s="10">
        <f>HOUR(Transform_Data[[#This Row],[Time]])</f>
        <v>20</v>
      </c>
      <c r="I2316" s="10" t="str">
        <f>IF(COUNTIF('Transform Data'!$D:$D,'Transform Data'!D2316)&gt;1,"Repeat","Single")</f>
        <v>Repeat</v>
      </c>
      <c r="J2316" s="10" t="str">
        <f>IF('Transform Data'!D2316="Cash","Cash",IF(COUNTIF('Transform Data'!$D:$D,'Transform Data'!D2316)&gt;1,"Repeat","Single"))</f>
        <v>Repeat</v>
      </c>
      <c r="K2316" s="10" t="str">
        <f t="shared" si="36"/>
        <v>TRANS-2315</v>
      </c>
    </row>
    <row r="2317" spans="1:11" x14ac:dyDescent="0.35">
      <c r="A2317" s="5">
        <v>45610</v>
      </c>
      <c r="B2317" s="3">
        <v>0.89202546296296292</v>
      </c>
      <c r="C2317" t="s">
        <v>8</v>
      </c>
      <c r="D2317" t="s">
        <v>76</v>
      </c>
      <c r="E2317" s="4">
        <v>35.76</v>
      </c>
      <c r="F2317" t="s">
        <v>32</v>
      </c>
      <c r="G2317" s="10" t="str">
        <f>TEXT(Transform_Data[[#This Row],[Date]],"mmm yyyy")</f>
        <v>Nov 2024</v>
      </c>
      <c r="H2317" s="10">
        <f>HOUR(Transform_Data[[#This Row],[Time]])</f>
        <v>21</v>
      </c>
      <c r="I2317" s="10" t="str">
        <f>IF(COUNTIF('Transform Data'!$D:$D,'Transform Data'!D2317)&gt;1,"Repeat","Single")</f>
        <v>Repeat</v>
      </c>
      <c r="J2317" s="10" t="str">
        <f>IF('Transform Data'!D2317="Cash","Cash",IF(COUNTIF('Transform Data'!$D:$D,'Transform Data'!D2317)&gt;1,"Repeat","Single"))</f>
        <v>Repeat</v>
      </c>
      <c r="K2317" s="10" t="str">
        <f t="shared" si="36"/>
        <v>TRANS-2316</v>
      </c>
    </row>
    <row r="2318" spans="1:11" x14ac:dyDescent="0.35">
      <c r="A2318" s="5">
        <v>45610</v>
      </c>
      <c r="B2318" s="3">
        <v>0.94493055555555561</v>
      </c>
      <c r="C2318" t="s">
        <v>8</v>
      </c>
      <c r="D2318" t="s">
        <v>953</v>
      </c>
      <c r="E2318" s="4">
        <v>35.76</v>
      </c>
      <c r="F2318" t="s">
        <v>32</v>
      </c>
      <c r="G2318" s="10" t="str">
        <f>TEXT(Transform_Data[[#This Row],[Date]],"mmm yyyy")</f>
        <v>Nov 2024</v>
      </c>
      <c r="H2318" s="10">
        <f>HOUR(Transform_Data[[#This Row],[Time]])</f>
        <v>22</v>
      </c>
      <c r="I2318" s="10" t="str">
        <f>IF(COUNTIF('Transform Data'!$D:$D,'Transform Data'!D2318)&gt;1,"Repeat","Single")</f>
        <v>Single</v>
      </c>
      <c r="J2318" s="10" t="str">
        <f>IF('Transform Data'!D2318="Cash","Cash",IF(COUNTIF('Transform Data'!$D:$D,'Transform Data'!D2318)&gt;1,"Repeat","Single"))</f>
        <v>Single</v>
      </c>
      <c r="K2318" s="10" t="str">
        <f t="shared" si="36"/>
        <v>TRANS-2317</v>
      </c>
    </row>
    <row r="2319" spans="1:11" x14ac:dyDescent="0.35">
      <c r="A2319" s="5">
        <v>45611</v>
      </c>
      <c r="B2319" s="3">
        <v>0.36517361111111113</v>
      </c>
      <c r="C2319" t="s">
        <v>8</v>
      </c>
      <c r="D2319" t="s">
        <v>954</v>
      </c>
      <c r="E2319" s="4">
        <v>30.86</v>
      </c>
      <c r="F2319" t="s">
        <v>36</v>
      </c>
      <c r="G2319" s="10" t="str">
        <f>TEXT(Transform_Data[[#This Row],[Date]],"mmm yyyy")</f>
        <v>Nov 2024</v>
      </c>
      <c r="H2319" s="10">
        <f>HOUR(Transform_Data[[#This Row],[Time]])</f>
        <v>8</v>
      </c>
      <c r="I2319" s="10" t="str">
        <f>IF(COUNTIF('Transform Data'!$D:$D,'Transform Data'!D2319)&gt;1,"Repeat","Single")</f>
        <v>Single</v>
      </c>
      <c r="J2319" s="10" t="str">
        <f>IF('Transform Data'!D2319="Cash","Cash",IF(COUNTIF('Transform Data'!$D:$D,'Transform Data'!D2319)&gt;1,"Repeat","Single"))</f>
        <v>Single</v>
      </c>
      <c r="K2319" s="10" t="str">
        <f t="shared" si="36"/>
        <v>TRANS-2318</v>
      </c>
    </row>
    <row r="2320" spans="1:11" x14ac:dyDescent="0.35">
      <c r="A2320" s="5">
        <v>45611</v>
      </c>
      <c r="B2320" s="3">
        <v>0.46241898148148147</v>
      </c>
      <c r="C2320" t="s">
        <v>8</v>
      </c>
      <c r="D2320" t="s">
        <v>821</v>
      </c>
      <c r="E2320" s="4">
        <v>30.86</v>
      </c>
      <c r="F2320" t="s">
        <v>36</v>
      </c>
      <c r="G2320" s="10" t="str">
        <f>TEXT(Transform_Data[[#This Row],[Date]],"mmm yyyy")</f>
        <v>Nov 2024</v>
      </c>
      <c r="H2320" s="10">
        <f>HOUR(Transform_Data[[#This Row],[Time]])</f>
        <v>11</v>
      </c>
      <c r="I2320" s="10" t="str">
        <f>IF(COUNTIF('Transform Data'!$D:$D,'Transform Data'!D2320)&gt;1,"Repeat","Single")</f>
        <v>Repeat</v>
      </c>
      <c r="J2320" s="10" t="str">
        <f>IF('Transform Data'!D2320="Cash","Cash",IF(COUNTIF('Transform Data'!$D:$D,'Transform Data'!D2320)&gt;1,"Repeat","Single"))</f>
        <v>Repeat</v>
      </c>
      <c r="K2320" s="10" t="str">
        <f t="shared" si="36"/>
        <v>TRANS-2319</v>
      </c>
    </row>
    <row r="2321" spans="1:11" x14ac:dyDescent="0.35">
      <c r="A2321" s="5">
        <v>45611</v>
      </c>
      <c r="B2321" s="3">
        <v>0.50624999999999998</v>
      </c>
      <c r="C2321" t="s">
        <v>8</v>
      </c>
      <c r="D2321" t="s">
        <v>955</v>
      </c>
      <c r="E2321" s="4">
        <v>35.76</v>
      </c>
      <c r="F2321" t="s">
        <v>10</v>
      </c>
      <c r="G2321" s="10" t="str">
        <f>TEXT(Transform_Data[[#This Row],[Date]],"mmm yyyy")</f>
        <v>Nov 2024</v>
      </c>
      <c r="H2321" s="10">
        <f>HOUR(Transform_Data[[#This Row],[Time]])</f>
        <v>12</v>
      </c>
      <c r="I2321" s="10" t="str">
        <f>IF(COUNTIF('Transform Data'!$D:$D,'Transform Data'!D2321)&gt;1,"Repeat","Single")</f>
        <v>Repeat</v>
      </c>
      <c r="J2321" s="10" t="str">
        <f>IF('Transform Data'!D2321="Cash","Cash",IF(COUNTIF('Transform Data'!$D:$D,'Transform Data'!D2321)&gt;1,"Repeat","Single"))</f>
        <v>Repeat</v>
      </c>
      <c r="K2321" s="10" t="str">
        <f t="shared" si="36"/>
        <v>TRANS-2320</v>
      </c>
    </row>
    <row r="2322" spans="1:11" x14ac:dyDescent="0.35">
      <c r="A2322" s="5">
        <v>45611</v>
      </c>
      <c r="B2322" s="3">
        <v>0.50993055555555555</v>
      </c>
      <c r="C2322" t="s">
        <v>8</v>
      </c>
      <c r="D2322" t="s">
        <v>956</v>
      </c>
      <c r="E2322" s="4">
        <v>35.76</v>
      </c>
      <c r="F2322" t="s">
        <v>10</v>
      </c>
      <c r="G2322" s="10" t="str">
        <f>TEXT(Transform_Data[[#This Row],[Date]],"mmm yyyy")</f>
        <v>Nov 2024</v>
      </c>
      <c r="H2322" s="10">
        <f>HOUR(Transform_Data[[#This Row],[Time]])</f>
        <v>12</v>
      </c>
      <c r="I2322" s="10" t="str">
        <f>IF(COUNTIF('Transform Data'!$D:$D,'Transform Data'!D2322)&gt;1,"Repeat","Single")</f>
        <v>Single</v>
      </c>
      <c r="J2322" s="10" t="str">
        <f>IF('Transform Data'!D2322="Cash","Cash",IF(COUNTIF('Transform Data'!$D:$D,'Transform Data'!D2322)&gt;1,"Repeat","Single"))</f>
        <v>Single</v>
      </c>
      <c r="K2322" s="10" t="str">
        <f t="shared" si="36"/>
        <v>TRANS-2321</v>
      </c>
    </row>
    <row r="2323" spans="1:11" x14ac:dyDescent="0.35">
      <c r="A2323" s="5">
        <v>45611</v>
      </c>
      <c r="B2323" s="3">
        <v>0.58163194444444444</v>
      </c>
      <c r="C2323" t="s">
        <v>8</v>
      </c>
      <c r="D2323" t="s">
        <v>547</v>
      </c>
      <c r="E2323" s="4">
        <v>35.76</v>
      </c>
      <c r="F2323" t="s">
        <v>32</v>
      </c>
      <c r="G2323" s="10" t="str">
        <f>TEXT(Transform_Data[[#This Row],[Date]],"mmm yyyy")</f>
        <v>Nov 2024</v>
      </c>
      <c r="H2323" s="10">
        <f>HOUR(Transform_Data[[#This Row],[Time]])</f>
        <v>13</v>
      </c>
      <c r="I2323" s="10" t="str">
        <f>IF(COUNTIF('Transform Data'!$D:$D,'Transform Data'!D2323)&gt;1,"Repeat","Single")</f>
        <v>Repeat</v>
      </c>
      <c r="J2323" s="10" t="str">
        <f>IF('Transform Data'!D2323="Cash","Cash",IF(COUNTIF('Transform Data'!$D:$D,'Transform Data'!D2323)&gt;1,"Repeat","Single"))</f>
        <v>Repeat</v>
      </c>
      <c r="K2323" s="10" t="str">
        <f t="shared" si="36"/>
        <v>TRANS-2322</v>
      </c>
    </row>
    <row r="2324" spans="1:11" x14ac:dyDescent="0.35">
      <c r="A2324" s="5">
        <v>45611</v>
      </c>
      <c r="B2324" s="3">
        <v>0.63877314814814812</v>
      </c>
      <c r="C2324" t="s">
        <v>8</v>
      </c>
      <c r="D2324" t="s">
        <v>957</v>
      </c>
      <c r="E2324" s="4">
        <v>25.96</v>
      </c>
      <c r="F2324" t="s">
        <v>28</v>
      </c>
      <c r="G2324" s="10" t="str">
        <f>TEXT(Transform_Data[[#This Row],[Date]],"mmm yyyy")</f>
        <v>Nov 2024</v>
      </c>
      <c r="H2324" s="10">
        <f>HOUR(Transform_Data[[#This Row],[Time]])</f>
        <v>15</v>
      </c>
      <c r="I2324" s="10" t="str">
        <f>IF(COUNTIF('Transform Data'!$D:$D,'Transform Data'!D2324)&gt;1,"Repeat","Single")</f>
        <v>Single</v>
      </c>
      <c r="J2324" s="10" t="str">
        <f>IF('Transform Data'!D2324="Cash","Cash",IF(COUNTIF('Transform Data'!$D:$D,'Transform Data'!D2324)&gt;1,"Repeat","Single"))</f>
        <v>Single</v>
      </c>
      <c r="K2324" s="10" t="str">
        <f t="shared" si="36"/>
        <v>TRANS-2323</v>
      </c>
    </row>
    <row r="2325" spans="1:11" x14ac:dyDescent="0.35">
      <c r="A2325" s="5">
        <v>45611</v>
      </c>
      <c r="B2325" s="3">
        <v>0.73311342592592588</v>
      </c>
      <c r="C2325" t="s">
        <v>8</v>
      </c>
      <c r="D2325" t="s">
        <v>903</v>
      </c>
      <c r="E2325" s="4">
        <v>30.86</v>
      </c>
      <c r="F2325" t="s">
        <v>36</v>
      </c>
      <c r="G2325" s="10" t="str">
        <f>TEXT(Transform_Data[[#This Row],[Date]],"mmm yyyy")</f>
        <v>Nov 2024</v>
      </c>
      <c r="H2325" s="10">
        <f>HOUR(Transform_Data[[#This Row],[Time]])</f>
        <v>17</v>
      </c>
      <c r="I2325" s="10" t="str">
        <f>IF(COUNTIF('Transform Data'!$D:$D,'Transform Data'!D2325)&gt;1,"Repeat","Single")</f>
        <v>Repeat</v>
      </c>
      <c r="J2325" s="10" t="str">
        <f>IF('Transform Data'!D2325="Cash","Cash",IF(COUNTIF('Transform Data'!$D:$D,'Transform Data'!D2325)&gt;1,"Repeat","Single"))</f>
        <v>Repeat</v>
      </c>
      <c r="K2325" s="10" t="str">
        <f t="shared" si="36"/>
        <v>TRANS-2324</v>
      </c>
    </row>
    <row r="2326" spans="1:11" x14ac:dyDescent="0.35">
      <c r="A2326" s="5">
        <v>45611</v>
      </c>
      <c r="B2326" s="3">
        <v>0.74653935185185183</v>
      </c>
      <c r="C2326" t="s">
        <v>8</v>
      </c>
      <c r="D2326" t="s">
        <v>958</v>
      </c>
      <c r="E2326" s="4">
        <v>35.76</v>
      </c>
      <c r="F2326" t="s">
        <v>32</v>
      </c>
      <c r="G2326" s="10" t="str">
        <f>TEXT(Transform_Data[[#This Row],[Date]],"mmm yyyy")</f>
        <v>Nov 2024</v>
      </c>
      <c r="H2326" s="10">
        <f>HOUR(Transform_Data[[#This Row],[Time]])</f>
        <v>17</v>
      </c>
      <c r="I2326" s="10" t="str">
        <f>IF(COUNTIF('Transform Data'!$D:$D,'Transform Data'!D2326)&gt;1,"Repeat","Single")</f>
        <v>Repeat</v>
      </c>
      <c r="J2326" s="10" t="str">
        <f>IF('Transform Data'!D2326="Cash","Cash",IF(COUNTIF('Transform Data'!$D:$D,'Transform Data'!D2326)&gt;1,"Repeat","Single"))</f>
        <v>Repeat</v>
      </c>
      <c r="K2326" s="10" t="str">
        <f t="shared" si="36"/>
        <v>TRANS-2325</v>
      </c>
    </row>
    <row r="2327" spans="1:11" x14ac:dyDescent="0.35">
      <c r="A2327" s="5">
        <v>45611</v>
      </c>
      <c r="B2327" s="3">
        <v>0.75884259259259257</v>
      </c>
      <c r="C2327" t="s">
        <v>8</v>
      </c>
      <c r="D2327" t="s">
        <v>959</v>
      </c>
      <c r="E2327" s="4">
        <v>35.76</v>
      </c>
      <c r="F2327" t="s">
        <v>15</v>
      </c>
      <c r="G2327" s="10" t="str">
        <f>TEXT(Transform_Data[[#This Row],[Date]],"mmm yyyy")</f>
        <v>Nov 2024</v>
      </c>
      <c r="H2327" s="10">
        <f>HOUR(Transform_Data[[#This Row],[Time]])</f>
        <v>18</v>
      </c>
      <c r="I2327" s="10" t="str">
        <f>IF(COUNTIF('Transform Data'!$D:$D,'Transform Data'!D2327)&gt;1,"Repeat","Single")</f>
        <v>Repeat</v>
      </c>
      <c r="J2327" s="10" t="str">
        <f>IF('Transform Data'!D2327="Cash","Cash",IF(COUNTIF('Transform Data'!$D:$D,'Transform Data'!D2327)&gt;1,"Repeat","Single"))</f>
        <v>Repeat</v>
      </c>
      <c r="K2327" s="10" t="str">
        <f t="shared" si="36"/>
        <v>TRANS-2326</v>
      </c>
    </row>
    <row r="2328" spans="1:11" x14ac:dyDescent="0.35">
      <c r="A2328" s="5">
        <v>45611</v>
      </c>
      <c r="B2328" s="3">
        <v>0.77940972222222227</v>
      </c>
      <c r="C2328" t="s">
        <v>8</v>
      </c>
      <c r="D2328" t="s">
        <v>340</v>
      </c>
      <c r="E2328" s="4">
        <v>30.86</v>
      </c>
      <c r="F2328" t="s">
        <v>36</v>
      </c>
      <c r="G2328" s="10" t="str">
        <f>TEXT(Transform_Data[[#This Row],[Date]],"mmm yyyy")</f>
        <v>Nov 2024</v>
      </c>
      <c r="H2328" s="10">
        <f>HOUR(Transform_Data[[#This Row],[Time]])</f>
        <v>18</v>
      </c>
      <c r="I2328" s="10" t="str">
        <f>IF(COUNTIF('Transform Data'!$D:$D,'Transform Data'!D2328)&gt;1,"Repeat","Single")</f>
        <v>Repeat</v>
      </c>
      <c r="J2328" s="10" t="str">
        <f>IF('Transform Data'!D2328="Cash","Cash",IF(COUNTIF('Transform Data'!$D:$D,'Transform Data'!D2328)&gt;1,"Repeat","Single"))</f>
        <v>Repeat</v>
      </c>
      <c r="K2328" s="10" t="str">
        <f t="shared" si="36"/>
        <v>TRANS-2327</v>
      </c>
    </row>
    <row r="2329" spans="1:11" x14ac:dyDescent="0.35">
      <c r="A2329" s="5">
        <v>45611</v>
      </c>
      <c r="B2329" s="3">
        <v>0.78010416666666671</v>
      </c>
      <c r="C2329" t="s">
        <v>8</v>
      </c>
      <c r="D2329" t="s">
        <v>340</v>
      </c>
      <c r="E2329" s="4">
        <v>30.86</v>
      </c>
      <c r="F2329" t="s">
        <v>36</v>
      </c>
      <c r="G2329" s="10" t="str">
        <f>TEXT(Transform_Data[[#This Row],[Date]],"mmm yyyy")</f>
        <v>Nov 2024</v>
      </c>
      <c r="H2329" s="10">
        <f>HOUR(Transform_Data[[#This Row],[Time]])</f>
        <v>18</v>
      </c>
      <c r="I2329" s="10" t="str">
        <f>IF(COUNTIF('Transform Data'!$D:$D,'Transform Data'!D2329)&gt;1,"Repeat","Single")</f>
        <v>Repeat</v>
      </c>
      <c r="J2329" s="10" t="str">
        <f>IF('Transform Data'!D2329="Cash","Cash",IF(COUNTIF('Transform Data'!$D:$D,'Transform Data'!D2329)&gt;1,"Repeat","Single"))</f>
        <v>Repeat</v>
      </c>
      <c r="K2329" s="10" t="str">
        <f t="shared" si="36"/>
        <v>TRANS-2328</v>
      </c>
    </row>
    <row r="2330" spans="1:11" x14ac:dyDescent="0.35">
      <c r="A2330" s="5">
        <v>45612</v>
      </c>
      <c r="B2330" s="3">
        <v>0.43164351851851851</v>
      </c>
      <c r="C2330" t="s">
        <v>8</v>
      </c>
      <c r="D2330" t="s">
        <v>40</v>
      </c>
      <c r="E2330" s="4">
        <v>25.96</v>
      </c>
      <c r="F2330" t="s">
        <v>20</v>
      </c>
      <c r="G2330" s="10" t="str">
        <f>TEXT(Transform_Data[[#This Row],[Date]],"mmm yyyy")</f>
        <v>Nov 2024</v>
      </c>
      <c r="H2330" s="10">
        <f>HOUR(Transform_Data[[#This Row],[Time]])</f>
        <v>10</v>
      </c>
      <c r="I2330" s="10" t="str">
        <f>IF(COUNTIF('Transform Data'!$D:$D,'Transform Data'!D2330)&gt;1,"Repeat","Single")</f>
        <v>Repeat</v>
      </c>
      <c r="J2330" s="10" t="str">
        <f>IF('Transform Data'!D2330="Cash","Cash",IF(COUNTIF('Transform Data'!$D:$D,'Transform Data'!D2330)&gt;1,"Repeat","Single"))</f>
        <v>Repeat</v>
      </c>
      <c r="K2330" s="10" t="str">
        <f t="shared" si="36"/>
        <v>TRANS-2329</v>
      </c>
    </row>
    <row r="2331" spans="1:11" x14ac:dyDescent="0.35">
      <c r="A2331" s="5">
        <v>45612</v>
      </c>
      <c r="B2331" s="3">
        <v>0.44850694444444444</v>
      </c>
      <c r="C2331" t="s">
        <v>8</v>
      </c>
      <c r="D2331" t="s">
        <v>960</v>
      </c>
      <c r="E2331" s="4">
        <v>25.96</v>
      </c>
      <c r="F2331" t="s">
        <v>20</v>
      </c>
      <c r="G2331" s="10" t="str">
        <f>TEXT(Transform_Data[[#This Row],[Date]],"mmm yyyy")</f>
        <v>Nov 2024</v>
      </c>
      <c r="H2331" s="10">
        <f>HOUR(Transform_Data[[#This Row],[Time]])</f>
        <v>10</v>
      </c>
      <c r="I2331" s="10" t="str">
        <f>IF(COUNTIF('Transform Data'!$D:$D,'Transform Data'!D2331)&gt;1,"Repeat","Single")</f>
        <v>Single</v>
      </c>
      <c r="J2331" s="10" t="str">
        <f>IF('Transform Data'!D2331="Cash","Cash",IF(COUNTIF('Transform Data'!$D:$D,'Transform Data'!D2331)&gt;1,"Repeat","Single"))</f>
        <v>Single</v>
      </c>
      <c r="K2331" s="10" t="str">
        <f t="shared" si="36"/>
        <v>TRANS-2330</v>
      </c>
    </row>
    <row r="2332" spans="1:11" x14ac:dyDescent="0.35">
      <c r="A2332" s="5">
        <v>45612</v>
      </c>
      <c r="B2332" s="3">
        <v>0.4597222222222222</v>
      </c>
      <c r="C2332" t="s">
        <v>8</v>
      </c>
      <c r="D2332" t="s">
        <v>961</v>
      </c>
      <c r="E2332" s="4">
        <v>35.76</v>
      </c>
      <c r="F2332" t="s">
        <v>15</v>
      </c>
      <c r="G2332" s="10" t="str">
        <f>TEXT(Transform_Data[[#This Row],[Date]],"mmm yyyy")</f>
        <v>Nov 2024</v>
      </c>
      <c r="H2332" s="10">
        <f>HOUR(Transform_Data[[#This Row],[Time]])</f>
        <v>11</v>
      </c>
      <c r="I2332" s="10" t="str">
        <f>IF(COUNTIF('Transform Data'!$D:$D,'Transform Data'!D2332)&gt;1,"Repeat","Single")</f>
        <v>Single</v>
      </c>
      <c r="J2332" s="10" t="str">
        <f>IF('Transform Data'!D2332="Cash","Cash",IF(COUNTIF('Transform Data'!$D:$D,'Transform Data'!D2332)&gt;1,"Repeat","Single"))</f>
        <v>Single</v>
      </c>
      <c r="K2332" s="10" t="str">
        <f t="shared" si="36"/>
        <v>TRANS-2331</v>
      </c>
    </row>
    <row r="2333" spans="1:11" x14ac:dyDescent="0.35">
      <c r="A2333" s="5">
        <v>45612</v>
      </c>
      <c r="B2333" s="3">
        <v>0.4604861111111111</v>
      </c>
      <c r="C2333" t="s">
        <v>8</v>
      </c>
      <c r="D2333" t="s">
        <v>962</v>
      </c>
      <c r="E2333" s="4">
        <v>35.76</v>
      </c>
      <c r="F2333" t="s">
        <v>32</v>
      </c>
      <c r="G2333" s="10" t="str">
        <f>TEXT(Transform_Data[[#This Row],[Date]],"mmm yyyy")</f>
        <v>Nov 2024</v>
      </c>
      <c r="H2333" s="10">
        <f>HOUR(Transform_Data[[#This Row],[Time]])</f>
        <v>11</v>
      </c>
      <c r="I2333" s="10" t="str">
        <f>IF(COUNTIF('Transform Data'!$D:$D,'Transform Data'!D2333)&gt;1,"Repeat","Single")</f>
        <v>Single</v>
      </c>
      <c r="J2333" s="10" t="str">
        <f>IF('Transform Data'!D2333="Cash","Cash",IF(COUNTIF('Transform Data'!$D:$D,'Transform Data'!D2333)&gt;1,"Repeat","Single"))</f>
        <v>Single</v>
      </c>
      <c r="K2333" s="10" t="str">
        <f t="shared" si="36"/>
        <v>TRANS-2332</v>
      </c>
    </row>
    <row r="2334" spans="1:11" x14ac:dyDescent="0.35">
      <c r="A2334" s="5">
        <v>45612</v>
      </c>
      <c r="B2334" s="3">
        <v>0.48569444444444443</v>
      </c>
      <c r="C2334" t="s">
        <v>8</v>
      </c>
      <c r="D2334" t="s">
        <v>355</v>
      </c>
      <c r="E2334" s="4">
        <v>25.96</v>
      </c>
      <c r="F2334" t="s">
        <v>28</v>
      </c>
      <c r="G2334" s="10" t="str">
        <f>TEXT(Transform_Data[[#This Row],[Date]],"mmm yyyy")</f>
        <v>Nov 2024</v>
      </c>
      <c r="H2334" s="10">
        <f>HOUR(Transform_Data[[#This Row],[Time]])</f>
        <v>11</v>
      </c>
      <c r="I2334" s="10" t="str">
        <f>IF(COUNTIF('Transform Data'!$D:$D,'Transform Data'!D2334)&gt;1,"Repeat","Single")</f>
        <v>Repeat</v>
      </c>
      <c r="J2334" s="10" t="str">
        <f>IF('Transform Data'!D2334="Cash","Cash",IF(COUNTIF('Transform Data'!$D:$D,'Transform Data'!D2334)&gt;1,"Repeat","Single"))</f>
        <v>Repeat</v>
      </c>
      <c r="K2334" s="10" t="str">
        <f t="shared" si="36"/>
        <v>TRANS-2333</v>
      </c>
    </row>
    <row r="2335" spans="1:11" x14ac:dyDescent="0.35">
      <c r="A2335" s="5">
        <v>45612</v>
      </c>
      <c r="B2335" s="3">
        <v>0.52099537037037036</v>
      </c>
      <c r="C2335" t="s">
        <v>8</v>
      </c>
      <c r="D2335" t="s">
        <v>963</v>
      </c>
      <c r="E2335" s="4">
        <v>35.76</v>
      </c>
      <c r="F2335" t="s">
        <v>24</v>
      </c>
      <c r="G2335" s="10" t="str">
        <f>TEXT(Transform_Data[[#This Row],[Date]],"mmm yyyy")</f>
        <v>Nov 2024</v>
      </c>
      <c r="H2335" s="10">
        <f>HOUR(Transform_Data[[#This Row],[Time]])</f>
        <v>12</v>
      </c>
      <c r="I2335" s="10" t="str">
        <f>IF(COUNTIF('Transform Data'!$D:$D,'Transform Data'!D2335)&gt;1,"Repeat","Single")</f>
        <v>Single</v>
      </c>
      <c r="J2335" s="10" t="str">
        <f>IF('Transform Data'!D2335="Cash","Cash",IF(COUNTIF('Transform Data'!$D:$D,'Transform Data'!D2335)&gt;1,"Repeat","Single"))</f>
        <v>Single</v>
      </c>
      <c r="K2335" s="10" t="str">
        <f t="shared" si="36"/>
        <v>TRANS-2334</v>
      </c>
    </row>
    <row r="2336" spans="1:11" x14ac:dyDescent="0.35">
      <c r="A2336" s="5">
        <v>45612</v>
      </c>
      <c r="B2336" s="3">
        <v>0.52210648148148153</v>
      </c>
      <c r="C2336" t="s">
        <v>8</v>
      </c>
      <c r="D2336" t="s">
        <v>964</v>
      </c>
      <c r="E2336" s="4">
        <v>30.86</v>
      </c>
      <c r="F2336" t="s">
        <v>36</v>
      </c>
      <c r="G2336" s="10" t="str">
        <f>TEXT(Transform_Data[[#This Row],[Date]],"mmm yyyy")</f>
        <v>Nov 2024</v>
      </c>
      <c r="H2336" s="10">
        <f>HOUR(Transform_Data[[#This Row],[Time]])</f>
        <v>12</v>
      </c>
      <c r="I2336" s="10" t="str">
        <f>IF(COUNTIF('Transform Data'!$D:$D,'Transform Data'!D2336)&gt;1,"Repeat","Single")</f>
        <v>Single</v>
      </c>
      <c r="J2336" s="10" t="str">
        <f>IF('Transform Data'!D2336="Cash","Cash",IF(COUNTIF('Transform Data'!$D:$D,'Transform Data'!D2336)&gt;1,"Repeat","Single"))</f>
        <v>Single</v>
      </c>
      <c r="K2336" s="10" t="str">
        <f t="shared" si="36"/>
        <v>TRANS-2335</v>
      </c>
    </row>
    <row r="2337" spans="1:11" x14ac:dyDescent="0.35">
      <c r="A2337" s="5">
        <v>45612</v>
      </c>
      <c r="B2337" s="3">
        <v>0.53373842592592591</v>
      </c>
      <c r="C2337" t="s">
        <v>8</v>
      </c>
      <c r="D2337" t="s">
        <v>965</v>
      </c>
      <c r="E2337" s="4">
        <v>35.76</v>
      </c>
      <c r="F2337" t="s">
        <v>32</v>
      </c>
      <c r="G2337" s="10" t="str">
        <f>TEXT(Transform_Data[[#This Row],[Date]],"mmm yyyy")</f>
        <v>Nov 2024</v>
      </c>
      <c r="H2337" s="10">
        <f>HOUR(Transform_Data[[#This Row],[Time]])</f>
        <v>12</v>
      </c>
      <c r="I2337" s="10" t="str">
        <f>IF(COUNTIF('Transform Data'!$D:$D,'Transform Data'!D2337)&gt;1,"Repeat","Single")</f>
        <v>Repeat</v>
      </c>
      <c r="J2337" s="10" t="str">
        <f>IF('Transform Data'!D2337="Cash","Cash",IF(COUNTIF('Transform Data'!$D:$D,'Transform Data'!D2337)&gt;1,"Repeat","Single"))</f>
        <v>Repeat</v>
      </c>
      <c r="K2337" s="10" t="str">
        <f t="shared" si="36"/>
        <v>TRANS-2336</v>
      </c>
    </row>
    <row r="2338" spans="1:11" x14ac:dyDescent="0.35">
      <c r="A2338" s="5">
        <v>45612</v>
      </c>
      <c r="B2338" s="3">
        <v>0.53443287037037035</v>
      </c>
      <c r="C2338" t="s">
        <v>8</v>
      </c>
      <c r="D2338" t="s">
        <v>965</v>
      </c>
      <c r="E2338" s="4">
        <v>35.76</v>
      </c>
      <c r="F2338" t="s">
        <v>32</v>
      </c>
      <c r="G2338" s="10" t="str">
        <f>TEXT(Transform_Data[[#This Row],[Date]],"mmm yyyy")</f>
        <v>Nov 2024</v>
      </c>
      <c r="H2338" s="10">
        <f>HOUR(Transform_Data[[#This Row],[Time]])</f>
        <v>12</v>
      </c>
      <c r="I2338" s="10" t="str">
        <f>IF(COUNTIF('Transform Data'!$D:$D,'Transform Data'!D2338)&gt;1,"Repeat","Single")</f>
        <v>Repeat</v>
      </c>
      <c r="J2338" s="10" t="str">
        <f>IF('Transform Data'!D2338="Cash","Cash",IF(COUNTIF('Transform Data'!$D:$D,'Transform Data'!D2338)&gt;1,"Repeat","Single"))</f>
        <v>Repeat</v>
      </c>
      <c r="K2338" s="10" t="str">
        <f t="shared" si="36"/>
        <v>TRANS-2337</v>
      </c>
    </row>
    <row r="2339" spans="1:11" x14ac:dyDescent="0.35">
      <c r="A2339" s="5">
        <v>45612</v>
      </c>
      <c r="B2339" s="3">
        <v>0.55341435185185184</v>
      </c>
      <c r="C2339" t="s">
        <v>8</v>
      </c>
      <c r="D2339" t="s">
        <v>871</v>
      </c>
      <c r="E2339" s="4">
        <v>30.86</v>
      </c>
      <c r="F2339" t="s">
        <v>36</v>
      </c>
      <c r="G2339" s="10" t="str">
        <f>TEXT(Transform_Data[[#This Row],[Date]],"mmm yyyy")</f>
        <v>Nov 2024</v>
      </c>
      <c r="H2339" s="10">
        <f>HOUR(Transform_Data[[#This Row],[Time]])</f>
        <v>13</v>
      </c>
      <c r="I2339" s="10" t="str">
        <f>IF(COUNTIF('Transform Data'!$D:$D,'Transform Data'!D2339)&gt;1,"Repeat","Single")</f>
        <v>Repeat</v>
      </c>
      <c r="J2339" s="10" t="str">
        <f>IF('Transform Data'!D2339="Cash","Cash",IF(COUNTIF('Transform Data'!$D:$D,'Transform Data'!D2339)&gt;1,"Repeat","Single"))</f>
        <v>Repeat</v>
      </c>
      <c r="K2339" s="10" t="str">
        <f t="shared" si="36"/>
        <v>TRANS-2338</v>
      </c>
    </row>
    <row r="2340" spans="1:11" x14ac:dyDescent="0.35">
      <c r="A2340" s="5">
        <v>45612</v>
      </c>
      <c r="B2340" s="3">
        <v>0.5541666666666667</v>
      </c>
      <c r="C2340" t="s">
        <v>8</v>
      </c>
      <c r="D2340" t="s">
        <v>966</v>
      </c>
      <c r="E2340" s="4">
        <v>35.76</v>
      </c>
      <c r="F2340" t="s">
        <v>32</v>
      </c>
      <c r="G2340" s="10" t="str">
        <f>TEXT(Transform_Data[[#This Row],[Date]],"mmm yyyy")</f>
        <v>Nov 2024</v>
      </c>
      <c r="H2340" s="10">
        <f>HOUR(Transform_Data[[#This Row],[Time]])</f>
        <v>13</v>
      </c>
      <c r="I2340" s="10" t="str">
        <f>IF(COUNTIF('Transform Data'!$D:$D,'Transform Data'!D2340)&gt;1,"Repeat","Single")</f>
        <v>Repeat</v>
      </c>
      <c r="J2340" s="10" t="str">
        <f>IF('Transform Data'!D2340="Cash","Cash",IF(COUNTIF('Transform Data'!$D:$D,'Transform Data'!D2340)&gt;1,"Repeat","Single"))</f>
        <v>Repeat</v>
      </c>
      <c r="K2340" s="10" t="str">
        <f t="shared" si="36"/>
        <v>TRANS-2339</v>
      </c>
    </row>
    <row r="2341" spans="1:11" x14ac:dyDescent="0.35">
      <c r="A2341" s="5">
        <v>45612</v>
      </c>
      <c r="B2341" s="3">
        <v>0.55496527777777782</v>
      </c>
      <c r="C2341" t="s">
        <v>8</v>
      </c>
      <c r="D2341" t="s">
        <v>966</v>
      </c>
      <c r="E2341" s="4">
        <v>35.76</v>
      </c>
      <c r="F2341" t="s">
        <v>32</v>
      </c>
      <c r="G2341" s="10" t="str">
        <f>TEXT(Transform_Data[[#This Row],[Date]],"mmm yyyy")</f>
        <v>Nov 2024</v>
      </c>
      <c r="H2341" s="10">
        <f>HOUR(Transform_Data[[#This Row],[Time]])</f>
        <v>13</v>
      </c>
      <c r="I2341" s="10" t="str">
        <f>IF(COUNTIF('Transform Data'!$D:$D,'Transform Data'!D2341)&gt;1,"Repeat","Single")</f>
        <v>Repeat</v>
      </c>
      <c r="J2341" s="10" t="str">
        <f>IF('Transform Data'!D2341="Cash","Cash",IF(COUNTIF('Transform Data'!$D:$D,'Transform Data'!D2341)&gt;1,"Repeat","Single"))</f>
        <v>Repeat</v>
      </c>
      <c r="K2341" s="10" t="str">
        <f t="shared" si="36"/>
        <v>TRANS-2340</v>
      </c>
    </row>
    <row r="2342" spans="1:11" x14ac:dyDescent="0.35">
      <c r="A2342" s="5">
        <v>45612</v>
      </c>
      <c r="B2342" s="3">
        <v>0.60123842592592591</v>
      </c>
      <c r="C2342" t="s">
        <v>8</v>
      </c>
      <c r="D2342" t="s">
        <v>967</v>
      </c>
      <c r="E2342" s="4">
        <v>30.86</v>
      </c>
      <c r="F2342" t="s">
        <v>36</v>
      </c>
      <c r="G2342" s="10" t="str">
        <f>TEXT(Transform_Data[[#This Row],[Date]],"mmm yyyy")</f>
        <v>Nov 2024</v>
      </c>
      <c r="H2342" s="10">
        <f>HOUR(Transform_Data[[#This Row],[Time]])</f>
        <v>14</v>
      </c>
      <c r="I2342" s="10" t="str">
        <f>IF(COUNTIF('Transform Data'!$D:$D,'Transform Data'!D2342)&gt;1,"Repeat","Single")</f>
        <v>Single</v>
      </c>
      <c r="J2342" s="10" t="str">
        <f>IF('Transform Data'!D2342="Cash","Cash",IF(COUNTIF('Transform Data'!$D:$D,'Transform Data'!D2342)&gt;1,"Repeat","Single"))</f>
        <v>Single</v>
      </c>
      <c r="K2342" s="10" t="str">
        <f t="shared" si="36"/>
        <v>TRANS-2341</v>
      </c>
    </row>
    <row r="2343" spans="1:11" x14ac:dyDescent="0.35">
      <c r="A2343" s="5">
        <v>45613</v>
      </c>
      <c r="B2343" s="3">
        <v>0.43722222222222223</v>
      </c>
      <c r="C2343" t="s">
        <v>8</v>
      </c>
      <c r="D2343" t="s">
        <v>968</v>
      </c>
      <c r="E2343" s="4">
        <v>30.86</v>
      </c>
      <c r="F2343" t="s">
        <v>36</v>
      </c>
      <c r="G2343" s="10" t="str">
        <f>TEXT(Transform_Data[[#This Row],[Date]],"mmm yyyy")</f>
        <v>Nov 2024</v>
      </c>
      <c r="H2343" s="10">
        <f>HOUR(Transform_Data[[#This Row],[Time]])</f>
        <v>10</v>
      </c>
      <c r="I2343" s="10" t="str">
        <f>IF(COUNTIF('Transform Data'!$D:$D,'Transform Data'!D2343)&gt;1,"Repeat","Single")</f>
        <v>Single</v>
      </c>
      <c r="J2343" s="10" t="str">
        <f>IF('Transform Data'!D2343="Cash","Cash",IF(COUNTIF('Transform Data'!$D:$D,'Transform Data'!D2343)&gt;1,"Repeat","Single"))</f>
        <v>Single</v>
      </c>
      <c r="K2343" s="10" t="str">
        <f t="shared" si="36"/>
        <v>TRANS-2342</v>
      </c>
    </row>
    <row r="2344" spans="1:11" x14ac:dyDescent="0.35">
      <c r="A2344" s="5">
        <v>45613</v>
      </c>
      <c r="B2344" s="3">
        <v>0.56619212962962961</v>
      </c>
      <c r="C2344" t="s">
        <v>8</v>
      </c>
      <c r="D2344" t="s">
        <v>969</v>
      </c>
      <c r="E2344" s="4">
        <v>30.86</v>
      </c>
      <c r="F2344" t="s">
        <v>36</v>
      </c>
      <c r="G2344" s="10" t="str">
        <f>TEXT(Transform_Data[[#This Row],[Date]],"mmm yyyy")</f>
        <v>Nov 2024</v>
      </c>
      <c r="H2344" s="10">
        <f>HOUR(Transform_Data[[#This Row],[Time]])</f>
        <v>13</v>
      </c>
      <c r="I2344" s="10" t="str">
        <f>IF(COUNTIF('Transform Data'!$D:$D,'Transform Data'!D2344)&gt;1,"Repeat","Single")</f>
        <v>Single</v>
      </c>
      <c r="J2344" s="10" t="str">
        <f>IF('Transform Data'!D2344="Cash","Cash",IF(COUNTIF('Transform Data'!$D:$D,'Transform Data'!D2344)&gt;1,"Repeat","Single"))</f>
        <v>Single</v>
      </c>
      <c r="K2344" s="10" t="str">
        <f t="shared" si="36"/>
        <v>TRANS-2343</v>
      </c>
    </row>
    <row r="2345" spans="1:11" x14ac:dyDescent="0.35">
      <c r="A2345" s="5">
        <v>45613</v>
      </c>
      <c r="B2345" s="3">
        <v>0.59630787037037036</v>
      </c>
      <c r="C2345" t="s">
        <v>8</v>
      </c>
      <c r="D2345" t="s">
        <v>970</v>
      </c>
      <c r="E2345" s="4">
        <v>25.96</v>
      </c>
      <c r="F2345" t="s">
        <v>28</v>
      </c>
      <c r="G2345" s="10" t="str">
        <f>TEXT(Transform_Data[[#This Row],[Date]],"mmm yyyy")</f>
        <v>Nov 2024</v>
      </c>
      <c r="H2345" s="10">
        <f>HOUR(Transform_Data[[#This Row],[Time]])</f>
        <v>14</v>
      </c>
      <c r="I2345" s="10" t="str">
        <f>IF(COUNTIF('Transform Data'!$D:$D,'Transform Data'!D2345)&gt;1,"Repeat","Single")</f>
        <v>Single</v>
      </c>
      <c r="J2345" s="10" t="str">
        <f>IF('Transform Data'!D2345="Cash","Cash",IF(COUNTIF('Transform Data'!$D:$D,'Transform Data'!D2345)&gt;1,"Repeat","Single"))</f>
        <v>Single</v>
      </c>
      <c r="K2345" s="10" t="str">
        <f t="shared" si="36"/>
        <v>TRANS-2344</v>
      </c>
    </row>
    <row r="2346" spans="1:11" x14ac:dyDescent="0.35">
      <c r="A2346" s="5">
        <v>45613</v>
      </c>
      <c r="B2346" s="3">
        <v>0.60671296296296295</v>
      </c>
      <c r="C2346" t="s">
        <v>8</v>
      </c>
      <c r="D2346" t="s">
        <v>971</v>
      </c>
      <c r="E2346" s="4">
        <v>30.86</v>
      </c>
      <c r="F2346" t="s">
        <v>36</v>
      </c>
      <c r="G2346" s="10" t="str">
        <f>TEXT(Transform_Data[[#This Row],[Date]],"mmm yyyy")</f>
        <v>Nov 2024</v>
      </c>
      <c r="H2346" s="10">
        <f>HOUR(Transform_Data[[#This Row],[Time]])</f>
        <v>14</v>
      </c>
      <c r="I2346" s="10" t="str">
        <f>IF(COUNTIF('Transform Data'!$D:$D,'Transform Data'!D2346)&gt;1,"Repeat","Single")</f>
        <v>Single</v>
      </c>
      <c r="J2346" s="10" t="str">
        <f>IF('Transform Data'!D2346="Cash","Cash",IF(COUNTIF('Transform Data'!$D:$D,'Transform Data'!D2346)&gt;1,"Repeat","Single"))</f>
        <v>Single</v>
      </c>
      <c r="K2346" s="10" t="str">
        <f t="shared" si="36"/>
        <v>TRANS-2345</v>
      </c>
    </row>
    <row r="2347" spans="1:11" x14ac:dyDescent="0.35">
      <c r="A2347" s="5">
        <v>45613</v>
      </c>
      <c r="B2347" s="3">
        <v>0.68571759259259257</v>
      </c>
      <c r="C2347" t="s">
        <v>8</v>
      </c>
      <c r="D2347" t="s">
        <v>972</v>
      </c>
      <c r="E2347" s="4">
        <v>35.76</v>
      </c>
      <c r="F2347" t="s">
        <v>32</v>
      </c>
      <c r="G2347" s="10" t="str">
        <f>TEXT(Transform_Data[[#This Row],[Date]],"mmm yyyy")</f>
        <v>Nov 2024</v>
      </c>
      <c r="H2347" s="10">
        <f>HOUR(Transform_Data[[#This Row],[Time]])</f>
        <v>16</v>
      </c>
      <c r="I2347" s="10" t="str">
        <f>IF(COUNTIF('Transform Data'!$D:$D,'Transform Data'!D2347)&gt;1,"Repeat","Single")</f>
        <v>Repeat</v>
      </c>
      <c r="J2347" s="10" t="str">
        <f>IF('Transform Data'!D2347="Cash","Cash",IF(COUNTIF('Transform Data'!$D:$D,'Transform Data'!D2347)&gt;1,"Repeat","Single"))</f>
        <v>Repeat</v>
      </c>
      <c r="K2347" s="10" t="str">
        <f t="shared" si="36"/>
        <v>TRANS-2346</v>
      </c>
    </row>
    <row r="2348" spans="1:11" x14ac:dyDescent="0.35">
      <c r="A2348" s="5">
        <v>45613</v>
      </c>
      <c r="B2348" s="3">
        <v>0.6865162037037037</v>
      </c>
      <c r="C2348" t="s">
        <v>8</v>
      </c>
      <c r="D2348" t="s">
        <v>972</v>
      </c>
      <c r="E2348" s="4">
        <v>35.76</v>
      </c>
      <c r="F2348" t="s">
        <v>32</v>
      </c>
      <c r="G2348" s="10" t="str">
        <f>TEXT(Transform_Data[[#This Row],[Date]],"mmm yyyy")</f>
        <v>Nov 2024</v>
      </c>
      <c r="H2348" s="10">
        <f>HOUR(Transform_Data[[#This Row],[Time]])</f>
        <v>16</v>
      </c>
      <c r="I2348" s="10" t="str">
        <f>IF(COUNTIF('Transform Data'!$D:$D,'Transform Data'!D2348)&gt;1,"Repeat","Single")</f>
        <v>Repeat</v>
      </c>
      <c r="J2348" s="10" t="str">
        <f>IF('Transform Data'!D2348="Cash","Cash",IF(COUNTIF('Transform Data'!$D:$D,'Transform Data'!D2348)&gt;1,"Repeat","Single"))</f>
        <v>Repeat</v>
      </c>
      <c r="K2348" s="10" t="str">
        <f t="shared" si="36"/>
        <v>TRANS-2347</v>
      </c>
    </row>
    <row r="2349" spans="1:11" x14ac:dyDescent="0.35">
      <c r="A2349" s="5">
        <v>45613</v>
      </c>
      <c r="B2349" s="3">
        <v>0.75701388888888888</v>
      </c>
      <c r="C2349" t="s">
        <v>8</v>
      </c>
      <c r="D2349" t="s">
        <v>973</v>
      </c>
      <c r="E2349" s="4">
        <v>35.76</v>
      </c>
      <c r="F2349" t="s">
        <v>15</v>
      </c>
      <c r="G2349" s="10" t="str">
        <f>TEXT(Transform_Data[[#This Row],[Date]],"mmm yyyy")</f>
        <v>Nov 2024</v>
      </c>
      <c r="H2349" s="10">
        <f>HOUR(Transform_Data[[#This Row],[Time]])</f>
        <v>18</v>
      </c>
      <c r="I2349" s="10" t="str">
        <f>IF(COUNTIF('Transform Data'!$D:$D,'Transform Data'!D2349)&gt;1,"Repeat","Single")</f>
        <v>Single</v>
      </c>
      <c r="J2349" s="10" t="str">
        <f>IF('Transform Data'!D2349="Cash","Cash",IF(COUNTIF('Transform Data'!$D:$D,'Transform Data'!D2349)&gt;1,"Repeat","Single"))</f>
        <v>Single</v>
      </c>
      <c r="K2349" s="10" t="str">
        <f t="shared" si="36"/>
        <v>TRANS-2348</v>
      </c>
    </row>
    <row r="2350" spans="1:11" x14ac:dyDescent="0.35">
      <c r="A2350" s="5">
        <v>45613</v>
      </c>
      <c r="B2350" s="3">
        <v>0.80386574074074069</v>
      </c>
      <c r="C2350" t="s">
        <v>8</v>
      </c>
      <c r="D2350" t="s">
        <v>974</v>
      </c>
      <c r="E2350" s="4">
        <v>35.76</v>
      </c>
      <c r="F2350" t="s">
        <v>15</v>
      </c>
      <c r="G2350" s="10" t="str">
        <f>TEXT(Transform_Data[[#This Row],[Date]],"mmm yyyy")</f>
        <v>Nov 2024</v>
      </c>
      <c r="H2350" s="10">
        <f>HOUR(Transform_Data[[#This Row],[Time]])</f>
        <v>19</v>
      </c>
      <c r="I2350" s="10" t="str">
        <f>IF(COUNTIF('Transform Data'!$D:$D,'Transform Data'!D2350)&gt;1,"Repeat","Single")</f>
        <v>Repeat</v>
      </c>
      <c r="J2350" s="10" t="str">
        <f>IF('Transform Data'!D2350="Cash","Cash",IF(COUNTIF('Transform Data'!$D:$D,'Transform Data'!D2350)&gt;1,"Repeat","Single"))</f>
        <v>Repeat</v>
      </c>
      <c r="K2350" s="10" t="str">
        <f t="shared" si="36"/>
        <v>TRANS-2349</v>
      </c>
    </row>
    <row r="2351" spans="1:11" x14ac:dyDescent="0.35">
      <c r="A2351" s="5">
        <v>45613</v>
      </c>
      <c r="B2351" s="3">
        <v>0.80447916666666663</v>
      </c>
      <c r="C2351" t="s">
        <v>8</v>
      </c>
      <c r="D2351" t="s">
        <v>974</v>
      </c>
      <c r="E2351" s="4">
        <v>35.76</v>
      </c>
      <c r="F2351" t="s">
        <v>15</v>
      </c>
      <c r="G2351" s="10" t="str">
        <f>TEXT(Transform_Data[[#This Row],[Date]],"mmm yyyy")</f>
        <v>Nov 2024</v>
      </c>
      <c r="H2351" s="10">
        <f>HOUR(Transform_Data[[#This Row],[Time]])</f>
        <v>19</v>
      </c>
      <c r="I2351" s="10" t="str">
        <f>IF(COUNTIF('Transform Data'!$D:$D,'Transform Data'!D2351)&gt;1,"Repeat","Single")</f>
        <v>Repeat</v>
      </c>
      <c r="J2351" s="10" t="str">
        <f>IF('Transform Data'!D2351="Cash","Cash",IF(COUNTIF('Transform Data'!$D:$D,'Transform Data'!D2351)&gt;1,"Repeat","Single"))</f>
        <v>Repeat</v>
      </c>
      <c r="K2351" s="10" t="str">
        <f t="shared" si="36"/>
        <v>TRANS-2350</v>
      </c>
    </row>
    <row r="2352" spans="1:11" x14ac:dyDescent="0.35">
      <c r="A2352" s="5">
        <v>45614</v>
      </c>
      <c r="B2352" s="3">
        <v>0.32799768518518518</v>
      </c>
      <c r="C2352" t="s">
        <v>8</v>
      </c>
      <c r="D2352" t="s">
        <v>821</v>
      </c>
      <c r="E2352" s="4">
        <v>30.86</v>
      </c>
      <c r="F2352" t="s">
        <v>36</v>
      </c>
      <c r="G2352" s="10" t="str">
        <f>TEXT(Transform_Data[[#This Row],[Date]],"mmm yyyy")</f>
        <v>Nov 2024</v>
      </c>
      <c r="H2352" s="10">
        <f>HOUR(Transform_Data[[#This Row],[Time]])</f>
        <v>7</v>
      </c>
      <c r="I2352" s="10" t="str">
        <f>IF(COUNTIF('Transform Data'!$D:$D,'Transform Data'!D2352)&gt;1,"Repeat","Single")</f>
        <v>Repeat</v>
      </c>
      <c r="J2352" s="10" t="str">
        <f>IF('Transform Data'!D2352="Cash","Cash",IF(COUNTIF('Transform Data'!$D:$D,'Transform Data'!D2352)&gt;1,"Repeat","Single"))</f>
        <v>Repeat</v>
      </c>
      <c r="K2352" s="10" t="str">
        <f t="shared" si="36"/>
        <v>TRANS-2351</v>
      </c>
    </row>
    <row r="2353" spans="1:11" x14ac:dyDescent="0.35">
      <c r="A2353" s="5">
        <v>45614</v>
      </c>
      <c r="B2353" s="3">
        <v>0.3286574074074074</v>
      </c>
      <c r="C2353" t="s">
        <v>8</v>
      </c>
      <c r="D2353" t="s">
        <v>975</v>
      </c>
      <c r="E2353" s="4">
        <v>30.86</v>
      </c>
      <c r="F2353" t="s">
        <v>36</v>
      </c>
      <c r="G2353" s="10" t="str">
        <f>TEXT(Transform_Data[[#This Row],[Date]],"mmm yyyy")</f>
        <v>Nov 2024</v>
      </c>
      <c r="H2353" s="10">
        <f>HOUR(Transform_Data[[#This Row],[Time]])</f>
        <v>7</v>
      </c>
      <c r="I2353" s="10" t="str">
        <f>IF(COUNTIF('Transform Data'!$D:$D,'Transform Data'!D2353)&gt;1,"Repeat","Single")</f>
        <v>Repeat</v>
      </c>
      <c r="J2353" s="10" t="str">
        <f>IF('Transform Data'!D2353="Cash","Cash",IF(COUNTIF('Transform Data'!$D:$D,'Transform Data'!D2353)&gt;1,"Repeat","Single"))</f>
        <v>Repeat</v>
      </c>
      <c r="K2353" s="10" t="str">
        <f t="shared" si="36"/>
        <v>TRANS-2352</v>
      </c>
    </row>
    <row r="2354" spans="1:11" x14ac:dyDescent="0.35">
      <c r="A2354" s="5">
        <v>45614</v>
      </c>
      <c r="B2354" s="3">
        <v>0.33150462962962962</v>
      </c>
      <c r="C2354" t="s">
        <v>8</v>
      </c>
      <c r="D2354" t="s">
        <v>622</v>
      </c>
      <c r="E2354" s="4">
        <v>35.76</v>
      </c>
      <c r="F2354" t="s">
        <v>32</v>
      </c>
      <c r="G2354" s="10" t="str">
        <f>TEXT(Transform_Data[[#This Row],[Date]],"mmm yyyy")</f>
        <v>Nov 2024</v>
      </c>
      <c r="H2354" s="10">
        <f>HOUR(Transform_Data[[#This Row],[Time]])</f>
        <v>7</v>
      </c>
      <c r="I2354" s="10" t="str">
        <f>IF(COUNTIF('Transform Data'!$D:$D,'Transform Data'!D2354)&gt;1,"Repeat","Single")</f>
        <v>Repeat</v>
      </c>
      <c r="J2354" s="10" t="str">
        <f>IF('Transform Data'!D2354="Cash","Cash",IF(COUNTIF('Transform Data'!$D:$D,'Transform Data'!D2354)&gt;1,"Repeat","Single"))</f>
        <v>Repeat</v>
      </c>
      <c r="K2354" s="10" t="str">
        <f t="shared" si="36"/>
        <v>TRANS-2353</v>
      </c>
    </row>
    <row r="2355" spans="1:11" x14ac:dyDescent="0.35">
      <c r="A2355" s="5">
        <v>45614</v>
      </c>
      <c r="B2355" s="3">
        <v>0.69778935185185187</v>
      </c>
      <c r="C2355" t="s">
        <v>8</v>
      </c>
      <c r="D2355" t="s">
        <v>976</v>
      </c>
      <c r="E2355" s="4">
        <v>35.76</v>
      </c>
      <c r="F2355" t="s">
        <v>32</v>
      </c>
      <c r="G2355" s="10" t="str">
        <f>TEXT(Transform_Data[[#This Row],[Date]],"mmm yyyy")</f>
        <v>Nov 2024</v>
      </c>
      <c r="H2355" s="10">
        <f>HOUR(Transform_Data[[#This Row],[Time]])</f>
        <v>16</v>
      </c>
      <c r="I2355" s="10" t="str">
        <f>IF(COUNTIF('Transform Data'!$D:$D,'Transform Data'!D2355)&gt;1,"Repeat","Single")</f>
        <v>Single</v>
      </c>
      <c r="J2355" s="10" t="str">
        <f>IF('Transform Data'!D2355="Cash","Cash",IF(COUNTIF('Transform Data'!$D:$D,'Transform Data'!D2355)&gt;1,"Repeat","Single"))</f>
        <v>Single</v>
      </c>
      <c r="K2355" s="10" t="str">
        <f t="shared" si="36"/>
        <v>TRANS-2354</v>
      </c>
    </row>
    <row r="2356" spans="1:11" x14ac:dyDescent="0.35">
      <c r="A2356" s="5">
        <v>45614</v>
      </c>
      <c r="B2356" s="3">
        <v>0.69921296296296298</v>
      </c>
      <c r="C2356" t="s">
        <v>8</v>
      </c>
      <c r="D2356" t="s">
        <v>958</v>
      </c>
      <c r="E2356" s="4">
        <v>35.76</v>
      </c>
      <c r="F2356" t="s">
        <v>32</v>
      </c>
      <c r="G2356" s="10" t="str">
        <f>TEXT(Transform_Data[[#This Row],[Date]],"mmm yyyy")</f>
        <v>Nov 2024</v>
      </c>
      <c r="H2356" s="10">
        <f>HOUR(Transform_Data[[#This Row],[Time]])</f>
        <v>16</v>
      </c>
      <c r="I2356" s="10" t="str">
        <f>IF(COUNTIF('Transform Data'!$D:$D,'Transform Data'!D2356)&gt;1,"Repeat","Single")</f>
        <v>Repeat</v>
      </c>
      <c r="J2356" s="10" t="str">
        <f>IF('Transform Data'!D2356="Cash","Cash",IF(COUNTIF('Transform Data'!$D:$D,'Transform Data'!D2356)&gt;1,"Repeat","Single"))</f>
        <v>Repeat</v>
      </c>
      <c r="K2356" s="10" t="str">
        <f t="shared" si="36"/>
        <v>TRANS-2355</v>
      </c>
    </row>
    <row r="2357" spans="1:11" x14ac:dyDescent="0.35">
      <c r="A2357" s="5">
        <v>45614</v>
      </c>
      <c r="B2357" s="3">
        <v>0.7853472222222222</v>
      </c>
      <c r="C2357" t="s">
        <v>8</v>
      </c>
      <c r="D2357" t="s">
        <v>977</v>
      </c>
      <c r="E2357" s="4">
        <v>35.76</v>
      </c>
      <c r="F2357" t="s">
        <v>32</v>
      </c>
      <c r="G2357" s="10" t="str">
        <f>TEXT(Transform_Data[[#This Row],[Date]],"mmm yyyy")</f>
        <v>Nov 2024</v>
      </c>
      <c r="H2357" s="10">
        <f>HOUR(Transform_Data[[#This Row],[Time]])</f>
        <v>18</v>
      </c>
      <c r="I2357" s="10" t="str">
        <f>IF(COUNTIF('Transform Data'!$D:$D,'Transform Data'!D2357)&gt;1,"Repeat","Single")</f>
        <v>Single</v>
      </c>
      <c r="J2357" s="10" t="str">
        <f>IF('Transform Data'!D2357="Cash","Cash",IF(COUNTIF('Transform Data'!$D:$D,'Transform Data'!D2357)&gt;1,"Repeat","Single"))</f>
        <v>Single</v>
      </c>
      <c r="K2357" s="10" t="str">
        <f t="shared" si="36"/>
        <v>TRANS-2356</v>
      </c>
    </row>
    <row r="2358" spans="1:11" x14ac:dyDescent="0.35">
      <c r="A2358" s="5">
        <v>45615</v>
      </c>
      <c r="B2358" s="3">
        <v>0.32569444444444445</v>
      </c>
      <c r="C2358" t="s">
        <v>8</v>
      </c>
      <c r="D2358" t="s">
        <v>748</v>
      </c>
      <c r="E2358" s="4">
        <v>35.76</v>
      </c>
      <c r="F2358" t="s">
        <v>10</v>
      </c>
      <c r="G2358" s="10" t="str">
        <f>TEXT(Transform_Data[[#This Row],[Date]],"mmm yyyy")</f>
        <v>Nov 2024</v>
      </c>
      <c r="H2358" s="10">
        <f>HOUR(Transform_Data[[#This Row],[Time]])</f>
        <v>7</v>
      </c>
      <c r="I2358" s="10" t="str">
        <f>IF(COUNTIF('Transform Data'!$D:$D,'Transform Data'!D2358)&gt;1,"Repeat","Single")</f>
        <v>Repeat</v>
      </c>
      <c r="J2358" s="10" t="str">
        <f>IF('Transform Data'!D2358="Cash","Cash",IF(COUNTIF('Transform Data'!$D:$D,'Transform Data'!D2358)&gt;1,"Repeat","Single"))</f>
        <v>Repeat</v>
      </c>
      <c r="K2358" s="10" t="str">
        <f t="shared" si="36"/>
        <v>TRANS-2357</v>
      </c>
    </row>
    <row r="2359" spans="1:11" x14ac:dyDescent="0.35">
      <c r="A2359" s="5">
        <v>45615</v>
      </c>
      <c r="B2359" s="3">
        <v>0.32723379629629629</v>
      </c>
      <c r="C2359" t="s">
        <v>8</v>
      </c>
      <c r="D2359" t="s">
        <v>975</v>
      </c>
      <c r="E2359" s="4">
        <v>30.86</v>
      </c>
      <c r="F2359" t="s">
        <v>36</v>
      </c>
      <c r="G2359" s="10" t="str">
        <f>TEXT(Transform_Data[[#This Row],[Date]],"mmm yyyy")</f>
        <v>Nov 2024</v>
      </c>
      <c r="H2359" s="10">
        <f>HOUR(Transform_Data[[#This Row],[Time]])</f>
        <v>7</v>
      </c>
      <c r="I2359" s="10" t="str">
        <f>IF(COUNTIF('Transform Data'!$D:$D,'Transform Data'!D2359)&gt;1,"Repeat","Single")</f>
        <v>Repeat</v>
      </c>
      <c r="J2359" s="10" t="str">
        <f>IF('Transform Data'!D2359="Cash","Cash",IF(COUNTIF('Transform Data'!$D:$D,'Transform Data'!D2359)&gt;1,"Repeat","Single"))</f>
        <v>Repeat</v>
      </c>
      <c r="K2359" s="10" t="str">
        <f t="shared" si="36"/>
        <v>TRANS-2358</v>
      </c>
    </row>
    <row r="2360" spans="1:11" x14ac:dyDescent="0.35">
      <c r="A2360" s="5">
        <v>45615</v>
      </c>
      <c r="B2360" s="3">
        <v>0.32792824074074073</v>
      </c>
      <c r="C2360" t="s">
        <v>8</v>
      </c>
      <c r="D2360" t="s">
        <v>975</v>
      </c>
      <c r="E2360" s="4">
        <v>35.76</v>
      </c>
      <c r="F2360" t="s">
        <v>32</v>
      </c>
      <c r="G2360" s="10" t="str">
        <f>TEXT(Transform_Data[[#This Row],[Date]],"mmm yyyy")</f>
        <v>Nov 2024</v>
      </c>
      <c r="H2360" s="10">
        <f>HOUR(Transform_Data[[#This Row],[Time]])</f>
        <v>7</v>
      </c>
      <c r="I2360" s="10" t="str">
        <f>IF(COUNTIF('Transform Data'!$D:$D,'Transform Data'!D2360)&gt;1,"Repeat","Single")</f>
        <v>Repeat</v>
      </c>
      <c r="J2360" s="10" t="str">
        <f>IF('Transform Data'!D2360="Cash","Cash",IF(COUNTIF('Transform Data'!$D:$D,'Transform Data'!D2360)&gt;1,"Repeat","Single"))</f>
        <v>Repeat</v>
      </c>
      <c r="K2360" s="10" t="str">
        <f t="shared" si="36"/>
        <v>TRANS-2359</v>
      </c>
    </row>
    <row r="2361" spans="1:11" x14ac:dyDescent="0.35">
      <c r="A2361" s="5">
        <v>45615</v>
      </c>
      <c r="B2361" s="3">
        <v>0.32891203703703703</v>
      </c>
      <c r="C2361" t="s">
        <v>8</v>
      </c>
      <c r="D2361" t="s">
        <v>978</v>
      </c>
      <c r="E2361" s="4">
        <v>21.06</v>
      </c>
      <c r="F2361" t="s">
        <v>5</v>
      </c>
      <c r="G2361" s="10" t="str">
        <f>TEXT(Transform_Data[[#This Row],[Date]],"mmm yyyy")</f>
        <v>Nov 2024</v>
      </c>
      <c r="H2361" s="10">
        <f>HOUR(Transform_Data[[#This Row],[Time]])</f>
        <v>7</v>
      </c>
      <c r="I2361" s="10" t="str">
        <f>IF(COUNTIF('Transform Data'!$D:$D,'Transform Data'!D2361)&gt;1,"Repeat","Single")</f>
        <v>Single</v>
      </c>
      <c r="J2361" s="10" t="str">
        <f>IF('Transform Data'!D2361="Cash","Cash",IF(COUNTIF('Transform Data'!$D:$D,'Transform Data'!D2361)&gt;1,"Repeat","Single"))</f>
        <v>Single</v>
      </c>
      <c r="K2361" s="10" t="str">
        <f t="shared" si="36"/>
        <v>TRANS-2360</v>
      </c>
    </row>
    <row r="2362" spans="1:11" x14ac:dyDescent="0.35">
      <c r="A2362" s="5">
        <v>45615</v>
      </c>
      <c r="B2362" s="3">
        <v>0.32969907407407406</v>
      </c>
      <c r="C2362" t="s">
        <v>8</v>
      </c>
      <c r="D2362" t="s">
        <v>979</v>
      </c>
      <c r="E2362" s="4">
        <v>35.76</v>
      </c>
      <c r="F2362" t="s">
        <v>32</v>
      </c>
      <c r="G2362" s="10" t="str">
        <f>TEXT(Transform_Data[[#This Row],[Date]],"mmm yyyy")</f>
        <v>Nov 2024</v>
      </c>
      <c r="H2362" s="10">
        <f>HOUR(Transform_Data[[#This Row],[Time]])</f>
        <v>7</v>
      </c>
      <c r="I2362" s="10" t="str">
        <f>IF(COUNTIF('Transform Data'!$D:$D,'Transform Data'!D2362)&gt;1,"Repeat","Single")</f>
        <v>Single</v>
      </c>
      <c r="J2362" s="10" t="str">
        <f>IF('Transform Data'!D2362="Cash","Cash",IF(COUNTIF('Transform Data'!$D:$D,'Transform Data'!D2362)&gt;1,"Repeat","Single"))</f>
        <v>Single</v>
      </c>
      <c r="K2362" s="10" t="str">
        <f t="shared" si="36"/>
        <v>TRANS-2361</v>
      </c>
    </row>
    <row r="2363" spans="1:11" x14ac:dyDescent="0.35">
      <c r="A2363" s="5">
        <v>45615</v>
      </c>
      <c r="B2363" s="3">
        <v>0.43707175925925928</v>
      </c>
      <c r="C2363" t="s">
        <v>8</v>
      </c>
      <c r="D2363" t="s">
        <v>29</v>
      </c>
      <c r="E2363" s="4">
        <v>30.86</v>
      </c>
      <c r="F2363" t="s">
        <v>36</v>
      </c>
      <c r="G2363" s="10" t="str">
        <f>TEXT(Transform_Data[[#This Row],[Date]],"mmm yyyy")</f>
        <v>Nov 2024</v>
      </c>
      <c r="H2363" s="10">
        <f>HOUR(Transform_Data[[#This Row],[Time]])</f>
        <v>10</v>
      </c>
      <c r="I2363" s="10" t="str">
        <f>IF(COUNTIF('Transform Data'!$D:$D,'Transform Data'!D2363)&gt;1,"Repeat","Single")</f>
        <v>Repeat</v>
      </c>
      <c r="J2363" s="10" t="str">
        <f>IF('Transform Data'!D2363="Cash","Cash",IF(COUNTIF('Transform Data'!$D:$D,'Transform Data'!D2363)&gt;1,"Repeat","Single"))</f>
        <v>Repeat</v>
      </c>
      <c r="K2363" s="10" t="str">
        <f t="shared" si="36"/>
        <v>TRANS-2362</v>
      </c>
    </row>
    <row r="2364" spans="1:11" x14ac:dyDescent="0.35">
      <c r="A2364" s="5">
        <v>45615</v>
      </c>
      <c r="B2364" s="3">
        <v>0.46329861111111109</v>
      </c>
      <c r="C2364" t="s">
        <v>8</v>
      </c>
      <c r="D2364" t="s">
        <v>980</v>
      </c>
      <c r="E2364" s="4">
        <v>35.76</v>
      </c>
      <c r="F2364" t="s">
        <v>32</v>
      </c>
      <c r="G2364" s="10" t="str">
        <f>TEXT(Transform_Data[[#This Row],[Date]],"mmm yyyy")</f>
        <v>Nov 2024</v>
      </c>
      <c r="H2364" s="10">
        <f>HOUR(Transform_Data[[#This Row],[Time]])</f>
        <v>11</v>
      </c>
      <c r="I2364" s="10" t="str">
        <f>IF(COUNTIF('Transform Data'!$D:$D,'Transform Data'!D2364)&gt;1,"Repeat","Single")</f>
        <v>Single</v>
      </c>
      <c r="J2364" s="10" t="str">
        <f>IF('Transform Data'!D2364="Cash","Cash",IF(COUNTIF('Transform Data'!$D:$D,'Transform Data'!D2364)&gt;1,"Repeat","Single"))</f>
        <v>Single</v>
      </c>
      <c r="K2364" s="10" t="str">
        <f t="shared" si="36"/>
        <v>TRANS-2363</v>
      </c>
    </row>
    <row r="2365" spans="1:11" x14ac:dyDescent="0.35">
      <c r="A2365" s="5">
        <v>45615</v>
      </c>
      <c r="B2365" s="3">
        <v>0.68240740740740746</v>
      </c>
      <c r="C2365" t="s">
        <v>8</v>
      </c>
      <c r="D2365" t="s">
        <v>43</v>
      </c>
      <c r="E2365" s="4">
        <v>35.76</v>
      </c>
      <c r="F2365" t="s">
        <v>10</v>
      </c>
      <c r="G2365" s="10" t="str">
        <f>TEXT(Transform_Data[[#This Row],[Date]],"mmm yyyy")</f>
        <v>Nov 2024</v>
      </c>
      <c r="H2365" s="10">
        <f>HOUR(Transform_Data[[#This Row],[Time]])</f>
        <v>16</v>
      </c>
      <c r="I2365" s="10" t="str">
        <f>IF(COUNTIF('Transform Data'!$D:$D,'Transform Data'!D2365)&gt;1,"Repeat","Single")</f>
        <v>Repeat</v>
      </c>
      <c r="J2365" s="10" t="str">
        <f>IF('Transform Data'!D2365="Cash","Cash",IF(COUNTIF('Transform Data'!$D:$D,'Transform Data'!D2365)&gt;1,"Repeat","Single"))</f>
        <v>Repeat</v>
      </c>
      <c r="K2365" s="10" t="str">
        <f t="shared" si="36"/>
        <v>TRANS-2364</v>
      </c>
    </row>
    <row r="2366" spans="1:11" x14ac:dyDescent="0.35">
      <c r="A2366" s="5">
        <v>45615</v>
      </c>
      <c r="B2366" s="3">
        <v>0.68332175925925931</v>
      </c>
      <c r="C2366" t="s">
        <v>8</v>
      </c>
      <c r="D2366" t="s">
        <v>43</v>
      </c>
      <c r="E2366" s="4">
        <v>35.76</v>
      </c>
      <c r="F2366" t="s">
        <v>10</v>
      </c>
      <c r="G2366" s="10" t="str">
        <f>TEXT(Transform_Data[[#This Row],[Date]],"mmm yyyy")</f>
        <v>Nov 2024</v>
      </c>
      <c r="H2366" s="10">
        <f>HOUR(Transform_Data[[#This Row],[Time]])</f>
        <v>16</v>
      </c>
      <c r="I2366" s="10" t="str">
        <f>IF(COUNTIF('Transform Data'!$D:$D,'Transform Data'!D2366)&gt;1,"Repeat","Single")</f>
        <v>Repeat</v>
      </c>
      <c r="J2366" s="10" t="str">
        <f>IF('Transform Data'!D2366="Cash","Cash",IF(COUNTIF('Transform Data'!$D:$D,'Transform Data'!D2366)&gt;1,"Repeat","Single"))</f>
        <v>Repeat</v>
      </c>
      <c r="K2366" s="10" t="str">
        <f t="shared" si="36"/>
        <v>TRANS-2365</v>
      </c>
    </row>
    <row r="2367" spans="1:11" x14ac:dyDescent="0.35">
      <c r="A2367" s="5">
        <v>45615</v>
      </c>
      <c r="B2367" s="3">
        <v>0.69517361111111109</v>
      </c>
      <c r="C2367" t="s">
        <v>8</v>
      </c>
      <c r="D2367" t="s">
        <v>260</v>
      </c>
      <c r="E2367" s="4">
        <v>35.76</v>
      </c>
      <c r="F2367" t="s">
        <v>24</v>
      </c>
      <c r="G2367" s="10" t="str">
        <f>TEXT(Transform_Data[[#This Row],[Date]],"mmm yyyy")</f>
        <v>Nov 2024</v>
      </c>
      <c r="H2367" s="10">
        <f>HOUR(Transform_Data[[#This Row],[Time]])</f>
        <v>16</v>
      </c>
      <c r="I2367" s="10" t="str">
        <f>IF(COUNTIF('Transform Data'!$D:$D,'Transform Data'!D2367)&gt;1,"Repeat","Single")</f>
        <v>Repeat</v>
      </c>
      <c r="J2367" s="10" t="str">
        <f>IF('Transform Data'!D2367="Cash","Cash",IF(COUNTIF('Transform Data'!$D:$D,'Transform Data'!D2367)&gt;1,"Repeat","Single"))</f>
        <v>Repeat</v>
      </c>
      <c r="K2367" s="10" t="str">
        <f t="shared" si="36"/>
        <v>TRANS-2366</v>
      </c>
    </row>
    <row r="2368" spans="1:11" x14ac:dyDescent="0.35">
      <c r="A2368" s="5">
        <v>45615</v>
      </c>
      <c r="B2368" s="3">
        <v>0.69978009259259255</v>
      </c>
      <c r="C2368" t="s">
        <v>8</v>
      </c>
      <c r="D2368" t="s">
        <v>981</v>
      </c>
      <c r="E2368" s="4">
        <v>35.76</v>
      </c>
      <c r="F2368" t="s">
        <v>24</v>
      </c>
      <c r="G2368" s="10" t="str">
        <f>TEXT(Transform_Data[[#This Row],[Date]],"mmm yyyy")</f>
        <v>Nov 2024</v>
      </c>
      <c r="H2368" s="10">
        <f>HOUR(Transform_Data[[#This Row],[Time]])</f>
        <v>16</v>
      </c>
      <c r="I2368" s="10" t="str">
        <f>IF(COUNTIF('Transform Data'!$D:$D,'Transform Data'!D2368)&gt;1,"Repeat","Single")</f>
        <v>Single</v>
      </c>
      <c r="J2368" s="10" t="str">
        <f>IF('Transform Data'!D2368="Cash","Cash",IF(COUNTIF('Transform Data'!$D:$D,'Transform Data'!D2368)&gt;1,"Repeat","Single"))</f>
        <v>Single</v>
      </c>
      <c r="K2368" s="10" t="str">
        <f t="shared" si="36"/>
        <v>TRANS-2367</v>
      </c>
    </row>
    <row r="2369" spans="1:11" x14ac:dyDescent="0.35">
      <c r="A2369" s="5">
        <v>45616</v>
      </c>
      <c r="B2369" s="3">
        <v>0.56224537037037037</v>
      </c>
      <c r="C2369" t="s">
        <v>8</v>
      </c>
      <c r="D2369" t="s">
        <v>982</v>
      </c>
      <c r="E2369" s="4">
        <v>30.86</v>
      </c>
      <c r="F2369" t="s">
        <v>36</v>
      </c>
      <c r="G2369" s="10" t="str">
        <f>TEXT(Transform_Data[[#This Row],[Date]],"mmm yyyy")</f>
        <v>Nov 2024</v>
      </c>
      <c r="H2369" s="10">
        <f>HOUR(Transform_Data[[#This Row],[Time]])</f>
        <v>13</v>
      </c>
      <c r="I2369" s="10" t="str">
        <f>IF(COUNTIF('Transform Data'!$D:$D,'Transform Data'!D2369)&gt;1,"Repeat","Single")</f>
        <v>Single</v>
      </c>
      <c r="J2369" s="10" t="str">
        <f>IF('Transform Data'!D2369="Cash","Cash",IF(COUNTIF('Transform Data'!$D:$D,'Transform Data'!D2369)&gt;1,"Repeat","Single"))</f>
        <v>Single</v>
      </c>
      <c r="K2369" s="10" t="str">
        <f t="shared" si="36"/>
        <v>TRANS-2368</v>
      </c>
    </row>
    <row r="2370" spans="1:11" x14ac:dyDescent="0.35">
      <c r="A2370" s="5">
        <v>45616</v>
      </c>
      <c r="B2370" s="3">
        <v>0.69085648148148149</v>
      </c>
      <c r="C2370" t="s">
        <v>8</v>
      </c>
      <c r="D2370" t="s">
        <v>958</v>
      </c>
      <c r="E2370" s="4">
        <v>35.76</v>
      </c>
      <c r="F2370" t="s">
        <v>32</v>
      </c>
      <c r="G2370" s="10" t="str">
        <f>TEXT(Transform_Data[[#This Row],[Date]],"mmm yyyy")</f>
        <v>Nov 2024</v>
      </c>
      <c r="H2370" s="10">
        <f>HOUR(Transform_Data[[#This Row],[Time]])</f>
        <v>16</v>
      </c>
      <c r="I2370" s="10" t="str">
        <f>IF(COUNTIF('Transform Data'!$D:$D,'Transform Data'!D2370)&gt;1,"Repeat","Single")</f>
        <v>Repeat</v>
      </c>
      <c r="J2370" s="10" t="str">
        <f>IF('Transform Data'!D2370="Cash","Cash",IF(COUNTIF('Transform Data'!$D:$D,'Transform Data'!D2370)&gt;1,"Repeat","Single"))</f>
        <v>Repeat</v>
      </c>
      <c r="K2370" s="10" t="str">
        <f t="shared" ref="K2370:K2433" si="37">"TRANS-"&amp;TEXT(ROW(A2369),"0000")</f>
        <v>TRANS-2369</v>
      </c>
    </row>
    <row r="2371" spans="1:11" x14ac:dyDescent="0.35">
      <c r="A2371" s="5">
        <v>45616</v>
      </c>
      <c r="B2371" s="3">
        <v>0.7429513888888889</v>
      </c>
      <c r="C2371" t="s">
        <v>8</v>
      </c>
      <c r="D2371" t="s">
        <v>983</v>
      </c>
      <c r="E2371" s="4">
        <v>35.76</v>
      </c>
      <c r="F2371" t="s">
        <v>24</v>
      </c>
      <c r="G2371" s="10" t="str">
        <f>TEXT(Transform_Data[[#This Row],[Date]],"mmm yyyy")</f>
        <v>Nov 2024</v>
      </c>
      <c r="H2371" s="10">
        <f>HOUR(Transform_Data[[#This Row],[Time]])</f>
        <v>17</v>
      </c>
      <c r="I2371" s="10" t="str">
        <f>IF(COUNTIF('Transform Data'!$D:$D,'Transform Data'!D2371)&gt;1,"Repeat","Single")</f>
        <v>Repeat</v>
      </c>
      <c r="J2371" s="10" t="str">
        <f>IF('Transform Data'!D2371="Cash","Cash",IF(COUNTIF('Transform Data'!$D:$D,'Transform Data'!D2371)&gt;1,"Repeat","Single"))</f>
        <v>Repeat</v>
      </c>
      <c r="K2371" s="10" t="str">
        <f t="shared" si="37"/>
        <v>TRANS-2370</v>
      </c>
    </row>
    <row r="2372" spans="1:11" x14ac:dyDescent="0.35">
      <c r="A2372" s="5">
        <v>45616</v>
      </c>
      <c r="B2372" s="3">
        <v>0.74362268518518515</v>
      </c>
      <c r="C2372" t="s">
        <v>8</v>
      </c>
      <c r="D2372" t="s">
        <v>983</v>
      </c>
      <c r="E2372" s="4">
        <v>35.76</v>
      </c>
      <c r="F2372" t="s">
        <v>15</v>
      </c>
      <c r="G2372" s="10" t="str">
        <f>TEXT(Transform_Data[[#This Row],[Date]],"mmm yyyy")</f>
        <v>Nov 2024</v>
      </c>
      <c r="H2372" s="10">
        <f>HOUR(Transform_Data[[#This Row],[Time]])</f>
        <v>17</v>
      </c>
      <c r="I2372" s="10" t="str">
        <f>IF(COUNTIF('Transform Data'!$D:$D,'Transform Data'!D2372)&gt;1,"Repeat","Single")</f>
        <v>Repeat</v>
      </c>
      <c r="J2372" s="10" t="str">
        <f>IF('Transform Data'!D2372="Cash","Cash",IF(COUNTIF('Transform Data'!$D:$D,'Transform Data'!D2372)&gt;1,"Repeat","Single"))</f>
        <v>Repeat</v>
      </c>
      <c r="K2372" s="10" t="str">
        <f t="shared" si="37"/>
        <v>TRANS-2371</v>
      </c>
    </row>
    <row r="2373" spans="1:11" x14ac:dyDescent="0.35">
      <c r="A2373" s="5">
        <v>45617</v>
      </c>
      <c r="B2373" s="3">
        <v>0.46262731481481484</v>
      </c>
      <c r="C2373" t="s">
        <v>8</v>
      </c>
      <c r="D2373" t="s">
        <v>40</v>
      </c>
      <c r="E2373" s="4">
        <v>25.96</v>
      </c>
      <c r="F2373" t="s">
        <v>20</v>
      </c>
      <c r="G2373" s="10" t="str">
        <f>TEXT(Transform_Data[[#This Row],[Date]],"mmm yyyy")</f>
        <v>Nov 2024</v>
      </c>
      <c r="H2373" s="10">
        <f>HOUR(Transform_Data[[#This Row],[Time]])</f>
        <v>11</v>
      </c>
      <c r="I2373" s="10" t="str">
        <f>IF(COUNTIF('Transform Data'!$D:$D,'Transform Data'!D2373)&gt;1,"Repeat","Single")</f>
        <v>Repeat</v>
      </c>
      <c r="J2373" s="10" t="str">
        <f>IF('Transform Data'!D2373="Cash","Cash",IF(COUNTIF('Transform Data'!$D:$D,'Transform Data'!D2373)&gt;1,"Repeat","Single"))</f>
        <v>Repeat</v>
      </c>
      <c r="K2373" s="10" t="str">
        <f t="shared" si="37"/>
        <v>TRANS-2372</v>
      </c>
    </row>
    <row r="2374" spans="1:11" x14ac:dyDescent="0.35">
      <c r="A2374" s="5">
        <v>45617</v>
      </c>
      <c r="B2374" s="3">
        <v>0.52333333333333332</v>
      </c>
      <c r="C2374" t="s">
        <v>8</v>
      </c>
      <c r="D2374" t="s">
        <v>958</v>
      </c>
      <c r="E2374" s="4">
        <v>35.76</v>
      </c>
      <c r="F2374" t="s">
        <v>32</v>
      </c>
      <c r="G2374" s="10" t="str">
        <f>TEXT(Transform_Data[[#This Row],[Date]],"mmm yyyy")</f>
        <v>Nov 2024</v>
      </c>
      <c r="H2374" s="10">
        <f>HOUR(Transform_Data[[#This Row],[Time]])</f>
        <v>12</v>
      </c>
      <c r="I2374" s="10" t="str">
        <f>IF(COUNTIF('Transform Data'!$D:$D,'Transform Data'!D2374)&gt;1,"Repeat","Single")</f>
        <v>Repeat</v>
      </c>
      <c r="J2374" s="10" t="str">
        <f>IF('Transform Data'!D2374="Cash","Cash",IF(COUNTIF('Transform Data'!$D:$D,'Transform Data'!D2374)&gt;1,"Repeat","Single"))</f>
        <v>Repeat</v>
      </c>
      <c r="K2374" s="10" t="str">
        <f t="shared" si="37"/>
        <v>TRANS-2373</v>
      </c>
    </row>
    <row r="2375" spans="1:11" x14ac:dyDescent="0.35">
      <c r="A2375" s="5">
        <v>45617</v>
      </c>
      <c r="B2375" s="3">
        <v>0.5414930555555556</v>
      </c>
      <c r="C2375" t="s">
        <v>8</v>
      </c>
      <c r="D2375" t="s">
        <v>955</v>
      </c>
      <c r="E2375" s="4">
        <v>35.76</v>
      </c>
      <c r="F2375" t="s">
        <v>10</v>
      </c>
      <c r="G2375" s="10" t="str">
        <f>TEXT(Transform_Data[[#This Row],[Date]],"mmm yyyy")</f>
        <v>Nov 2024</v>
      </c>
      <c r="H2375" s="10">
        <f>HOUR(Transform_Data[[#This Row],[Time]])</f>
        <v>12</v>
      </c>
      <c r="I2375" s="10" t="str">
        <f>IF(COUNTIF('Transform Data'!$D:$D,'Transform Data'!D2375)&gt;1,"Repeat","Single")</f>
        <v>Repeat</v>
      </c>
      <c r="J2375" s="10" t="str">
        <f>IF('Transform Data'!D2375="Cash","Cash",IF(COUNTIF('Transform Data'!$D:$D,'Transform Data'!D2375)&gt;1,"Repeat","Single"))</f>
        <v>Repeat</v>
      </c>
      <c r="K2375" s="10" t="str">
        <f t="shared" si="37"/>
        <v>TRANS-2374</v>
      </c>
    </row>
    <row r="2376" spans="1:11" x14ac:dyDescent="0.35">
      <c r="A2376" s="5">
        <v>45617</v>
      </c>
      <c r="B2376" s="3">
        <v>0.54221064814814812</v>
      </c>
      <c r="C2376" t="s">
        <v>8</v>
      </c>
      <c r="D2376" t="s">
        <v>984</v>
      </c>
      <c r="E2376" s="4">
        <v>35.76</v>
      </c>
      <c r="F2376" t="s">
        <v>10</v>
      </c>
      <c r="G2376" s="10" t="str">
        <f>TEXT(Transform_Data[[#This Row],[Date]],"mmm yyyy")</f>
        <v>Nov 2024</v>
      </c>
      <c r="H2376" s="10">
        <f>HOUR(Transform_Data[[#This Row],[Time]])</f>
        <v>13</v>
      </c>
      <c r="I2376" s="10" t="str">
        <f>IF(COUNTIF('Transform Data'!$D:$D,'Transform Data'!D2376)&gt;1,"Repeat","Single")</f>
        <v>Single</v>
      </c>
      <c r="J2376" s="10" t="str">
        <f>IF('Transform Data'!D2376="Cash","Cash",IF(COUNTIF('Transform Data'!$D:$D,'Transform Data'!D2376)&gt;1,"Repeat","Single"))</f>
        <v>Single</v>
      </c>
      <c r="K2376" s="10" t="str">
        <f t="shared" si="37"/>
        <v>TRANS-2375</v>
      </c>
    </row>
    <row r="2377" spans="1:11" x14ac:dyDescent="0.35">
      <c r="A2377" s="5">
        <v>45617</v>
      </c>
      <c r="B2377" s="3">
        <v>0.67653935185185188</v>
      </c>
      <c r="C2377" t="s">
        <v>8</v>
      </c>
      <c r="D2377" t="s">
        <v>958</v>
      </c>
      <c r="E2377" s="4">
        <v>35.76</v>
      </c>
      <c r="F2377" t="s">
        <v>32</v>
      </c>
      <c r="G2377" s="10" t="str">
        <f>TEXT(Transform_Data[[#This Row],[Date]],"mmm yyyy")</f>
        <v>Nov 2024</v>
      </c>
      <c r="H2377" s="10">
        <f>HOUR(Transform_Data[[#This Row],[Time]])</f>
        <v>16</v>
      </c>
      <c r="I2377" s="10" t="str">
        <f>IF(COUNTIF('Transform Data'!$D:$D,'Transform Data'!D2377)&gt;1,"Repeat","Single")</f>
        <v>Repeat</v>
      </c>
      <c r="J2377" s="10" t="str">
        <f>IF('Transform Data'!D2377="Cash","Cash",IF(COUNTIF('Transform Data'!$D:$D,'Transform Data'!D2377)&gt;1,"Repeat","Single"))</f>
        <v>Repeat</v>
      </c>
      <c r="K2377" s="10" t="str">
        <f t="shared" si="37"/>
        <v>TRANS-2376</v>
      </c>
    </row>
    <row r="2378" spans="1:11" x14ac:dyDescent="0.35">
      <c r="A2378" s="5">
        <v>45617</v>
      </c>
      <c r="B2378" s="3">
        <v>0.73295138888888889</v>
      </c>
      <c r="C2378" t="s">
        <v>8</v>
      </c>
      <c r="D2378" t="s">
        <v>985</v>
      </c>
      <c r="E2378" s="4">
        <v>30.86</v>
      </c>
      <c r="F2378" t="s">
        <v>36</v>
      </c>
      <c r="G2378" s="10" t="str">
        <f>TEXT(Transform_Data[[#This Row],[Date]],"mmm yyyy")</f>
        <v>Nov 2024</v>
      </c>
      <c r="H2378" s="10">
        <f>HOUR(Transform_Data[[#This Row],[Time]])</f>
        <v>17</v>
      </c>
      <c r="I2378" s="10" t="str">
        <f>IF(COUNTIF('Transform Data'!$D:$D,'Transform Data'!D2378)&gt;1,"Repeat","Single")</f>
        <v>Single</v>
      </c>
      <c r="J2378" s="10" t="str">
        <f>IF('Transform Data'!D2378="Cash","Cash",IF(COUNTIF('Transform Data'!$D:$D,'Transform Data'!D2378)&gt;1,"Repeat","Single"))</f>
        <v>Single</v>
      </c>
      <c r="K2378" s="10" t="str">
        <f t="shared" si="37"/>
        <v>TRANS-2377</v>
      </c>
    </row>
    <row r="2379" spans="1:11" x14ac:dyDescent="0.35">
      <c r="A2379" s="5">
        <v>45617</v>
      </c>
      <c r="B2379" s="3">
        <v>0.73567129629629635</v>
      </c>
      <c r="C2379" t="s">
        <v>8</v>
      </c>
      <c r="D2379" t="s">
        <v>986</v>
      </c>
      <c r="E2379" s="4">
        <v>25.96</v>
      </c>
      <c r="F2379" t="s">
        <v>20</v>
      </c>
      <c r="G2379" s="10" t="str">
        <f>TEXT(Transform_Data[[#This Row],[Date]],"mmm yyyy")</f>
        <v>Nov 2024</v>
      </c>
      <c r="H2379" s="10">
        <f>HOUR(Transform_Data[[#This Row],[Time]])</f>
        <v>17</v>
      </c>
      <c r="I2379" s="10" t="str">
        <f>IF(COUNTIF('Transform Data'!$D:$D,'Transform Data'!D2379)&gt;1,"Repeat","Single")</f>
        <v>Single</v>
      </c>
      <c r="J2379" s="10" t="str">
        <f>IF('Transform Data'!D2379="Cash","Cash",IF(COUNTIF('Transform Data'!$D:$D,'Transform Data'!D2379)&gt;1,"Repeat","Single"))</f>
        <v>Single</v>
      </c>
      <c r="K2379" s="10" t="str">
        <f t="shared" si="37"/>
        <v>TRANS-2378</v>
      </c>
    </row>
    <row r="2380" spans="1:11" x14ac:dyDescent="0.35">
      <c r="A2380" s="5">
        <v>45617</v>
      </c>
      <c r="B2380" s="3">
        <v>0.79238425925925926</v>
      </c>
      <c r="C2380" t="s">
        <v>8</v>
      </c>
      <c r="D2380" t="s">
        <v>987</v>
      </c>
      <c r="E2380" s="4">
        <v>35.76</v>
      </c>
      <c r="F2380" t="s">
        <v>15</v>
      </c>
      <c r="G2380" s="10" t="str">
        <f>TEXT(Transform_Data[[#This Row],[Date]],"mmm yyyy")</f>
        <v>Nov 2024</v>
      </c>
      <c r="H2380" s="10">
        <f>HOUR(Transform_Data[[#This Row],[Time]])</f>
        <v>19</v>
      </c>
      <c r="I2380" s="10" t="str">
        <f>IF(COUNTIF('Transform Data'!$D:$D,'Transform Data'!D2380)&gt;1,"Repeat","Single")</f>
        <v>Single</v>
      </c>
      <c r="J2380" s="10" t="str">
        <f>IF('Transform Data'!D2380="Cash","Cash",IF(COUNTIF('Transform Data'!$D:$D,'Transform Data'!D2380)&gt;1,"Repeat","Single"))</f>
        <v>Single</v>
      </c>
      <c r="K2380" s="10" t="str">
        <f t="shared" si="37"/>
        <v>TRANS-2379</v>
      </c>
    </row>
    <row r="2381" spans="1:11" x14ac:dyDescent="0.35">
      <c r="A2381" s="5">
        <v>45618</v>
      </c>
      <c r="B2381" s="3">
        <v>0.32680555555555557</v>
      </c>
      <c r="C2381" t="s">
        <v>8</v>
      </c>
      <c r="D2381" t="s">
        <v>958</v>
      </c>
      <c r="E2381" s="4">
        <v>35.76</v>
      </c>
      <c r="F2381" t="s">
        <v>32</v>
      </c>
      <c r="G2381" s="10" t="str">
        <f>TEXT(Transform_Data[[#This Row],[Date]],"mmm yyyy")</f>
        <v>Nov 2024</v>
      </c>
      <c r="H2381" s="10">
        <f>HOUR(Transform_Data[[#This Row],[Time]])</f>
        <v>7</v>
      </c>
      <c r="I2381" s="10" t="str">
        <f>IF(COUNTIF('Transform Data'!$D:$D,'Transform Data'!D2381)&gt;1,"Repeat","Single")</f>
        <v>Repeat</v>
      </c>
      <c r="J2381" s="10" t="str">
        <f>IF('Transform Data'!D2381="Cash","Cash",IF(COUNTIF('Transform Data'!$D:$D,'Transform Data'!D2381)&gt;1,"Repeat","Single"))</f>
        <v>Repeat</v>
      </c>
      <c r="K2381" s="10" t="str">
        <f t="shared" si="37"/>
        <v>TRANS-2380</v>
      </c>
    </row>
    <row r="2382" spans="1:11" x14ac:dyDescent="0.35">
      <c r="A2382" s="5">
        <v>45618</v>
      </c>
      <c r="B2382" s="3">
        <v>0.41923611111111109</v>
      </c>
      <c r="C2382" t="s">
        <v>8</v>
      </c>
      <c r="D2382" t="s">
        <v>748</v>
      </c>
      <c r="E2382" s="4">
        <v>35.76</v>
      </c>
      <c r="F2382" t="s">
        <v>24</v>
      </c>
      <c r="G2382" s="10" t="str">
        <f>TEXT(Transform_Data[[#This Row],[Date]],"mmm yyyy")</f>
        <v>Nov 2024</v>
      </c>
      <c r="H2382" s="10">
        <f>HOUR(Transform_Data[[#This Row],[Time]])</f>
        <v>10</v>
      </c>
      <c r="I2382" s="10" t="str">
        <f>IF(COUNTIF('Transform Data'!$D:$D,'Transform Data'!D2382)&gt;1,"Repeat","Single")</f>
        <v>Repeat</v>
      </c>
      <c r="J2382" s="10" t="str">
        <f>IF('Transform Data'!D2382="Cash","Cash",IF(COUNTIF('Transform Data'!$D:$D,'Transform Data'!D2382)&gt;1,"Repeat","Single"))</f>
        <v>Repeat</v>
      </c>
      <c r="K2382" s="10" t="str">
        <f t="shared" si="37"/>
        <v>TRANS-2381</v>
      </c>
    </row>
    <row r="2383" spans="1:11" x14ac:dyDescent="0.35">
      <c r="A2383" s="5">
        <v>45618</v>
      </c>
      <c r="B2383" s="3">
        <v>0.46009259259259261</v>
      </c>
      <c r="C2383" t="s">
        <v>8</v>
      </c>
      <c r="D2383" t="s">
        <v>988</v>
      </c>
      <c r="E2383" s="4">
        <v>35.76</v>
      </c>
      <c r="F2383" t="s">
        <v>32</v>
      </c>
      <c r="G2383" s="10" t="str">
        <f>TEXT(Transform_Data[[#This Row],[Date]],"mmm yyyy")</f>
        <v>Nov 2024</v>
      </c>
      <c r="H2383" s="10">
        <f>HOUR(Transform_Data[[#This Row],[Time]])</f>
        <v>11</v>
      </c>
      <c r="I2383" s="10" t="str">
        <f>IF(COUNTIF('Transform Data'!$D:$D,'Transform Data'!D2383)&gt;1,"Repeat","Single")</f>
        <v>Single</v>
      </c>
      <c r="J2383" s="10" t="str">
        <f>IF('Transform Data'!D2383="Cash","Cash",IF(COUNTIF('Transform Data'!$D:$D,'Transform Data'!D2383)&gt;1,"Repeat","Single"))</f>
        <v>Single</v>
      </c>
      <c r="K2383" s="10" t="str">
        <f t="shared" si="37"/>
        <v>TRANS-2382</v>
      </c>
    </row>
    <row r="2384" spans="1:11" x14ac:dyDescent="0.35">
      <c r="A2384" s="5">
        <v>45618</v>
      </c>
      <c r="B2384" s="3">
        <v>0.47530092592592593</v>
      </c>
      <c r="C2384" t="s">
        <v>8</v>
      </c>
      <c r="D2384" t="s">
        <v>989</v>
      </c>
      <c r="E2384" s="4">
        <v>35.76</v>
      </c>
      <c r="F2384" t="s">
        <v>10</v>
      </c>
      <c r="G2384" s="10" t="str">
        <f>TEXT(Transform_Data[[#This Row],[Date]],"mmm yyyy")</f>
        <v>Nov 2024</v>
      </c>
      <c r="H2384" s="10">
        <f>HOUR(Transform_Data[[#This Row],[Time]])</f>
        <v>11</v>
      </c>
      <c r="I2384" s="10" t="str">
        <f>IF(COUNTIF('Transform Data'!$D:$D,'Transform Data'!D2384)&gt;1,"Repeat","Single")</f>
        <v>Single</v>
      </c>
      <c r="J2384" s="10" t="str">
        <f>IF('Transform Data'!D2384="Cash","Cash",IF(COUNTIF('Transform Data'!$D:$D,'Transform Data'!D2384)&gt;1,"Repeat","Single"))</f>
        <v>Single</v>
      </c>
      <c r="K2384" s="10" t="str">
        <f t="shared" si="37"/>
        <v>TRANS-2383</v>
      </c>
    </row>
    <row r="2385" spans="1:11" x14ac:dyDescent="0.35">
      <c r="A2385" s="5">
        <v>45618</v>
      </c>
      <c r="B2385" s="3">
        <v>0.68964120370370374</v>
      </c>
      <c r="C2385" t="s">
        <v>8</v>
      </c>
      <c r="D2385" t="s">
        <v>990</v>
      </c>
      <c r="E2385" s="4">
        <v>35.76</v>
      </c>
      <c r="F2385" t="s">
        <v>15</v>
      </c>
      <c r="G2385" s="10" t="str">
        <f>TEXT(Transform_Data[[#This Row],[Date]],"mmm yyyy")</f>
        <v>Nov 2024</v>
      </c>
      <c r="H2385" s="10">
        <f>HOUR(Transform_Data[[#This Row],[Time]])</f>
        <v>16</v>
      </c>
      <c r="I2385" s="10" t="str">
        <f>IF(COUNTIF('Transform Data'!$D:$D,'Transform Data'!D2385)&gt;1,"Repeat","Single")</f>
        <v>Repeat</v>
      </c>
      <c r="J2385" s="10" t="str">
        <f>IF('Transform Data'!D2385="Cash","Cash",IF(COUNTIF('Transform Data'!$D:$D,'Transform Data'!D2385)&gt;1,"Repeat","Single"))</f>
        <v>Repeat</v>
      </c>
      <c r="K2385" s="10" t="str">
        <f t="shared" si="37"/>
        <v>TRANS-2384</v>
      </c>
    </row>
    <row r="2386" spans="1:11" x14ac:dyDescent="0.35">
      <c r="A2386" s="5">
        <v>45618</v>
      </c>
      <c r="B2386" s="3">
        <v>0.69015046296296301</v>
      </c>
      <c r="C2386" t="s">
        <v>8</v>
      </c>
      <c r="D2386" t="s">
        <v>990</v>
      </c>
      <c r="E2386" s="4">
        <v>35.76</v>
      </c>
      <c r="F2386" t="s">
        <v>32</v>
      </c>
      <c r="G2386" s="10" t="str">
        <f>TEXT(Transform_Data[[#This Row],[Date]],"mmm yyyy")</f>
        <v>Nov 2024</v>
      </c>
      <c r="H2386" s="10">
        <f>HOUR(Transform_Data[[#This Row],[Time]])</f>
        <v>16</v>
      </c>
      <c r="I2386" s="10" t="str">
        <f>IF(COUNTIF('Transform Data'!$D:$D,'Transform Data'!D2386)&gt;1,"Repeat","Single")</f>
        <v>Repeat</v>
      </c>
      <c r="J2386" s="10" t="str">
        <f>IF('Transform Data'!D2386="Cash","Cash",IF(COUNTIF('Transform Data'!$D:$D,'Transform Data'!D2386)&gt;1,"Repeat","Single"))</f>
        <v>Repeat</v>
      </c>
      <c r="K2386" s="10" t="str">
        <f t="shared" si="37"/>
        <v>TRANS-2385</v>
      </c>
    </row>
    <row r="2387" spans="1:11" x14ac:dyDescent="0.35">
      <c r="A2387" s="5">
        <v>45619</v>
      </c>
      <c r="B2387" s="3">
        <v>0.38247685185185187</v>
      </c>
      <c r="C2387" t="s">
        <v>8</v>
      </c>
      <c r="D2387" t="s">
        <v>595</v>
      </c>
      <c r="E2387" s="4">
        <v>25.96</v>
      </c>
      <c r="F2387" t="s">
        <v>20</v>
      </c>
      <c r="G2387" s="10" t="str">
        <f>TEXT(Transform_Data[[#This Row],[Date]],"mmm yyyy")</f>
        <v>Nov 2024</v>
      </c>
      <c r="H2387" s="10">
        <f>HOUR(Transform_Data[[#This Row],[Time]])</f>
        <v>9</v>
      </c>
      <c r="I2387" s="10" t="str">
        <f>IF(COUNTIF('Transform Data'!$D:$D,'Transform Data'!D2387)&gt;1,"Repeat","Single")</f>
        <v>Repeat</v>
      </c>
      <c r="J2387" s="10" t="str">
        <f>IF('Transform Data'!D2387="Cash","Cash",IF(COUNTIF('Transform Data'!$D:$D,'Transform Data'!D2387)&gt;1,"Repeat","Single"))</f>
        <v>Repeat</v>
      </c>
      <c r="K2387" s="10" t="str">
        <f t="shared" si="37"/>
        <v>TRANS-2386</v>
      </c>
    </row>
    <row r="2388" spans="1:11" x14ac:dyDescent="0.35">
      <c r="A2388" s="5">
        <v>45619</v>
      </c>
      <c r="B2388" s="3">
        <v>0.38319444444444445</v>
      </c>
      <c r="C2388" t="s">
        <v>8</v>
      </c>
      <c r="D2388" t="s">
        <v>595</v>
      </c>
      <c r="E2388" s="4">
        <v>25.96</v>
      </c>
      <c r="F2388" t="s">
        <v>20</v>
      </c>
      <c r="G2388" s="10" t="str">
        <f>TEXT(Transform_Data[[#This Row],[Date]],"mmm yyyy")</f>
        <v>Nov 2024</v>
      </c>
      <c r="H2388" s="10">
        <f>HOUR(Transform_Data[[#This Row],[Time]])</f>
        <v>9</v>
      </c>
      <c r="I2388" s="10" t="str">
        <f>IF(COUNTIF('Transform Data'!$D:$D,'Transform Data'!D2388)&gt;1,"Repeat","Single")</f>
        <v>Repeat</v>
      </c>
      <c r="J2388" s="10" t="str">
        <f>IF('Transform Data'!D2388="Cash","Cash",IF(COUNTIF('Transform Data'!$D:$D,'Transform Data'!D2388)&gt;1,"Repeat","Single"))</f>
        <v>Repeat</v>
      </c>
      <c r="K2388" s="10" t="str">
        <f t="shared" si="37"/>
        <v>TRANS-2387</v>
      </c>
    </row>
    <row r="2389" spans="1:11" x14ac:dyDescent="0.35">
      <c r="A2389" s="5">
        <v>45619</v>
      </c>
      <c r="B2389" s="3">
        <v>0.42031249999999998</v>
      </c>
      <c r="C2389" t="s">
        <v>8</v>
      </c>
      <c r="D2389" t="s">
        <v>735</v>
      </c>
      <c r="E2389" s="4">
        <v>35.76</v>
      </c>
      <c r="F2389" t="s">
        <v>32</v>
      </c>
      <c r="G2389" s="10" t="str">
        <f>TEXT(Transform_Data[[#This Row],[Date]],"mmm yyyy")</f>
        <v>Nov 2024</v>
      </c>
      <c r="H2389" s="10">
        <f>HOUR(Transform_Data[[#This Row],[Time]])</f>
        <v>10</v>
      </c>
      <c r="I2389" s="10" t="str">
        <f>IF(COUNTIF('Transform Data'!$D:$D,'Transform Data'!D2389)&gt;1,"Repeat","Single")</f>
        <v>Repeat</v>
      </c>
      <c r="J2389" s="10" t="str">
        <f>IF('Transform Data'!D2389="Cash","Cash",IF(COUNTIF('Transform Data'!$D:$D,'Transform Data'!D2389)&gt;1,"Repeat","Single"))</f>
        <v>Repeat</v>
      </c>
      <c r="K2389" s="10" t="str">
        <f t="shared" si="37"/>
        <v>TRANS-2388</v>
      </c>
    </row>
    <row r="2390" spans="1:11" x14ac:dyDescent="0.35">
      <c r="A2390" s="5">
        <v>45619</v>
      </c>
      <c r="B2390" s="3">
        <v>0.4604050925925926</v>
      </c>
      <c r="C2390" t="s">
        <v>8</v>
      </c>
      <c r="D2390" t="s">
        <v>226</v>
      </c>
      <c r="E2390" s="4">
        <v>35.76</v>
      </c>
      <c r="F2390" t="s">
        <v>24</v>
      </c>
      <c r="G2390" s="10" t="str">
        <f>TEXT(Transform_Data[[#This Row],[Date]],"mmm yyyy")</f>
        <v>Nov 2024</v>
      </c>
      <c r="H2390" s="10">
        <f>HOUR(Transform_Data[[#This Row],[Time]])</f>
        <v>11</v>
      </c>
      <c r="I2390" s="10" t="str">
        <f>IF(COUNTIF('Transform Data'!$D:$D,'Transform Data'!D2390)&gt;1,"Repeat","Single")</f>
        <v>Repeat</v>
      </c>
      <c r="J2390" s="10" t="str">
        <f>IF('Transform Data'!D2390="Cash","Cash",IF(COUNTIF('Transform Data'!$D:$D,'Transform Data'!D2390)&gt;1,"Repeat","Single"))</f>
        <v>Repeat</v>
      </c>
      <c r="K2390" s="10" t="str">
        <f t="shared" si="37"/>
        <v>TRANS-2389</v>
      </c>
    </row>
    <row r="2391" spans="1:11" x14ac:dyDescent="0.35">
      <c r="A2391" s="5">
        <v>45619</v>
      </c>
      <c r="B2391" s="3">
        <v>0.46490740740740738</v>
      </c>
      <c r="C2391" t="s">
        <v>8</v>
      </c>
      <c r="D2391" t="s">
        <v>991</v>
      </c>
      <c r="E2391" s="4">
        <v>25.96</v>
      </c>
      <c r="F2391" t="s">
        <v>28</v>
      </c>
      <c r="G2391" s="10" t="str">
        <f>TEXT(Transform_Data[[#This Row],[Date]],"mmm yyyy")</f>
        <v>Nov 2024</v>
      </c>
      <c r="H2391" s="10">
        <f>HOUR(Transform_Data[[#This Row],[Time]])</f>
        <v>11</v>
      </c>
      <c r="I2391" s="10" t="str">
        <f>IF(COUNTIF('Transform Data'!$D:$D,'Transform Data'!D2391)&gt;1,"Repeat","Single")</f>
        <v>Repeat</v>
      </c>
      <c r="J2391" s="10" t="str">
        <f>IF('Transform Data'!D2391="Cash","Cash",IF(COUNTIF('Transform Data'!$D:$D,'Transform Data'!D2391)&gt;1,"Repeat","Single"))</f>
        <v>Repeat</v>
      </c>
      <c r="K2391" s="10" t="str">
        <f t="shared" si="37"/>
        <v>TRANS-2390</v>
      </c>
    </row>
    <row r="2392" spans="1:11" x14ac:dyDescent="0.35">
      <c r="A2392" s="5">
        <v>45619</v>
      </c>
      <c r="B2392" s="3">
        <v>0.46556712962962965</v>
      </c>
      <c r="C2392" t="s">
        <v>8</v>
      </c>
      <c r="D2392" t="s">
        <v>991</v>
      </c>
      <c r="E2392" s="4">
        <v>25.96</v>
      </c>
      <c r="F2392" t="s">
        <v>28</v>
      </c>
      <c r="G2392" s="10" t="str">
        <f>TEXT(Transform_Data[[#This Row],[Date]],"mmm yyyy")</f>
        <v>Nov 2024</v>
      </c>
      <c r="H2392" s="10">
        <f>HOUR(Transform_Data[[#This Row],[Time]])</f>
        <v>11</v>
      </c>
      <c r="I2392" s="10" t="str">
        <f>IF(COUNTIF('Transform Data'!$D:$D,'Transform Data'!D2392)&gt;1,"Repeat","Single")</f>
        <v>Repeat</v>
      </c>
      <c r="J2392" s="10" t="str">
        <f>IF('Transform Data'!D2392="Cash","Cash",IF(COUNTIF('Transform Data'!$D:$D,'Transform Data'!D2392)&gt;1,"Repeat","Single"))</f>
        <v>Repeat</v>
      </c>
      <c r="K2392" s="10" t="str">
        <f t="shared" si="37"/>
        <v>TRANS-2391</v>
      </c>
    </row>
    <row r="2393" spans="1:11" x14ac:dyDescent="0.35">
      <c r="A2393" s="5">
        <v>45619</v>
      </c>
      <c r="B2393" s="3">
        <v>0.48711805555555554</v>
      </c>
      <c r="C2393" t="s">
        <v>8</v>
      </c>
      <c r="D2393" t="s">
        <v>547</v>
      </c>
      <c r="E2393" s="4">
        <v>35.76</v>
      </c>
      <c r="F2393" t="s">
        <v>15</v>
      </c>
      <c r="G2393" s="10" t="str">
        <f>TEXT(Transform_Data[[#This Row],[Date]],"mmm yyyy")</f>
        <v>Nov 2024</v>
      </c>
      <c r="H2393" s="10">
        <f>HOUR(Transform_Data[[#This Row],[Time]])</f>
        <v>11</v>
      </c>
      <c r="I2393" s="10" t="str">
        <f>IF(COUNTIF('Transform Data'!$D:$D,'Transform Data'!D2393)&gt;1,"Repeat","Single")</f>
        <v>Repeat</v>
      </c>
      <c r="J2393" s="10" t="str">
        <f>IF('Transform Data'!D2393="Cash","Cash",IF(COUNTIF('Transform Data'!$D:$D,'Transform Data'!D2393)&gt;1,"Repeat","Single"))</f>
        <v>Repeat</v>
      </c>
      <c r="K2393" s="10" t="str">
        <f t="shared" si="37"/>
        <v>TRANS-2392</v>
      </c>
    </row>
    <row r="2394" spans="1:11" x14ac:dyDescent="0.35">
      <c r="A2394" s="5">
        <v>45619</v>
      </c>
      <c r="B2394" s="3">
        <v>0.94240740740740736</v>
      </c>
      <c r="C2394" t="s">
        <v>8</v>
      </c>
      <c r="D2394" t="s">
        <v>992</v>
      </c>
      <c r="E2394" s="4">
        <v>35.76</v>
      </c>
      <c r="F2394" t="s">
        <v>32</v>
      </c>
      <c r="G2394" s="10" t="str">
        <f>TEXT(Transform_Data[[#This Row],[Date]],"mmm yyyy")</f>
        <v>Nov 2024</v>
      </c>
      <c r="H2394" s="10">
        <f>HOUR(Transform_Data[[#This Row],[Time]])</f>
        <v>22</v>
      </c>
      <c r="I2394" s="10" t="str">
        <f>IF(COUNTIF('Transform Data'!$D:$D,'Transform Data'!D2394)&gt;1,"Repeat","Single")</f>
        <v>Single</v>
      </c>
      <c r="J2394" s="10" t="str">
        <f>IF('Transform Data'!D2394="Cash","Cash",IF(COUNTIF('Transform Data'!$D:$D,'Transform Data'!D2394)&gt;1,"Repeat","Single"))</f>
        <v>Single</v>
      </c>
      <c r="K2394" s="10" t="str">
        <f t="shared" si="37"/>
        <v>TRANS-2393</v>
      </c>
    </row>
    <row r="2395" spans="1:11" x14ac:dyDescent="0.35">
      <c r="A2395" s="5">
        <v>45620</v>
      </c>
      <c r="B2395" s="3">
        <v>0.34521990740740743</v>
      </c>
      <c r="C2395" t="s">
        <v>8</v>
      </c>
      <c r="D2395" t="s">
        <v>622</v>
      </c>
      <c r="E2395" s="4">
        <v>35.76</v>
      </c>
      <c r="F2395" t="s">
        <v>32</v>
      </c>
      <c r="G2395" s="10" t="str">
        <f>TEXT(Transform_Data[[#This Row],[Date]],"mmm yyyy")</f>
        <v>Nov 2024</v>
      </c>
      <c r="H2395" s="10">
        <f>HOUR(Transform_Data[[#This Row],[Time]])</f>
        <v>8</v>
      </c>
      <c r="I2395" s="10" t="str">
        <f>IF(COUNTIF('Transform Data'!$D:$D,'Transform Data'!D2395)&gt;1,"Repeat","Single")</f>
        <v>Repeat</v>
      </c>
      <c r="J2395" s="10" t="str">
        <f>IF('Transform Data'!D2395="Cash","Cash",IF(COUNTIF('Transform Data'!$D:$D,'Transform Data'!D2395)&gt;1,"Repeat","Single"))</f>
        <v>Repeat</v>
      </c>
      <c r="K2395" s="10" t="str">
        <f t="shared" si="37"/>
        <v>TRANS-2394</v>
      </c>
    </row>
    <row r="2396" spans="1:11" x14ac:dyDescent="0.35">
      <c r="A2396" s="5">
        <v>45621</v>
      </c>
      <c r="B2396" s="3">
        <v>0.32589120370370372</v>
      </c>
      <c r="C2396" t="s">
        <v>8</v>
      </c>
      <c r="D2396" t="s">
        <v>748</v>
      </c>
      <c r="E2396" s="4">
        <v>35.76</v>
      </c>
      <c r="F2396" t="s">
        <v>24</v>
      </c>
      <c r="G2396" s="10" t="str">
        <f>TEXT(Transform_Data[[#This Row],[Date]],"mmm yyyy")</f>
        <v>Nov 2024</v>
      </c>
      <c r="H2396" s="10">
        <f>HOUR(Transform_Data[[#This Row],[Time]])</f>
        <v>7</v>
      </c>
      <c r="I2396" s="10" t="str">
        <f>IF(COUNTIF('Transform Data'!$D:$D,'Transform Data'!D2396)&gt;1,"Repeat","Single")</f>
        <v>Repeat</v>
      </c>
      <c r="J2396" s="10" t="str">
        <f>IF('Transform Data'!D2396="Cash","Cash",IF(COUNTIF('Transform Data'!$D:$D,'Transform Data'!D2396)&gt;1,"Repeat","Single"))</f>
        <v>Repeat</v>
      </c>
      <c r="K2396" s="10" t="str">
        <f t="shared" si="37"/>
        <v>TRANS-2395</v>
      </c>
    </row>
    <row r="2397" spans="1:11" x14ac:dyDescent="0.35">
      <c r="A2397" s="5">
        <v>45621</v>
      </c>
      <c r="B2397" s="3">
        <v>0.32943287037037039</v>
      </c>
      <c r="C2397" t="s">
        <v>8</v>
      </c>
      <c r="D2397" t="s">
        <v>993</v>
      </c>
      <c r="E2397" s="4">
        <v>35.76</v>
      </c>
      <c r="F2397" t="s">
        <v>32</v>
      </c>
      <c r="G2397" s="10" t="str">
        <f>TEXT(Transform_Data[[#This Row],[Date]],"mmm yyyy")</f>
        <v>Nov 2024</v>
      </c>
      <c r="H2397" s="10">
        <f>HOUR(Transform_Data[[#This Row],[Time]])</f>
        <v>7</v>
      </c>
      <c r="I2397" s="10" t="str">
        <f>IF(COUNTIF('Transform Data'!$D:$D,'Transform Data'!D2397)&gt;1,"Repeat","Single")</f>
        <v>Single</v>
      </c>
      <c r="J2397" s="10" t="str">
        <f>IF('Transform Data'!D2397="Cash","Cash",IF(COUNTIF('Transform Data'!$D:$D,'Transform Data'!D2397)&gt;1,"Repeat","Single"))</f>
        <v>Single</v>
      </c>
      <c r="K2397" s="10" t="str">
        <f t="shared" si="37"/>
        <v>TRANS-2396</v>
      </c>
    </row>
    <row r="2398" spans="1:11" x14ac:dyDescent="0.35">
      <c r="A2398" s="5">
        <v>45621</v>
      </c>
      <c r="B2398" s="3">
        <v>0.3835648148148148</v>
      </c>
      <c r="C2398" t="s">
        <v>8</v>
      </c>
      <c r="D2398" t="s">
        <v>29</v>
      </c>
      <c r="E2398" s="4">
        <v>30.86</v>
      </c>
      <c r="F2398" t="s">
        <v>36</v>
      </c>
      <c r="G2398" s="10" t="str">
        <f>TEXT(Transform_Data[[#This Row],[Date]],"mmm yyyy")</f>
        <v>Nov 2024</v>
      </c>
      <c r="H2398" s="10">
        <f>HOUR(Transform_Data[[#This Row],[Time]])</f>
        <v>9</v>
      </c>
      <c r="I2398" s="10" t="str">
        <f>IF(COUNTIF('Transform Data'!$D:$D,'Transform Data'!D2398)&gt;1,"Repeat","Single")</f>
        <v>Repeat</v>
      </c>
      <c r="J2398" s="10" t="str">
        <f>IF('Transform Data'!D2398="Cash","Cash",IF(COUNTIF('Transform Data'!$D:$D,'Transform Data'!D2398)&gt;1,"Repeat","Single"))</f>
        <v>Repeat</v>
      </c>
      <c r="K2398" s="10" t="str">
        <f t="shared" si="37"/>
        <v>TRANS-2397</v>
      </c>
    </row>
    <row r="2399" spans="1:11" x14ac:dyDescent="0.35">
      <c r="A2399" s="5">
        <v>45621</v>
      </c>
      <c r="B2399" s="3">
        <v>0.44314814814814812</v>
      </c>
      <c r="C2399" t="s">
        <v>8</v>
      </c>
      <c r="D2399" t="s">
        <v>40</v>
      </c>
      <c r="E2399" s="4">
        <v>25.96</v>
      </c>
      <c r="F2399" t="s">
        <v>20</v>
      </c>
      <c r="G2399" s="10" t="str">
        <f>TEXT(Transform_Data[[#This Row],[Date]],"mmm yyyy")</f>
        <v>Nov 2024</v>
      </c>
      <c r="H2399" s="10">
        <f>HOUR(Transform_Data[[#This Row],[Time]])</f>
        <v>10</v>
      </c>
      <c r="I2399" s="10" t="str">
        <f>IF(COUNTIF('Transform Data'!$D:$D,'Transform Data'!D2399)&gt;1,"Repeat","Single")</f>
        <v>Repeat</v>
      </c>
      <c r="J2399" s="10" t="str">
        <f>IF('Transform Data'!D2399="Cash","Cash",IF(COUNTIF('Transform Data'!$D:$D,'Transform Data'!D2399)&gt;1,"Repeat","Single"))</f>
        <v>Repeat</v>
      </c>
      <c r="K2399" s="10" t="str">
        <f t="shared" si="37"/>
        <v>TRANS-2398</v>
      </c>
    </row>
    <row r="2400" spans="1:11" x14ac:dyDescent="0.35">
      <c r="A2400" s="5">
        <v>45621</v>
      </c>
      <c r="B2400" s="3">
        <v>0.53539351851851846</v>
      </c>
      <c r="C2400" t="s">
        <v>8</v>
      </c>
      <c r="D2400" t="s">
        <v>994</v>
      </c>
      <c r="E2400" s="4">
        <v>35.76</v>
      </c>
      <c r="F2400" t="s">
        <v>32</v>
      </c>
      <c r="G2400" s="10" t="str">
        <f>TEXT(Transform_Data[[#This Row],[Date]],"mmm yyyy")</f>
        <v>Nov 2024</v>
      </c>
      <c r="H2400" s="10">
        <f>HOUR(Transform_Data[[#This Row],[Time]])</f>
        <v>12</v>
      </c>
      <c r="I2400" s="10" t="str">
        <f>IF(COUNTIF('Transform Data'!$D:$D,'Transform Data'!D2400)&gt;1,"Repeat","Single")</f>
        <v>Single</v>
      </c>
      <c r="J2400" s="10" t="str">
        <f>IF('Transform Data'!D2400="Cash","Cash",IF(COUNTIF('Transform Data'!$D:$D,'Transform Data'!D2400)&gt;1,"Repeat","Single"))</f>
        <v>Single</v>
      </c>
      <c r="K2400" s="10" t="str">
        <f t="shared" si="37"/>
        <v>TRANS-2399</v>
      </c>
    </row>
    <row r="2401" spans="1:11" x14ac:dyDescent="0.35">
      <c r="A2401" s="5">
        <v>45621</v>
      </c>
      <c r="B2401" s="3">
        <v>0.53658564814814813</v>
      </c>
      <c r="C2401" t="s">
        <v>8</v>
      </c>
      <c r="D2401" t="s">
        <v>995</v>
      </c>
      <c r="E2401" s="4">
        <v>35.76</v>
      </c>
      <c r="F2401" t="s">
        <v>32</v>
      </c>
      <c r="G2401" s="10" t="str">
        <f>TEXT(Transform_Data[[#This Row],[Date]],"mmm yyyy")</f>
        <v>Nov 2024</v>
      </c>
      <c r="H2401" s="10">
        <f>HOUR(Transform_Data[[#This Row],[Time]])</f>
        <v>12</v>
      </c>
      <c r="I2401" s="10" t="str">
        <f>IF(COUNTIF('Transform Data'!$D:$D,'Transform Data'!D2401)&gt;1,"Repeat","Single")</f>
        <v>Single</v>
      </c>
      <c r="J2401" s="10" t="str">
        <f>IF('Transform Data'!D2401="Cash","Cash",IF(COUNTIF('Transform Data'!$D:$D,'Transform Data'!D2401)&gt;1,"Repeat","Single"))</f>
        <v>Single</v>
      </c>
      <c r="K2401" s="10" t="str">
        <f t="shared" si="37"/>
        <v>TRANS-2400</v>
      </c>
    </row>
    <row r="2402" spans="1:11" x14ac:dyDescent="0.35">
      <c r="A2402" s="5">
        <v>45621</v>
      </c>
      <c r="B2402" s="3">
        <v>0.68814814814814818</v>
      </c>
      <c r="C2402" t="s">
        <v>8</v>
      </c>
      <c r="D2402" t="s">
        <v>923</v>
      </c>
      <c r="E2402" s="4">
        <v>35.76</v>
      </c>
      <c r="F2402" t="s">
        <v>15</v>
      </c>
      <c r="G2402" s="10" t="str">
        <f>TEXT(Transform_Data[[#This Row],[Date]],"mmm yyyy")</f>
        <v>Nov 2024</v>
      </c>
      <c r="H2402" s="10">
        <f>HOUR(Transform_Data[[#This Row],[Time]])</f>
        <v>16</v>
      </c>
      <c r="I2402" s="10" t="str">
        <f>IF(COUNTIF('Transform Data'!$D:$D,'Transform Data'!D2402)&gt;1,"Repeat","Single")</f>
        <v>Repeat</v>
      </c>
      <c r="J2402" s="10" t="str">
        <f>IF('Transform Data'!D2402="Cash","Cash",IF(COUNTIF('Transform Data'!$D:$D,'Transform Data'!D2402)&gt;1,"Repeat","Single"))</f>
        <v>Repeat</v>
      </c>
      <c r="K2402" s="10" t="str">
        <f t="shared" si="37"/>
        <v>TRANS-2401</v>
      </c>
    </row>
    <row r="2403" spans="1:11" x14ac:dyDescent="0.35">
      <c r="A2403" s="5">
        <v>45621</v>
      </c>
      <c r="B2403" s="3">
        <v>0.79304398148148147</v>
      </c>
      <c r="C2403" t="s">
        <v>8</v>
      </c>
      <c r="D2403" t="s">
        <v>996</v>
      </c>
      <c r="E2403" s="4">
        <v>30.86</v>
      </c>
      <c r="F2403" t="s">
        <v>36</v>
      </c>
      <c r="G2403" s="10" t="str">
        <f>TEXT(Transform_Data[[#This Row],[Date]],"mmm yyyy")</f>
        <v>Nov 2024</v>
      </c>
      <c r="H2403" s="10">
        <f>HOUR(Transform_Data[[#This Row],[Time]])</f>
        <v>19</v>
      </c>
      <c r="I2403" s="10" t="str">
        <f>IF(COUNTIF('Transform Data'!$D:$D,'Transform Data'!D2403)&gt;1,"Repeat","Single")</f>
        <v>Single</v>
      </c>
      <c r="J2403" s="10" t="str">
        <f>IF('Transform Data'!D2403="Cash","Cash",IF(COUNTIF('Transform Data'!$D:$D,'Transform Data'!D2403)&gt;1,"Repeat","Single"))</f>
        <v>Single</v>
      </c>
      <c r="K2403" s="10" t="str">
        <f t="shared" si="37"/>
        <v>TRANS-2402</v>
      </c>
    </row>
    <row r="2404" spans="1:11" x14ac:dyDescent="0.35">
      <c r="A2404" s="5">
        <v>45621</v>
      </c>
      <c r="B2404" s="3">
        <v>0.81803240740740746</v>
      </c>
      <c r="C2404" t="s">
        <v>8</v>
      </c>
      <c r="D2404" t="s">
        <v>997</v>
      </c>
      <c r="E2404" s="4">
        <v>35.76</v>
      </c>
      <c r="F2404" t="s">
        <v>15</v>
      </c>
      <c r="G2404" s="10" t="str">
        <f>TEXT(Transform_Data[[#This Row],[Date]],"mmm yyyy")</f>
        <v>Nov 2024</v>
      </c>
      <c r="H2404" s="10">
        <f>HOUR(Transform_Data[[#This Row],[Time]])</f>
        <v>19</v>
      </c>
      <c r="I2404" s="10" t="str">
        <f>IF(COUNTIF('Transform Data'!$D:$D,'Transform Data'!D2404)&gt;1,"Repeat","Single")</f>
        <v>Single</v>
      </c>
      <c r="J2404" s="10" t="str">
        <f>IF('Transform Data'!D2404="Cash","Cash",IF(COUNTIF('Transform Data'!$D:$D,'Transform Data'!D2404)&gt;1,"Repeat","Single"))</f>
        <v>Single</v>
      </c>
      <c r="K2404" s="10" t="str">
        <f t="shared" si="37"/>
        <v>TRANS-2403</v>
      </c>
    </row>
    <row r="2405" spans="1:11" x14ac:dyDescent="0.35">
      <c r="A2405" s="5">
        <v>45621</v>
      </c>
      <c r="B2405" s="3">
        <v>0.90434027777777781</v>
      </c>
      <c r="C2405" t="s">
        <v>8</v>
      </c>
      <c r="D2405" t="s">
        <v>689</v>
      </c>
      <c r="E2405" s="4">
        <v>35.76</v>
      </c>
      <c r="F2405" t="s">
        <v>15</v>
      </c>
      <c r="G2405" s="10" t="str">
        <f>TEXT(Transform_Data[[#This Row],[Date]],"mmm yyyy")</f>
        <v>Nov 2024</v>
      </c>
      <c r="H2405" s="10">
        <f>HOUR(Transform_Data[[#This Row],[Time]])</f>
        <v>21</v>
      </c>
      <c r="I2405" s="10" t="str">
        <f>IF(COUNTIF('Transform Data'!$D:$D,'Transform Data'!D2405)&gt;1,"Repeat","Single")</f>
        <v>Repeat</v>
      </c>
      <c r="J2405" s="10" t="str">
        <f>IF('Transform Data'!D2405="Cash","Cash",IF(COUNTIF('Transform Data'!$D:$D,'Transform Data'!D2405)&gt;1,"Repeat","Single"))</f>
        <v>Repeat</v>
      </c>
      <c r="K2405" s="10" t="str">
        <f t="shared" si="37"/>
        <v>TRANS-2404</v>
      </c>
    </row>
    <row r="2406" spans="1:11" x14ac:dyDescent="0.35">
      <c r="A2406" s="5">
        <v>45621</v>
      </c>
      <c r="B2406" s="3">
        <v>0.90486111111111112</v>
      </c>
      <c r="C2406" t="s">
        <v>8</v>
      </c>
      <c r="D2406" t="s">
        <v>689</v>
      </c>
      <c r="E2406" s="4">
        <v>35.76</v>
      </c>
      <c r="F2406" t="s">
        <v>24</v>
      </c>
      <c r="G2406" s="10" t="str">
        <f>TEXT(Transform_Data[[#This Row],[Date]],"mmm yyyy")</f>
        <v>Nov 2024</v>
      </c>
      <c r="H2406" s="10">
        <f>HOUR(Transform_Data[[#This Row],[Time]])</f>
        <v>21</v>
      </c>
      <c r="I2406" s="10" t="str">
        <f>IF(COUNTIF('Transform Data'!$D:$D,'Transform Data'!D2406)&gt;1,"Repeat","Single")</f>
        <v>Repeat</v>
      </c>
      <c r="J2406" s="10" t="str">
        <f>IF('Transform Data'!D2406="Cash","Cash",IF(COUNTIF('Transform Data'!$D:$D,'Transform Data'!D2406)&gt;1,"Repeat","Single"))</f>
        <v>Repeat</v>
      </c>
      <c r="K2406" s="10" t="str">
        <f t="shared" si="37"/>
        <v>TRANS-2405</v>
      </c>
    </row>
    <row r="2407" spans="1:11" x14ac:dyDescent="0.35">
      <c r="A2407" s="5">
        <v>45622</v>
      </c>
      <c r="B2407" s="3">
        <v>0.32959490740740743</v>
      </c>
      <c r="C2407" t="s">
        <v>8</v>
      </c>
      <c r="D2407" t="s">
        <v>622</v>
      </c>
      <c r="E2407" s="4">
        <v>35.76</v>
      </c>
      <c r="F2407" t="s">
        <v>32</v>
      </c>
      <c r="G2407" s="10" t="str">
        <f>TEXT(Transform_Data[[#This Row],[Date]],"mmm yyyy")</f>
        <v>Nov 2024</v>
      </c>
      <c r="H2407" s="10">
        <f>HOUR(Transform_Data[[#This Row],[Time]])</f>
        <v>7</v>
      </c>
      <c r="I2407" s="10" t="str">
        <f>IF(COUNTIF('Transform Data'!$D:$D,'Transform Data'!D2407)&gt;1,"Repeat","Single")</f>
        <v>Repeat</v>
      </c>
      <c r="J2407" s="10" t="str">
        <f>IF('Transform Data'!D2407="Cash","Cash",IF(COUNTIF('Transform Data'!$D:$D,'Transform Data'!D2407)&gt;1,"Repeat","Single"))</f>
        <v>Repeat</v>
      </c>
      <c r="K2407" s="10" t="str">
        <f t="shared" si="37"/>
        <v>TRANS-2406</v>
      </c>
    </row>
    <row r="2408" spans="1:11" x14ac:dyDescent="0.35">
      <c r="A2408" s="5">
        <v>45622</v>
      </c>
      <c r="B2408" s="3">
        <v>0.46037037037037037</v>
      </c>
      <c r="C2408" t="s">
        <v>8</v>
      </c>
      <c r="D2408" t="s">
        <v>955</v>
      </c>
      <c r="E2408" s="4">
        <v>35.76</v>
      </c>
      <c r="F2408" t="s">
        <v>10</v>
      </c>
      <c r="G2408" s="10" t="str">
        <f>TEXT(Transform_Data[[#This Row],[Date]],"mmm yyyy")</f>
        <v>Nov 2024</v>
      </c>
      <c r="H2408" s="10">
        <f>HOUR(Transform_Data[[#This Row],[Time]])</f>
        <v>11</v>
      </c>
      <c r="I2408" s="10" t="str">
        <f>IF(COUNTIF('Transform Data'!$D:$D,'Transform Data'!D2408)&gt;1,"Repeat","Single")</f>
        <v>Repeat</v>
      </c>
      <c r="J2408" s="10" t="str">
        <f>IF('Transform Data'!D2408="Cash","Cash",IF(COUNTIF('Transform Data'!$D:$D,'Transform Data'!D2408)&gt;1,"Repeat","Single"))</f>
        <v>Repeat</v>
      </c>
      <c r="K2408" s="10" t="str">
        <f t="shared" si="37"/>
        <v>TRANS-2407</v>
      </c>
    </row>
    <row r="2409" spans="1:11" x14ac:dyDescent="0.35">
      <c r="A2409" s="5">
        <v>45622</v>
      </c>
      <c r="B2409" s="3">
        <v>0.46096064814814813</v>
      </c>
      <c r="C2409" t="s">
        <v>8</v>
      </c>
      <c r="D2409" t="s">
        <v>998</v>
      </c>
      <c r="E2409" s="4">
        <v>25.96</v>
      </c>
      <c r="F2409" t="s">
        <v>28</v>
      </c>
      <c r="G2409" s="10" t="str">
        <f>TEXT(Transform_Data[[#This Row],[Date]],"mmm yyyy")</f>
        <v>Nov 2024</v>
      </c>
      <c r="H2409" s="10">
        <f>HOUR(Transform_Data[[#This Row],[Time]])</f>
        <v>11</v>
      </c>
      <c r="I2409" s="10" t="str">
        <f>IF(COUNTIF('Transform Data'!$D:$D,'Transform Data'!D2409)&gt;1,"Repeat","Single")</f>
        <v>Single</v>
      </c>
      <c r="J2409" s="10" t="str">
        <f>IF('Transform Data'!D2409="Cash","Cash",IF(COUNTIF('Transform Data'!$D:$D,'Transform Data'!D2409)&gt;1,"Repeat","Single"))</f>
        <v>Single</v>
      </c>
      <c r="K2409" s="10" t="str">
        <f t="shared" si="37"/>
        <v>TRANS-2408</v>
      </c>
    </row>
    <row r="2410" spans="1:11" x14ac:dyDescent="0.35">
      <c r="A2410" s="5">
        <v>45622</v>
      </c>
      <c r="B2410" s="3">
        <v>0.46260416666666665</v>
      </c>
      <c r="C2410" t="s">
        <v>8</v>
      </c>
      <c r="D2410" t="s">
        <v>999</v>
      </c>
      <c r="E2410" s="4">
        <v>35.76</v>
      </c>
      <c r="F2410" t="s">
        <v>10</v>
      </c>
      <c r="G2410" s="10" t="str">
        <f>TEXT(Transform_Data[[#This Row],[Date]],"mmm yyyy")</f>
        <v>Nov 2024</v>
      </c>
      <c r="H2410" s="10">
        <f>HOUR(Transform_Data[[#This Row],[Time]])</f>
        <v>11</v>
      </c>
      <c r="I2410" s="10" t="str">
        <f>IF(COUNTIF('Transform Data'!$D:$D,'Transform Data'!D2410)&gt;1,"Repeat","Single")</f>
        <v>Repeat</v>
      </c>
      <c r="J2410" s="10" t="str">
        <f>IF('Transform Data'!D2410="Cash","Cash",IF(COUNTIF('Transform Data'!$D:$D,'Transform Data'!D2410)&gt;1,"Repeat","Single"))</f>
        <v>Repeat</v>
      </c>
      <c r="K2410" s="10" t="str">
        <f t="shared" si="37"/>
        <v>TRANS-2409</v>
      </c>
    </row>
    <row r="2411" spans="1:11" x14ac:dyDescent="0.35">
      <c r="A2411" s="5">
        <v>45622</v>
      </c>
      <c r="B2411" s="3">
        <v>0.46329861111111109</v>
      </c>
      <c r="C2411" t="s">
        <v>8</v>
      </c>
      <c r="D2411" t="s">
        <v>999</v>
      </c>
      <c r="E2411" s="4">
        <v>35.76</v>
      </c>
      <c r="F2411" t="s">
        <v>10</v>
      </c>
      <c r="G2411" s="10" t="str">
        <f>TEXT(Transform_Data[[#This Row],[Date]],"mmm yyyy")</f>
        <v>Nov 2024</v>
      </c>
      <c r="H2411" s="10">
        <f>HOUR(Transform_Data[[#This Row],[Time]])</f>
        <v>11</v>
      </c>
      <c r="I2411" s="10" t="str">
        <f>IF(COUNTIF('Transform Data'!$D:$D,'Transform Data'!D2411)&gt;1,"Repeat","Single")</f>
        <v>Repeat</v>
      </c>
      <c r="J2411" s="10" t="str">
        <f>IF('Transform Data'!D2411="Cash","Cash",IF(COUNTIF('Transform Data'!$D:$D,'Transform Data'!D2411)&gt;1,"Repeat","Single"))</f>
        <v>Repeat</v>
      </c>
      <c r="K2411" s="10" t="str">
        <f t="shared" si="37"/>
        <v>TRANS-2410</v>
      </c>
    </row>
    <row r="2412" spans="1:11" x14ac:dyDescent="0.35">
      <c r="A2412" s="5">
        <v>45622</v>
      </c>
      <c r="B2412" s="3">
        <v>0.66937500000000005</v>
      </c>
      <c r="C2412" t="s">
        <v>8</v>
      </c>
      <c r="D2412" t="s">
        <v>1000</v>
      </c>
      <c r="E2412" s="4">
        <v>35.76</v>
      </c>
      <c r="F2412" t="s">
        <v>32</v>
      </c>
      <c r="G2412" s="10" t="str">
        <f>TEXT(Transform_Data[[#This Row],[Date]],"mmm yyyy")</f>
        <v>Nov 2024</v>
      </c>
      <c r="H2412" s="10">
        <f>HOUR(Transform_Data[[#This Row],[Time]])</f>
        <v>16</v>
      </c>
      <c r="I2412" s="10" t="str">
        <f>IF(COUNTIF('Transform Data'!$D:$D,'Transform Data'!D2412)&gt;1,"Repeat","Single")</f>
        <v>Single</v>
      </c>
      <c r="J2412" s="10" t="str">
        <f>IF('Transform Data'!D2412="Cash","Cash",IF(COUNTIF('Transform Data'!$D:$D,'Transform Data'!D2412)&gt;1,"Repeat","Single"))</f>
        <v>Single</v>
      </c>
      <c r="K2412" s="10" t="str">
        <f t="shared" si="37"/>
        <v>TRANS-2411</v>
      </c>
    </row>
    <row r="2413" spans="1:11" x14ac:dyDescent="0.35">
      <c r="A2413" s="5">
        <v>45622</v>
      </c>
      <c r="B2413" s="3">
        <v>0.67013888888888884</v>
      </c>
      <c r="C2413" t="s">
        <v>8</v>
      </c>
      <c r="D2413" t="s">
        <v>1001</v>
      </c>
      <c r="E2413" s="4">
        <v>35.76</v>
      </c>
      <c r="F2413" t="s">
        <v>32</v>
      </c>
      <c r="G2413" s="10" t="str">
        <f>TEXT(Transform_Data[[#This Row],[Date]],"mmm yyyy")</f>
        <v>Nov 2024</v>
      </c>
      <c r="H2413" s="10">
        <f>HOUR(Transform_Data[[#This Row],[Time]])</f>
        <v>16</v>
      </c>
      <c r="I2413" s="10" t="str">
        <f>IF(COUNTIF('Transform Data'!$D:$D,'Transform Data'!D2413)&gt;1,"Repeat","Single")</f>
        <v>Single</v>
      </c>
      <c r="J2413" s="10" t="str">
        <f>IF('Transform Data'!D2413="Cash","Cash",IF(COUNTIF('Transform Data'!$D:$D,'Transform Data'!D2413)&gt;1,"Repeat","Single"))</f>
        <v>Single</v>
      </c>
      <c r="K2413" s="10" t="str">
        <f t="shared" si="37"/>
        <v>TRANS-2412</v>
      </c>
    </row>
    <row r="2414" spans="1:11" x14ac:dyDescent="0.35">
      <c r="A2414" s="5">
        <v>45622</v>
      </c>
      <c r="B2414" s="3">
        <v>0.716400462962963</v>
      </c>
      <c r="C2414" t="s">
        <v>8</v>
      </c>
      <c r="D2414" t="s">
        <v>1002</v>
      </c>
      <c r="E2414" s="4">
        <v>25.96</v>
      </c>
      <c r="F2414" t="s">
        <v>28</v>
      </c>
      <c r="G2414" s="10" t="str">
        <f>TEXT(Transform_Data[[#This Row],[Date]],"mmm yyyy")</f>
        <v>Nov 2024</v>
      </c>
      <c r="H2414" s="10">
        <f>HOUR(Transform_Data[[#This Row],[Time]])</f>
        <v>17</v>
      </c>
      <c r="I2414" s="10" t="str">
        <f>IF(COUNTIF('Transform Data'!$D:$D,'Transform Data'!D2414)&gt;1,"Repeat","Single")</f>
        <v>Repeat</v>
      </c>
      <c r="J2414" s="10" t="str">
        <f>IF('Transform Data'!D2414="Cash","Cash",IF(COUNTIF('Transform Data'!$D:$D,'Transform Data'!D2414)&gt;1,"Repeat","Single"))</f>
        <v>Repeat</v>
      </c>
      <c r="K2414" s="10" t="str">
        <f t="shared" si="37"/>
        <v>TRANS-2413</v>
      </c>
    </row>
    <row r="2415" spans="1:11" x14ac:dyDescent="0.35">
      <c r="A2415" s="5">
        <v>45622</v>
      </c>
      <c r="B2415" s="3">
        <v>0.71706018518518522</v>
      </c>
      <c r="C2415" t="s">
        <v>8</v>
      </c>
      <c r="D2415" t="s">
        <v>1002</v>
      </c>
      <c r="E2415" s="4">
        <v>30.86</v>
      </c>
      <c r="F2415" t="s">
        <v>36</v>
      </c>
      <c r="G2415" s="10" t="str">
        <f>TEXT(Transform_Data[[#This Row],[Date]],"mmm yyyy")</f>
        <v>Nov 2024</v>
      </c>
      <c r="H2415" s="10">
        <f>HOUR(Transform_Data[[#This Row],[Time]])</f>
        <v>17</v>
      </c>
      <c r="I2415" s="10" t="str">
        <f>IF(COUNTIF('Transform Data'!$D:$D,'Transform Data'!D2415)&gt;1,"Repeat","Single")</f>
        <v>Repeat</v>
      </c>
      <c r="J2415" s="10" t="str">
        <f>IF('Transform Data'!D2415="Cash","Cash",IF(COUNTIF('Transform Data'!$D:$D,'Transform Data'!D2415)&gt;1,"Repeat","Single"))</f>
        <v>Repeat</v>
      </c>
      <c r="K2415" s="10" t="str">
        <f t="shared" si="37"/>
        <v>TRANS-2414</v>
      </c>
    </row>
    <row r="2416" spans="1:11" x14ac:dyDescent="0.35">
      <c r="A2416" s="5">
        <v>45622</v>
      </c>
      <c r="B2416" s="3">
        <v>0.82458333333333333</v>
      </c>
      <c r="C2416" t="s">
        <v>8</v>
      </c>
      <c r="D2416" t="s">
        <v>1003</v>
      </c>
      <c r="E2416" s="4">
        <v>35.76</v>
      </c>
      <c r="F2416" t="s">
        <v>10</v>
      </c>
      <c r="G2416" s="10" t="str">
        <f>TEXT(Transform_Data[[#This Row],[Date]],"mmm yyyy")</f>
        <v>Nov 2024</v>
      </c>
      <c r="H2416" s="10">
        <f>HOUR(Transform_Data[[#This Row],[Time]])</f>
        <v>19</v>
      </c>
      <c r="I2416" s="10" t="str">
        <f>IF(COUNTIF('Transform Data'!$D:$D,'Transform Data'!D2416)&gt;1,"Repeat","Single")</f>
        <v>Single</v>
      </c>
      <c r="J2416" s="10" t="str">
        <f>IF('Transform Data'!D2416="Cash","Cash",IF(COUNTIF('Transform Data'!$D:$D,'Transform Data'!D2416)&gt;1,"Repeat","Single"))</f>
        <v>Single</v>
      </c>
      <c r="K2416" s="10" t="str">
        <f t="shared" si="37"/>
        <v>TRANS-2415</v>
      </c>
    </row>
    <row r="2417" spans="1:11" x14ac:dyDescent="0.35">
      <c r="A2417" s="5">
        <v>45624</v>
      </c>
      <c r="B2417" s="3">
        <v>0.36199074074074072</v>
      </c>
      <c r="C2417" t="s">
        <v>8</v>
      </c>
      <c r="D2417" t="s">
        <v>1004</v>
      </c>
      <c r="E2417" s="4">
        <v>35.76</v>
      </c>
      <c r="F2417" t="s">
        <v>24</v>
      </c>
      <c r="G2417" s="10" t="str">
        <f>TEXT(Transform_Data[[#This Row],[Date]],"mmm yyyy")</f>
        <v>Nov 2024</v>
      </c>
      <c r="H2417" s="10">
        <f>HOUR(Transform_Data[[#This Row],[Time]])</f>
        <v>8</v>
      </c>
      <c r="I2417" s="10" t="str">
        <f>IF(COUNTIF('Transform Data'!$D:$D,'Transform Data'!D2417)&gt;1,"Repeat","Single")</f>
        <v>Single</v>
      </c>
      <c r="J2417" s="10" t="str">
        <f>IF('Transform Data'!D2417="Cash","Cash",IF(COUNTIF('Transform Data'!$D:$D,'Transform Data'!D2417)&gt;1,"Repeat","Single"))</f>
        <v>Single</v>
      </c>
      <c r="K2417" s="10" t="str">
        <f t="shared" si="37"/>
        <v>TRANS-2416</v>
      </c>
    </row>
    <row r="2418" spans="1:11" x14ac:dyDescent="0.35">
      <c r="A2418" s="5">
        <v>45624</v>
      </c>
      <c r="B2418" s="3">
        <v>0.38472222222222224</v>
      </c>
      <c r="C2418" t="s">
        <v>8</v>
      </c>
      <c r="D2418" t="s">
        <v>29</v>
      </c>
      <c r="E2418" s="4">
        <v>30.86</v>
      </c>
      <c r="F2418" t="s">
        <v>36</v>
      </c>
      <c r="G2418" s="10" t="str">
        <f>TEXT(Transform_Data[[#This Row],[Date]],"mmm yyyy")</f>
        <v>Nov 2024</v>
      </c>
      <c r="H2418" s="10">
        <f>HOUR(Transform_Data[[#This Row],[Time]])</f>
        <v>9</v>
      </c>
      <c r="I2418" s="10" t="str">
        <f>IF(COUNTIF('Transform Data'!$D:$D,'Transform Data'!D2418)&gt;1,"Repeat","Single")</f>
        <v>Repeat</v>
      </c>
      <c r="J2418" s="10" t="str">
        <f>IF('Transform Data'!D2418="Cash","Cash",IF(COUNTIF('Transform Data'!$D:$D,'Transform Data'!D2418)&gt;1,"Repeat","Single"))</f>
        <v>Repeat</v>
      </c>
      <c r="K2418" s="10" t="str">
        <f t="shared" si="37"/>
        <v>TRANS-2417</v>
      </c>
    </row>
    <row r="2419" spans="1:11" x14ac:dyDescent="0.35">
      <c r="A2419" s="5">
        <v>45624</v>
      </c>
      <c r="B2419" s="3">
        <v>0.85048611111111116</v>
      </c>
      <c r="C2419" t="s">
        <v>8</v>
      </c>
      <c r="D2419" t="s">
        <v>43</v>
      </c>
      <c r="E2419" s="4">
        <v>30.86</v>
      </c>
      <c r="F2419" t="s">
        <v>36</v>
      </c>
      <c r="G2419" s="10" t="str">
        <f>TEXT(Transform_Data[[#This Row],[Date]],"mmm yyyy")</f>
        <v>Nov 2024</v>
      </c>
      <c r="H2419" s="10">
        <f>HOUR(Transform_Data[[#This Row],[Time]])</f>
        <v>20</v>
      </c>
      <c r="I2419" s="10" t="str">
        <f>IF(COUNTIF('Transform Data'!$D:$D,'Transform Data'!D2419)&gt;1,"Repeat","Single")</f>
        <v>Repeat</v>
      </c>
      <c r="J2419" s="10" t="str">
        <f>IF('Transform Data'!D2419="Cash","Cash",IF(COUNTIF('Transform Data'!$D:$D,'Transform Data'!D2419)&gt;1,"Repeat","Single"))</f>
        <v>Repeat</v>
      </c>
      <c r="K2419" s="10" t="str">
        <f t="shared" si="37"/>
        <v>TRANS-2418</v>
      </c>
    </row>
    <row r="2420" spans="1:11" x14ac:dyDescent="0.35">
      <c r="A2420" s="5">
        <v>45624</v>
      </c>
      <c r="B2420" s="3">
        <v>0.85121527777777772</v>
      </c>
      <c r="C2420" t="s">
        <v>8</v>
      </c>
      <c r="D2420" t="s">
        <v>76</v>
      </c>
      <c r="E2420" s="4">
        <v>35.76</v>
      </c>
      <c r="F2420" t="s">
        <v>32</v>
      </c>
      <c r="G2420" s="10" t="str">
        <f>TEXT(Transform_Data[[#This Row],[Date]],"mmm yyyy")</f>
        <v>Nov 2024</v>
      </c>
      <c r="H2420" s="10">
        <f>HOUR(Transform_Data[[#This Row],[Time]])</f>
        <v>20</v>
      </c>
      <c r="I2420" s="10" t="str">
        <f>IF(COUNTIF('Transform Data'!$D:$D,'Transform Data'!D2420)&gt;1,"Repeat","Single")</f>
        <v>Repeat</v>
      </c>
      <c r="J2420" s="10" t="str">
        <f>IF('Transform Data'!D2420="Cash","Cash",IF(COUNTIF('Transform Data'!$D:$D,'Transform Data'!D2420)&gt;1,"Repeat","Single"))</f>
        <v>Repeat</v>
      </c>
      <c r="K2420" s="10" t="str">
        <f t="shared" si="37"/>
        <v>TRANS-2419</v>
      </c>
    </row>
    <row r="2421" spans="1:11" x14ac:dyDescent="0.35">
      <c r="A2421" s="5">
        <v>45624</v>
      </c>
      <c r="B2421" s="3">
        <v>0.87151620370370375</v>
      </c>
      <c r="C2421" t="s">
        <v>8</v>
      </c>
      <c r="D2421" t="s">
        <v>21</v>
      </c>
      <c r="E2421" s="4">
        <v>35.76</v>
      </c>
      <c r="F2421" t="s">
        <v>32</v>
      </c>
      <c r="G2421" s="10" t="str">
        <f>TEXT(Transform_Data[[#This Row],[Date]],"mmm yyyy")</f>
        <v>Nov 2024</v>
      </c>
      <c r="H2421" s="10">
        <f>HOUR(Transform_Data[[#This Row],[Time]])</f>
        <v>20</v>
      </c>
      <c r="I2421" s="10" t="str">
        <f>IF(COUNTIF('Transform Data'!$D:$D,'Transform Data'!D2421)&gt;1,"Repeat","Single")</f>
        <v>Repeat</v>
      </c>
      <c r="J2421" s="10" t="str">
        <f>IF('Transform Data'!D2421="Cash","Cash",IF(COUNTIF('Transform Data'!$D:$D,'Transform Data'!D2421)&gt;1,"Repeat","Single"))</f>
        <v>Repeat</v>
      </c>
      <c r="K2421" s="10" t="str">
        <f t="shared" si="37"/>
        <v>TRANS-2420</v>
      </c>
    </row>
    <row r="2422" spans="1:11" x14ac:dyDescent="0.35">
      <c r="A2422" s="5">
        <v>45624</v>
      </c>
      <c r="B2422" s="3">
        <v>0.91684027777777777</v>
      </c>
      <c r="C2422" t="s">
        <v>8</v>
      </c>
      <c r="D2422" t="s">
        <v>800</v>
      </c>
      <c r="E2422" s="4">
        <v>35.76</v>
      </c>
      <c r="F2422" t="s">
        <v>24</v>
      </c>
      <c r="G2422" s="10" t="str">
        <f>TEXT(Transform_Data[[#This Row],[Date]],"mmm yyyy")</f>
        <v>Nov 2024</v>
      </c>
      <c r="H2422" s="10">
        <f>HOUR(Transform_Data[[#This Row],[Time]])</f>
        <v>22</v>
      </c>
      <c r="I2422" s="10" t="str">
        <f>IF(COUNTIF('Transform Data'!$D:$D,'Transform Data'!D2422)&gt;1,"Repeat","Single")</f>
        <v>Repeat</v>
      </c>
      <c r="J2422" s="10" t="str">
        <f>IF('Transform Data'!D2422="Cash","Cash",IF(COUNTIF('Transform Data'!$D:$D,'Transform Data'!D2422)&gt;1,"Repeat","Single"))</f>
        <v>Repeat</v>
      </c>
      <c r="K2422" s="10" t="str">
        <f t="shared" si="37"/>
        <v>TRANS-2421</v>
      </c>
    </row>
    <row r="2423" spans="1:11" x14ac:dyDescent="0.35">
      <c r="A2423" s="5">
        <v>45625</v>
      </c>
      <c r="B2423" s="3">
        <v>0.32864583333333336</v>
      </c>
      <c r="C2423" t="s">
        <v>8</v>
      </c>
      <c r="D2423" t="s">
        <v>748</v>
      </c>
      <c r="E2423" s="4">
        <v>35.76</v>
      </c>
      <c r="F2423" t="s">
        <v>10</v>
      </c>
      <c r="G2423" s="10" t="str">
        <f>TEXT(Transform_Data[[#This Row],[Date]],"mmm yyyy")</f>
        <v>Nov 2024</v>
      </c>
      <c r="H2423" s="10">
        <f>HOUR(Transform_Data[[#This Row],[Time]])</f>
        <v>7</v>
      </c>
      <c r="I2423" s="10" t="str">
        <f>IF(COUNTIF('Transform Data'!$D:$D,'Transform Data'!D2423)&gt;1,"Repeat","Single")</f>
        <v>Repeat</v>
      </c>
      <c r="J2423" s="10" t="str">
        <f>IF('Transform Data'!D2423="Cash","Cash",IF(COUNTIF('Transform Data'!$D:$D,'Transform Data'!D2423)&gt;1,"Repeat","Single"))</f>
        <v>Repeat</v>
      </c>
      <c r="K2423" s="10" t="str">
        <f t="shared" si="37"/>
        <v>TRANS-2422</v>
      </c>
    </row>
    <row r="2424" spans="1:11" x14ac:dyDescent="0.35">
      <c r="A2424" s="5">
        <v>45625</v>
      </c>
      <c r="B2424" s="3">
        <v>0.33173611111111112</v>
      </c>
      <c r="C2424" t="s">
        <v>8</v>
      </c>
      <c r="D2424" t="s">
        <v>622</v>
      </c>
      <c r="E2424" s="4">
        <v>35.76</v>
      </c>
      <c r="F2424" t="s">
        <v>32</v>
      </c>
      <c r="G2424" s="10" t="str">
        <f>TEXT(Transform_Data[[#This Row],[Date]],"mmm yyyy")</f>
        <v>Nov 2024</v>
      </c>
      <c r="H2424" s="10">
        <f>HOUR(Transform_Data[[#This Row],[Time]])</f>
        <v>7</v>
      </c>
      <c r="I2424" s="10" t="str">
        <f>IF(COUNTIF('Transform Data'!$D:$D,'Transform Data'!D2424)&gt;1,"Repeat","Single")</f>
        <v>Repeat</v>
      </c>
      <c r="J2424" s="10" t="str">
        <f>IF('Transform Data'!D2424="Cash","Cash",IF(COUNTIF('Transform Data'!$D:$D,'Transform Data'!D2424)&gt;1,"Repeat","Single"))</f>
        <v>Repeat</v>
      </c>
      <c r="K2424" s="10" t="str">
        <f t="shared" si="37"/>
        <v>TRANS-2423</v>
      </c>
    </row>
    <row r="2425" spans="1:11" x14ac:dyDescent="0.35">
      <c r="A2425" s="5">
        <v>45625</v>
      </c>
      <c r="B2425" s="3">
        <v>0.38021990740740741</v>
      </c>
      <c r="C2425" t="s">
        <v>8</v>
      </c>
      <c r="D2425" t="s">
        <v>438</v>
      </c>
      <c r="E2425" s="4">
        <v>30.86</v>
      </c>
      <c r="F2425" t="s">
        <v>36</v>
      </c>
      <c r="G2425" s="10" t="str">
        <f>TEXT(Transform_Data[[#This Row],[Date]],"mmm yyyy")</f>
        <v>Nov 2024</v>
      </c>
      <c r="H2425" s="10">
        <f>HOUR(Transform_Data[[#This Row],[Time]])</f>
        <v>9</v>
      </c>
      <c r="I2425" s="10" t="str">
        <f>IF(COUNTIF('Transform Data'!$D:$D,'Transform Data'!D2425)&gt;1,"Repeat","Single")</f>
        <v>Repeat</v>
      </c>
      <c r="J2425" s="10" t="str">
        <f>IF('Transform Data'!D2425="Cash","Cash",IF(COUNTIF('Transform Data'!$D:$D,'Transform Data'!D2425)&gt;1,"Repeat","Single"))</f>
        <v>Repeat</v>
      </c>
      <c r="K2425" s="10" t="str">
        <f t="shared" si="37"/>
        <v>TRANS-2424</v>
      </c>
    </row>
    <row r="2426" spans="1:11" x14ac:dyDescent="0.35">
      <c r="A2426" s="5">
        <v>45625</v>
      </c>
      <c r="B2426" s="3">
        <v>0.38090277777777776</v>
      </c>
      <c r="C2426" t="s">
        <v>8</v>
      </c>
      <c r="D2426" t="s">
        <v>438</v>
      </c>
      <c r="E2426" s="4">
        <v>30.86</v>
      </c>
      <c r="F2426" t="s">
        <v>36</v>
      </c>
      <c r="G2426" s="10" t="str">
        <f>TEXT(Transform_Data[[#This Row],[Date]],"mmm yyyy")</f>
        <v>Nov 2024</v>
      </c>
      <c r="H2426" s="10">
        <f>HOUR(Transform_Data[[#This Row],[Time]])</f>
        <v>9</v>
      </c>
      <c r="I2426" s="10" t="str">
        <f>IF(COUNTIF('Transform Data'!$D:$D,'Transform Data'!D2426)&gt;1,"Repeat","Single")</f>
        <v>Repeat</v>
      </c>
      <c r="J2426" s="10" t="str">
        <f>IF('Transform Data'!D2426="Cash","Cash",IF(COUNTIF('Transform Data'!$D:$D,'Transform Data'!D2426)&gt;1,"Repeat","Single"))</f>
        <v>Repeat</v>
      </c>
      <c r="K2426" s="10" t="str">
        <f t="shared" si="37"/>
        <v>TRANS-2425</v>
      </c>
    </row>
    <row r="2427" spans="1:11" x14ac:dyDescent="0.35">
      <c r="A2427" s="5">
        <v>45625</v>
      </c>
      <c r="B2427" s="3">
        <v>0.63756944444444441</v>
      </c>
      <c r="C2427" t="s">
        <v>8</v>
      </c>
      <c r="D2427" t="s">
        <v>1005</v>
      </c>
      <c r="E2427" s="4">
        <v>30.86</v>
      </c>
      <c r="F2427" t="s">
        <v>36</v>
      </c>
      <c r="G2427" s="10" t="str">
        <f>TEXT(Transform_Data[[#This Row],[Date]],"mmm yyyy")</f>
        <v>Nov 2024</v>
      </c>
      <c r="H2427" s="10">
        <f>HOUR(Transform_Data[[#This Row],[Time]])</f>
        <v>15</v>
      </c>
      <c r="I2427" s="10" t="str">
        <f>IF(COUNTIF('Transform Data'!$D:$D,'Transform Data'!D2427)&gt;1,"Repeat","Single")</f>
        <v>Single</v>
      </c>
      <c r="J2427" s="10" t="str">
        <f>IF('Transform Data'!D2427="Cash","Cash",IF(COUNTIF('Transform Data'!$D:$D,'Transform Data'!D2427)&gt;1,"Repeat","Single"))</f>
        <v>Single</v>
      </c>
      <c r="K2427" s="10" t="str">
        <f t="shared" si="37"/>
        <v>TRANS-2426</v>
      </c>
    </row>
    <row r="2428" spans="1:11" x14ac:dyDescent="0.35">
      <c r="A2428" s="5">
        <v>45625</v>
      </c>
      <c r="B2428" s="3">
        <v>0.63842592592592595</v>
      </c>
      <c r="C2428" t="s">
        <v>8</v>
      </c>
      <c r="D2428" t="s">
        <v>1006</v>
      </c>
      <c r="E2428" s="4">
        <v>35.76</v>
      </c>
      <c r="F2428" t="s">
        <v>32</v>
      </c>
      <c r="G2428" s="10" t="str">
        <f>TEXT(Transform_Data[[#This Row],[Date]],"mmm yyyy")</f>
        <v>Nov 2024</v>
      </c>
      <c r="H2428" s="10">
        <f>HOUR(Transform_Data[[#This Row],[Time]])</f>
        <v>15</v>
      </c>
      <c r="I2428" s="10" t="str">
        <f>IF(COUNTIF('Transform Data'!$D:$D,'Transform Data'!D2428)&gt;1,"Repeat","Single")</f>
        <v>Single</v>
      </c>
      <c r="J2428" s="10" t="str">
        <f>IF('Transform Data'!D2428="Cash","Cash",IF(COUNTIF('Transform Data'!$D:$D,'Transform Data'!D2428)&gt;1,"Repeat","Single"))</f>
        <v>Single</v>
      </c>
      <c r="K2428" s="10" t="str">
        <f t="shared" si="37"/>
        <v>TRANS-2427</v>
      </c>
    </row>
    <row r="2429" spans="1:11" x14ac:dyDescent="0.35">
      <c r="A2429" s="5">
        <v>45625</v>
      </c>
      <c r="B2429" s="3">
        <v>0.87354166666666666</v>
      </c>
      <c r="C2429" t="s">
        <v>8</v>
      </c>
      <c r="D2429" t="s">
        <v>1007</v>
      </c>
      <c r="E2429" s="4">
        <v>35.76</v>
      </c>
      <c r="F2429" t="s">
        <v>10</v>
      </c>
      <c r="G2429" s="10" t="str">
        <f>TEXT(Transform_Data[[#This Row],[Date]],"mmm yyyy")</f>
        <v>Nov 2024</v>
      </c>
      <c r="H2429" s="10">
        <f>HOUR(Transform_Data[[#This Row],[Time]])</f>
        <v>20</v>
      </c>
      <c r="I2429" s="10" t="str">
        <f>IF(COUNTIF('Transform Data'!$D:$D,'Transform Data'!D2429)&gt;1,"Repeat","Single")</f>
        <v>Single</v>
      </c>
      <c r="J2429" s="10" t="str">
        <f>IF('Transform Data'!D2429="Cash","Cash",IF(COUNTIF('Transform Data'!$D:$D,'Transform Data'!D2429)&gt;1,"Repeat","Single"))</f>
        <v>Single</v>
      </c>
      <c r="K2429" s="10" t="str">
        <f t="shared" si="37"/>
        <v>TRANS-2428</v>
      </c>
    </row>
    <row r="2430" spans="1:11" x14ac:dyDescent="0.35">
      <c r="A2430" s="5">
        <v>45626</v>
      </c>
      <c r="B2430" s="3">
        <v>0.54041666666666666</v>
      </c>
      <c r="C2430" t="s">
        <v>8</v>
      </c>
      <c r="D2430" t="s">
        <v>622</v>
      </c>
      <c r="E2430" s="4">
        <v>35.76</v>
      </c>
      <c r="F2430" t="s">
        <v>10</v>
      </c>
      <c r="G2430" s="10" t="str">
        <f>TEXT(Transform_Data[[#This Row],[Date]],"mmm yyyy")</f>
        <v>Nov 2024</v>
      </c>
      <c r="H2430" s="10">
        <f>HOUR(Transform_Data[[#This Row],[Time]])</f>
        <v>12</v>
      </c>
      <c r="I2430" s="10" t="str">
        <f>IF(COUNTIF('Transform Data'!$D:$D,'Transform Data'!D2430)&gt;1,"Repeat","Single")</f>
        <v>Repeat</v>
      </c>
      <c r="J2430" s="10" t="str">
        <f>IF('Transform Data'!D2430="Cash","Cash",IF(COUNTIF('Transform Data'!$D:$D,'Transform Data'!D2430)&gt;1,"Repeat","Single"))</f>
        <v>Repeat</v>
      </c>
      <c r="K2430" s="10" t="str">
        <f t="shared" si="37"/>
        <v>TRANS-2429</v>
      </c>
    </row>
    <row r="2431" spans="1:11" x14ac:dyDescent="0.35">
      <c r="A2431" s="5">
        <v>45626</v>
      </c>
      <c r="B2431" s="3">
        <v>0.58674768518518516</v>
      </c>
      <c r="C2431" t="s">
        <v>8</v>
      </c>
      <c r="D2431" t="s">
        <v>1008</v>
      </c>
      <c r="E2431" s="4">
        <v>25.96</v>
      </c>
      <c r="F2431" t="s">
        <v>28</v>
      </c>
      <c r="G2431" s="10" t="str">
        <f>TEXT(Transform_Data[[#This Row],[Date]],"mmm yyyy")</f>
        <v>Nov 2024</v>
      </c>
      <c r="H2431" s="10">
        <f>HOUR(Transform_Data[[#This Row],[Time]])</f>
        <v>14</v>
      </c>
      <c r="I2431" s="10" t="str">
        <f>IF(COUNTIF('Transform Data'!$D:$D,'Transform Data'!D2431)&gt;1,"Repeat","Single")</f>
        <v>Repeat</v>
      </c>
      <c r="J2431" s="10" t="str">
        <f>IF('Transform Data'!D2431="Cash","Cash",IF(COUNTIF('Transform Data'!$D:$D,'Transform Data'!D2431)&gt;1,"Repeat","Single"))</f>
        <v>Repeat</v>
      </c>
      <c r="K2431" s="10" t="str">
        <f t="shared" si="37"/>
        <v>TRANS-2430</v>
      </c>
    </row>
    <row r="2432" spans="1:11" x14ac:dyDescent="0.35">
      <c r="A2432" s="5">
        <v>45626</v>
      </c>
      <c r="B2432" s="3">
        <v>0.58747685185185183</v>
      </c>
      <c r="C2432" t="s">
        <v>8</v>
      </c>
      <c r="D2432" t="s">
        <v>1008</v>
      </c>
      <c r="E2432" s="4">
        <v>35.76</v>
      </c>
      <c r="F2432" t="s">
        <v>15</v>
      </c>
      <c r="G2432" s="10" t="str">
        <f>TEXT(Transform_Data[[#This Row],[Date]],"mmm yyyy")</f>
        <v>Nov 2024</v>
      </c>
      <c r="H2432" s="10">
        <f>HOUR(Transform_Data[[#This Row],[Time]])</f>
        <v>14</v>
      </c>
      <c r="I2432" s="10" t="str">
        <f>IF(COUNTIF('Transform Data'!$D:$D,'Transform Data'!D2432)&gt;1,"Repeat","Single")</f>
        <v>Repeat</v>
      </c>
      <c r="J2432" s="10" t="str">
        <f>IF('Transform Data'!D2432="Cash","Cash",IF(COUNTIF('Transform Data'!$D:$D,'Transform Data'!D2432)&gt;1,"Repeat","Single"))</f>
        <v>Repeat</v>
      </c>
      <c r="K2432" s="10" t="str">
        <f t="shared" si="37"/>
        <v>TRANS-2431</v>
      </c>
    </row>
    <row r="2433" spans="1:11" x14ac:dyDescent="0.35">
      <c r="A2433" s="5">
        <v>45626</v>
      </c>
      <c r="B2433" s="3">
        <v>0.59504629629629635</v>
      </c>
      <c r="C2433" t="s">
        <v>8</v>
      </c>
      <c r="D2433" t="s">
        <v>547</v>
      </c>
      <c r="E2433" s="4">
        <v>35.76</v>
      </c>
      <c r="F2433" t="s">
        <v>10</v>
      </c>
      <c r="G2433" s="10" t="str">
        <f>TEXT(Transform_Data[[#This Row],[Date]],"mmm yyyy")</f>
        <v>Nov 2024</v>
      </c>
      <c r="H2433" s="10">
        <f>HOUR(Transform_Data[[#This Row],[Time]])</f>
        <v>14</v>
      </c>
      <c r="I2433" s="10" t="str">
        <f>IF(COUNTIF('Transform Data'!$D:$D,'Transform Data'!D2433)&gt;1,"Repeat","Single")</f>
        <v>Repeat</v>
      </c>
      <c r="J2433" s="10" t="str">
        <f>IF('Transform Data'!D2433="Cash","Cash",IF(COUNTIF('Transform Data'!$D:$D,'Transform Data'!D2433)&gt;1,"Repeat","Single"))</f>
        <v>Repeat</v>
      </c>
      <c r="K2433" s="10" t="str">
        <f t="shared" si="37"/>
        <v>TRANS-2432</v>
      </c>
    </row>
    <row r="2434" spans="1:11" x14ac:dyDescent="0.35">
      <c r="A2434" s="5">
        <v>45626</v>
      </c>
      <c r="B2434" s="3">
        <v>0.64842592592592596</v>
      </c>
      <c r="C2434" t="s">
        <v>8</v>
      </c>
      <c r="D2434" t="s">
        <v>11</v>
      </c>
      <c r="E2434" s="4">
        <v>30.86</v>
      </c>
      <c r="F2434" t="s">
        <v>36</v>
      </c>
      <c r="G2434" s="10" t="str">
        <f>TEXT(Transform_Data[[#This Row],[Date]],"mmm yyyy")</f>
        <v>Nov 2024</v>
      </c>
      <c r="H2434" s="10">
        <f>HOUR(Transform_Data[[#This Row],[Time]])</f>
        <v>15</v>
      </c>
      <c r="I2434" s="10" t="str">
        <f>IF(COUNTIF('Transform Data'!$D:$D,'Transform Data'!D2434)&gt;1,"Repeat","Single")</f>
        <v>Repeat</v>
      </c>
      <c r="J2434" s="10" t="str">
        <f>IF('Transform Data'!D2434="Cash","Cash",IF(COUNTIF('Transform Data'!$D:$D,'Transform Data'!D2434)&gt;1,"Repeat","Single"))</f>
        <v>Repeat</v>
      </c>
      <c r="K2434" s="10" t="str">
        <f t="shared" ref="K2434:K2497" si="38">"TRANS-"&amp;TEXT(ROW(A2433),"0000")</f>
        <v>TRANS-2433</v>
      </c>
    </row>
    <row r="2435" spans="1:11" x14ac:dyDescent="0.35">
      <c r="A2435" s="5">
        <v>45626</v>
      </c>
      <c r="B2435" s="3">
        <v>0.9193055555555556</v>
      </c>
      <c r="C2435" t="s">
        <v>8</v>
      </c>
      <c r="D2435" t="s">
        <v>1009</v>
      </c>
      <c r="E2435" s="4">
        <v>30.86</v>
      </c>
      <c r="F2435" t="s">
        <v>36</v>
      </c>
      <c r="G2435" s="10" t="str">
        <f>TEXT(Transform_Data[[#This Row],[Date]],"mmm yyyy")</f>
        <v>Nov 2024</v>
      </c>
      <c r="H2435" s="10">
        <f>HOUR(Transform_Data[[#This Row],[Time]])</f>
        <v>22</v>
      </c>
      <c r="I2435" s="10" t="str">
        <f>IF(COUNTIF('Transform Data'!$D:$D,'Transform Data'!D2435)&gt;1,"Repeat","Single")</f>
        <v>Single</v>
      </c>
      <c r="J2435" s="10" t="str">
        <f>IF('Transform Data'!D2435="Cash","Cash",IF(COUNTIF('Transform Data'!$D:$D,'Transform Data'!D2435)&gt;1,"Repeat","Single"))</f>
        <v>Single</v>
      </c>
      <c r="K2435" s="10" t="str">
        <f t="shared" si="38"/>
        <v>TRANS-2434</v>
      </c>
    </row>
    <row r="2436" spans="1:11" x14ac:dyDescent="0.35">
      <c r="A2436" s="5">
        <v>45627</v>
      </c>
      <c r="B2436" s="3">
        <v>0.42744212962962963</v>
      </c>
      <c r="C2436" t="s">
        <v>8</v>
      </c>
      <c r="D2436" t="s">
        <v>16</v>
      </c>
      <c r="E2436" s="4">
        <v>30.86</v>
      </c>
      <c r="F2436" t="s">
        <v>36</v>
      </c>
      <c r="G2436" s="10" t="str">
        <f>TEXT(Transform_Data[[#This Row],[Date]],"mmm yyyy")</f>
        <v>Dec 2024</v>
      </c>
      <c r="H2436" s="10">
        <f>HOUR(Transform_Data[[#This Row],[Time]])</f>
        <v>10</v>
      </c>
      <c r="I2436" s="10" t="str">
        <f>IF(COUNTIF('Transform Data'!$D:$D,'Transform Data'!D2436)&gt;1,"Repeat","Single")</f>
        <v>Repeat</v>
      </c>
      <c r="J2436" s="10" t="str">
        <f>IF('Transform Data'!D2436="Cash","Cash",IF(COUNTIF('Transform Data'!$D:$D,'Transform Data'!D2436)&gt;1,"Repeat","Single"))</f>
        <v>Repeat</v>
      </c>
      <c r="K2436" s="10" t="str">
        <f t="shared" si="38"/>
        <v>TRANS-2435</v>
      </c>
    </row>
    <row r="2437" spans="1:11" x14ac:dyDescent="0.35">
      <c r="A2437" s="5">
        <v>45627</v>
      </c>
      <c r="B2437" s="3">
        <v>0.42813657407407407</v>
      </c>
      <c r="C2437" t="s">
        <v>8</v>
      </c>
      <c r="D2437" t="s">
        <v>16</v>
      </c>
      <c r="E2437" s="4">
        <v>30.86</v>
      </c>
      <c r="F2437" t="s">
        <v>36</v>
      </c>
      <c r="G2437" s="10" t="str">
        <f>TEXT(Transform_Data[[#This Row],[Date]],"mmm yyyy")</f>
        <v>Dec 2024</v>
      </c>
      <c r="H2437" s="10">
        <f>HOUR(Transform_Data[[#This Row],[Time]])</f>
        <v>10</v>
      </c>
      <c r="I2437" s="10" t="str">
        <f>IF(COUNTIF('Transform Data'!$D:$D,'Transform Data'!D2437)&gt;1,"Repeat","Single")</f>
        <v>Repeat</v>
      </c>
      <c r="J2437" s="10" t="str">
        <f>IF('Transform Data'!D2437="Cash","Cash",IF(COUNTIF('Transform Data'!$D:$D,'Transform Data'!D2437)&gt;1,"Repeat","Single"))</f>
        <v>Repeat</v>
      </c>
      <c r="K2437" s="10" t="str">
        <f t="shared" si="38"/>
        <v>TRANS-2436</v>
      </c>
    </row>
    <row r="2438" spans="1:11" x14ac:dyDescent="0.35">
      <c r="A2438" s="5">
        <v>45627</v>
      </c>
      <c r="B2438" s="3">
        <v>0.43247685185185186</v>
      </c>
      <c r="C2438" t="s">
        <v>8</v>
      </c>
      <c r="D2438" t="s">
        <v>438</v>
      </c>
      <c r="E2438" s="4">
        <v>30.86</v>
      </c>
      <c r="F2438" t="s">
        <v>36</v>
      </c>
      <c r="G2438" s="10" t="str">
        <f>TEXT(Transform_Data[[#This Row],[Date]],"mmm yyyy")</f>
        <v>Dec 2024</v>
      </c>
      <c r="H2438" s="10">
        <f>HOUR(Transform_Data[[#This Row],[Time]])</f>
        <v>10</v>
      </c>
      <c r="I2438" s="10" t="str">
        <f>IF(COUNTIF('Transform Data'!$D:$D,'Transform Data'!D2438)&gt;1,"Repeat","Single")</f>
        <v>Repeat</v>
      </c>
      <c r="J2438" s="10" t="str">
        <f>IF('Transform Data'!D2438="Cash","Cash",IF(COUNTIF('Transform Data'!$D:$D,'Transform Data'!D2438)&gt;1,"Repeat","Single"))</f>
        <v>Repeat</v>
      </c>
      <c r="K2438" s="10" t="str">
        <f t="shared" si="38"/>
        <v>TRANS-2437</v>
      </c>
    </row>
    <row r="2439" spans="1:11" x14ac:dyDescent="0.35">
      <c r="A2439" s="5">
        <v>45627</v>
      </c>
      <c r="B2439" s="3">
        <v>0.60719907407407403</v>
      </c>
      <c r="C2439" t="s">
        <v>8</v>
      </c>
      <c r="D2439" t="s">
        <v>1010</v>
      </c>
      <c r="E2439" s="4">
        <v>30.86</v>
      </c>
      <c r="F2439" t="s">
        <v>36</v>
      </c>
      <c r="G2439" s="10" t="str">
        <f>TEXT(Transform_Data[[#This Row],[Date]],"mmm yyyy")</f>
        <v>Dec 2024</v>
      </c>
      <c r="H2439" s="10">
        <f>HOUR(Transform_Data[[#This Row],[Time]])</f>
        <v>14</v>
      </c>
      <c r="I2439" s="10" t="str">
        <f>IF(COUNTIF('Transform Data'!$D:$D,'Transform Data'!D2439)&gt;1,"Repeat","Single")</f>
        <v>Single</v>
      </c>
      <c r="J2439" s="10" t="str">
        <f>IF('Transform Data'!D2439="Cash","Cash",IF(COUNTIF('Transform Data'!$D:$D,'Transform Data'!D2439)&gt;1,"Repeat","Single"))</f>
        <v>Single</v>
      </c>
      <c r="K2439" s="10" t="str">
        <f t="shared" si="38"/>
        <v>TRANS-2438</v>
      </c>
    </row>
    <row r="2440" spans="1:11" x14ac:dyDescent="0.35">
      <c r="A2440" s="5">
        <v>45627</v>
      </c>
      <c r="B2440" s="3">
        <v>0.63138888888888889</v>
      </c>
      <c r="C2440" t="s">
        <v>8</v>
      </c>
      <c r="D2440" t="s">
        <v>1011</v>
      </c>
      <c r="E2440" s="4">
        <v>35.76</v>
      </c>
      <c r="F2440" t="s">
        <v>10</v>
      </c>
      <c r="G2440" s="10" t="str">
        <f>TEXT(Transform_Data[[#This Row],[Date]],"mmm yyyy")</f>
        <v>Dec 2024</v>
      </c>
      <c r="H2440" s="10">
        <f>HOUR(Transform_Data[[#This Row],[Time]])</f>
        <v>15</v>
      </c>
      <c r="I2440" s="10" t="str">
        <f>IF(COUNTIF('Transform Data'!$D:$D,'Transform Data'!D2440)&gt;1,"Repeat","Single")</f>
        <v>Repeat</v>
      </c>
      <c r="J2440" s="10" t="str">
        <f>IF('Transform Data'!D2440="Cash","Cash",IF(COUNTIF('Transform Data'!$D:$D,'Transform Data'!D2440)&gt;1,"Repeat","Single"))</f>
        <v>Repeat</v>
      </c>
      <c r="K2440" s="10" t="str">
        <f t="shared" si="38"/>
        <v>TRANS-2439</v>
      </c>
    </row>
    <row r="2441" spans="1:11" x14ac:dyDescent="0.35">
      <c r="A2441" s="5">
        <v>45627</v>
      </c>
      <c r="B2441" s="3">
        <v>0.63189814814814815</v>
      </c>
      <c r="C2441" t="s">
        <v>8</v>
      </c>
      <c r="D2441" t="s">
        <v>1011</v>
      </c>
      <c r="E2441" s="4">
        <v>35.76</v>
      </c>
      <c r="F2441" t="s">
        <v>10</v>
      </c>
      <c r="G2441" s="10" t="str">
        <f>TEXT(Transform_Data[[#This Row],[Date]],"mmm yyyy")</f>
        <v>Dec 2024</v>
      </c>
      <c r="H2441" s="10">
        <f>HOUR(Transform_Data[[#This Row],[Time]])</f>
        <v>15</v>
      </c>
      <c r="I2441" s="10" t="str">
        <f>IF(COUNTIF('Transform Data'!$D:$D,'Transform Data'!D2441)&gt;1,"Repeat","Single")</f>
        <v>Repeat</v>
      </c>
      <c r="J2441" s="10" t="str">
        <f>IF('Transform Data'!D2441="Cash","Cash",IF(COUNTIF('Transform Data'!$D:$D,'Transform Data'!D2441)&gt;1,"Repeat","Single"))</f>
        <v>Repeat</v>
      </c>
      <c r="K2441" s="10" t="str">
        <f t="shared" si="38"/>
        <v>TRANS-2440</v>
      </c>
    </row>
    <row r="2442" spans="1:11" x14ac:dyDescent="0.35">
      <c r="A2442" s="5">
        <v>45627</v>
      </c>
      <c r="B2442" s="3">
        <v>0.6548842592592593</v>
      </c>
      <c r="C2442" t="s">
        <v>8</v>
      </c>
      <c r="D2442" t="s">
        <v>1012</v>
      </c>
      <c r="E2442" s="4">
        <v>35.76</v>
      </c>
      <c r="F2442" t="s">
        <v>24</v>
      </c>
      <c r="G2442" s="10" t="str">
        <f>TEXT(Transform_Data[[#This Row],[Date]],"mmm yyyy")</f>
        <v>Dec 2024</v>
      </c>
      <c r="H2442" s="10">
        <f>HOUR(Transform_Data[[#This Row],[Time]])</f>
        <v>15</v>
      </c>
      <c r="I2442" s="10" t="str">
        <f>IF(COUNTIF('Transform Data'!$D:$D,'Transform Data'!D2442)&gt;1,"Repeat","Single")</f>
        <v>Single</v>
      </c>
      <c r="J2442" s="10" t="str">
        <f>IF('Transform Data'!D2442="Cash","Cash",IF(COUNTIF('Transform Data'!$D:$D,'Transform Data'!D2442)&gt;1,"Repeat","Single"))</f>
        <v>Single</v>
      </c>
      <c r="K2442" s="10" t="str">
        <f t="shared" si="38"/>
        <v>TRANS-2441</v>
      </c>
    </row>
    <row r="2443" spans="1:11" x14ac:dyDescent="0.35">
      <c r="A2443" s="5">
        <v>45627</v>
      </c>
      <c r="B2443" s="3">
        <v>0.66424768518518518</v>
      </c>
      <c r="C2443" t="s">
        <v>8</v>
      </c>
      <c r="D2443" t="s">
        <v>1013</v>
      </c>
      <c r="E2443" s="4">
        <v>35.76</v>
      </c>
      <c r="F2443" t="s">
        <v>32</v>
      </c>
      <c r="G2443" s="10" t="str">
        <f>TEXT(Transform_Data[[#This Row],[Date]],"mmm yyyy")</f>
        <v>Dec 2024</v>
      </c>
      <c r="H2443" s="10">
        <f>HOUR(Transform_Data[[#This Row],[Time]])</f>
        <v>15</v>
      </c>
      <c r="I2443" s="10" t="str">
        <f>IF(COUNTIF('Transform Data'!$D:$D,'Transform Data'!D2443)&gt;1,"Repeat","Single")</f>
        <v>Single</v>
      </c>
      <c r="J2443" s="10" t="str">
        <f>IF('Transform Data'!D2443="Cash","Cash",IF(COUNTIF('Transform Data'!$D:$D,'Transform Data'!D2443)&gt;1,"Repeat","Single"))</f>
        <v>Single</v>
      </c>
      <c r="K2443" s="10" t="str">
        <f t="shared" si="38"/>
        <v>TRANS-2442</v>
      </c>
    </row>
    <row r="2444" spans="1:11" x14ac:dyDescent="0.35">
      <c r="A2444" s="5">
        <v>45627</v>
      </c>
      <c r="B2444" s="3">
        <v>0.66515046296296299</v>
      </c>
      <c r="C2444" t="s">
        <v>8</v>
      </c>
      <c r="D2444" t="s">
        <v>1014</v>
      </c>
      <c r="E2444" s="4">
        <v>35.76</v>
      </c>
      <c r="F2444" t="s">
        <v>32</v>
      </c>
      <c r="G2444" s="10" t="str">
        <f>TEXT(Transform_Data[[#This Row],[Date]],"mmm yyyy")</f>
        <v>Dec 2024</v>
      </c>
      <c r="H2444" s="10">
        <f>HOUR(Transform_Data[[#This Row],[Time]])</f>
        <v>15</v>
      </c>
      <c r="I2444" s="10" t="str">
        <f>IF(COUNTIF('Transform Data'!$D:$D,'Transform Data'!D2444)&gt;1,"Repeat","Single")</f>
        <v>Single</v>
      </c>
      <c r="J2444" s="10" t="str">
        <f>IF('Transform Data'!D2444="Cash","Cash",IF(COUNTIF('Transform Data'!$D:$D,'Transform Data'!D2444)&gt;1,"Repeat","Single"))</f>
        <v>Single</v>
      </c>
      <c r="K2444" s="10" t="str">
        <f t="shared" si="38"/>
        <v>TRANS-2443</v>
      </c>
    </row>
    <row r="2445" spans="1:11" x14ac:dyDescent="0.35">
      <c r="A2445" s="5">
        <v>45627</v>
      </c>
      <c r="B2445" s="3">
        <v>0.68957175925925929</v>
      </c>
      <c r="C2445" t="s">
        <v>8</v>
      </c>
      <c r="D2445" t="s">
        <v>1015</v>
      </c>
      <c r="E2445" s="4">
        <v>35.76</v>
      </c>
      <c r="F2445" t="s">
        <v>32</v>
      </c>
      <c r="G2445" s="10" t="str">
        <f>TEXT(Transform_Data[[#This Row],[Date]],"mmm yyyy")</f>
        <v>Dec 2024</v>
      </c>
      <c r="H2445" s="10">
        <f>HOUR(Transform_Data[[#This Row],[Time]])</f>
        <v>16</v>
      </c>
      <c r="I2445" s="10" t="str">
        <f>IF(COUNTIF('Transform Data'!$D:$D,'Transform Data'!D2445)&gt;1,"Repeat","Single")</f>
        <v>Single</v>
      </c>
      <c r="J2445" s="10" t="str">
        <f>IF('Transform Data'!D2445="Cash","Cash",IF(COUNTIF('Transform Data'!$D:$D,'Transform Data'!D2445)&gt;1,"Repeat","Single"))</f>
        <v>Single</v>
      </c>
      <c r="K2445" s="10" t="str">
        <f t="shared" si="38"/>
        <v>TRANS-2444</v>
      </c>
    </row>
    <row r="2446" spans="1:11" x14ac:dyDescent="0.35">
      <c r="A2446" s="5">
        <v>45627</v>
      </c>
      <c r="B2446" s="3">
        <v>0.69062500000000004</v>
      </c>
      <c r="C2446" t="s">
        <v>8</v>
      </c>
      <c r="D2446" t="s">
        <v>1016</v>
      </c>
      <c r="E2446" s="4">
        <v>35.76</v>
      </c>
      <c r="F2446" t="s">
        <v>32</v>
      </c>
      <c r="G2446" s="10" t="str">
        <f>TEXT(Transform_Data[[#This Row],[Date]],"mmm yyyy")</f>
        <v>Dec 2024</v>
      </c>
      <c r="H2446" s="10">
        <f>HOUR(Transform_Data[[#This Row],[Time]])</f>
        <v>16</v>
      </c>
      <c r="I2446" s="10" t="str">
        <f>IF(COUNTIF('Transform Data'!$D:$D,'Transform Data'!D2446)&gt;1,"Repeat","Single")</f>
        <v>Single</v>
      </c>
      <c r="J2446" s="10" t="str">
        <f>IF('Transform Data'!D2446="Cash","Cash",IF(COUNTIF('Transform Data'!$D:$D,'Transform Data'!D2446)&gt;1,"Repeat","Single"))</f>
        <v>Single</v>
      </c>
      <c r="K2446" s="10" t="str">
        <f t="shared" si="38"/>
        <v>TRANS-2445</v>
      </c>
    </row>
    <row r="2447" spans="1:11" x14ac:dyDescent="0.35">
      <c r="A2447" s="5">
        <v>45627</v>
      </c>
      <c r="B2447" s="3">
        <v>0.71554398148148146</v>
      </c>
      <c r="C2447" t="s">
        <v>8</v>
      </c>
      <c r="D2447" t="s">
        <v>1017</v>
      </c>
      <c r="E2447" s="4">
        <v>30.86</v>
      </c>
      <c r="F2447" t="s">
        <v>36</v>
      </c>
      <c r="G2447" s="10" t="str">
        <f>TEXT(Transform_Data[[#This Row],[Date]],"mmm yyyy")</f>
        <v>Dec 2024</v>
      </c>
      <c r="H2447" s="10">
        <f>HOUR(Transform_Data[[#This Row],[Time]])</f>
        <v>17</v>
      </c>
      <c r="I2447" s="10" t="str">
        <f>IF(COUNTIF('Transform Data'!$D:$D,'Transform Data'!D2447)&gt;1,"Repeat","Single")</f>
        <v>Repeat</v>
      </c>
      <c r="J2447" s="10" t="str">
        <f>IF('Transform Data'!D2447="Cash","Cash",IF(COUNTIF('Transform Data'!$D:$D,'Transform Data'!D2447)&gt;1,"Repeat","Single"))</f>
        <v>Repeat</v>
      </c>
      <c r="K2447" s="10" t="str">
        <f t="shared" si="38"/>
        <v>TRANS-2446</v>
      </c>
    </row>
    <row r="2448" spans="1:11" x14ac:dyDescent="0.35">
      <c r="A2448" s="5">
        <v>45627</v>
      </c>
      <c r="B2448" s="3">
        <v>0.71634259259259259</v>
      </c>
      <c r="C2448" t="s">
        <v>8</v>
      </c>
      <c r="D2448" t="s">
        <v>1017</v>
      </c>
      <c r="E2448" s="4">
        <v>30.86</v>
      </c>
      <c r="F2448" t="s">
        <v>36</v>
      </c>
      <c r="G2448" s="10" t="str">
        <f>TEXT(Transform_Data[[#This Row],[Date]],"mmm yyyy")</f>
        <v>Dec 2024</v>
      </c>
      <c r="H2448" s="10">
        <f>HOUR(Transform_Data[[#This Row],[Time]])</f>
        <v>17</v>
      </c>
      <c r="I2448" s="10" t="str">
        <f>IF(COUNTIF('Transform Data'!$D:$D,'Transform Data'!D2448)&gt;1,"Repeat","Single")</f>
        <v>Repeat</v>
      </c>
      <c r="J2448" s="10" t="str">
        <f>IF('Transform Data'!D2448="Cash","Cash",IF(COUNTIF('Transform Data'!$D:$D,'Transform Data'!D2448)&gt;1,"Repeat","Single"))</f>
        <v>Repeat</v>
      </c>
      <c r="K2448" s="10" t="str">
        <f t="shared" si="38"/>
        <v>TRANS-2447</v>
      </c>
    </row>
    <row r="2449" spans="1:11" x14ac:dyDescent="0.35">
      <c r="A2449" s="5">
        <v>45627</v>
      </c>
      <c r="B2449" s="3">
        <v>0.77671296296296299</v>
      </c>
      <c r="C2449" t="s">
        <v>8</v>
      </c>
      <c r="D2449" t="s">
        <v>1018</v>
      </c>
      <c r="E2449" s="4">
        <v>30.86</v>
      </c>
      <c r="F2449" t="s">
        <v>36</v>
      </c>
      <c r="G2449" s="10" t="str">
        <f>TEXT(Transform_Data[[#This Row],[Date]],"mmm yyyy")</f>
        <v>Dec 2024</v>
      </c>
      <c r="H2449" s="10">
        <f>HOUR(Transform_Data[[#This Row],[Time]])</f>
        <v>18</v>
      </c>
      <c r="I2449" s="10" t="str">
        <f>IF(COUNTIF('Transform Data'!$D:$D,'Transform Data'!D2449)&gt;1,"Repeat","Single")</f>
        <v>Single</v>
      </c>
      <c r="J2449" s="10" t="str">
        <f>IF('Transform Data'!D2449="Cash","Cash",IF(COUNTIF('Transform Data'!$D:$D,'Transform Data'!D2449)&gt;1,"Repeat","Single"))</f>
        <v>Single</v>
      </c>
      <c r="K2449" s="10" t="str">
        <f t="shared" si="38"/>
        <v>TRANS-2448</v>
      </c>
    </row>
    <row r="2450" spans="1:11" x14ac:dyDescent="0.35">
      <c r="A2450" s="5">
        <v>45628</v>
      </c>
      <c r="B2450" s="3">
        <v>0.32680555555555557</v>
      </c>
      <c r="C2450" t="s">
        <v>8</v>
      </c>
      <c r="D2450" t="s">
        <v>748</v>
      </c>
      <c r="E2450" s="4">
        <v>35.76</v>
      </c>
      <c r="F2450" t="s">
        <v>32</v>
      </c>
      <c r="G2450" s="10" t="str">
        <f>TEXT(Transform_Data[[#This Row],[Date]],"mmm yyyy")</f>
        <v>Dec 2024</v>
      </c>
      <c r="H2450" s="10">
        <f>HOUR(Transform_Data[[#This Row],[Time]])</f>
        <v>7</v>
      </c>
      <c r="I2450" s="10" t="str">
        <f>IF(COUNTIF('Transform Data'!$D:$D,'Transform Data'!D2450)&gt;1,"Repeat","Single")</f>
        <v>Repeat</v>
      </c>
      <c r="J2450" s="10" t="str">
        <f>IF('Transform Data'!D2450="Cash","Cash",IF(COUNTIF('Transform Data'!$D:$D,'Transform Data'!D2450)&gt;1,"Repeat","Single"))</f>
        <v>Repeat</v>
      </c>
      <c r="K2450" s="10" t="str">
        <f t="shared" si="38"/>
        <v>TRANS-2449</v>
      </c>
    </row>
    <row r="2451" spans="1:11" x14ac:dyDescent="0.35">
      <c r="A2451" s="5">
        <v>45628</v>
      </c>
      <c r="B2451" s="3">
        <v>0.32776620370370368</v>
      </c>
      <c r="C2451" t="s">
        <v>8</v>
      </c>
      <c r="D2451" t="s">
        <v>1019</v>
      </c>
      <c r="E2451" s="4">
        <v>25.96</v>
      </c>
      <c r="F2451" t="s">
        <v>28</v>
      </c>
      <c r="G2451" s="10" t="str">
        <f>TEXT(Transform_Data[[#This Row],[Date]],"mmm yyyy")</f>
        <v>Dec 2024</v>
      </c>
      <c r="H2451" s="10">
        <f>HOUR(Transform_Data[[#This Row],[Time]])</f>
        <v>7</v>
      </c>
      <c r="I2451" s="10" t="str">
        <f>IF(COUNTIF('Transform Data'!$D:$D,'Transform Data'!D2451)&gt;1,"Repeat","Single")</f>
        <v>Single</v>
      </c>
      <c r="J2451" s="10" t="str">
        <f>IF('Transform Data'!D2451="Cash","Cash",IF(COUNTIF('Transform Data'!$D:$D,'Transform Data'!D2451)&gt;1,"Repeat","Single"))</f>
        <v>Single</v>
      </c>
      <c r="K2451" s="10" t="str">
        <f t="shared" si="38"/>
        <v>TRANS-2450</v>
      </c>
    </row>
    <row r="2452" spans="1:11" x14ac:dyDescent="0.35">
      <c r="A2452" s="5">
        <v>45628</v>
      </c>
      <c r="B2452" s="3">
        <v>0.34825231481481483</v>
      </c>
      <c r="C2452" t="s">
        <v>8</v>
      </c>
      <c r="D2452" t="s">
        <v>29</v>
      </c>
      <c r="E2452" s="4">
        <v>30.86</v>
      </c>
      <c r="F2452" t="s">
        <v>36</v>
      </c>
      <c r="G2452" s="10" t="str">
        <f>TEXT(Transform_Data[[#This Row],[Date]],"mmm yyyy")</f>
        <v>Dec 2024</v>
      </c>
      <c r="H2452" s="10">
        <f>HOUR(Transform_Data[[#This Row],[Time]])</f>
        <v>8</v>
      </c>
      <c r="I2452" s="10" t="str">
        <f>IF(COUNTIF('Transform Data'!$D:$D,'Transform Data'!D2452)&gt;1,"Repeat","Single")</f>
        <v>Repeat</v>
      </c>
      <c r="J2452" s="10" t="str">
        <f>IF('Transform Data'!D2452="Cash","Cash",IF(COUNTIF('Transform Data'!$D:$D,'Transform Data'!D2452)&gt;1,"Repeat","Single"))</f>
        <v>Repeat</v>
      </c>
      <c r="K2452" s="10" t="str">
        <f t="shared" si="38"/>
        <v>TRANS-2451</v>
      </c>
    </row>
    <row r="2453" spans="1:11" x14ac:dyDescent="0.35">
      <c r="A2453" s="5">
        <v>45628</v>
      </c>
      <c r="B2453" s="3">
        <v>0.37030092592592595</v>
      </c>
      <c r="C2453" t="s">
        <v>8</v>
      </c>
      <c r="D2453" t="s">
        <v>1020</v>
      </c>
      <c r="E2453" s="4">
        <v>35.76</v>
      </c>
      <c r="F2453" t="s">
        <v>10</v>
      </c>
      <c r="G2453" s="10" t="str">
        <f>TEXT(Transform_Data[[#This Row],[Date]],"mmm yyyy")</f>
        <v>Dec 2024</v>
      </c>
      <c r="H2453" s="10">
        <f>HOUR(Transform_Data[[#This Row],[Time]])</f>
        <v>8</v>
      </c>
      <c r="I2453" s="10" t="str">
        <f>IF(COUNTIF('Transform Data'!$D:$D,'Transform Data'!D2453)&gt;1,"Repeat","Single")</f>
        <v>Single</v>
      </c>
      <c r="J2453" s="10" t="str">
        <f>IF('Transform Data'!D2453="Cash","Cash",IF(COUNTIF('Transform Data'!$D:$D,'Transform Data'!D2453)&gt;1,"Repeat","Single"))</f>
        <v>Single</v>
      </c>
      <c r="K2453" s="10" t="str">
        <f t="shared" si="38"/>
        <v>TRANS-2452</v>
      </c>
    </row>
    <row r="2454" spans="1:11" x14ac:dyDescent="0.35">
      <c r="A2454" s="5">
        <v>45628</v>
      </c>
      <c r="B2454" s="3">
        <v>0.46140046296296294</v>
      </c>
      <c r="C2454" t="s">
        <v>8</v>
      </c>
      <c r="D2454" t="s">
        <v>40</v>
      </c>
      <c r="E2454" s="4">
        <v>25.96</v>
      </c>
      <c r="F2454" t="s">
        <v>20</v>
      </c>
      <c r="G2454" s="10" t="str">
        <f>TEXT(Transform_Data[[#This Row],[Date]],"mmm yyyy")</f>
        <v>Dec 2024</v>
      </c>
      <c r="H2454" s="10">
        <f>HOUR(Transform_Data[[#This Row],[Time]])</f>
        <v>11</v>
      </c>
      <c r="I2454" s="10" t="str">
        <f>IF(COUNTIF('Transform Data'!$D:$D,'Transform Data'!D2454)&gt;1,"Repeat","Single")</f>
        <v>Repeat</v>
      </c>
      <c r="J2454" s="10" t="str">
        <f>IF('Transform Data'!D2454="Cash","Cash",IF(COUNTIF('Transform Data'!$D:$D,'Transform Data'!D2454)&gt;1,"Repeat","Single"))</f>
        <v>Repeat</v>
      </c>
      <c r="K2454" s="10" t="str">
        <f t="shared" si="38"/>
        <v>TRANS-2453</v>
      </c>
    </row>
    <row r="2455" spans="1:11" x14ac:dyDescent="0.35">
      <c r="A2455" s="5">
        <v>45628</v>
      </c>
      <c r="B2455" s="3">
        <v>0.64471064814814816</v>
      </c>
      <c r="C2455" t="s">
        <v>8</v>
      </c>
      <c r="D2455" t="s">
        <v>1021</v>
      </c>
      <c r="E2455" s="4">
        <v>21.06</v>
      </c>
      <c r="F2455" t="s">
        <v>5</v>
      </c>
      <c r="G2455" s="10" t="str">
        <f>TEXT(Transform_Data[[#This Row],[Date]],"mmm yyyy")</f>
        <v>Dec 2024</v>
      </c>
      <c r="H2455" s="10">
        <f>HOUR(Transform_Data[[#This Row],[Time]])</f>
        <v>15</v>
      </c>
      <c r="I2455" s="10" t="str">
        <f>IF(COUNTIF('Transform Data'!$D:$D,'Transform Data'!D2455)&gt;1,"Repeat","Single")</f>
        <v>Single</v>
      </c>
      <c r="J2455" s="10" t="str">
        <f>IF('Transform Data'!D2455="Cash","Cash",IF(COUNTIF('Transform Data'!$D:$D,'Transform Data'!D2455)&gt;1,"Repeat","Single"))</f>
        <v>Single</v>
      </c>
      <c r="K2455" s="10" t="str">
        <f t="shared" si="38"/>
        <v>TRANS-2454</v>
      </c>
    </row>
    <row r="2456" spans="1:11" x14ac:dyDescent="0.35">
      <c r="A2456" s="5">
        <v>45628</v>
      </c>
      <c r="B2456" s="3">
        <v>0.67526620370370372</v>
      </c>
      <c r="C2456" t="s">
        <v>8</v>
      </c>
      <c r="D2456" t="s">
        <v>1022</v>
      </c>
      <c r="E2456" s="4">
        <v>35.76</v>
      </c>
      <c r="F2456" t="s">
        <v>24</v>
      </c>
      <c r="G2456" s="10" t="str">
        <f>TEXT(Transform_Data[[#This Row],[Date]],"mmm yyyy")</f>
        <v>Dec 2024</v>
      </c>
      <c r="H2456" s="10">
        <f>HOUR(Transform_Data[[#This Row],[Time]])</f>
        <v>16</v>
      </c>
      <c r="I2456" s="10" t="str">
        <f>IF(COUNTIF('Transform Data'!$D:$D,'Transform Data'!D2456)&gt;1,"Repeat","Single")</f>
        <v>Single</v>
      </c>
      <c r="J2456" s="10" t="str">
        <f>IF('Transform Data'!D2456="Cash","Cash",IF(COUNTIF('Transform Data'!$D:$D,'Transform Data'!D2456)&gt;1,"Repeat","Single"))</f>
        <v>Single</v>
      </c>
      <c r="K2456" s="10" t="str">
        <f t="shared" si="38"/>
        <v>TRANS-2455</v>
      </c>
    </row>
    <row r="2457" spans="1:11" x14ac:dyDescent="0.35">
      <c r="A2457" s="5">
        <v>45628</v>
      </c>
      <c r="B2457" s="3">
        <v>0.73218749999999999</v>
      </c>
      <c r="C2457" t="s">
        <v>8</v>
      </c>
      <c r="D2457" t="s">
        <v>1023</v>
      </c>
      <c r="E2457" s="4">
        <v>25.96</v>
      </c>
      <c r="F2457" t="s">
        <v>28</v>
      </c>
      <c r="G2457" s="10" t="str">
        <f>TEXT(Transform_Data[[#This Row],[Date]],"mmm yyyy")</f>
        <v>Dec 2024</v>
      </c>
      <c r="H2457" s="10">
        <f>HOUR(Transform_Data[[#This Row],[Time]])</f>
        <v>17</v>
      </c>
      <c r="I2457" s="10" t="str">
        <f>IF(COUNTIF('Transform Data'!$D:$D,'Transform Data'!D2457)&gt;1,"Repeat","Single")</f>
        <v>Single</v>
      </c>
      <c r="J2457" s="10" t="str">
        <f>IF('Transform Data'!D2457="Cash","Cash",IF(COUNTIF('Transform Data'!$D:$D,'Transform Data'!D2457)&gt;1,"Repeat","Single"))</f>
        <v>Single</v>
      </c>
      <c r="K2457" s="10" t="str">
        <f t="shared" si="38"/>
        <v>TRANS-2456</v>
      </c>
    </row>
    <row r="2458" spans="1:11" x14ac:dyDescent="0.35">
      <c r="A2458" s="5">
        <v>45628</v>
      </c>
      <c r="B2458" s="3">
        <v>0.75037037037037035</v>
      </c>
      <c r="C2458" t="s">
        <v>8</v>
      </c>
      <c r="D2458" t="s">
        <v>1024</v>
      </c>
      <c r="E2458" s="4">
        <v>35.76</v>
      </c>
      <c r="F2458" t="s">
        <v>24</v>
      </c>
      <c r="G2458" s="10" t="str">
        <f>TEXT(Transform_Data[[#This Row],[Date]],"mmm yyyy")</f>
        <v>Dec 2024</v>
      </c>
      <c r="H2458" s="10">
        <f>HOUR(Transform_Data[[#This Row],[Time]])</f>
        <v>18</v>
      </c>
      <c r="I2458" s="10" t="str">
        <f>IF(COUNTIF('Transform Data'!$D:$D,'Transform Data'!D2458)&gt;1,"Repeat","Single")</f>
        <v>Single</v>
      </c>
      <c r="J2458" s="10" t="str">
        <f>IF('Transform Data'!D2458="Cash","Cash",IF(COUNTIF('Transform Data'!$D:$D,'Transform Data'!D2458)&gt;1,"Repeat","Single"))</f>
        <v>Single</v>
      </c>
      <c r="K2458" s="10" t="str">
        <f t="shared" si="38"/>
        <v>TRANS-2457</v>
      </c>
    </row>
    <row r="2459" spans="1:11" x14ac:dyDescent="0.35">
      <c r="A2459" s="5">
        <v>45629</v>
      </c>
      <c r="B2459" s="3">
        <v>0.34119212962962964</v>
      </c>
      <c r="C2459" t="s">
        <v>8</v>
      </c>
      <c r="D2459" t="s">
        <v>622</v>
      </c>
      <c r="E2459" s="4">
        <v>35.76</v>
      </c>
      <c r="F2459" t="s">
        <v>32</v>
      </c>
      <c r="G2459" s="10" t="str">
        <f>TEXT(Transform_Data[[#This Row],[Date]],"mmm yyyy")</f>
        <v>Dec 2024</v>
      </c>
      <c r="H2459" s="10">
        <f>HOUR(Transform_Data[[#This Row],[Time]])</f>
        <v>8</v>
      </c>
      <c r="I2459" s="10" t="str">
        <f>IF(COUNTIF('Transform Data'!$D:$D,'Transform Data'!D2459)&gt;1,"Repeat","Single")</f>
        <v>Repeat</v>
      </c>
      <c r="J2459" s="10" t="str">
        <f>IF('Transform Data'!D2459="Cash","Cash",IF(COUNTIF('Transform Data'!$D:$D,'Transform Data'!D2459)&gt;1,"Repeat","Single"))</f>
        <v>Repeat</v>
      </c>
      <c r="K2459" s="10" t="str">
        <f t="shared" si="38"/>
        <v>TRANS-2458</v>
      </c>
    </row>
    <row r="2460" spans="1:11" x14ac:dyDescent="0.35">
      <c r="A2460" s="5">
        <v>45629</v>
      </c>
      <c r="B2460" s="3">
        <v>0.39131944444444444</v>
      </c>
      <c r="C2460" t="s">
        <v>8</v>
      </c>
      <c r="D2460" t="s">
        <v>29</v>
      </c>
      <c r="E2460" s="4">
        <v>30.86</v>
      </c>
      <c r="F2460" t="s">
        <v>36</v>
      </c>
      <c r="G2460" s="10" t="str">
        <f>TEXT(Transform_Data[[#This Row],[Date]],"mmm yyyy")</f>
        <v>Dec 2024</v>
      </c>
      <c r="H2460" s="10">
        <f>HOUR(Transform_Data[[#This Row],[Time]])</f>
        <v>9</v>
      </c>
      <c r="I2460" s="10" t="str">
        <f>IF(COUNTIF('Transform Data'!$D:$D,'Transform Data'!D2460)&gt;1,"Repeat","Single")</f>
        <v>Repeat</v>
      </c>
      <c r="J2460" s="10" t="str">
        <f>IF('Transform Data'!D2460="Cash","Cash",IF(COUNTIF('Transform Data'!$D:$D,'Transform Data'!D2460)&gt;1,"Repeat","Single"))</f>
        <v>Repeat</v>
      </c>
      <c r="K2460" s="10" t="str">
        <f t="shared" si="38"/>
        <v>TRANS-2459</v>
      </c>
    </row>
    <row r="2461" spans="1:11" x14ac:dyDescent="0.35">
      <c r="A2461" s="5">
        <v>45629</v>
      </c>
      <c r="B2461" s="3">
        <v>0.39197916666666666</v>
      </c>
      <c r="C2461" t="s">
        <v>8</v>
      </c>
      <c r="D2461" t="s">
        <v>29</v>
      </c>
      <c r="E2461" s="4">
        <v>30.86</v>
      </c>
      <c r="F2461" t="s">
        <v>36</v>
      </c>
      <c r="G2461" s="10" t="str">
        <f>TEXT(Transform_Data[[#This Row],[Date]],"mmm yyyy")</f>
        <v>Dec 2024</v>
      </c>
      <c r="H2461" s="10">
        <f>HOUR(Transform_Data[[#This Row],[Time]])</f>
        <v>9</v>
      </c>
      <c r="I2461" s="10" t="str">
        <f>IF(COUNTIF('Transform Data'!$D:$D,'Transform Data'!D2461)&gt;1,"Repeat","Single")</f>
        <v>Repeat</v>
      </c>
      <c r="J2461" s="10" t="str">
        <f>IF('Transform Data'!D2461="Cash","Cash",IF(COUNTIF('Transform Data'!$D:$D,'Transform Data'!D2461)&gt;1,"Repeat","Single"))</f>
        <v>Repeat</v>
      </c>
      <c r="K2461" s="10" t="str">
        <f t="shared" si="38"/>
        <v>TRANS-2460</v>
      </c>
    </row>
    <row r="2462" spans="1:11" x14ac:dyDescent="0.35">
      <c r="A2462" s="5">
        <v>45629</v>
      </c>
      <c r="B2462" s="3">
        <v>0.47081018518518519</v>
      </c>
      <c r="C2462" t="s">
        <v>8</v>
      </c>
      <c r="D2462" t="s">
        <v>1025</v>
      </c>
      <c r="E2462" s="4">
        <v>25.96</v>
      </c>
      <c r="F2462" t="s">
        <v>28</v>
      </c>
      <c r="G2462" s="10" t="str">
        <f>TEXT(Transform_Data[[#This Row],[Date]],"mmm yyyy")</f>
        <v>Dec 2024</v>
      </c>
      <c r="H2462" s="10">
        <f>HOUR(Transform_Data[[#This Row],[Time]])</f>
        <v>11</v>
      </c>
      <c r="I2462" s="10" t="str">
        <f>IF(COUNTIF('Transform Data'!$D:$D,'Transform Data'!D2462)&gt;1,"Repeat","Single")</f>
        <v>Single</v>
      </c>
      <c r="J2462" s="10" t="str">
        <f>IF('Transform Data'!D2462="Cash","Cash",IF(COUNTIF('Transform Data'!$D:$D,'Transform Data'!D2462)&gt;1,"Repeat","Single"))</f>
        <v>Single</v>
      </c>
      <c r="K2462" s="10" t="str">
        <f t="shared" si="38"/>
        <v>TRANS-2461</v>
      </c>
    </row>
    <row r="2463" spans="1:11" x14ac:dyDescent="0.35">
      <c r="A2463" s="5">
        <v>45629</v>
      </c>
      <c r="B2463" s="3">
        <v>0.48758101851851854</v>
      </c>
      <c r="C2463" t="s">
        <v>8</v>
      </c>
      <c r="D2463" t="s">
        <v>1026</v>
      </c>
      <c r="E2463" s="4">
        <v>30.86</v>
      </c>
      <c r="F2463" t="s">
        <v>36</v>
      </c>
      <c r="G2463" s="10" t="str">
        <f>TEXT(Transform_Data[[#This Row],[Date]],"mmm yyyy")</f>
        <v>Dec 2024</v>
      </c>
      <c r="H2463" s="10">
        <f>HOUR(Transform_Data[[#This Row],[Time]])</f>
        <v>11</v>
      </c>
      <c r="I2463" s="10" t="str">
        <f>IF(COUNTIF('Transform Data'!$D:$D,'Transform Data'!D2463)&gt;1,"Repeat","Single")</f>
        <v>Single</v>
      </c>
      <c r="J2463" s="10" t="str">
        <f>IF('Transform Data'!D2463="Cash","Cash",IF(COUNTIF('Transform Data'!$D:$D,'Transform Data'!D2463)&gt;1,"Repeat","Single"))</f>
        <v>Single</v>
      </c>
      <c r="K2463" s="10" t="str">
        <f t="shared" si="38"/>
        <v>TRANS-2462</v>
      </c>
    </row>
    <row r="2464" spans="1:11" x14ac:dyDescent="0.35">
      <c r="A2464" s="5">
        <v>45629</v>
      </c>
      <c r="B2464" s="3">
        <v>0.48836805555555557</v>
      </c>
      <c r="C2464" t="s">
        <v>8</v>
      </c>
      <c r="D2464" t="s">
        <v>871</v>
      </c>
      <c r="E2464" s="4">
        <v>30.86</v>
      </c>
      <c r="F2464" t="s">
        <v>36</v>
      </c>
      <c r="G2464" s="10" t="str">
        <f>TEXT(Transform_Data[[#This Row],[Date]],"mmm yyyy")</f>
        <v>Dec 2024</v>
      </c>
      <c r="H2464" s="10">
        <f>HOUR(Transform_Data[[#This Row],[Time]])</f>
        <v>11</v>
      </c>
      <c r="I2464" s="10" t="str">
        <f>IF(COUNTIF('Transform Data'!$D:$D,'Transform Data'!D2464)&gt;1,"Repeat","Single")</f>
        <v>Repeat</v>
      </c>
      <c r="J2464" s="10" t="str">
        <f>IF('Transform Data'!D2464="Cash","Cash",IF(COUNTIF('Transform Data'!$D:$D,'Transform Data'!D2464)&gt;1,"Repeat","Single"))</f>
        <v>Repeat</v>
      </c>
      <c r="K2464" s="10" t="str">
        <f t="shared" si="38"/>
        <v>TRANS-2463</v>
      </c>
    </row>
    <row r="2465" spans="1:11" x14ac:dyDescent="0.35">
      <c r="A2465" s="5">
        <v>45629</v>
      </c>
      <c r="B2465" s="3">
        <v>0.49020833333333336</v>
      </c>
      <c r="C2465" t="s">
        <v>8</v>
      </c>
      <c r="D2465" t="s">
        <v>871</v>
      </c>
      <c r="E2465" s="4">
        <v>30.86</v>
      </c>
      <c r="F2465" t="s">
        <v>36</v>
      </c>
      <c r="G2465" s="10" t="str">
        <f>TEXT(Transform_Data[[#This Row],[Date]],"mmm yyyy")</f>
        <v>Dec 2024</v>
      </c>
      <c r="H2465" s="10">
        <f>HOUR(Transform_Data[[#This Row],[Time]])</f>
        <v>11</v>
      </c>
      <c r="I2465" s="10" t="str">
        <f>IF(COUNTIF('Transform Data'!$D:$D,'Transform Data'!D2465)&gt;1,"Repeat","Single")</f>
        <v>Repeat</v>
      </c>
      <c r="J2465" s="10" t="str">
        <f>IF('Transform Data'!D2465="Cash","Cash",IF(COUNTIF('Transform Data'!$D:$D,'Transform Data'!D2465)&gt;1,"Repeat","Single"))</f>
        <v>Repeat</v>
      </c>
      <c r="K2465" s="10" t="str">
        <f t="shared" si="38"/>
        <v>TRANS-2464</v>
      </c>
    </row>
    <row r="2466" spans="1:11" x14ac:dyDescent="0.35">
      <c r="A2466" s="5">
        <v>45629</v>
      </c>
      <c r="B2466" s="3">
        <v>0.86869212962962961</v>
      </c>
      <c r="C2466" t="s">
        <v>8</v>
      </c>
      <c r="D2466" t="s">
        <v>1027</v>
      </c>
      <c r="E2466" s="4">
        <v>35.76</v>
      </c>
      <c r="F2466" t="s">
        <v>10</v>
      </c>
      <c r="G2466" s="10" t="str">
        <f>TEXT(Transform_Data[[#This Row],[Date]],"mmm yyyy")</f>
        <v>Dec 2024</v>
      </c>
      <c r="H2466" s="10">
        <f>HOUR(Transform_Data[[#This Row],[Time]])</f>
        <v>20</v>
      </c>
      <c r="I2466" s="10" t="str">
        <f>IF(COUNTIF('Transform Data'!$D:$D,'Transform Data'!D2466)&gt;1,"Repeat","Single")</f>
        <v>Single</v>
      </c>
      <c r="J2466" s="10" t="str">
        <f>IF('Transform Data'!D2466="Cash","Cash",IF(COUNTIF('Transform Data'!$D:$D,'Transform Data'!D2466)&gt;1,"Repeat","Single"))</f>
        <v>Single</v>
      </c>
      <c r="K2466" s="10" t="str">
        <f t="shared" si="38"/>
        <v>TRANS-2465</v>
      </c>
    </row>
    <row r="2467" spans="1:11" x14ac:dyDescent="0.35">
      <c r="A2467" s="5">
        <v>45629</v>
      </c>
      <c r="B2467" s="3">
        <v>0.89810185185185187</v>
      </c>
      <c r="C2467" t="s">
        <v>8</v>
      </c>
      <c r="D2467" t="s">
        <v>737</v>
      </c>
      <c r="E2467" s="4">
        <v>35.76</v>
      </c>
      <c r="F2467" t="s">
        <v>32</v>
      </c>
      <c r="G2467" s="10" t="str">
        <f>TEXT(Transform_Data[[#This Row],[Date]],"mmm yyyy")</f>
        <v>Dec 2024</v>
      </c>
      <c r="H2467" s="10">
        <f>HOUR(Transform_Data[[#This Row],[Time]])</f>
        <v>21</v>
      </c>
      <c r="I2467" s="10" t="str">
        <f>IF(COUNTIF('Transform Data'!$D:$D,'Transform Data'!D2467)&gt;1,"Repeat","Single")</f>
        <v>Repeat</v>
      </c>
      <c r="J2467" s="10" t="str">
        <f>IF('Transform Data'!D2467="Cash","Cash",IF(COUNTIF('Transform Data'!$D:$D,'Transform Data'!D2467)&gt;1,"Repeat","Single"))</f>
        <v>Repeat</v>
      </c>
      <c r="K2467" s="10" t="str">
        <f t="shared" si="38"/>
        <v>TRANS-2466</v>
      </c>
    </row>
    <row r="2468" spans="1:11" x14ac:dyDescent="0.35">
      <c r="A2468" s="5">
        <v>45629</v>
      </c>
      <c r="B2468" s="3">
        <v>0.89876157407407409</v>
      </c>
      <c r="C2468" t="s">
        <v>8</v>
      </c>
      <c r="D2468" t="s">
        <v>737</v>
      </c>
      <c r="E2468" s="4">
        <v>35.76</v>
      </c>
      <c r="F2468" t="s">
        <v>24</v>
      </c>
      <c r="G2468" s="10" t="str">
        <f>TEXT(Transform_Data[[#This Row],[Date]],"mmm yyyy")</f>
        <v>Dec 2024</v>
      </c>
      <c r="H2468" s="10">
        <f>HOUR(Transform_Data[[#This Row],[Time]])</f>
        <v>21</v>
      </c>
      <c r="I2468" s="10" t="str">
        <f>IF(COUNTIF('Transform Data'!$D:$D,'Transform Data'!D2468)&gt;1,"Repeat","Single")</f>
        <v>Repeat</v>
      </c>
      <c r="J2468" s="10" t="str">
        <f>IF('Transform Data'!D2468="Cash","Cash",IF(COUNTIF('Transform Data'!$D:$D,'Transform Data'!D2468)&gt;1,"Repeat","Single"))</f>
        <v>Repeat</v>
      </c>
      <c r="K2468" s="10" t="str">
        <f t="shared" si="38"/>
        <v>TRANS-2467</v>
      </c>
    </row>
    <row r="2469" spans="1:11" x14ac:dyDescent="0.35">
      <c r="A2469" s="5">
        <v>45629</v>
      </c>
      <c r="B2469" s="3">
        <v>0.89951388888888884</v>
      </c>
      <c r="C2469" t="s">
        <v>8</v>
      </c>
      <c r="D2469" t="s">
        <v>737</v>
      </c>
      <c r="E2469" s="4">
        <v>35.76</v>
      </c>
      <c r="F2469" t="s">
        <v>15</v>
      </c>
      <c r="G2469" s="10" t="str">
        <f>TEXT(Transform_Data[[#This Row],[Date]],"mmm yyyy")</f>
        <v>Dec 2024</v>
      </c>
      <c r="H2469" s="10">
        <f>HOUR(Transform_Data[[#This Row],[Time]])</f>
        <v>21</v>
      </c>
      <c r="I2469" s="10" t="str">
        <f>IF(COUNTIF('Transform Data'!$D:$D,'Transform Data'!D2469)&gt;1,"Repeat","Single")</f>
        <v>Repeat</v>
      </c>
      <c r="J2469" s="10" t="str">
        <f>IF('Transform Data'!D2469="Cash","Cash",IF(COUNTIF('Transform Data'!$D:$D,'Transform Data'!D2469)&gt;1,"Repeat","Single"))</f>
        <v>Repeat</v>
      </c>
      <c r="K2469" s="10" t="str">
        <f t="shared" si="38"/>
        <v>TRANS-2468</v>
      </c>
    </row>
    <row r="2470" spans="1:11" x14ac:dyDescent="0.35">
      <c r="A2470" s="5">
        <v>45629</v>
      </c>
      <c r="B2470" s="3">
        <v>0.93001157407407409</v>
      </c>
      <c r="C2470" t="s">
        <v>8</v>
      </c>
      <c r="D2470" t="s">
        <v>1028</v>
      </c>
      <c r="E2470" s="4">
        <v>30.86</v>
      </c>
      <c r="F2470" t="s">
        <v>36</v>
      </c>
      <c r="G2470" s="10" t="str">
        <f>TEXT(Transform_Data[[#This Row],[Date]],"mmm yyyy")</f>
        <v>Dec 2024</v>
      </c>
      <c r="H2470" s="10">
        <f>HOUR(Transform_Data[[#This Row],[Time]])</f>
        <v>22</v>
      </c>
      <c r="I2470" s="10" t="str">
        <f>IF(COUNTIF('Transform Data'!$D:$D,'Transform Data'!D2470)&gt;1,"Repeat","Single")</f>
        <v>Repeat</v>
      </c>
      <c r="J2470" s="10" t="str">
        <f>IF('Transform Data'!D2470="Cash","Cash",IF(COUNTIF('Transform Data'!$D:$D,'Transform Data'!D2470)&gt;1,"Repeat","Single"))</f>
        <v>Repeat</v>
      </c>
      <c r="K2470" s="10" t="str">
        <f t="shared" si="38"/>
        <v>TRANS-2469</v>
      </c>
    </row>
    <row r="2471" spans="1:11" x14ac:dyDescent="0.35">
      <c r="A2471" s="5">
        <v>45629</v>
      </c>
      <c r="B2471" s="3">
        <v>0.9317361111111111</v>
      </c>
      <c r="C2471" t="s">
        <v>8</v>
      </c>
      <c r="D2471" t="s">
        <v>260</v>
      </c>
      <c r="E2471" s="4">
        <v>35.76</v>
      </c>
      <c r="F2471" t="s">
        <v>24</v>
      </c>
      <c r="G2471" s="10" t="str">
        <f>TEXT(Transform_Data[[#This Row],[Date]],"mmm yyyy")</f>
        <v>Dec 2024</v>
      </c>
      <c r="H2471" s="10">
        <f>HOUR(Transform_Data[[#This Row],[Time]])</f>
        <v>22</v>
      </c>
      <c r="I2471" s="10" t="str">
        <f>IF(COUNTIF('Transform Data'!$D:$D,'Transform Data'!D2471)&gt;1,"Repeat","Single")</f>
        <v>Repeat</v>
      </c>
      <c r="J2471" s="10" t="str">
        <f>IF('Transform Data'!D2471="Cash","Cash",IF(COUNTIF('Transform Data'!$D:$D,'Transform Data'!D2471)&gt;1,"Repeat","Single"))</f>
        <v>Repeat</v>
      </c>
      <c r="K2471" s="10" t="str">
        <f t="shared" si="38"/>
        <v>TRANS-2470</v>
      </c>
    </row>
    <row r="2472" spans="1:11" x14ac:dyDescent="0.35">
      <c r="A2472" s="5">
        <v>45630</v>
      </c>
      <c r="B2472" s="3">
        <v>0.35609953703703706</v>
      </c>
      <c r="C2472" t="s">
        <v>8</v>
      </c>
      <c r="D2472" t="s">
        <v>40</v>
      </c>
      <c r="E2472" s="4">
        <v>25.96</v>
      </c>
      <c r="F2472" t="s">
        <v>20</v>
      </c>
      <c r="G2472" s="10" t="str">
        <f>TEXT(Transform_Data[[#This Row],[Date]],"mmm yyyy")</f>
        <v>Dec 2024</v>
      </c>
      <c r="H2472" s="10">
        <f>HOUR(Transform_Data[[#This Row],[Time]])</f>
        <v>8</v>
      </c>
      <c r="I2472" s="10" t="str">
        <f>IF(COUNTIF('Transform Data'!$D:$D,'Transform Data'!D2472)&gt;1,"Repeat","Single")</f>
        <v>Repeat</v>
      </c>
      <c r="J2472" s="10" t="str">
        <f>IF('Transform Data'!D2472="Cash","Cash",IF(COUNTIF('Transform Data'!$D:$D,'Transform Data'!D2472)&gt;1,"Repeat","Single"))</f>
        <v>Repeat</v>
      </c>
      <c r="K2472" s="10" t="str">
        <f t="shared" si="38"/>
        <v>TRANS-2471</v>
      </c>
    </row>
    <row r="2473" spans="1:11" x14ac:dyDescent="0.35">
      <c r="A2473" s="5">
        <v>45630</v>
      </c>
      <c r="B2473" s="3">
        <v>0.3684027777777778</v>
      </c>
      <c r="C2473" t="s">
        <v>8</v>
      </c>
      <c r="D2473" t="s">
        <v>1029</v>
      </c>
      <c r="E2473" s="4">
        <v>35.76</v>
      </c>
      <c r="F2473" t="s">
        <v>32</v>
      </c>
      <c r="G2473" s="10" t="str">
        <f>TEXT(Transform_Data[[#This Row],[Date]],"mmm yyyy")</f>
        <v>Dec 2024</v>
      </c>
      <c r="H2473" s="10">
        <f>HOUR(Transform_Data[[#This Row],[Time]])</f>
        <v>8</v>
      </c>
      <c r="I2473" s="10" t="str">
        <f>IF(COUNTIF('Transform Data'!$D:$D,'Transform Data'!D2473)&gt;1,"Repeat","Single")</f>
        <v>Single</v>
      </c>
      <c r="J2473" s="10" t="str">
        <f>IF('Transform Data'!D2473="Cash","Cash",IF(COUNTIF('Transform Data'!$D:$D,'Transform Data'!D2473)&gt;1,"Repeat","Single"))</f>
        <v>Single</v>
      </c>
      <c r="K2473" s="10" t="str">
        <f t="shared" si="38"/>
        <v>TRANS-2472</v>
      </c>
    </row>
    <row r="2474" spans="1:11" x14ac:dyDescent="0.35">
      <c r="A2474" s="5">
        <v>45630</v>
      </c>
      <c r="B2474" s="3">
        <v>0.36961805555555555</v>
      </c>
      <c r="C2474" t="s">
        <v>8</v>
      </c>
      <c r="D2474" t="s">
        <v>1030</v>
      </c>
      <c r="E2474" s="4">
        <v>35.76</v>
      </c>
      <c r="F2474" t="s">
        <v>32</v>
      </c>
      <c r="G2474" s="10" t="str">
        <f>TEXT(Transform_Data[[#This Row],[Date]],"mmm yyyy")</f>
        <v>Dec 2024</v>
      </c>
      <c r="H2474" s="10">
        <f>HOUR(Transform_Data[[#This Row],[Time]])</f>
        <v>8</v>
      </c>
      <c r="I2474" s="10" t="str">
        <f>IF(COUNTIF('Transform Data'!$D:$D,'Transform Data'!D2474)&gt;1,"Repeat","Single")</f>
        <v>Single</v>
      </c>
      <c r="J2474" s="10" t="str">
        <f>IF('Transform Data'!D2474="Cash","Cash",IF(COUNTIF('Transform Data'!$D:$D,'Transform Data'!D2474)&gt;1,"Repeat","Single"))</f>
        <v>Single</v>
      </c>
      <c r="K2474" s="10" t="str">
        <f t="shared" si="38"/>
        <v>TRANS-2473</v>
      </c>
    </row>
    <row r="2475" spans="1:11" x14ac:dyDescent="0.35">
      <c r="A2475" s="5">
        <v>45630</v>
      </c>
      <c r="B2475" s="3">
        <v>0.37793981481481481</v>
      </c>
      <c r="C2475" t="s">
        <v>8</v>
      </c>
      <c r="D2475" t="s">
        <v>1031</v>
      </c>
      <c r="E2475" s="4">
        <v>25.96</v>
      </c>
      <c r="F2475" t="s">
        <v>28</v>
      </c>
      <c r="G2475" s="10" t="str">
        <f>TEXT(Transform_Data[[#This Row],[Date]],"mmm yyyy")</f>
        <v>Dec 2024</v>
      </c>
      <c r="H2475" s="10">
        <f>HOUR(Transform_Data[[#This Row],[Time]])</f>
        <v>9</v>
      </c>
      <c r="I2475" s="10" t="str">
        <f>IF(COUNTIF('Transform Data'!$D:$D,'Transform Data'!D2475)&gt;1,"Repeat","Single")</f>
        <v>Single</v>
      </c>
      <c r="J2475" s="10" t="str">
        <f>IF('Transform Data'!D2475="Cash","Cash",IF(COUNTIF('Transform Data'!$D:$D,'Transform Data'!D2475)&gt;1,"Repeat","Single"))</f>
        <v>Single</v>
      </c>
      <c r="K2475" s="10" t="str">
        <f t="shared" si="38"/>
        <v>TRANS-2474</v>
      </c>
    </row>
    <row r="2476" spans="1:11" x14ac:dyDescent="0.35">
      <c r="A2476" s="5">
        <v>45630</v>
      </c>
      <c r="B2476" s="3">
        <v>0.43265046296296295</v>
      </c>
      <c r="C2476" t="s">
        <v>8</v>
      </c>
      <c r="D2476" t="s">
        <v>29</v>
      </c>
      <c r="E2476" s="4">
        <v>30.86</v>
      </c>
      <c r="F2476" t="s">
        <v>36</v>
      </c>
      <c r="G2476" s="10" t="str">
        <f>TEXT(Transform_Data[[#This Row],[Date]],"mmm yyyy")</f>
        <v>Dec 2024</v>
      </c>
      <c r="H2476" s="10">
        <f>HOUR(Transform_Data[[#This Row],[Time]])</f>
        <v>10</v>
      </c>
      <c r="I2476" s="10" t="str">
        <f>IF(COUNTIF('Transform Data'!$D:$D,'Transform Data'!D2476)&gt;1,"Repeat","Single")</f>
        <v>Repeat</v>
      </c>
      <c r="J2476" s="10" t="str">
        <f>IF('Transform Data'!D2476="Cash","Cash",IF(COUNTIF('Transform Data'!$D:$D,'Transform Data'!D2476)&gt;1,"Repeat","Single"))</f>
        <v>Repeat</v>
      </c>
      <c r="K2476" s="10" t="str">
        <f t="shared" si="38"/>
        <v>TRANS-2475</v>
      </c>
    </row>
    <row r="2477" spans="1:11" x14ac:dyDescent="0.35">
      <c r="A2477" s="5">
        <v>45630</v>
      </c>
      <c r="B2477" s="3">
        <v>0.43341435185185184</v>
      </c>
      <c r="C2477" t="s">
        <v>8</v>
      </c>
      <c r="D2477" t="s">
        <v>29</v>
      </c>
      <c r="E2477" s="4">
        <v>30.86</v>
      </c>
      <c r="F2477" t="s">
        <v>36</v>
      </c>
      <c r="G2477" s="10" t="str">
        <f>TEXT(Transform_Data[[#This Row],[Date]],"mmm yyyy")</f>
        <v>Dec 2024</v>
      </c>
      <c r="H2477" s="10">
        <f>HOUR(Transform_Data[[#This Row],[Time]])</f>
        <v>10</v>
      </c>
      <c r="I2477" s="10" t="str">
        <f>IF(COUNTIF('Transform Data'!$D:$D,'Transform Data'!D2477)&gt;1,"Repeat","Single")</f>
        <v>Repeat</v>
      </c>
      <c r="J2477" s="10" t="str">
        <f>IF('Transform Data'!D2477="Cash","Cash",IF(COUNTIF('Transform Data'!$D:$D,'Transform Data'!D2477)&gt;1,"Repeat","Single"))</f>
        <v>Repeat</v>
      </c>
      <c r="K2477" s="10" t="str">
        <f t="shared" si="38"/>
        <v>TRANS-2476</v>
      </c>
    </row>
    <row r="2478" spans="1:11" x14ac:dyDescent="0.35">
      <c r="A2478" s="5">
        <v>45630</v>
      </c>
      <c r="B2478" s="3">
        <v>0.43538194444444445</v>
      </c>
      <c r="C2478" t="s">
        <v>8</v>
      </c>
      <c r="D2478" t="s">
        <v>1032</v>
      </c>
      <c r="E2478" s="4">
        <v>30.86</v>
      </c>
      <c r="F2478" t="s">
        <v>36</v>
      </c>
      <c r="G2478" s="10" t="str">
        <f>TEXT(Transform_Data[[#This Row],[Date]],"mmm yyyy")</f>
        <v>Dec 2024</v>
      </c>
      <c r="H2478" s="10">
        <f>HOUR(Transform_Data[[#This Row],[Time]])</f>
        <v>10</v>
      </c>
      <c r="I2478" s="10" t="str">
        <f>IF(COUNTIF('Transform Data'!$D:$D,'Transform Data'!D2478)&gt;1,"Repeat","Single")</f>
        <v>Single</v>
      </c>
      <c r="J2478" s="10" t="str">
        <f>IF('Transform Data'!D2478="Cash","Cash",IF(COUNTIF('Transform Data'!$D:$D,'Transform Data'!D2478)&gt;1,"Repeat","Single"))</f>
        <v>Single</v>
      </c>
      <c r="K2478" s="10" t="str">
        <f t="shared" si="38"/>
        <v>TRANS-2477</v>
      </c>
    </row>
    <row r="2479" spans="1:11" x14ac:dyDescent="0.35">
      <c r="A2479" s="5">
        <v>45630</v>
      </c>
      <c r="B2479" s="3">
        <v>0.43734953703703705</v>
      </c>
      <c r="C2479" t="s">
        <v>8</v>
      </c>
      <c r="D2479" t="s">
        <v>835</v>
      </c>
      <c r="E2479" s="4">
        <v>35.76</v>
      </c>
      <c r="F2479" t="s">
        <v>15</v>
      </c>
      <c r="G2479" s="10" t="str">
        <f>TEXT(Transform_Data[[#This Row],[Date]],"mmm yyyy")</f>
        <v>Dec 2024</v>
      </c>
      <c r="H2479" s="10">
        <f>HOUR(Transform_Data[[#This Row],[Time]])</f>
        <v>10</v>
      </c>
      <c r="I2479" s="10" t="str">
        <f>IF(COUNTIF('Transform Data'!$D:$D,'Transform Data'!D2479)&gt;1,"Repeat","Single")</f>
        <v>Repeat</v>
      </c>
      <c r="J2479" s="10" t="str">
        <f>IF('Transform Data'!D2479="Cash","Cash",IF(COUNTIF('Transform Data'!$D:$D,'Transform Data'!D2479)&gt;1,"Repeat","Single"))</f>
        <v>Repeat</v>
      </c>
      <c r="K2479" s="10" t="str">
        <f t="shared" si="38"/>
        <v>TRANS-2478</v>
      </c>
    </row>
    <row r="2480" spans="1:11" x14ac:dyDescent="0.35">
      <c r="A2480" s="5">
        <v>45630</v>
      </c>
      <c r="B2480" s="3">
        <v>0.49024305555555553</v>
      </c>
      <c r="C2480" t="s">
        <v>8</v>
      </c>
      <c r="D2480" t="s">
        <v>1033</v>
      </c>
      <c r="E2480" s="4">
        <v>30.86</v>
      </c>
      <c r="F2480" t="s">
        <v>36</v>
      </c>
      <c r="G2480" s="10" t="str">
        <f>TEXT(Transform_Data[[#This Row],[Date]],"mmm yyyy")</f>
        <v>Dec 2024</v>
      </c>
      <c r="H2480" s="10">
        <f>HOUR(Transform_Data[[#This Row],[Time]])</f>
        <v>11</v>
      </c>
      <c r="I2480" s="10" t="str">
        <f>IF(COUNTIF('Transform Data'!$D:$D,'Transform Data'!D2480)&gt;1,"Repeat","Single")</f>
        <v>Single</v>
      </c>
      <c r="J2480" s="10" t="str">
        <f>IF('Transform Data'!D2480="Cash","Cash",IF(COUNTIF('Transform Data'!$D:$D,'Transform Data'!D2480)&gt;1,"Repeat","Single"))</f>
        <v>Single</v>
      </c>
      <c r="K2480" s="10" t="str">
        <f t="shared" si="38"/>
        <v>TRANS-2479</v>
      </c>
    </row>
    <row r="2481" spans="1:11" x14ac:dyDescent="0.35">
      <c r="A2481" s="5">
        <v>45630</v>
      </c>
      <c r="B2481" s="3">
        <v>0.60687500000000005</v>
      </c>
      <c r="C2481" t="s">
        <v>8</v>
      </c>
      <c r="D2481" t="s">
        <v>1034</v>
      </c>
      <c r="E2481" s="4">
        <v>35.76</v>
      </c>
      <c r="F2481" t="s">
        <v>15</v>
      </c>
      <c r="G2481" s="10" t="str">
        <f>TEXT(Transform_Data[[#This Row],[Date]],"mmm yyyy")</f>
        <v>Dec 2024</v>
      </c>
      <c r="H2481" s="10">
        <f>HOUR(Transform_Data[[#This Row],[Time]])</f>
        <v>14</v>
      </c>
      <c r="I2481" s="10" t="str">
        <f>IF(COUNTIF('Transform Data'!$D:$D,'Transform Data'!D2481)&gt;1,"Repeat","Single")</f>
        <v>Single</v>
      </c>
      <c r="J2481" s="10" t="str">
        <f>IF('Transform Data'!D2481="Cash","Cash",IF(COUNTIF('Transform Data'!$D:$D,'Transform Data'!D2481)&gt;1,"Repeat","Single"))</f>
        <v>Single</v>
      </c>
      <c r="K2481" s="10" t="str">
        <f t="shared" si="38"/>
        <v>TRANS-2480</v>
      </c>
    </row>
    <row r="2482" spans="1:11" x14ac:dyDescent="0.35">
      <c r="A2482" s="5">
        <v>45631</v>
      </c>
      <c r="B2482" s="3">
        <v>0.37069444444444444</v>
      </c>
      <c r="C2482" t="s">
        <v>8</v>
      </c>
      <c r="D2482" t="s">
        <v>1035</v>
      </c>
      <c r="E2482" s="4">
        <v>25.96</v>
      </c>
      <c r="F2482" t="s">
        <v>28</v>
      </c>
      <c r="G2482" s="10" t="str">
        <f>TEXT(Transform_Data[[#This Row],[Date]],"mmm yyyy")</f>
        <v>Dec 2024</v>
      </c>
      <c r="H2482" s="10">
        <f>HOUR(Transform_Data[[#This Row],[Time]])</f>
        <v>8</v>
      </c>
      <c r="I2482" s="10" t="str">
        <f>IF(COUNTIF('Transform Data'!$D:$D,'Transform Data'!D2482)&gt;1,"Repeat","Single")</f>
        <v>Single</v>
      </c>
      <c r="J2482" s="10" t="str">
        <f>IF('Transform Data'!D2482="Cash","Cash",IF(COUNTIF('Transform Data'!$D:$D,'Transform Data'!D2482)&gt;1,"Repeat","Single"))</f>
        <v>Single</v>
      </c>
      <c r="K2482" s="10" t="str">
        <f t="shared" si="38"/>
        <v>TRANS-2481</v>
      </c>
    </row>
    <row r="2483" spans="1:11" x14ac:dyDescent="0.35">
      <c r="A2483" s="5">
        <v>45631</v>
      </c>
      <c r="B2483" s="3">
        <v>0.38921296296296298</v>
      </c>
      <c r="C2483" t="s">
        <v>8</v>
      </c>
      <c r="D2483" t="s">
        <v>40</v>
      </c>
      <c r="E2483" s="4">
        <v>25.96</v>
      </c>
      <c r="F2483" t="s">
        <v>20</v>
      </c>
      <c r="G2483" s="10" t="str">
        <f>TEXT(Transform_Data[[#This Row],[Date]],"mmm yyyy")</f>
        <v>Dec 2024</v>
      </c>
      <c r="H2483" s="10">
        <f>HOUR(Transform_Data[[#This Row],[Time]])</f>
        <v>9</v>
      </c>
      <c r="I2483" s="10" t="str">
        <f>IF(COUNTIF('Transform Data'!$D:$D,'Transform Data'!D2483)&gt;1,"Repeat","Single")</f>
        <v>Repeat</v>
      </c>
      <c r="J2483" s="10" t="str">
        <f>IF('Transform Data'!D2483="Cash","Cash",IF(COUNTIF('Transform Data'!$D:$D,'Transform Data'!D2483)&gt;1,"Repeat","Single"))</f>
        <v>Repeat</v>
      </c>
      <c r="K2483" s="10" t="str">
        <f t="shared" si="38"/>
        <v>TRANS-2482</v>
      </c>
    </row>
    <row r="2484" spans="1:11" x14ac:dyDescent="0.35">
      <c r="A2484" s="5">
        <v>45631</v>
      </c>
      <c r="B2484" s="3">
        <v>0.41864583333333333</v>
      </c>
      <c r="C2484" t="s">
        <v>8</v>
      </c>
      <c r="D2484" t="s">
        <v>29</v>
      </c>
      <c r="E2484" s="4">
        <v>30.86</v>
      </c>
      <c r="F2484" t="s">
        <v>36</v>
      </c>
      <c r="G2484" s="10" t="str">
        <f>TEXT(Transform_Data[[#This Row],[Date]],"mmm yyyy")</f>
        <v>Dec 2024</v>
      </c>
      <c r="H2484" s="10">
        <f>HOUR(Transform_Data[[#This Row],[Time]])</f>
        <v>10</v>
      </c>
      <c r="I2484" s="10" t="str">
        <f>IF(COUNTIF('Transform Data'!$D:$D,'Transform Data'!D2484)&gt;1,"Repeat","Single")</f>
        <v>Repeat</v>
      </c>
      <c r="J2484" s="10" t="str">
        <f>IF('Transform Data'!D2484="Cash","Cash",IF(COUNTIF('Transform Data'!$D:$D,'Transform Data'!D2484)&gt;1,"Repeat","Single"))</f>
        <v>Repeat</v>
      </c>
      <c r="K2484" s="10" t="str">
        <f t="shared" si="38"/>
        <v>TRANS-2483</v>
      </c>
    </row>
    <row r="2485" spans="1:11" x14ac:dyDescent="0.35">
      <c r="A2485" s="5">
        <v>45631</v>
      </c>
      <c r="B2485" s="3">
        <v>0.42019675925925926</v>
      </c>
      <c r="C2485" t="s">
        <v>8</v>
      </c>
      <c r="D2485" t="s">
        <v>29</v>
      </c>
      <c r="E2485" s="4">
        <v>30.86</v>
      </c>
      <c r="F2485" t="s">
        <v>36</v>
      </c>
      <c r="G2485" s="10" t="str">
        <f>TEXT(Transform_Data[[#This Row],[Date]],"mmm yyyy")</f>
        <v>Dec 2024</v>
      </c>
      <c r="H2485" s="10">
        <f>HOUR(Transform_Data[[#This Row],[Time]])</f>
        <v>10</v>
      </c>
      <c r="I2485" s="10" t="str">
        <f>IF(COUNTIF('Transform Data'!$D:$D,'Transform Data'!D2485)&gt;1,"Repeat","Single")</f>
        <v>Repeat</v>
      </c>
      <c r="J2485" s="10" t="str">
        <f>IF('Transform Data'!D2485="Cash","Cash",IF(COUNTIF('Transform Data'!$D:$D,'Transform Data'!D2485)&gt;1,"Repeat","Single"))</f>
        <v>Repeat</v>
      </c>
      <c r="K2485" s="10" t="str">
        <f t="shared" si="38"/>
        <v>TRANS-2484</v>
      </c>
    </row>
    <row r="2486" spans="1:11" x14ac:dyDescent="0.35">
      <c r="A2486" s="5">
        <v>45631</v>
      </c>
      <c r="B2486" s="3">
        <v>0.48053240740740738</v>
      </c>
      <c r="C2486" t="s">
        <v>8</v>
      </c>
      <c r="D2486" t="s">
        <v>631</v>
      </c>
      <c r="E2486" s="4">
        <v>35.76</v>
      </c>
      <c r="F2486" t="s">
        <v>32</v>
      </c>
      <c r="G2486" s="10" t="str">
        <f>TEXT(Transform_Data[[#This Row],[Date]],"mmm yyyy")</f>
        <v>Dec 2024</v>
      </c>
      <c r="H2486" s="10">
        <f>HOUR(Transform_Data[[#This Row],[Time]])</f>
        <v>11</v>
      </c>
      <c r="I2486" s="10" t="str">
        <f>IF(COUNTIF('Transform Data'!$D:$D,'Transform Data'!D2486)&gt;1,"Repeat","Single")</f>
        <v>Repeat</v>
      </c>
      <c r="J2486" s="10" t="str">
        <f>IF('Transform Data'!D2486="Cash","Cash",IF(COUNTIF('Transform Data'!$D:$D,'Transform Data'!D2486)&gt;1,"Repeat","Single"))</f>
        <v>Repeat</v>
      </c>
      <c r="K2486" s="10" t="str">
        <f t="shared" si="38"/>
        <v>TRANS-2485</v>
      </c>
    </row>
    <row r="2487" spans="1:11" x14ac:dyDescent="0.35">
      <c r="A2487" s="5">
        <v>45631</v>
      </c>
      <c r="B2487" s="3">
        <v>0.49356481481481479</v>
      </c>
      <c r="C2487" t="s">
        <v>8</v>
      </c>
      <c r="D2487" t="s">
        <v>1036</v>
      </c>
      <c r="E2487" s="4">
        <v>25.96</v>
      </c>
      <c r="F2487" t="s">
        <v>28</v>
      </c>
      <c r="G2487" s="10" t="str">
        <f>TEXT(Transform_Data[[#This Row],[Date]],"mmm yyyy")</f>
        <v>Dec 2024</v>
      </c>
      <c r="H2487" s="10">
        <f>HOUR(Transform_Data[[#This Row],[Time]])</f>
        <v>11</v>
      </c>
      <c r="I2487" s="10" t="str">
        <f>IF(COUNTIF('Transform Data'!$D:$D,'Transform Data'!D2487)&gt;1,"Repeat","Single")</f>
        <v>Single</v>
      </c>
      <c r="J2487" s="10" t="str">
        <f>IF('Transform Data'!D2487="Cash","Cash",IF(COUNTIF('Transform Data'!$D:$D,'Transform Data'!D2487)&gt;1,"Repeat","Single"))</f>
        <v>Single</v>
      </c>
      <c r="K2487" s="10" t="str">
        <f t="shared" si="38"/>
        <v>TRANS-2486</v>
      </c>
    </row>
    <row r="2488" spans="1:11" x14ac:dyDescent="0.35">
      <c r="A2488" s="5">
        <v>45631</v>
      </c>
      <c r="B2488" s="3">
        <v>0.60483796296296299</v>
      </c>
      <c r="C2488" t="s">
        <v>8</v>
      </c>
      <c r="D2488" t="s">
        <v>1037</v>
      </c>
      <c r="E2488" s="4">
        <v>35.76</v>
      </c>
      <c r="F2488" t="s">
        <v>24</v>
      </c>
      <c r="G2488" s="10" t="str">
        <f>TEXT(Transform_Data[[#This Row],[Date]],"mmm yyyy")</f>
        <v>Dec 2024</v>
      </c>
      <c r="H2488" s="10">
        <f>HOUR(Transform_Data[[#This Row],[Time]])</f>
        <v>14</v>
      </c>
      <c r="I2488" s="10" t="str">
        <f>IF(COUNTIF('Transform Data'!$D:$D,'Transform Data'!D2488)&gt;1,"Repeat","Single")</f>
        <v>Single</v>
      </c>
      <c r="J2488" s="10" t="str">
        <f>IF('Transform Data'!D2488="Cash","Cash",IF(COUNTIF('Transform Data'!$D:$D,'Transform Data'!D2488)&gt;1,"Repeat","Single"))</f>
        <v>Single</v>
      </c>
      <c r="K2488" s="10" t="str">
        <f t="shared" si="38"/>
        <v>TRANS-2487</v>
      </c>
    </row>
    <row r="2489" spans="1:11" x14ac:dyDescent="0.35">
      <c r="A2489" s="5">
        <v>45631</v>
      </c>
      <c r="B2489" s="3">
        <v>0.63980324074074069</v>
      </c>
      <c r="C2489" t="s">
        <v>8</v>
      </c>
      <c r="D2489" t="s">
        <v>958</v>
      </c>
      <c r="E2489" s="4">
        <v>35.76</v>
      </c>
      <c r="F2489" t="s">
        <v>32</v>
      </c>
      <c r="G2489" s="10" t="str">
        <f>TEXT(Transform_Data[[#This Row],[Date]],"mmm yyyy")</f>
        <v>Dec 2024</v>
      </c>
      <c r="H2489" s="10">
        <f>HOUR(Transform_Data[[#This Row],[Time]])</f>
        <v>15</v>
      </c>
      <c r="I2489" s="10" t="str">
        <f>IF(COUNTIF('Transform Data'!$D:$D,'Transform Data'!D2489)&gt;1,"Repeat","Single")</f>
        <v>Repeat</v>
      </c>
      <c r="J2489" s="10" t="str">
        <f>IF('Transform Data'!D2489="Cash","Cash",IF(COUNTIF('Transform Data'!$D:$D,'Transform Data'!D2489)&gt;1,"Repeat","Single"))</f>
        <v>Repeat</v>
      </c>
      <c r="K2489" s="10" t="str">
        <f t="shared" si="38"/>
        <v>TRANS-2488</v>
      </c>
    </row>
    <row r="2490" spans="1:11" x14ac:dyDescent="0.35">
      <c r="A2490" s="5">
        <v>45631</v>
      </c>
      <c r="B2490" s="3">
        <v>0.66817129629629635</v>
      </c>
      <c r="C2490" t="s">
        <v>8</v>
      </c>
      <c r="D2490" t="s">
        <v>823</v>
      </c>
      <c r="E2490" s="4">
        <v>35.76</v>
      </c>
      <c r="F2490" t="s">
        <v>32</v>
      </c>
      <c r="G2490" s="10" t="str">
        <f>TEXT(Transform_Data[[#This Row],[Date]],"mmm yyyy")</f>
        <v>Dec 2024</v>
      </c>
      <c r="H2490" s="10">
        <f>HOUR(Transform_Data[[#This Row],[Time]])</f>
        <v>16</v>
      </c>
      <c r="I2490" s="10" t="str">
        <f>IF(COUNTIF('Transform Data'!$D:$D,'Transform Data'!D2490)&gt;1,"Repeat","Single")</f>
        <v>Repeat</v>
      </c>
      <c r="J2490" s="10" t="str">
        <f>IF('Transform Data'!D2490="Cash","Cash",IF(COUNTIF('Transform Data'!$D:$D,'Transform Data'!D2490)&gt;1,"Repeat","Single"))</f>
        <v>Repeat</v>
      </c>
      <c r="K2490" s="10" t="str">
        <f t="shared" si="38"/>
        <v>TRANS-2489</v>
      </c>
    </row>
    <row r="2491" spans="1:11" x14ac:dyDescent="0.35">
      <c r="A2491" s="5">
        <v>45632</v>
      </c>
      <c r="B2491" s="3">
        <v>0.48770833333333335</v>
      </c>
      <c r="C2491" t="s">
        <v>8</v>
      </c>
      <c r="D2491" t="s">
        <v>958</v>
      </c>
      <c r="E2491" s="4">
        <v>35.76</v>
      </c>
      <c r="F2491" t="s">
        <v>32</v>
      </c>
      <c r="G2491" s="10" t="str">
        <f>TEXT(Transform_Data[[#This Row],[Date]],"mmm yyyy")</f>
        <v>Dec 2024</v>
      </c>
      <c r="H2491" s="10">
        <f>HOUR(Transform_Data[[#This Row],[Time]])</f>
        <v>11</v>
      </c>
      <c r="I2491" s="10" t="str">
        <f>IF(COUNTIF('Transform Data'!$D:$D,'Transform Data'!D2491)&gt;1,"Repeat","Single")</f>
        <v>Repeat</v>
      </c>
      <c r="J2491" s="10" t="str">
        <f>IF('Transform Data'!D2491="Cash","Cash",IF(COUNTIF('Transform Data'!$D:$D,'Transform Data'!D2491)&gt;1,"Repeat","Single"))</f>
        <v>Repeat</v>
      </c>
      <c r="K2491" s="10" t="str">
        <f t="shared" si="38"/>
        <v>TRANS-2490</v>
      </c>
    </row>
    <row r="2492" spans="1:11" x14ac:dyDescent="0.35">
      <c r="A2492" s="5">
        <v>45632</v>
      </c>
      <c r="B2492" s="3">
        <v>0.6888657407407407</v>
      </c>
      <c r="C2492" t="s">
        <v>8</v>
      </c>
      <c r="D2492" t="s">
        <v>990</v>
      </c>
      <c r="E2492" s="4">
        <v>35.76</v>
      </c>
      <c r="F2492" t="s">
        <v>15</v>
      </c>
      <c r="G2492" s="10" t="str">
        <f>TEXT(Transform_Data[[#This Row],[Date]],"mmm yyyy")</f>
        <v>Dec 2024</v>
      </c>
      <c r="H2492" s="10">
        <f>HOUR(Transform_Data[[#This Row],[Time]])</f>
        <v>16</v>
      </c>
      <c r="I2492" s="10" t="str">
        <f>IF(COUNTIF('Transform Data'!$D:$D,'Transform Data'!D2492)&gt;1,"Repeat","Single")</f>
        <v>Repeat</v>
      </c>
      <c r="J2492" s="10" t="str">
        <f>IF('Transform Data'!D2492="Cash","Cash",IF(COUNTIF('Transform Data'!$D:$D,'Transform Data'!D2492)&gt;1,"Repeat","Single"))</f>
        <v>Repeat</v>
      </c>
      <c r="K2492" s="10" t="str">
        <f t="shared" si="38"/>
        <v>TRANS-2491</v>
      </c>
    </row>
    <row r="2493" spans="1:11" x14ac:dyDescent="0.35">
      <c r="A2493" s="5">
        <v>45632</v>
      </c>
      <c r="B2493" s="3">
        <v>0.93788194444444439</v>
      </c>
      <c r="C2493" t="s">
        <v>8</v>
      </c>
      <c r="D2493" t="s">
        <v>783</v>
      </c>
      <c r="E2493" s="4">
        <v>35.76</v>
      </c>
      <c r="F2493" t="s">
        <v>32</v>
      </c>
      <c r="G2493" s="10" t="str">
        <f>TEXT(Transform_Data[[#This Row],[Date]],"mmm yyyy")</f>
        <v>Dec 2024</v>
      </c>
      <c r="H2493" s="10">
        <f>HOUR(Transform_Data[[#This Row],[Time]])</f>
        <v>22</v>
      </c>
      <c r="I2493" s="10" t="str">
        <f>IF(COUNTIF('Transform Data'!$D:$D,'Transform Data'!D2493)&gt;1,"Repeat","Single")</f>
        <v>Repeat</v>
      </c>
      <c r="J2493" s="10" t="str">
        <f>IF('Transform Data'!D2493="Cash","Cash",IF(COUNTIF('Transform Data'!$D:$D,'Transform Data'!D2493)&gt;1,"Repeat","Single"))</f>
        <v>Repeat</v>
      </c>
      <c r="K2493" s="10" t="str">
        <f t="shared" si="38"/>
        <v>TRANS-2492</v>
      </c>
    </row>
    <row r="2494" spans="1:11" x14ac:dyDescent="0.35">
      <c r="A2494" s="5">
        <v>45632</v>
      </c>
      <c r="B2494" s="3">
        <v>0.93854166666666672</v>
      </c>
      <c r="C2494" t="s">
        <v>8</v>
      </c>
      <c r="D2494" t="s">
        <v>783</v>
      </c>
      <c r="E2494" s="4">
        <v>35.76</v>
      </c>
      <c r="F2494" t="s">
        <v>15</v>
      </c>
      <c r="G2494" s="10" t="str">
        <f>TEXT(Transform_Data[[#This Row],[Date]],"mmm yyyy")</f>
        <v>Dec 2024</v>
      </c>
      <c r="H2494" s="10">
        <f>HOUR(Transform_Data[[#This Row],[Time]])</f>
        <v>22</v>
      </c>
      <c r="I2494" s="10" t="str">
        <f>IF(COUNTIF('Transform Data'!$D:$D,'Transform Data'!D2494)&gt;1,"Repeat","Single")</f>
        <v>Repeat</v>
      </c>
      <c r="J2494" s="10" t="str">
        <f>IF('Transform Data'!D2494="Cash","Cash",IF(COUNTIF('Transform Data'!$D:$D,'Transform Data'!D2494)&gt;1,"Repeat","Single"))</f>
        <v>Repeat</v>
      </c>
      <c r="K2494" s="10" t="str">
        <f t="shared" si="38"/>
        <v>TRANS-2493</v>
      </c>
    </row>
    <row r="2495" spans="1:11" x14ac:dyDescent="0.35">
      <c r="A2495" s="5">
        <v>45633</v>
      </c>
      <c r="B2495" s="3">
        <v>0.47025462962962961</v>
      </c>
      <c r="C2495" t="s">
        <v>8</v>
      </c>
      <c r="D2495" t="s">
        <v>1038</v>
      </c>
      <c r="E2495" s="4">
        <v>30.86</v>
      </c>
      <c r="F2495" t="s">
        <v>36</v>
      </c>
      <c r="G2495" s="10" t="str">
        <f>TEXT(Transform_Data[[#This Row],[Date]],"mmm yyyy")</f>
        <v>Dec 2024</v>
      </c>
      <c r="H2495" s="10">
        <f>HOUR(Transform_Data[[#This Row],[Time]])</f>
        <v>11</v>
      </c>
      <c r="I2495" s="10" t="str">
        <f>IF(COUNTIF('Transform Data'!$D:$D,'Transform Data'!D2495)&gt;1,"Repeat","Single")</f>
        <v>Single</v>
      </c>
      <c r="J2495" s="10" t="str">
        <f>IF('Transform Data'!D2495="Cash","Cash",IF(COUNTIF('Transform Data'!$D:$D,'Transform Data'!D2495)&gt;1,"Repeat","Single"))</f>
        <v>Single</v>
      </c>
      <c r="K2495" s="10" t="str">
        <f t="shared" si="38"/>
        <v>TRANS-2494</v>
      </c>
    </row>
    <row r="2496" spans="1:11" x14ac:dyDescent="0.35">
      <c r="A2496" s="5">
        <v>45633</v>
      </c>
      <c r="B2496" s="3">
        <v>0.59493055555555552</v>
      </c>
      <c r="C2496" t="s">
        <v>8</v>
      </c>
      <c r="D2496" t="s">
        <v>1039</v>
      </c>
      <c r="E2496" s="4">
        <v>25.96</v>
      </c>
      <c r="F2496" t="s">
        <v>28</v>
      </c>
      <c r="G2496" s="10" t="str">
        <f>TEXT(Transform_Data[[#This Row],[Date]],"mmm yyyy")</f>
        <v>Dec 2024</v>
      </c>
      <c r="H2496" s="10">
        <f>HOUR(Transform_Data[[#This Row],[Time]])</f>
        <v>14</v>
      </c>
      <c r="I2496" s="10" t="str">
        <f>IF(COUNTIF('Transform Data'!$D:$D,'Transform Data'!D2496)&gt;1,"Repeat","Single")</f>
        <v>Single</v>
      </c>
      <c r="J2496" s="10" t="str">
        <f>IF('Transform Data'!D2496="Cash","Cash",IF(COUNTIF('Transform Data'!$D:$D,'Transform Data'!D2496)&gt;1,"Repeat","Single"))</f>
        <v>Single</v>
      </c>
      <c r="K2496" s="10" t="str">
        <f t="shared" si="38"/>
        <v>TRANS-2495</v>
      </c>
    </row>
    <row r="2497" spans="1:11" x14ac:dyDescent="0.35">
      <c r="A2497" s="5">
        <v>45633</v>
      </c>
      <c r="B2497" s="3">
        <v>0.65560185185185182</v>
      </c>
      <c r="C2497" t="s">
        <v>8</v>
      </c>
      <c r="D2497" t="s">
        <v>462</v>
      </c>
      <c r="E2497" s="4">
        <v>35.76</v>
      </c>
      <c r="F2497" t="s">
        <v>32</v>
      </c>
      <c r="G2497" s="10" t="str">
        <f>TEXT(Transform_Data[[#This Row],[Date]],"mmm yyyy")</f>
        <v>Dec 2024</v>
      </c>
      <c r="H2497" s="10">
        <f>HOUR(Transform_Data[[#This Row],[Time]])</f>
        <v>15</v>
      </c>
      <c r="I2497" s="10" t="str">
        <f>IF(COUNTIF('Transform Data'!$D:$D,'Transform Data'!D2497)&gt;1,"Repeat","Single")</f>
        <v>Repeat</v>
      </c>
      <c r="J2497" s="10" t="str">
        <f>IF('Transform Data'!D2497="Cash","Cash",IF(COUNTIF('Transform Data'!$D:$D,'Transform Data'!D2497)&gt;1,"Repeat","Single"))</f>
        <v>Repeat</v>
      </c>
      <c r="K2497" s="10" t="str">
        <f t="shared" si="38"/>
        <v>TRANS-2496</v>
      </c>
    </row>
    <row r="2498" spans="1:11" x14ac:dyDescent="0.35">
      <c r="A2498" s="5">
        <v>45633</v>
      </c>
      <c r="B2498" s="3">
        <v>0.79945601851851855</v>
      </c>
      <c r="C2498" t="s">
        <v>8</v>
      </c>
      <c r="D2498" t="s">
        <v>260</v>
      </c>
      <c r="E2498" s="4">
        <v>35.76</v>
      </c>
      <c r="F2498" t="s">
        <v>24</v>
      </c>
      <c r="G2498" s="10" t="str">
        <f>TEXT(Transform_Data[[#This Row],[Date]],"mmm yyyy")</f>
        <v>Dec 2024</v>
      </c>
      <c r="H2498" s="10">
        <f>HOUR(Transform_Data[[#This Row],[Time]])</f>
        <v>19</v>
      </c>
      <c r="I2498" s="10" t="str">
        <f>IF(COUNTIF('Transform Data'!$D:$D,'Transform Data'!D2498)&gt;1,"Repeat","Single")</f>
        <v>Repeat</v>
      </c>
      <c r="J2498" s="10" t="str">
        <f>IF('Transform Data'!D2498="Cash","Cash",IF(COUNTIF('Transform Data'!$D:$D,'Transform Data'!D2498)&gt;1,"Repeat","Single"))</f>
        <v>Repeat</v>
      </c>
      <c r="K2498" s="10" t="str">
        <f t="shared" ref="K2498:K2561" si="39">"TRANS-"&amp;TEXT(ROW(A2497),"0000")</f>
        <v>TRANS-2497</v>
      </c>
    </row>
    <row r="2499" spans="1:11" x14ac:dyDescent="0.35">
      <c r="A2499" s="5">
        <v>45633</v>
      </c>
      <c r="B2499" s="3">
        <v>0.91677083333333331</v>
      </c>
      <c r="C2499" t="s">
        <v>8</v>
      </c>
      <c r="D2499" t="s">
        <v>1040</v>
      </c>
      <c r="E2499" s="4">
        <v>30.86</v>
      </c>
      <c r="F2499" t="s">
        <v>36</v>
      </c>
      <c r="G2499" s="10" t="str">
        <f>TEXT(Transform_Data[[#This Row],[Date]],"mmm yyyy")</f>
        <v>Dec 2024</v>
      </c>
      <c r="H2499" s="10">
        <f>HOUR(Transform_Data[[#This Row],[Time]])</f>
        <v>22</v>
      </c>
      <c r="I2499" s="10" t="str">
        <f>IF(COUNTIF('Transform Data'!$D:$D,'Transform Data'!D2499)&gt;1,"Repeat","Single")</f>
        <v>Single</v>
      </c>
      <c r="J2499" s="10" t="str">
        <f>IF('Transform Data'!D2499="Cash","Cash",IF(COUNTIF('Transform Data'!$D:$D,'Transform Data'!D2499)&gt;1,"Repeat","Single"))</f>
        <v>Single</v>
      </c>
      <c r="K2499" s="10" t="str">
        <f t="shared" si="39"/>
        <v>TRANS-2498</v>
      </c>
    </row>
    <row r="2500" spans="1:11" x14ac:dyDescent="0.35">
      <c r="A2500" s="5">
        <v>45633</v>
      </c>
      <c r="B2500" s="3">
        <v>0.93630787037037033</v>
      </c>
      <c r="C2500" t="s">
        <v>8</v>
      </c>
      <c r="D2500" t="s">
        <v>1041</v>
      </c>
      <c r="E2500" s="4">
        <v>25.96</v>
      </c>
      <c r="F2500" t="s">
        <v>28</v>
      </c>
      <c r="G2500" s="10" t="str">
        <f>TEXT(Transform_Data[[#This Row],[Date]],"mmm yyyy")</f>
        <v>Dec 2024</v>
      </c>
      <c r="H2500" s="10">
        <f>HOUR(Transform_Data[[#This Row],[Time]])</f>
        <v>22</v>
      </c>
      <c r="I2500" s="10" t="str">
        <f>IF(COUNTIF('Transform Data'!$D:$D,'Transform Data'!D2500)&gt;1,"Repeat","Single")</f>
        <v>Single</v>
      </c>
      <c r="J2500" s="10" t="str">
        <f>IF('Transform Data'!D2500="Cash","Cash",IF(COUNTIF('Transform Data'!$D:$D,'Transform Data'!D2500)&gt;1,"Repeat","Single"))</f>
        <v>Single</v>
      </c>
      <c r="K2500" s="10" t="str">
        <f t="shared" si="39"/>
        <v>TRANS-2499</v>
      </c>
    </row>
    <row r="2501" spans="1:11" x14ac:dyDescent="0.35">
      <c r="A2501" s="5">
        <v>45634</v>
      </c>
      <c r="B2501" s="3">
        <v>0.35376157407407405</v>
      </c>
      <c r="C2501" t="s">
        <v>8</v>
      </c>
      <c r="D2501" t="s">
        <v>40</v>
      </c>
      <c r="E2501" s="4">
        <v>25.96</v>
      </c>
      <c r="F2501" t="s">
        <v>20</v>
      </c>
      <c r="G2501" s="10" t="str">
        <f>TEXT(Transform_Data[[#This Row],[Date]],"mmm yyyy")</f>
        <v>Dec 2024</v>
      </c>
      <c r="H2501" s="10">
        <f>HOUR(Transform_Data[[#This Row],[Time]])</f>
        <v>8</v>
      </c>
      <c r="I2501" s="10" t="str">
        <f>IF(COUNTIF('Transform Data'!$D:$D,'Transform Data'!D2501)&gt;1,"Repeat","Single")</f>
        <v>Repeat</v>
      </c>
      <c r="J2501" s="10" t="str">
        <f>IF('Transform Data'!D2501="Cash","Cash",IF(COUNTIF('Transform Data'!$D:$D,'Transform Data'!D2501)&gt;1,"Repeat","Single"))</f>
        <v>Repeat</v>
      </c>
      <c r="K2501" s="10" t="str">
        <f t="shared" si="39"/>
        <v>TRANS-2500</v>
      </c>
    </row>
    <row r="2502" spans="1:11" x14ac:dyDescent="0.35">
      <c r="A2502" s="5">
        <v>45634</v>
      </c>
      <c r="B2502" s="3">
        <v>0.44627314814814817</v>
      </c>
      <c r="C2502" t="s">
        <v>8</v>
      </c>
      <c r="D2502" t="s">
        <v>839</v>
      </c>
      <c r="E2502" s="4">
        <v>35.76</v>
      </c>
      <c r="F2502" t="s">
        <v>32</v>
      </c>
      <c r="G2502" s="10" t="str">
        <f>TEXT(Transform_Data[[#This Row],[Date]],"mmm yyyy")</f>
        <v>Dec 2024</v>
      </c>
      <c r="H2502" s="10">
        <f>HOUR(Transform_Data[[#This Row],[Time]])</f>
        <v>10</v>
      </c>
      <c r="I2502" s="10" t="str">
        <f>IF(COUNTIF('Transform Data'!$D:$D,'Transform Data'!D2502)&gt;1,"Repeat","Single")</f>
        <v>Repeat</v>
      </c>
      <c r="J2502" s="10" t="str">
        <f>IF('Transform Data'!D2502="Cash","Cash",IF(COUNTIF('Transform Data'!$D:$D,'Transform Data'!D2502)&gt;1,"Repeat","Single"))</f>
        <v>Repeat</v>
      </c>
      <c r="K2502" s="10" t="str">
        <f t="shared" si="39"/>
        <v>TRANS-2501</v>
      </c>
    </row>
    <row r="2503" spans="1:11" x14ac:dyDescent="0.35">
      <c r="A2503" s="5">
        <v>45634</v>
      </c>
      <c r="B2503" s="3">
        <v>0.44701388888888888</v>
      </c>
      <c r="C2503" t="s">
        <v>8</v>
      </c>
      <c r="D2503" t="s">
        <v>839</v>
      </c>
      <c r="E2503" s="4">
        <v>35.76</v>
      </c>
      <c r="F2503" t="s">
        <v>24</v>
      </c>
      <c r="G2503" s="10" t="str">
        <f>TEXT(Transform_Data[[#This Row],[Date]],"mmm yyyy")</f>
        <v>Dec 2024</v>
      </c>
      <c r="H2503" s="10">
        <f>HOUR(Transform_Data[[#This Row],[Time]])</f>
        <v>10</v>
      </c>
      <c r="I2503" s="10" t="str">
        <f>IF(COUNTIF('Transform Data'!$D:$D,'Transform Data'!D2503)&gt;1,"Repeat","Single")</f>
        <v>Repeat</v>
      </c>
      <c r="J2503" s="10" t="str">
        <f>IF('Transform Data'!D2503="Cash","Cash",IF(COUNTIF('Transform Data'!$D:$D,'Transform Data'!D2503)&gt;1,"Repeat","Single"))</f>
        <v>Repeat</v>
      </c>
      <c r="K2503" s="10" t="str">
        <f t="shared" si="39"/>
        <v>TRANS-2502</v>
      </c>
    </row>
    <row r="2504" spans="1:11" x14ac:dyDescent="0.35">
      <c r="A2504" s="5">
        <v>45634</v>
      </c>
      <c r="B2504" s="3">
        <v>0.53587962962962965</v>
      </c>
      <c r="C2504" t="s">
        <v>8</v>
      </c>
      <c r="D2504" t="s">
        <v>1042</v>
      </c>
      <c r="E2504" s="4">
        <v>25.96</v>
      </c>
      <c r="F2504" t="s">
        <v>20</v>
      </c>
      <c r="G2504" s="10" t="str">
        <f>TEXT(Transform_Data[[#This Row],[Date]],"mmm yyyy")</f>
        <v>Dec 2024</v>
      </c>
      <c r="H2504" s="10">
        <f>HOUR(Transform_Data[[#This Row],[Time]])</f>
        <v>12</v>
      </c>
      <c r="I2504" s="10" t="str">
        <f>IF(COUNTIF('Transform Data'!$D:$D,'Transform Data'!D2504)&gt;1,"Repeat","Single")</f>
        <v>Single</v>
      </c>
      <c r="J2504" s="10" t="str">
        <f>IF('Transform Data'!D2504="Cash","Cash",IF(COUNTIF('Transform Data'!$D:$D,'Transform Data'!D2504)&gt;1,"Repeat","Single"))</f>
        <v>Single</v>
      </c>
      <c r="K2504" s="10" t="str">
        <f t="shared" si="39"/>
        <v>TRANS-2503</v>
      </c>
    </row>
    <row r="2505" spans="1:11" x14ac:dyDescent="0.35">
      <c r="A2505" s="5">
        <v>45634</v>
      </c>
      <c r="B2505" s="3">
        <v>0.54347222222222225</v>
      </c>
      <c r="C2505" t="s">
        <v>8</v>
      </c>
      <c r="D2505" t="s">
        <v>1043</v>
      </c>
      <c r="E2505" s="4">
        <v>30.86</v>
      </c>
      <c r="F2505" t="s">
        <v>36</v>
      </c>
      <c r="G2505" s="10" t="str">
        <f>TEXT(Transform_Data[[#This Row],[Date]],"mmm yyyy")</f>
        <v>Dec 2024</v>
      </c>
      <c r="H2505" s="10">
        <f>HOUR(Transform_Data[[#This Row],[Time]])</f>
        <v>13</v>
      </c>
      <c r="I2505" s="10" t="str">
        <f>IF(COUNTIF('Transform Data'!$D:$D,'Transform Data'!D2505)&gt;1,"Repeat","Single")</f>
        <v>Repeat</v>
      </c>
      <c r="J2505" s="10" t="str">
        <f>IF('Transform Data'!D2505="Cash","Cash",IF(COUNTIF('Transform Data'!$D:$D,'Transform Data'!D2505)&gt;1,"Repeat","Single"))</f>
        <v>Repeat</v>
      </c>
      <c r="K2505" s="10" t="str">
        <f t="shared" si="39"/>
        <v>TRANS-2504</v>
      </c>
    </row>
    <row r="2506" spans="1:11" x14ac:dyDescent="0.35">
      <c r="A2506" s="5">
        <v>45634</v>
      </c>
      <c r="B2506" s="3">
        <v>0.54418981481481477</v>
      </c>
      <c r="C2506" t="s">
        <v>8</v>
      </c>
      <c r="D2506" t="s">
        <v>1043</v>
      </c>
      <c r="E2506" s="4">
        <v>30.86</v>
      </c>
      <c r="F2506" t="s">
        <v>36</v>
      </c>
      <c r="G2506" s="10" t="str">
        <f>TEXT(Transform_Data[[#This Row],[Date]],"mmm yyyy")</f>
        <v>Dec 2024</v>
      </c>
      <c r="H2506" s="10">
        <f>HOUR(Transform_Data[[#This Row],[Time]])</f>
        <v>13</v>
      </c>
      <c r="I2506" s="10" t="str">
        <f>IF(COUNTIF('Transform Data'!$D:$D,'Transform Data'!D2506)&gt;1,"Repeat","Single")</f>
        <v>Repeat</v>
      </c>
      <c r="J2506" s="10" t="str">
        <f>IF('Transform Data'!D2506="Cash","Cash",IF(COUNTIF('Transform Data'!$D:$D,'Transform Data'!D2506)&gt;1,"Repeat","Single"))</f>
        <v>Repeat</v>
      </c>
      <c r="K2506" s="10" t="str">
        <f t="shared" si="39"/>
        <v>TRANS-2505</v>
      </c>
    </row>
    <row r="2507" spans="1:11" x14ac:dyDescent="0.35">
      <c r="A2507" s="5">
        <v>45634</v>
      </c>
      <c r="B2507" s="3">
        <v>0.72672453703703699</v>
      </c>
      <c r="C2507" t="s">
        <v>8</v>
      </c>
      <c r="D2507" t="s">
        <v>260</v>
      </c>
      <c r="E2507" s="4">
        <v>35.76</v>
      </c>
      <c r="F2507" t="s">
        <v>24</v>
      </c>
      <c r="G2507" s="10" t="str">
        <f>TEXT(Transform_Data[[#This Row],[Date]],"mmm yyyy")</f>
        <v>Dec 2024</v>
      </c>
      <c r="H2507" s="10">
        <f>HOUR(Transform_Data[[#This Row],[Time]])</f>
        <v>17</v>
      </c>
      <c r="I2507" s="10" t="str">
        <f>IF(COUNTIF('Transform Data'!$D:$D,'Transform Data'!D2507)&gt;1,"Repeat","Single")</f>
        <v>Repeat</v>
      </c>
      <c r="J2507" s="10" t="str">
        <f>IF('Transform Data'!D2507="Cash","Cash",IF(COUNTIF('Transform Data'!$D:$D,'Transform Data'!D2507)&gt;1,"Repeat","Single"))</f>
        <v>Repeat</v>
      </c>
      <c r="K2507" s="10" t="str">
        <f t="shared" si="39"/>
        <v>TRANS-2506</v>
      </c>
    </row>
    <row r="2508" spans="1:11" x14ac:dyDescent="0.35">
      <c r="A2508" s="5">
        <v>45634</v>
      </c>
      <c r="B2508" s="3">
        <v>0.77902777777777776</v>
      </c>
      <c r="C2508" t="s">
        <v>8</v>
      </c>
      <c r="D2508" t="s">
        <v>1044</v>
      </c>
      <c r="E2508" s="4">
        <v>21.06</v>
      </c>
      <c r="F2508" t="s">
        <v>5</v>
      </c>
      <c r="G2508" s="10" t="str">
        <f>TEXT(Transform_Data[[#This Row],[Date]],"mmm yyyy")</f>
        <v>Dec 2024</v>
      </c>
      <c r="H2508" s="10">
        <f>HOUR(Transform_Data[[#This Row],[Time]])</f>
        <v>18</v>
      </c>
      <c r="I2508" s="10" t="str">
        <f>IF(COUNTIF('Transform Data'!$D:$D,'Transform Data'!D2508)&gt;1,"Repeat","Single")</f>
        <v>Single</v>
      </c>
      <c r="J2508" s="10" t="str">
        <f>IF('Transform Data'!D2508="Cash","Cash",IF(COUNTIF('Transform Data'!$D:$D,'Transform Data'!D2508)&gt;1,"Repeat","Single"))</f>
        <v>Single</v>
      </c>
      <c r="K2508" s="10" t="str">
        <f t="shared" si="39"/>
        <v>TRANS-2507</v>
      </c>
    </row>
    <row r="2509" spans="1:11" x14ac:dyDescent="0.35">
      <c r="A2509" s="5">
        <v>45634</v>
      </c>
      <c r="B2509" s="3">
        <v>0.86618055555555551</v>
      </c>
      <c r="C2509" t="s">
        <v>8</v>
      </c>
      <c r="D2509" t="s">
        <v>11</v>
      </c>
      <c r="E2509" s="4">
        <v>35.76</v>
      </c>
      <c r="F2509" t="s">
        <v>24</v>
      </c>
      <c r="G2509" s="10" t="str">
        <f>TEXT(Transform_Data[[#This Row],[Date]],"mmm yyyy")</f>
        <v>Dec 2024</v>
      </c>
      <c r="H2509" s="10">
        <f>HOUR(Transform_Data[[#This Row],[Time]])</f>
        <v>20</v>
      </c>
      <c r="I2509" s="10" t="str">
        <f>IF(COUNTIF('Transform Data'!$D:$D,'Transform Data'!D2509)&gt;1,"Repeat","Single")</f>
        <v>Repeat</v>
      </c>
      <c r="J2509" s="10" t="str">
        <f>IF('Transform Data'!D2509="Cash","Cash",IF(COUNTIF('Transform Data'!$D:$D,'Transform Data'!D2509)&gt;1,"Repeat","Single"))</f>
        <v>Repeat</v>
      </c>
      <c r="K2509" s="10" t="str">
        <f t="shared" si="39"/>
        <v>TRANS-2508</v>
      </c>
    </row>
    <row r="2510" spans="1:11" x14ac:dyDescent="0.35">
      <c r="A2510" s="5">
        <v>45634</v>
      </c>
      <c r="B2510" s="3">
        <v>0.89479166666666665</v>
      </c>
      <c r="C2510" t="s">
        <v>8</v>
      </c>
      <c r="D2510" t="s">
        <v>1045</v>
      </c>
      <c r="E2510" s="4">
        <v>30.86</v>
      </c>
      <c r="F2510" t="s">
        <v>36</v>
      </c>
      <c r="G2510" s="10" t="str">
        <f>TEXT(Transform_Data[[#This Row],[Date]],"mmm yyyy")</f>
        <v>Dec 2024</v>
      </c>
      <c r="H2510" s="10">
        <f>HOUR(Transform_Data[[#This Row],[Time]])</f>
        <v>21</v>
      </c>
      <c r="I2510" s="10" t="str">
        <f>IF(COUNTIF('Transform Data'!$D:$D,'Transform Data'!D2510)&gt;1,"Repeat","Single")</f>
        <v>Single</v>
      </c>
      <c r="J2510" s="10" t="str">
        <f>IF('Transform Data'!D2510="Cash","Cash",IF(COUNTIF('Transform Data'!$D:$D,'Transform Data'!D2510)&gt;1,"Repeat","Single"))</f>
        <v>Single</v>
      </c>
      <c r="K2510" s="10" t="str">
        <f t="shared" si="39"/>
        <v>TRANS-2509</v>
      </c>
    </row>
    <row r="2511" spans="1:11" x14ac:dyDescent="0.35">
      <c r="A2511" s="5">
        <v>45634</v>
      </c>
      <c r="B2511" s="3">
        <v>0.9037384259259259</v>
      </c>
      <c r="C2511" t="s">
        <v>8</v>
      </c>
      <c r="D2511" t="s">
        <v>1028</v>
      </c>
      <c r="E2511" s="4">
        <v>30.86</v>
      </c>
      <c r="F2511" t="s">
        <v>36</v>
      </c>
      <c r="G2511" s="10" t="str">
        <f>TEXT(Transform_Data[[#This Row],[Date]],"mmm yyyy")</f>
        <v>Dec 2024</v>
      </c>
      <c r="H2511" s="10">
        <f>HOUR(Transform_Data[[#This Row],[Time]])</f>
        <v>21</v>
      </c>
      <c r="I2511" s="10" t="str">
        <f>IF(COUNTIF('Transform Data'!$D:$D,'Transform Data'!D2511)&gt;1,"Repeat","Single")</f>
        <v>Repeat</v>
      </c>
      <c r="J2511" s="10" t="str">
        <f>IF('Transform Data'!D2511="Cash","Cash",IF(COUNTIF('Transform Data'!$D:$D,'Transform Data'!D2511)&gt;1,"Repeat","Single"))</f>
        <v>Repeat</v>
      </c>
      <c r="K2511" s="10" t="str">
        <f t="shared" si="39"/>
        <v>TRANS-2510</v>
      </c>
    </row>
    <row r="2512" spans="1:11" x14ac:dyDescent="0.35">
      <c r="A2512" s="5">
        <v>45635</v>
      </c>
      <c r="B2512" s="3">
        <v>0.35601851851851851</v>
      </c>
      <c r="C2512" t="s">
        <v>8</v>
      </c>
      <c r="D2512" t="s">
        <v>1046</v>
      </c>
      <c r="E2512" s="4">
        <v>35.76</v>
      </c>
      <c r="F2512" t="s">
        <v>24</v>
      </c>
      <c r="G2512" s="10" t="str">
        <f>TEXT(Transform_Data[[#This Row],[Date]],"mmm yyyy")</f>
        <v>Dec 2024</v>
      </c>
      <c r="H2512" s="10">
        <f>HOUR(Transform_Data[[#This Row],[Time]])</f>
        <v>8</v>
      </c>
      <c r="I2512" s="10" t="str">
        <f>IF(COUNTIF('Transform Data'!$D:$D,'Transform Data'!D2512)&gt;1,"Repeat","Single")</f>
        <v>Single</v>
      </c>
      <c r="J2512" s="10" t="str">
        <f>IF('Transform Data'!D2512="Cash","Cash",IF(COUNTIF('Transform Data'!$D:$D,'Transform Data'!D2512)&gt;1,"Repeat","Single"))</f>
        <v>Single</v>
      </c>
      <c r="K2512" s="10" t="str">
        <f t="shared" si="39"/>
        <v>TRANS-2511</v>
      </c>
    </row>
    <row r="2513" spans="1:11" x14ac:dyDescent="0.35">
      <c r="A2513" s="5">
        <v>45635</v>
      </c>
      <c r="B2513" s="3">
        <v>0.38362268518518516</v>
      </c>
      <c r="C2513" t="s">
        <v>8</v>
      </c>
      <c r="D2513" t="s">
        <v>1047</v>
      </c>
      <c r="E2513" s="4">
        <v>25.96</v>
      </c>
      <c r="F2513" t="s">
        <v>28</v>
      </c>
      <c r="G2513" s="10" t="str">
        <f>TEXT(Transform_Data[[#This Row],[Date]],"mmm yyyy")</f>
        <v>Dec 2024</v>
      </c>
      <c r="H2513" s="10">
        <f>HOUR(Transform_Data[[#This Row],[Time]])</f>
        <v>9</v>
      </c>
      <c r="I2513" s="10" t="str">
        <f>IF(COUNTIF('Transform Data'!$D:$D,'Transform Data'!D2513)&gt;1,"Repeat","Single")</f>
        <v>Single</v>
      </c>
      <c r="J2513" s="10" t="str">
        <f>IF('Transform Data'!D2513="Cash","Cash",IF(COUNTIF('Transform Data'!$D:$D,'Transform Data'!D2513)&gt;1,"Repeat","Single"))</f>
        <v>Single</v>
      </c>
      <c r="K2513" s="10" t="str">
        <f t="shared" si="39"/>
        <v>TRANS-2512</v>
      </c>
    </row>
    <row r="2514" spans="1:11" x14ac:dyDescent="0.35">
      <c r="A2514" s="5">
        <v>45635</v>
      </c>
      <c r="B2514" s="3">
        <v>0.39857638888888891</v>
      </c>
      <c r="C2514" t="s">
        <v>8</v>
      </c>
      <c r="D2514" t="s">
        <v>29</v>
      </c>
      <c r="E2514" s="4">
        <v>30.86</v>
      </c>
      <c r="F2514" t="s">
        <v>36</v>
      </c>
      <c r="G2514" s="10" t="str">
        <f>TEXT(Transform_Data[[#This Row],[Date]],"mmm yyyy")</f>
        <v>Dec 2024</v>
      </c>
      <c r="H2514" s="10">
        <f>HOUR(Transform_Data[[#This Row],[Time]])</f>
        <v>9</v>
      </c>
      <c r="I2514" s="10" t="str">
        <f>IF(COUNTIF('Transform Data'!$D:$D,'Transform Data'!D2514)&gt;1,"Repeat","Single")</f>
        <v>Repeat</v>
      </c>
      <c r="J2514" s="10" t="str">
        <f>IF('Transform Data'!D2514="Cash","Cash",IF(COUNTIF('Transform Data'!$D:$D,'Transform Data'!D2514)&gt;1,"Repeat","Single"))</f>
        <v>Repeat</v>
      </c>
      <c r="K2514" s="10" t="str">
        <f t="shared" si="39"/>
        <v>TRANS-2513</v>
      </c>
    </row>
    <row r="2515" spans="1:11" x14ac:dyDescent="0.35">
      <c r="A2515" s="5">
        <v>45635</v>
      </c>
      <c r="B2515" s="3">
        <v>0.54229166666666662</v>
      </c>
      <c r="C2515" t="s">
        <v>8</v>
      </c>
      <c r="D2515" t="s">
        <v>854</v>
      </c>
      <c r="E2515" s="4">
        <v>25.96</v>
      </c>
      <c r="F2515" t="s">
        <v>20</v>
      </c>
      <c r="G2515" s="10" t="str">
        <f>TEXT(Transform_Data[[#This Row],[Date]],"mmm yyyy")</f>
        <v>Dec 2024</v>
      </c>
      <c r="H2515" s="10">
        <f>HOUR(Transform_Data[[#This Row],[Time]])</f>
        <v>13</v>
      </c>
      <c r="I2515" s="10" t="str">
        <f>IF(COUNTIF('Transform Data'!$D:$D,'Transform Data'!D2515)&gt;1,"Repeat","Single")</f>
        <v>Repeat</v>
      </c>
      <c r="J2515" s="10" t="str">
        <f>IF('Transform Data'!D2515="Cash","Cash",IF(COUNTIF('Transform Data'!$D:$D,'Transform Data'!D2515)&gt;1,"Repeat","Single"))</f>
        <v>Repeat</v>
      </c>
      <c r="K2515" s="10" t="str">
        <f t="shared" si="39"/>
        <v>TRANS-2514</v>
      </c>
    </row>
    <row r="2516" spans="1:11" x14ac:dyDescent="0.35">
      <c r="A2516" s="5">
        <v>45635</v>
      </c>
      <c r="B2516" s="3">
        <v>0.89017361111111115</v>
      </c>
      <c r="C2516" t="s">
        <v>8</v>
      </c>
      <c r="D2516" t="s">
        <v>1048</v>
      </c>
      <c r="E2516" s="4">
        <v>35.76</v>
      </c>
      <c r="F2516" t="s">
        <v>10</v>
      </c>
      <c r="G2516" s="10" t="str">
        <f>TEXT(Transform_Data[[#This Row],[Date]],"mmm yyyy")</f>
        <v>Dec 2024</v>
      </c>
      <c r="H2516" s="10">
        <f>HOUR(Transform_Data[[#This Row],[Time]])</f>
        <v>21</v>
      </c>
      <c r="I2516" s="10" t="str">
        <f>IF(COUNTIF('Transform Data'!$D:$D,'Transform Data'!D2516)&gt;1,"Repeat","Single")</f>
        <v>Single</v>
      </c>
      <c r="J2516" s="10" t="str">
        <f>IF('Transform Data'!D2516="Cash","Cash",IF(COUNTIF('Transform Data'!$D:$D,'Transform Data'!D2516)&gt;1,"Repeat","Single"))</f>
        <v>Single</v>
      </c>
      <c r="K2516" s="10" t="str">
        <f t="shared" si="39"/>
        <v>TRANS-2515</v>
      </c>
    </row>
    <row r="2517" spans="1:11" x14ac:dyDescent="0.35">
      <c r="A2517" s="5">
        <v>45636</v>
      </c>
      <c r="B2517" s="3">
        <v>0.51792824074074073</v>
      </c>
      <c r="C2517" t="s">
        <v>8</v>
      </c>
      <c r="D2517" t="s">
        <v>40</v>
      </c>
      <c r="E2517" s="4">
        <v>25.96</v>
      </c>
      <c r="F2517" t="s">
        <v>20</v>
      </c>
      <c r="G2517" s="10" t="str">
        <f>TEXT(Transform_Data[[#This Row],[Date]],"mmm yyyy")</f>
        <v>Dec 2024</v>
      </c>
      <c r="H2517" s="10">
        <f>HOUR(Transform_Data[[#This Row],[Time]])</f>
        <v>12</v>
      </c>
      <c r="I2517" s="10" t="str">
        <f>IF(COUNTIF('Transform Data'!$D:$D,'Transform Data'!D2517)&gt;1,"Repeat","Single")</f>
        <v>Repeat</v>
      </c>
      <c r="J2517" s="10" t="str">
        <f>IF('Transform Data'!D2517="Cash","Cash",IF(COUNTIF('Transform Data'!$D:$D,'Transform Data'!D2517)&gt;1,"Repeat","Single"))</f>
        <v>Repeat</v>
      </c>
      <c r="K2517" s="10" t="str">
        <f t="shared" si="39"/>
        <v>TRANS-2516</v>
      </c>
    </row>
    <row r="2518" spans="1:11" x14ac:dyDescent="0.35">
      <c r="A2518" s="5">
        <v>45636</v>
      </c>
      <c r="B2518" s="3">
        <v>0.76524305555555561</v>
      </c>
      <c r="C2518" t="s">
        <v>8</v>
      </c>
      <c r="D2518" t="s">
        <v>990</v>
      </c>
      <c r="E2518" s="4">
        <v>35.76</v>
      </c>
      <c r="F2518" t="s">
        <v>15</v>
      </c>
      <c r="G2518" s="10" t="str">
        <f>TEXT(Transform_Data[[#This Row],[Date]],"mmm yyyy")</f>
        <v>Dec 2024</v>
      </c>
      <c r="H2518" s="10">
        <f>HOUR(Transform_Data[[#This Row],[Time]])</f>
        <v>18</v>
      </c>
      <c r="I2518" s="10" t="str">
        <f>IF(COUNTIF('Transform Data'!$D:$D,'Transform Data'!D2518)&gt;1,"Repeat","Single")</f>
        <v>Repeat</v>
      </c>
      <c r="J2518" s="10" t="str">
        <f>IF('Transform Data'!D2518="Cash","Cash",IF(COUNTIF('Transform Data'!$D:$D,'Transform Data'!D2518)&gt;1,"Repeat","Single"))</f>
        <v>Repeat</v>
      </c>
      <c r="K2518" s="10" t="str">
        <f t="shared" si="39"/>
        <v>TRANS-2517</v>
      </c>
    </row>
    <row r="2519" spans="1:11" x14ac:dyDescent="0.35">
      <c r="A2519" s="5">
        <v>45637</v>
      </c>
      <c r="B2519" s="3">
        <v>0.32621527777777776</v>
      </c>
      <c r="C2519" t="s">
        <v>8</v>
      </c>
      <c r="D2519" t="s">
        <v>622</v>
      </c>
      <c r="E2519" s="4">
        <v>35.76</v>
      </c>
      <c r="F2519" t="s">
        <v>32</v>
      </c>
      <c r="G2519" s="10" t="str">
        <f>TEXT(Transform_Data[[#This Row],[Date]],"mmm yyyy")</f>
        <v>Dec 2024</v>
      </c>
      <c r="H2519" s="10">
        <f>HOUR(Transform_Data[[#This Row],[Time]])</f>
        <v>7</v>
      </c>
      <c r="I2519" s="10" t="str">
        <f>IF(COUNTIF('Transform Data'!$D:$D,'Transform Data'!D2519)&gt;1,"Repeat","Single")</f>
        <v>Repeat</v>
      </c>
      <c r="J2519" s="10" t="str">
        <f>IF('Transform Data'!D2519="Cash","Cash",IF(COUNTIF('Transform Data'!$D:$D,'Transform Data'!D2519)&gt;1,"Repeat","Single"))</f>
        <v>Repeat</v>
      </c>
      <c r="K2519" s="10" t="str">
        <f t="shared" si="39"/>
        <v>TRANS-2518</v>
      </c>
    </row>
    <row r="2520" spans="1:11" x14ac:dyDescent="0.35">
      <c r="A2520" s="5">
        <v>45637</v>
      </c>
      <c r="B2520" s="3">
        <v>0.44846064814814812</v>
      </c>
      <c r="C2520" t="s">
        <v>8</v>
      </c>
      <c r="D2520" t="s">
        <v>40</v>
      </c>
      <c r="E2520" s="4">
        <v>25.96</v>
      </c>
      <c r="F2520" t="s">
        <v>20</v>
      </c>
      <c r="G2520" s="10" t="str">
        <f>TEXT(Transform_Data[[#This Row],[Date]],"mmm yyyy")</f>
        <v>Dec 2024</v>
      </c>
      <c r="H2520" s="10">
        <f>HOUR(Transform_Data[[#This Row],[Time]])</f>
        <v>10</v>
      </c>
      <c r="I2520" s="10" t="str">
        <f>IF(COUNTIF('Transform Data'!$D:$D,'Transform Data'!D2520)&gt;1,"Repeat","Single")</f>
        <v>Repeat</v>
      </c>
      <c r="J2520" s="10" t="str">
        <f>IF('Transform Data'!D2520="Cash","Cash",IF(COUNTIF('Transform Data'!$D:$D,'Transform Data'!D2520)&gt;1,"Repeat","Single"))</f>
        <v>Repeat</v>
      </c>
      <c r="K2520" s="10" t="str">
        <f t="shared" si="39"/>
        <v>TRANS-2519</v>
      </c>
    </row>
    <row r="2521" spans="1:11" x14ac:dyDescent="0.35">
      <c r="A2521" s="5">
        <v>45637</v>
      </c>
      <c r="B2521" s="3">
        <v>0.5090972222222222</v>
      </c>
      <c r="C2521" t="s">
        <v>8</v>
      </c>
      <c r="D2521" t="s">
        <v>1049</v>
      </c>
      <c r="E2521" s="4">
        <v>35.76</v>
      </c>
      <c r="F2521" t="s">
        <v>15</v>
      </c>
      <c r="G2521" s="10" t="str">
        <f>TEXT(Transform_Data[[#This Row],[Date]],"mmm yyyy")</f>
        <v>Dec 2024</v>
      </c>
      <c r="H2521" s="10">
        <f>HOUR(Transform_Data[[#This Row],[Time]])</f>
        <v>12</v>
      </c>
      <c r="I2521" s="10" t="str">
        <f>IF(COUNTIF('Transform Data'!$D:$D,'Transform Data'!D2521)&gt;1,"Repeat","Single")</f>
        <v>Single</v>
      </c>
      <c r="J2521" s="10" t="str">
        <f>IF('Transform Data'!D2521="Cash","Cash",IF(COUNTIF('Transform Data'!$D:$D,'Transform Data'!D2521)&gt;1,"Repeat","Single"))</f>
        <v>Single</v>
      </c>
      <c r="K2521" s="10" t="str">
        <f t="shared" si="39"/>
        <v>TRANS-2520</v>
      </c>
    </row>
    <row r="2522" spans="1:11" x14ac:dyDescent="0.35">
      <c r="A2522" s="5">
        <v>45637</v>
      </c>
      <c r="B2522" s="3">
        <v>0.53943287037037035</v>
      </c>
      <c r="C2522" t="s">
        <v>8</v>
      </c>
      <c r="D2522" t="s">
        <v>1050</v>
      </c>
      <c r="E2522" s="4">
        <v>21.06</v>
      </c>
      <c r="F2522" t="s">
        <v>5</v>
      </c>
      <c r="G2522" s="10" t="str">
        <f>TEXT(Transform_Data[[#This Row],[Date]],"mmm yyyy")</f>
        <v>Dec 2024</v>
      </c>
      <c r="H2522" s="10">
        <f>HOUR(Transform_Data[[#This Row],[Time]])</f>
        <v>12</v>
      </c>
      <c r="I2522" s="10" t="str">
        <f>IF(COUNTIF('Transform Data'!$D:$D,'Transform Data'!D2522)&gt;1,"Repeat","Single")</f>
        <v>Single</v>
      </c>
      <c r="J2522" s="10" t="str">
        <f>IF('Transform Data'!D2522="Cash","Cash",IF(COUNTIF('Transform Data'!$D:$D,'Transform Data'!D2522)&gt;1,"Repeat","Single"))</f>
        <v>Single</v>
      </c>
      <c r="K2522" s="10" t="str">
        <f t="shared" si="39"/>
        <v>TRANS-2521</v>
      </c>
    </row>
    <row r="2523" spans="1:11" x14ac:dyDescent="0.35">
      <c r="A2523" s="5">
        <v>45637</v>
      </c>
      <c r="B2523" s="3">
        <v>0.74959490740740742</v>
      </c>
      <c r="C2523" t="s">
        <v>8</v>
      </c>
      <c r="D2523" t="s">
        <v>1051</v>
      </c>
      <c r="E2523" s="4">
        <v>35.76</v>
      </c>
      <c r="F2523" t="s">
        <v>10</v>
      </c>
      <c r="G2523" s="10" t="str">
        <f>TEXT(Transform_Data[[#This Row],[Date]],"mmm yyyy")</f>
        <v>Dec 2024</v>
      </c>
      <c r="H2523" s="10">
        <f>HOUR(Transform_Data[[#This Row],[Time]])</f>
        <v>17</v>
      </c>
      <c r="I2523" s="10" t="str">
        <f>IF(COUNTIF('Transform Data'!$D:$D,'Transform Data'!D2523)&gt;1,"Repeat","Single")</f>
        <v>Single</v>
      </c>
      <c r="J2523" s="10" t="str">
        <f>IF('Transform Data'!D2523="Cash","Cash",IF(COUNTIF('Transform Data'!$D:$D,'Transform Data'!D2523)&gt;1,"Repeat","Single"))</f>
        <v>Single</v>
      </c>
      <c r="K2523" s="10" t="str">
        <f t="shared" si="39"/>
        <v>TRANS-2522</v>
      </c>
    </row>
    <row r="2524" spans="1:11" x14ac:dyDescent="0.35">
      <c r="A2524" s="5">
        <v>45637</v>
      </c>
      <c r="B2524" s="3">
        <v>0.87577546296296294</v>
      </c>
      <c r="C2524" t="s">
        <v>8</v>
      </c>
      <c r="D2524" t="s">
        <v>742</v>
      </c>
      <c r="E2524" s="4">
        <v>35.76</v>
      </c>
      <c r="F2524" t="s">
        <v>32</v>
      </c>
      <c r="G2524" s="10" t="str">
        <f>TEXT(Transform_Data[[#This Row],[Date]],"mmm yyyy")</f>
        <v>Dec 2024</v>
      </c>
      <c r="H2524" s="10">
        <f>HOUR(Transform_Data[[#This Row],[Time]])</f>
        <v>21</v>
      </c>
      <c r="I2524" s="10" t="str">
        <f>IF(COUNTIF('Transform Data'!$D:$D,'Transform Data'!D2524)&gt;1,"Repeat","Single")</f>
        <v>Repeat</v>
      </c>
      <c r="J2524" s="10" t="str">
        <f>IF('Transform Data'!D2524="Cash","Cash",IF(COUNTIF('Transform Data'!$D:$D,'Transform Data'!D2524)&gt;1,"Repeat","Single"))</f>
        <v>Repeat</v>
      </c>
      <c r="K2524" s="10" t="str">
        <f t="shared" si="39"/>
        <v>TRANS-2523</v>
      </c>
    </row>
    <row r="2525" spans="1:11" x14ac:dyDescent="0.35">
      <c r="A2525" s="5">
        <v>45637</v>
      </c>
      <c r="B2525" s="3">
        <v>0.88769675925925928</v>
      </c>
      <c r="C2525" t="s">
        <v>8</v>
      </c>
      <c r="D2525" t="s">
        <v>1052</v>
      </c>
      <c r="E2525" s="4">
        <v>35.76</v>
      </c>
      <c r="F2525" t="s">
        <v>32</v>
      </c>
      <c r="G2525" s="10" t="str">
        <f>TEXT(Transform_Data[[#This Row],[Date]],"mmm yyyy")</f>
        <v>Dec 2024</v>
      </c>
      <c r="H2525" s="10">
        <f>HOUR(Transform_Data[[#This Row],[Time]])</f>
        <v>21</v>
      </c>
      <c r="I2525" s="10" t="str">
        <f>IF(COUNTIF('Transform Data'!$D:$D,'Transform Data'!D2525)&gt;1,"Repeat","Single")</f>
        <v>Repeat</v>
      </c>
      <c r="J2525" s="10" t="str">
        <f>IF('Transform Data'!D2525="Cash","Cash",IF(COUNTIF('Transform Data'!$D:$D,'Transform Data'!D2525)&gt;1,"Repeat","Single"))</f>
        <v>Repeat</v>
      </c>
      <c r="K2525" s="10" t="str">
        <f t="shared" si="39"/>
        <v>TRANS-2524</v>
      </c>
    </row>
    <row r="2526" spans="1:11" x14ac:dyDescent="0.35">
      <c r="A2526" s="5">
        <v>45638</v>
      </c>
      <c r="B2526" s="3">
        <v>0.33230324074074075</v>
      </c>
      <c r="C2526" t="s">
        <v>8</v>
      </c>
      <c r="D2526" t="s">
        <v>1053</v>
      </c>
      <c r="E2526" s="4">
        <v>30.86</v>
      </c>
      <c r="F2526" t="s">
        <v>36</v>
      </c>
      <c r="G2526" s="10" t="str">
        <f>TEXT(Transform_Data[[#This Row],[Date]],"mmm yyyy")</f>
        <v>Dec 2024</v>
      </c>
      <c r="H2526" s="10">
        <f>HOUR(Transform_Data[[#This Row],[Time]])</f>
        <v>7</v>
      </c>
      <c r="I2526" s="10" t="str">
        <f>IF(COUNTIF('Transform Data'!$D:$D,'Transform Data'!D2526)&gt;1,"Repeat","Single")</f>
        <v>Single</v>
      </c>
      <c r="J2526" s="10" t="str">
        <f>IF('Transform Data'!D2526="Cash","Cash",IF(COUNTIF('Transform Data'!$D:$D,'Transform Data'!D2526)&gt;1,"Repeat","Single"))</f>
        <v>Single</v>
      </c>
      <c r="K2526" s="10" t="str">
        <f t="shared" si="39"/>
        <v>TRANS-2525</v>
      </c>
    </row>
    <row r="2527" spans="1:11" x14ac:dyDescent="0.35">
      <c r="A2527" s="5">
        <v>45638</v>
      </c>
      <c r="B2527" s="3">
        <v>0.53429398148148144</v>
      </c>
      <c r="C2527" t="s">
        <v>8</v>
      </c>
      <c r="D2527" t="s">
        <v>1054</v>
      </c>
      <c r="E2527" s="4">
        <v>25.96</v>
      </c>
      <c r="F2527" t="s">
        <v>28</v>
      </c>
      <c r="G2527" s="10" t="str">
        <f>TEXT(Transform_Data[[#This Row],[Date]],"mmm yyyy")</f>
        <v>Dec 2024</v>
      </c>
      <c r="H2527" s="10">
        <f>HOUR(Transform_Data[[#This Row],[Time]])</f>
        <v>12</v>
      </c>
      <c r="I2527" s="10" t="str">
        <f>IF(COUNTIF('Transform Data'!$D:$D,'Transform Data'!D2527)&gt;1,"Repeat","Single")</f>
        <v>Single</v>
      </c>
      <c r="J2527" s="10" t="str">
        <f>IF('Transform Data'!D2527="Cash","Cash",IF(COUNTIF('Transform Data'!$D:$D,'Transform Data'!D2527)&gt;1,"Repeat","Single"))</f>
        <v>Single</v>
      </c>
      <c r="K2527" s="10" t="str">
        <f t="shared" si="39"/>
        <v>TRANS-2526</v>
      </c>
    </row>
    <row r="2528" spans="1:11" x14ac:dyDescent="0.35">
      <c r="A2528" s="5">
        <v>45638</v>
      </c>
      <c r="B2528" s="3">
        <v>0.70488425925925924</v>
      </c>
      <c r="C2528" t="s">
        <v>8</v>
      </c>
      <c r="D2528" t="s">
        <v>1055</v>
      </c>
      <c r="E2528" s="4">
        <v>21.06</v>
      </c>
      <c r="F2528" t="s">
        <v>5</v>
      </c>
      <c r="G2528" s="10" t="str">
        <f>TEXT(Transform_Data[[#This Row],[Date]],"mmm yyyy")</f>
        <v>Dec 2024</v>
      </c>
      <c r="H2528" s="10">
        <f>HOUR(Transform_Data[[#This Row],[Time]])</f>
        <v>16</v>
      </c>
      <c r="I2528" s="10" t="str">
        <f>IF(COUNTIF('Transform Data'!$D:$D,'Transform Data'!D2528)&gt;1,"Repeat","Single")</f>
        <v>Repeat</v>
      </c>
      <c r="J2528" s="10" t="str">
        <f>IF('Transform Data'!D2528="Cash","Cash",IF(COUNTIF('Transform Data'!$D:$D,'Transform Data'!D2528)&gt;1,"Repeat","Single"))</f>
        <v>Repeat</v>
      </c>
      <c r="K2528" s="10" t="str">
        <f t="shared" si="39"/>
        <v>TRANS-2527</v>
      </c>
    </row>
    <row r="2529" spans="1:11" x14ac:dyDescent="0.35">
      <c r="A2529" s="5">
        <v>45638</v>
      </c>
      <c r="B2529" s="3">
        <v>0.70542824074074073</v>
      </c>
      <c r="C2529" t="s">
        <v>8</v>
      </c>
      <c r="D2529" t="s">
        <v>1055</v>
      </c>
      <c r="E2529" s="4">
        <v>21.06</v>
      </c>
      <c r="F2529" t="s">
        <v>5</v>
      </c>
      <c r="G2529" s="10" t="str">
        <f>TEXT(Transform_Data[[#This Row],[Date]],"mmm yyyy")</f>
        <v>Dec 2024</v>
      </c>
      <c r="H2529" s="10">
        <f>HOUR(Transform_Data[[#This Row],[Time]])</f>
        <v>16</v>
      </c>
      <c r="I2529" s="10" t="str">
        <f>IF(COUNTIF('Transform Data'!$D:$D,'Transform Data'!D2529)&gt;1,"Repeat","Single")</f>
        <v>Repeat</v>
      </c>
      <c r="J2529" s="10" t="str">
        <f>IF('Transform Data'!D2529="Cash","Cash",IF(COUNTIF('Transform Data'!$D:$D,'Transform Data'!D2529)&gt;1,"Repeat","Single"))</f>
        <v>Repeat</v>
      </c>
      <c r="K2529" s="10" t="str">
        <f t="shared" si="39"/>
        <v>TRANS-2528</v>
      </c>
    </row>
    <row r="2530" spans="1:11" x14ac:dyDescent="0.35">
      <c r="A2530" s="5">
        <v>45638</v>
      </c>
      <c r="B2530" s="3">
        <v>0.70626157407407408</v>
      </c>
      <c r="C2530" t="s">
        <v>8</v>
      </c>
      <c r="D2530" t="s">
        <v>1055</v>
      </c>
      <c r="E2530" s="4">
        <v>25.96</v>
      </c>
      <c r="F2530" t="s">
        <v>28</v>
      </c>
      <c r="G2530" s="10" t="str">
        <f>TEXT(Transform_Data[[#This Row],[Date]],"mmm yyyy")</f>
        <v>Dec 2024</v>
      </c>
      <c r="H2530" s="10">
        <f>HOUR(Transform_Data[[#This Row],[Time]])</f>
        <v>16</v>
      </c>
      <c r="I2530" s="10" t="str">
        <f>IF(COUNTIF('Transform Data'!$D:$D,'Transform Data'!D2530)&gt;1,"Repeat","Single")</f>
        <v>Repeat</v>
      </c>
      <c r="J2530" s="10" t="str">
        <f>IF('Transform Data'!D2530="Cash","Cash",IF(COUNTIF('Transform Data'!$D:$D,'Transform Data'!D2530)&gt;1,"Repeat","Single"))</f>
        <v>Repeat</v>
      </c>
      <c r="K2530" s="10" t="str">
        <f t="shared" si="39"/>
        <v>TRANS-2529</v>
      </c>
    </row>
    <row r="2531" spans="1:11" x14ac:dyDescent="0.35">
      <c r="A2531" s="5">
        <v>45638</v>
      </c>
      <c r="B2531" s="3">
        <v>0.82638888888888884</v>
      </c>
      <c r="C2531" t="s">
        <v>8</v>
      </c>
      <c r="D2531" t="s">
        <v>974</v>
      </c>
      <c r="E2531" s="4">
        <v>35.76</v>
      </c>
      <c r="F2531" t="s">
        <v>10</v>
      </c>
      <c r="G2531" s="10" t="str">
        <f>TEXT(Transform_Data[[#This Row],[Date]],"mmm yyyy")</f>
        <v>Dec 2024</v>
      </c>
      <c r="H2531" s="10">
        <f>HOUR(Transform_Data[[#This Row],[Time]])</f>
        <v>19</v>
      </c>
      <c r="I2531" s="10" t="str">
        <f>IF(COUNTIF('Transform Data'!$D:$D,'Transform Data'!D2531)&gt;1,"Repeat","Single")</f>
        <v>Repeat</v>
      </c>
      <c r="J2531" s="10" t="str">
        <f>IF('Transform Data'!D2531="Cash","Cash",IF(COUNTIF('Transform Data'!$D:$D,'Transform Data'!D2531)&gt;1,"Repeat","Single"))</f>
        <v>Repeat</v>
      </c>
      <c r="K2531" s="10" t="str">
        <f t="shared" si="39"/>
        <v>TRANS-2530</v>
      </c>
    </row>
    <row r="2532" spans="1:11" x14ac:dyDescent="0.35">
      <c r="A2532" s="5">
        <v>45638</v>
      </c>
      <c r="B2532" s="3">
        <v>0.82704861111111116</v>
      </c>
      <c r="C2532" t="s">
        <v>8</v>
      </c>
      <c r="D2532" t="s">
        <v>974</v>
      </c>
      <c r="E2532" s="4">
        <v>35.76</v>
      </c>
      <c r="F2532" t="s">
        <v>10</v>
      </c>
      <c r="G2532" s="10" t="str">
        <f>TEXT(Transform_Data[[#This Row],[Date]],"mmm yyyy")</f>
        <v>Dec 2024</v>
      </c>
      <c r="H2532" s="10">
        <f>HOUR(Transform_Data[[#This Row],[Time]])</f>
        <v>19</v>
      </c>
      <c r="I2532" s="10" t="str">
        <f>IF(COUNTIF('Transform Data'!$D:$D,'Transform Data'!D2532)&gt;1,"Repeat","Single")</f>
        <v>Repeat</v>
      </c>
      <c r="J2532" s="10" t="str">
        <f>IF('Transform Data'!D2532="Cash","Cash",IF(COUNTIF('Transform Data'!$D:$D,'Transform Data'!D2532)&gt;1,"Repeat","Single"))</f>
        <v>Repeat</v>
      </c>
      <c r="K2532" s="10" t="str">
        <f t="shared" si="39"/>
        <v>TRANS-2531</v>
      </c>
    </row>
    <row r="2533" spans="1:11" x14ac:dyDescent="0.35">
      <c r="A2533" s="5">
        <v>45639</v>
      </c>
      <c r="B2533" s="3">
        <v>0.5190393518518519</v>
      </c>
      <c r="C2533" t="s">
        <v>8</v>
      </c>
      <c r="D2533" t="s">
        <v>1056</v>
      </c>
      <c r="E2533" s="4">
        <v>25.96</v>
      </c>
      <c r="F2533" t="s">
        <v>28</v>
      </c>
      <c r="G2533" s="10" t="str">
        <f>TEXT(Transform_Data[[#This Row],[Date]],"mmm yyyy")</f>
        <v>Dec 2024</v>
      </c>
      <c r="H2533" s="10">
        <f>HOUR(Transform_Data[[#This Row],[Time]])</f>
        <v>12</v>
      </c>
      <c r="I2533" s="10" t="str">
        <f>IF(COUNTIF('Transform Data'!$D:$D,'Transform Data'!D2533)&gt;1,"Repeat","Single")</f>
        <v>Single</v>
      </c>
      <c r="J2533" s="10" t="str">
        <f>IF('Transform Data'!D2533="Cash","Cash",IF(COUNTIF('Transform Data'!$D:$D,'Transform Data'!D2533)&gt;1,"Repeat","Single"))</f>
        <v>Single</v>
      </c>
      <c r="K2533" s="10" t="str">
        <f t="shared" si="39"/>
        <v>TRANS-2532</v>
      </c>
    </row>
    <row r="2534" spans="1:11" x14ac:dyDescent="0.35">
      <c r="A2534" s="5">
        <v>45639</v>
      </c>
      <c r="B2534" s="3">
        <v>0.53686342592592595</v>
      </c>
      <c r="C2534" t="s">
        <v>8</v>
      </c>
      <c r="D2534" t="s">
        <v>1055</v>
      </c>
      <c r="E2534" s="4">
        <v>25.96</v>
      </c>
      <c r="F2534" t="s">
        <v>28</v>
      </c>
      <c r="G2534" s="10" t="str">
        <f>TEXT(Transform_Data[[#This Row],[Date]],"mmm yyyy")</f>
        <v>Dec 2024</v>
      </c>
      <c r="H2534" s="10">
        <f>HOUR(Transform_Data[[#This Row],[Time]])</f>
        <v>12</v>
      </c>
      <c r="I2534" s="10" t="str">
        <f>IF(COUNTIF('Transform Data'!$D:$D,'Transform Data'!D2534)&gt;1,"Repeat","Single")</f>
        <v>Repeat</v>
      </c>
      <c r="J2534" s="10" t="str">
        <f>IF('Transform Data'!D2534="Cash","Cash",IF(COUNTIF('Transform Data'!$D:$D,'Transform Data'!D2534)&gt;1,"Repeat","Single"))</f>
        <v>Repeat</v>
      </c>
      <c r="K2534" s="10" t="str">
        <f t="shared" si="39"/>
        <v>TRANS-2533</v>
      </c>
    </row>
    <row r="2535" spans="1:11" x14ac:dyDescent="0.35">
      <c r="A2535" s="5">
        <v>45639</v>
      </c>
      <c r="B2535" s="3">
        <v>0.53796296296296298</v>
      </c>
      <c r="C2535" t="s">
        <v>8</v>
      </c>
      <c r="D2535" t="s">
        <v>1055</v>
      </c>
      <c r="E2535" s="4">
        <v>35.76</v>
      </c>
      <c r="F2535" t="s">
        <v>15</v>
      </c>
      <c r="G2535" s="10" t="str">
        <f>TEXT(Transform_Data[[#This Row],[Date]],"mmm yyyy")</f>
        <v>Dec 2024</v>
      </c>
      <c r="H2535" s="10">
        <f>HOUR(Transform_Data[[#This Row],[Time]])</f>
        <v>12</v>
      </c>
      <c r="I2535" s="10" t="str">
        <f>IF(COUNTIF('Transform Data'!$D:$D,'Transform Data'!D2535)&gt;1,"Repeat","Single")</f>
        <v>Repeat</v>
      </c>
      <c r="J2535" s="10" t="str">
        <f>IF('Transform Data'!D2535="Cash","Cash",IF(COUNTIF('Transform Data'!$D:$D,'Transform Data'!D2535)&gt;1,"Repeat","Single"))</f>
        <v>Repeat</v>
      </c>
      <c r="K2535" s="10" t="str">
        <f t="shared" si="39"/>
        <v>TRANS-2534</v>
      </c>
    </row>
    <row r="2536" spans="1:11" x14ac:dyDescent="0.35">
      <c r="A2536" s="5">
        <v>45639</v>
      </c>
      <c r="B2536" s="3">
        <v>0.58469907407407407</v>
      </c>
      <c r="C2536" t="s">
        <v>8</v>
      </c>
      <c r="D2536" t="s">
        <v>1057</v>
      </c>
      <c r="E2536" s="4">
        <v>35.76</v>
      </c>
      <c r="F2536" t="s">
        <v>15</v>
      </c>
      <c r="G2536" s="10" t="str">
        <f>TEXT(Transform_Data[[#This Row],[Date]],"mmm yyyy")</f>
        <v>Dec 2024</v>
      </c>
      <c r="H2536" s="10">
        <f>HOUR(Transform_Data[[#This Row],[Time]])</f>
        <v>14</v>
      </c>
      <c r="I2536" s="10" t="str">
        <f>IF(COUNTIF('Transform Data'!$D:$D,'Transform Data'!D2536)&gt;1,"Repeat","Single")</f>
        <v>Single</v>
      </c>
      <c r="J2536" s="10" t="str">
        <f>IF('Transform Data'!D2536="Cash","Cash",IF(COUNTIF('Transform Data'!$D:$D,'Transform Data'!D2536)&gt;1,"Repeat","Single"))</f>
        <v>Single</v>
      </c>
      <c r="K2536" s="10" t="str">
        <f t="shared" si="39"/>
        <v>TRANS-2535</v>
      </c>
    </row>
    <row r="2537" spans="1:11" x14ac:dyDescent="0.35">
      <c r="A2537" s="5">
        <v>45639</v>
      </c>
      <c r="B2537" s="3">
        <v>0.68290509259259258</v>
      </c>
      <c r="C2537" t="s">
        <v>8</v>
      </c>
      <c r="D2537" t="s">
        <v>547</v>
      </c>
      <c r="E2537" s="4">
        <v>35.76</v>
      </c>
      <c r="F2537" t="s">
        <v>10</v>
      </c>
      <c r="G2537" s="10" t="str">
        <f>TEXT(Transform_Data[[#This Row],[Date]],"mmm yyyy")</f>
        <v>Dec 2024</v>
      </c>
      <c r="H2537" s="10">
        <f>HOUR(Transform_Data[[#This Row],[Time]])</f>
        <v>16</v>
      </c>
      <c r="I2537" s="10" t="str">
        <f>IF(COUNTIF('Transform Data'!$D:$D,'Transform Data'!D2537)&gt;1,"Repeat","Single")</f>
        <v>Repeat</v>
      </c>
      <c r="J2537" s="10" t="str">
        <f>IF('Transform Data'!D2537="Cash","Cash",IF(COUNTIF('Transform Data'!$D:$D,'Transform Data'!D2537)&gt;1,"Repeat","Single"))</f>
        <v>Repeat</v>
      </c>
      <c r="K2537" s="10" t="str">
        <f t="shared" si="39"/>
        <v>TRANS-2536</v>
      </c>
    </row>
    <row r="2538" spans="1:11" x14ac:dyDescent="0.35">
      <c r="A2538" s="5">
        <v>45639</v>
      </c>
      <c r="B2538" s="3">
        <v>0.80489583333333337</v>
      </c>
      <c r="C2538" t="s">
        <v>8</v>
      </c>
      <c r="D2538" t="s">
        <v>928</v>
      </c>
      <c r="E2538" s="4">
        <v>35.76</v>
      </c>
      <c r="F2538" t="s">
        <v>24</v>
      </c>
      <c r="G2538" s="10" t="str">
        <f>TEXT(Transform_Data[[#This Row],[Date]],"mmm yyyy")</f>
        <v>Dec 2024</v>
      </c>
      <c r="H2538" s="10">
        <f>HOUR(Transform_Data[[#This Row],[Time]])</f>
        <v>19</v>
      </c>
      <c r="I2538" s="10" t="str">
        <f>IF(COUNTIF('Transform Data'!$D:$D,'Transform Data'!D2538)&gt;1,"Repeat","Single")</f>
        <v>Repeat</v>
      </c>
      <c r="J2538" s="10" t="str">
        <f>IF('Transform Data'!D2538="Cash","Cash",IF(COUNTIF('Transform Data'!$D:$D,'Transform Data'!D2538)&gt;1,"Repeat","Single"))</f>
        <v>Repeat</v>
      </c>
      <c r="K2538" s="10" t="str">
        <f t="shared" si="39"/>
        <v>TRANS-2537</v>
      </c>
    </row>
    <row r="2539" spans="1:11" x14ac:dyDescent="0.35">
      <c r="A2539" s="5">
        <v>45639</v>
      </c>
      <c r="B2539" s="3">
        <v>0.8056712962962963</v>
      </c>
      <c r="C2539" t="s">
        <v>8</v>
      </c>
      <c r="D2539" t="s">
        <v>928</v>
      </c>
      <c r="E2539" s="4">
        <v>35.76</v>
      </c>
      <c r="F2539" t="s">
        <v>24</v>
      </c>
      <c r="G2539" s="10" t="str">
        <f>TEXT(Transform_Data[[#This Row],[Date]],"mmm yyyy")</f>
        <v>Dec 2024</v>
      </c>
      <c r="H2539" s="10">
        <f>HOUR(Transform_Data[[#This Row],[Time]])</f>
        <v>19</v>
      </c>
      <c r="I2539" s="10" t="str">
        <f>IF(COUNTIF('Transform Data'!$D:$D,'Transform Data'!D2539)&gt;1,"Repeat","Single")</f>
        <v>Repeat</v>
      </c>
      <c r="J2539" s="10" t="str">
        <f>IF('Transform Data'!D2539="Cash","Cash",IF(COUNTIF('Transform Data'!$D:$D,'Transform Data'!D2539)&gt;1,"Repeat","Single"))</f>
        <v>Repeat</v>
      </c>
      <c r="K2539" s="10" t="str">
        <f t="shared" si="39"/>
        <v>TRANS-2538</v>
      </c>
    </row>
    <row r="2540" spans="1:11" x14ac:dyDescent="0.35">
      <c r="A2540" s="5">
        <v>45639</v>
      </c>
      <c r="B2540" s="3">
        <v>0.89978009259259262</v>
      </c>
      <c r="C2540" t="s">
        <v>8</v>
      </c>
      <c r="D2540" t="s">
        <v>800</v>
      </c>
      <c r="E2540" s="4">
        <v>35.76</v>
      </c>
      <c r="F2540" t="s">
        <v>32</v>
      </c>
      <c r="G2540" s="10" t="str">
        <f>TEXT(Transform_Data[[#This Row],[Date]],"mmm yyyy")</f>
        <v>Dec 2024</v>
      </c>
      <c r="H2540" s="10">
        <f>HOUR(Transform_Data[[#This Row],[Time]])</f>
        <v>21</v>
      </c>
      <c r="I2540" s="10" t="str">
        <f>IF(COUNTIF('Transform Data'!$D:$D,'Transform Data'!D2540)&gt;1,"Repeat","Single")</f>
        <v>Repeat</v>
      </c>
      <c r="J2540" s="10" t="str">
        <f>IF('Transform Data'!D2540="Cash","Cash",IF(COUNTIF('Transform Data'!$D:$D,'Transform Data'!D2540)&gt;1,"Repeat","Single"))</f>
        <v>Repeat</v>
      </c>
      <c r="K2540" s="10" t="str">
        <f t="shared" si="39"/>
        <v>TRANS-2539</v>
      </c>
    </row>
    <row r="2541" spans="1:11" x14ac:dyDescent="0.35">
      <c r="A2541" s="5">
        <v>45640</v>
      </c>
      <c r="B2541" s="3">
        <v>0.35245370370370371</v>
      </c>
      <c r="C2541" t="s">
        <v>8</v>
      </c>
      <c r="D2541" t="s">
        <v>1058</v>
      </c>
      <c r="E2541" s="4">
        <v>30.86</v>
      </c>
      <c r="F2541" t="s">
        <v>36</v>
      </c>
      <c r="G2541" s="10" t="str">
        <f>TEXT(Transform_Data[[#This Row],[Date]],"mmm yyyy")</f>
        <v>Dec 2024</v>
      </c>
      <c r="H2541" s="10">
        <f>HOUR(Transform_Data[[#This Row],[Time]])</f>
        <v>8</v>
      </c>
      <c r="I2541" s="10" t="str">
        <f>IF(COUNTIF('Transform Data'!$D:$D,'Transform Data'!D2541)&gt;1,"Repeat","Single")</f>
        <v>Single</v>
      </c>
      <c r="J2541" s="10" t="str">
        <f>IF('Transform Data'!D2541="Cash","Cash",IF(COUNTIF('Transform Data'!$D:$D,'Transform Data'!D2541)&gt;1,"Repeat","Single"))</f>
        <v>Single</v>
      </c>
      <c r="K2541" s="10" t="str">
        <f t="shared" si="39"/>
        <v>TRANS-2540</v>
      </c>
    </row>
    <row r="2542" spans="1:11" x14ac:dyDescent="0.35">
      <c r="A2542" s="5">
        <v>45640</v>
      </c>
      <c r="B2542" s="3">
        <v>0.37714120370370369</v>
      </c>
      <c r="C2542" t="s">
        <v>8</v>
      </c>
      <c r="D2542" t="s">
        <v>1059</v>
      </c>
      <c r="E2542" s="4">
        <v>35.76</v>
      </c>
      <c r="F2542" t="s">
        <v>10</v>
      </c>
      <c r="G2542" s="10" t="str">
        <f>TEXT(Transform_Data[[#This Row],[Date]],"mmm yyyy")</f>
        <v>Dec 2024</v>
      </c>
      <c r="H2542" s="10">
        <f>HOUR(Transform_Data[[#This Row],[Time]])</f>
        <v>9</v>
      </c>
      <c r="I2542" s="10" t="str">
        <f>IF(COUNTIF('Transform Data'!$D:$D,'Transform Data'!D2542)&gt;1,"Repeat","Single")</f>
        <v>Single</v>
      </c>
      <c r="J2542" s="10" t="str">
        <f>IF('Transform Data'!D2542="Cash","Cash",IF(COUNTIF('Transform Data'!$D:$D,'Transform Data'!D2542)&gt;1,"Repeat","Single"))</f>
        <v>Single</v>
      </c>
      <c r="K2542" s="10" t="str">
        <f t="shared" si="39"/>
        <v>TRANS-2541</v>
      </c>
    </row>
    <row r="2543" spans="1:11" x14ac:dyDescent="0.35">
      <c r="A2543" s="5">
        <v>45640</v>
      </c>
      <c r="B2543" s="3">
        <v>0.48746527777777776</v>
      </c>
      <c r="C2543" t="s">
        <v>8</v>
      </c>
      <c r="D2543" t="s">
        <v>716</v>
      </c>
      <c r="E2543" s="4">
        <v>35.76</v>
      </c>
      <c r="F2543" t="s">
        <v>24</v>
      </c>
      <c r="G2543" s="10" t="str">
        <f>TEXT(Transform_Data[[#This Row],[Date]],"mmm yyyy")</f>
        <v>Dec 2024</v>
      </c>
      <c r="H2543" s="10">
        <f>HOUR(Transform_Data[[#This Row],[Time]])</f>
        <v>11</v>
      </c>
      <c r="I2543" s="10" t="str">
        <f>IF(COUNTIF('Transform Data'!$D:$D,'Transform Data'!D2543)&gt;1,"Repeat","Single")</f>
        <v>Repeat</v>
      </c>
      <c r="J2543" s="10" t="str">
        <f>IF('Transform Data'!D2543="Cash","Cash",IF(COUNTIF('Transform Data'!$D:$D,'Transform Data'!D2543)&gt;1,"Repeat","Single"))</f>
        <v>Repeat</v>
      </c>
      <c r="K2543" s="10" t="str">
        <f t="shared" si="39"/>
        <v>TRANS-2542</v>
      </c>
    </row>
    <row r="2544" spans="1:11" x14ac:dyDescent="0.35">
      <c r="A2544" s="5">
        <v>45640</v>
      </c>
      <c r="B2544" s="3">
        <v>0.55494212962962963</v>
      </c>
      <c r="C2544" t="s">
        <v>8</v>
      </c>
      <c r="D2544" t="s">
        <v>1060</v>
      </c>
      <c r="E2544" s="4">
        <v>25.96</v>
      </c>
      <c r="F2544" t="s">
        <v>28</v>
      </c>
      <c r="G2544" s="10" t="str">
        <f>TEXT(Transform_Data[[#This Row],[Date]],"mmm yyyy")</f>
        <v>Dec 2024</v>
      </c>
      <c r="H2544" s="10">
        <f>HOUR(Transform_Data[[#This Row],[Time]])</f>
        <v>13</v>
      </c>
      <c r="I2544" s="10" t="str">
        <f>IF(COUNTIF('Transform Data'!$D:$D,'Transform Data'!D2544)&gt;1,"Repeat","Single")</f>
        <v>Repeat</v>
      </c>
      <c r="J2544" s="10" t="str">
        <f>IF('Transform Data'!D2544="Cash","Cash",IF(COUNTIF('Transform Data'!$D:$D,'Transform Data'!D2544)&gt;1,"Repeat","Single"))</f>
        <v>Repeat</v>
      </c>
      <c r="K2544" s="10" t="str">
        <f t="shared" si="39"/>
        <v>TRANS-2543</v>
      </c>
    </row>
    <row r="2545" spans="1:11" x14ac:dyDescent="0.35">
      <c r="A2545" s="5">
        <v>45640</v>
      </c>
      <c r="B2545" s="3">
        <v>0.55564814814814811</v>
      </c>
      <c r="C2545" t="s">
        <v>8</v>
      </c>
      <c r="D2545" t="s">
        <v>1060</v>
      </c>
      <c r="E2545" s="4">
        <v>35.76</v>
      </c>
      <c r="F2545" t="s">
        <v>32</v>
      </c>
      <c r="G2545" s="10" t="str">
        <f>TEXT(Transform_Data[[#This Row],[Date]],"mmm yyyy")</f>
        <v>Dec 2024</v>
      </c>
      <c r="H2545" s="10">
        <f>HOUR(Transform_Data[[#This Row],[Time]])</f>
        <v>13</v>
      </c>
      <c r="I2545" s="10" t="str">
        <f>IF(COUNTIF('Transform Data'!$D:$D,'Transform Data'!D2545)&gt;1,"Repeat","Single")</f>
        <v>Repeat</v>
      </c>
      <c r="J2545" s="10" t="str">
        <f>IF('Transform Data'!D2545="Cash","Cash",IF(COUNTIF('Transform Data'!$D:$D,'Transform Data'!D2545)&gt;1,"Repeat","Single"))</f>
        <v>Repeat</v>
      </c>
      <c r="K2545" s="10" t="str">
        <f t="shared" si="39"/>
        <v>TRANS-2544</v>
      </c>
    </row>
    <row r="2546" spans="1:11" x14ac:dyDescent="0.35">
      <c r="A2546" s="5">
        <v>45640</v>
      </c>
      <c r="B2546" s="3">
        <v>0.67394675925925929</v>
      </c>
      <c r="C2546" t="s">
        <v>8</v>
      </c>
      <c r="D2546" t="s">
        <v>664</v>
      </c>
      <c r="E2546" s="4">
        <v>35.76</v>
      </c>
      <c r="F2546" t="s">
        <v>10</v>
      </c>
      <c r="G2546" s="10" t="str">
        <f>TEXT(Transform_Data[[#This Row],[Date]],"mmm yyyy")</f>
        <v>Dec 2024</v>
      </c>
      <c r="H2546" s="10">
        <f>HOUR(Transform_Data[[#This Row],[Time]])</f>
        <v>16</v>
      </c>
      <c r="I2546" s="10" t="str">
        <f>IF(COUNTIF('Transform Data'!$D:$D,'Transform Data'!D2546)&gt;1,"Repeat","Single")</f>
        <v>Repeat</v>
      </c>
      <c r="J2546" s="10" t="str">
        <f>IF('Transform Data'!D2546="Cash","Cash",IF(COUNTIF('Transform Data'!$D:$D,'Transform Data'!D2546)&gt;1,"Repeat","Single"))</f>
        <v>Repeat</v>
      </c>
      <c r="K2546" s="10" t="str">
        <f t="shared" si="39"/>
        <v>TRANS-2545</v>
      </c>
    </row>
    <row r="2547" spans="1:11" x14ac:dyDescent="0.35">
      <c r="A2547" s="5">
        <v>45640</v>
      </c>
      <c r="B2547" s="3">
        <v>0.68747685185185181</v>
      </c>
      <c r="C2547" t="s">
        <v>8</v>
      </c>
      <c r="D2547" t="s">
        <v>16</v>
      </c>
      <c r="E2547" s="4">
        <v>25.96</v>
      </c>
      <c r="F2547" t="s">
        <v>28</v>
      </c>
      <c r="G2547" s="10" t="str">
        <f>TEXT(Transform_Data[[#This Row],[Date]],"mmm yyyy")</f>
        <v>Dec 2024</v>
      </c>
      <c r="H2547" s="10">
        <f>HOUR(Transform_Data[[#This Row],[Time]])</f>
        <v>16</v>
      </c>
      <c r="I2547" s="10" t="str">
        <f>IF(COUNTIF('Transform Data'!$D:$D,'Transform Data'!D2547)&gt;1,"Repeat","Single")</f>
        <v>Repeat</v>
      </c>
      <c r="J2547" s="10" t="str">
        <f>IF('Transform Data'!D2547="Cash","Cash",IF(COUNTIF('Transform Data'!$D:$D,'Transform Data'!D2547)&gt;1,"Repeat","Single"))</f>
        <v>Repeat</v>
      </c>
      <c r="K2547" s="10" t="str">
        <f t="shared" si="39"/>
        <v>TRANS-2546</v>
      </c>
    </row>
    <row r="2548" spans="1:11" x14ac:dyDescent="0.35">
      <c r="A2548" s="5">
        <v>45640</v>
      </c>
      <c r="B2548" s="3">
        <v>0.68806712962962968</v>
      </c>
      <c r="C2548" t="s">
        <v>8</v>
      </c>
      <c r="D2548" t="s">
        <v>16</v>
      </c>
      <c r="E2548" s="4">
        <v>25.96</v>
      </c>
      <c r="F2548" t="s">
        <v>28</v>
      </c>
      <c r="G2548" s="10" t="str">
        <f>TEXT(Transform_Data[[#This Row],[Date]],"mmm yyyy")</f>
        <v>Dec 2024</v>
      </c>
      <c r="H2548" s="10">
        <f>HOUR(Transform_Data[[#This Row],[Time]])</f>
        <v>16</v>
      </c>
      <c r="I2548" s="10" t="str">
        <f>IF(COUNTIF('Transform Data'!$D:$D,'Transform Data'!D2548)&gt;1,"Repeat","Single")</f>
        <v>Repeat</v>
      </c>
      <c r="J2548" s="10" t="str">
        <f>IF('Transform Data'!D2548="Cash","Cash",IF(COUNTIF('Transform Data'!$D:$D,'Transform Data'!D2548)&gt;1,"Repeat","Single"))</f>
        <v>Repeat</v>
      </c>
      <c r="K2548" s="10" t="str">
        <f t="shared" si="39"/>
        <v>TRANS-2547</v>
      </c>
    </row>
    <row r="2549" spans="1:11" x14ac:dyDescent="0.35">
      <c r="A2549" s="5">
        <v>45640</v>
      </c>
      <c r="B2549" s="3">
        <v>0.7085069444444444</v>
      </c>
      <c r="C2549" t="s">
        <v>8</v>
      </c>
      <c r="D2549" t="s">
        <v>1055</v>
      </c>
      <c r="E2549" s="4">
        <v>25.96</v>
      </c>
      <c r="F2549" t="s">
        <v>28</v>
      </c>
      <c r="G2549" s="10" t="str">
        <f>TEXT(Transform_Data[[#This Row],[Date]],"mmm yyyy")</f>
        <v>Dec 2024</v>
      </c>
      <c r="H2549" s="10">
        <f>HOUR(Transform_Data[[#This Row],[Time]])</f>
        <v>17</v>
      </c>
      <c r="I2549" s="10" t="str">
        <f>IF(COUNTIF('Transform Data'!$D:$D,'Transform Data'!D2549)&gt;1,"Repeat","Single")</f>
        <v>Repeat</v>
      </c>
      <c r="J2549" s="10" t="str">
        <f>IF('Transform Data'!D2549="Cash","Cash",IF(COUNTIF('Transform Data'!$D:$D,'Transform Data'!D2549)&gt;1,"Repeat","Single"))</f>
        <v>Repeat</v>
      </c>
      <c r="K2549" s="10" t="str">
        <f t="shared" si="39"/>
        <v>TRANS-2548</v>
      </c>
    </row>
    <row r="2550" spans="1:11" x14ac:dyDescent="0.35">
      <c r="A2550" s="5">
        <v>45640</v>
      </c>
      <c r="B2550" s="3">
        <v>0.70936342592592594</v>
      </c>
      <c r="C2550" t="s">
        <v>8</v>
      </c>
      <c r="D2550" t="s">
        <v>1055</v>
      </c>
      <c r="E2550" s="4">
        <v>25.96</v>
      </c>
      <c r="F2550" t="s">
        <v>28</v>
      </c>
      <c r="G2550" s="10" t="str">
        <f>TEXT(Transform_Data[[#This Row],[Date]],"mmm yyyy")</f>
        <v>Dec 2024</v>
      </c>
      <c r="H2550" s="10">
        <f>HOUR(Transform_Data[[#This Row],[Time]])</f>
        <v>17</v>
      </c>
      <c r="I2550" s="10" t="str">
        <f>IF(COUNTIF('Transform Data'!$D:$D,'Transform Data'!D2550)&gt;1,"Repeat","Single")</f>
        <v>Repeat</v>
      </c>
      <c r="J2550" s="10" t="str">
        <f>IF('Transform Data'!D2550="Cash","Cash",IF(COUNTIF('Transform Data'!$D:$D,'Transform Data'!D2550)&gt;1,"Repeat","Single"))</f>
        <v>Repeat</v>
      </c>
      <c r="K2550" s="10" t="str">
        <f t="shared" si="39"/>
        <v>TRANS-2549</v>
      </c>
    </row>
    <row r="2551" spans="1:11" x14ac:dyDescent="0.35">
      <c r="A2551" s="5">
        <v>45640</v>
      </c>
      <c r="B2551" s="3">
        <v>0.76648148148148143</v>
      </c>
      <c r="C2551" t="s">
        <v>8</v>
      </c>
      <c r="D2551" t="s">
        <v>1061</v>
      </c>
      <c r="E2551" s="4">
        <v>30.86</v>
      </c>
      <c r="F2551" t="s">
        <v>36</v>
      </c>
      <c r="G2551" s="10" t="str">
        <f>TEXT(Transform_Data[[#This Row],[Date]],"mmm yyyy")</f>
        <v>Dec 2024</v>
      </c>
      <c r="H2551" s="10">
        <f>HOUR(Transform_Data[[#This Row],[Time]])</f>
        <v>18</v>
      </c>
      <c r="I2551" s="10" t="str">
        <f>IF(COUNTIF('Transform Data'!$D:$D,'Transform Data'!D2551)&gt;1,"Repeat","Single")</f>
        <v>Single</v>
      </c>
      <c r="J2551" s="10" t="str">
        <f>IF('Transform Data'!D2551="Cash","Cash",IF(COUNTIF('Transform Data'!$D:$D,'Transform Data'!D2551)&gt;1,"Repeat","Single"))</f>
        <v>Single</v>
      </c>
      <c r="K2551" s="10" t="str">
        <f t="shared" si="39"/>
        <v>TRANS-2550</v>
      </c>
    </row>
    <row r="2552" spans="1:11" x14ac:dyDescent="0.35">
      <c r="A2552" s="5">
        <v>45641</v>
      </c>
      <c r="B2552" s="3">
        <v>0.46486111111111111</v>
      </c>
      <c r="C2552" t="s">
        <v>8</v>
      </c>
      <c r="D2552" t="s">
        <v>622</v>
      </c>
      <c r="E2552" s="4">
        <v>35.76</v>
      </c>
      <c r="F2552" t="s">
        <v>32</v>
      </c>
      <c r="G2552" s="10" t="str">
        <f>TEXT(Transform_Data[[#This Row],[Date]],"mmm yyyy")</f>
        <v>Dec 2024</v>
      </c>
      <c r="H2552" s="10">
        <f>HOUR(Transform_Data[[#This Row],[Time]])</f>
        <v>11</v>
      </c>
      <c r="I2552" s="10" t="str">
        <f>IF(COUNTIF('Transform Data'!$D:$D,'Transform Data'!D2552)&gt;1,"Repeat","Single")</f>
        <v>Repeat</v>
      </c>
      <c r="J2552" s="10" t="str">
        <f>IF('Transform Data'!D2552="Cash","Cash",IF(COUNTIF('Transform Data'!$D:$D,'Transform Data'!D2552)&gt;1,"Repeat","Single"))</f>
        <v>Repeat</v>
      </c>
      <c r="K2552" s="10" t="str">
        <f t="shared" si="39"/>
        <v>TRANS-2551</v>
      </c>
    </row>
    <row r="2553" spans="1:11" x14ac:dyDescent="0.35">
      <c r="A2553" s="5">
        <v>45641</v>
      </c>
      <c r="B2553" s="3">
        <v>0.46556712962962965</v>
      </c>
      <c r="C2553" t="s">
        <v>8</v>
      </c>
      <c r="D2553" t="s">
        <v>622</v>
      </c>
      <c r="E2553" s="4">
        <v>35.76</v>
      </c>
      <c r="F2553" t="s">
        <v>10</v>
      </c>
      <c r="G2553" s="10" t="str">
        <f>TEXT(Transform_Data[[#This Row],[Date]],"mmm yyyy")</f>
        <v>Dec 2024</v>
      </c>
      <c r="H2553" s="10">
        <f>HOUR(Transform_Data[[#This Row],[Time]])</f>
        <v>11</v>
      </c>
      <c r="I2553" s="10" t="str">
        <f>IF(COUNTIF('Transform Data'!$D:$D,'Transform Data'!D2553)&gt;1,"Repeat","Single")</f>
        <v>Repeat</v>
      </c>
      <c r="J2553" s="10" t="str">
        <f>IF('Transform Data'!D2553="Cash","Cash",IF(COUNTIF('Transform Data'!$D:$D,'Transform Data'!D2553)&gt;1,"Repeat","Single"))</f>
        <v>Repeat</v>
      </c>
      <c r="K2553" s="10" t="str">
        <f t="shared" si="39"/>
        <v>TRANS-2552</v>
      </c>
    </row>
    <row r="2554" spans="1:11" x14ac:dyDescent="0.35">
      <c r="A2554" s="5">
        <v>45641</v>
      </c>
      <c r="B2554" s="3">
        <v>0.74866898148148153</v>
      </c>
      <c r="C2554" t="s">
        <v>8</v>
      </c>
      <c r="D2554" t="s">
        <v>850</v>
      </c>
      <c r="E2554" s="4">
        <v>35.76</v>
      </c>
      <c r="F2554" t="s">
        <v>15</v>
      </c>
      <c r="G2554" s="10" t="str">
        <f>TEXT(Transform_Data[[#This Row],[Date]],"mmm yyyy")</f>
        <v>Dec 2024</v>
      </c>
      <c r="H2554" s="10">
        <f>HOUR(Transform_Data[[#This Row],[Time]])</f>
        <v>17</v>
      </c>
      <c r="I2554" s="10" t="str">
        <f>IF(COUNTIF('Transform Data'!$D:$D,'Transform Data'!D2554)&gt;1,"Repeat","Single")</f>
        <v>Repeat</v>
      </c>
      <c r="J2554" s="10" t="str">
        <f>IF('Transform Data'!D2554="Cash","Cash",IF(COUNTIF('Transform Data'!$D:$D,'Transform Data'!D2554)&gt;1,"Repeat","Single"))</f>
        <v>Repeat</v>
      </c>
      <c r="K2554" s="10" t="str">
        <f t="shared" si="39"/>
        <v>TRANS-2553</v>
      </c>
    </row>
    <row r="2555" spans="1:11" x14ac:dyDescent="0.35">
      <c r="A2555" s="5">
        <v>45642</v>
      </c>
      <c r="B2555" s="3">
        <v>0.32798611111111109</v>
      </c>
      <c r="C2555" t="s">
        <v>8</v>
      </c>
      <c r="D2555" t="s">
        <v>622</v>
      </c>
      <c r="E2555" s="4">
        <v>35.76</v>
      </c>
      <c r="F2555" t="s">
        <v>32</v>
      </c>
      <c r="G2555" s="10" t="str">
        <f>TEXT(Transform_Data[[#This Row],[Date]],"mmm yyyy")</f>
        <v>Dec 2024</v>
      </c>
      <c r="H2555" s="10">
        <f>HOUR(Transform_Data[[#This Row],[Time]])</f>
        <v>7</v>
      </c>
      <c r="I2555" s="10" t="str">
        <f>IF(COUNTIF('Transform Data'!$D:$D,'Transform Data'!D2555)&gt;1,"Repeat","Single")</f>
        <v>Repeat</v>
      </c>
      <c r="J2555" s="10" t="str">
        <f>IF('Transform Data'!D2555="Cash","Cash",IF(COUNTIF('Transform Data'!$D:$D,'Transform Data'!D2555)&gt;1,"Repeat","Single"))</f>
        <v>Repeat</v>
      </c>
      <c r="K2555" s="10" t="str">
        <f t="shared" si="39"/>
        <v>TRANS-2554</v>
      </c>
    </row>
    <row r="2556" spans="1:11" x14ac:dyDescent="0.35">
      <c r="A2556" s="5">
        <v>45642</v>
      </c>
      <c r="B2556" s="3">
        <v>0.33577546296296296</v>
      </c>
      <c r="C2556" t="s">
        <v>8</v>
      </c>
      <c r="D2556" t="s">
        <v>1062</v>
      </c>
      <c r="E2556" s="4">
        <v>35.76</v>
      </c>
      <c r="F2556" t="s">
        <v>15</v>
      </c>
      <c r="G2556" s="10" t="str">
        <f>TEXT(Transform_Data[[#This Row],[Date]],"mmm yyyy")</f>
        <v>Dec 2024</v>
      </c>
      <c r="H2556" s="10">
        <f>HOUR(Transform_Data[[#This Row],[Time]])</f>
        <v>8</v>
      </c>
      <c r="I2556" s="10" t="str">
        <f>IF(COUNTIF('Transform Data'!$D:$D,'Transform Data'!D2556)&gt;1,"Repeat","Single")</f>
        <v>Repeat</v>
      </c>
      <c r="J2556" s="10" t="str">
        <f>IF('Transform Data'!D2556="Cash","Cash",IF(COUNTIF('Transform Data'!$D:$D,'Transform Data'!D2556)&gt;1,"Repeat","Single"))</f>
        <v>Repeat</v>
      </c>
      <c r="K2556" s="10" t="str">
        <f t="shared" si="39"/>
        <v>TRANS-2555</v>
      </c>
    </row>
    <row r="2557" spans="1:11" x14ac:dyDescent="0.35">
      <c r="A2557" s="5">
        <v>45642</v>
      </c>
      <c r="B2557" s="3">
        <v>0.3658912037037037</v>
      </c>
      <c r="C2557" t="s">
        <v>8</v>
      </c>
      <c r="D2557" t="s">
        <v>766</v>
      </c>
      <c r="E2557" s="4">
        <v>35.76</v>
      </c>
      <c r="F2557" t="s">
        <v>10</v>
      </c>
      <c r="G2557" s="10" t="str">
        <f>TEXT(Transform_Data[[#This Row],[Date]],"mmm yyyy")</f>
        <v>Dec 2024</v>
      </c>
      <c r="H2557" s="10">
        <f>HOUR(Transform_Data[[#This Row],[Time]])</f>
        <v>8</v>
      </c>
      <c r="I2557" s="10" t="str">
        <f>IF(COUNTIF('Transform Data'!$D:$D,'Transform Data'!D2557)&gt;1,"Repeat","Single")</f>
        <v>Repeat</v>
      </c>
      <c r="J2557" s="10" t="str">
        <f>IF('Transform Data'!D2557="Cash","Cash",IF(COUNTIF('Transform Data'!$D:$D,'Transform Data'!D2557)&gt;1,"Repeat","Single"))</f>
        <v>Repeat</v>
      </c>
      <c r="K2557" s="10" t="str">
        <f t="shared" si="39"/>
        <v>TRANS-2556</v>
      </c>
    </row>
    <row r="2558" spans="1:11" x14ac:dyDescent="0.35">
      <c r="A2558" s="5">
        <v>45642</v>
      </c>
      <c r="B2558" s="3">
        <v>0.51328703703703704</v>
      </c>
      <c r="C2558" t="s">
        <v>8</v>
      </c>
      <c r="D2558" t="s">
        <v>1063</v>
      </c>
      <c r="E2558" s="4">
        <v>30.86</v>
      </c>
      <c r="F2558" t="s">
        <v>36</v>
      </c>
      <c r="G2558" s="10" t="str">
        <f>TEXT(Transform_Data[[#This Row],[Date]],"mmm yyyy")</f>
        <v>Dec 2024</v>
      </c>
      <c r="H2558" s="10">
        <f>HOUR(Transform_Data[[#This Row],[Time]])</f>
        <v>12</v>
      </c>
      <c r="I2558" s="10" t="str">
        <f>IF(COUNTIF('Transform Data'!$D:$D,'Transform Data'!D2558)&gt;1,"Repeat","Single")</f>
        <v>Single</v>
      </c>
      <c r="J2558" s="10" t="str">
        <f>IF('Transform Data'!D2558="Cash","Cash",IF(COUNTIF('Transform Data'!$D:$D,'Transform Data'!D2558)&gt;1,"Repeat","Single"))</f>
        <v>Single</v>
      </c>
      <c r="K2558" s="10" t="str">
        <f t="shared" si="39"/>
        <v>TRANS-2557</v>
      </c>
    </row>
    <row r="2559" spans="1:11" x14ac:dyDescent="0.35">
      <c r="A2559" s="5">
        <v>45642</v>
      </c>
      <c r="B2559" s="3">
        <v>0.54782407407407407</v>
      </c>
      <c r="C2559" t="s">
        <v>8</v>
      </c>
      <c r="D2559" t="s">
        <v>938</v>
      </c>
      <c r="E2559" s="4">
        <v>35.76</v>
      </c>
      <c r="F2559" t="s">
        <v>32</v>
      </c>
      <c r="G2559" s="10" t="str">
        <f>TEXT(Transform_Data[[#This Row],[Date]],"mmm yyyy")</f>
        <v>Dec 2024</v>
      </c>
      <c r="H2559" s="10">
        <f>HOUR(Transform_Data[[#This Row],[Time]])</f>
        <v>13</v>
      </c>
      <c r="I2559" s="10" t="str">
        <f>IF(COUNTIF('Transform Data'!$D:$D,'Transform Data'!D2559)&gt;1,"Repeat","Single")</f>
        <v>Repeat</v>
      </c>
      <c r="J2559" s="10" t="str">
        <f>IF('Transform Data'!D2559="Cash","Cash",IF(COUNTIF('Transform Data'!$D:$D,'Transform Data'!D2559)&gt;1,"Repeat","Single"))</f>
        <v>Repeat</v>
      </c>
      <c r="K2559" s="10" t="str">
        <f t="shared" si="39"/>
        <v>TRANS-2558</v>
      </c>
    </row>
    <row r="2560" spans="1:11" x14ac:dyDescent="0.35">
      <c r="A2560" s="5">
        <v>45642</v>
      </c>
      <c r="B2560" s="3">
        <v>0.59256944444444448</v>
      </c>
      <c r="C2560" t="s">
        <v>8</v>
      </c>
      <c r="D2560" t="s">
        <v>948</v>
      </c>
      <c r="E2560" s="4">
        <v>35.76</v>
      </c>
      <c r="F2560" t="s">
        <v>15</v>
      </c>
      <c r="G2560" s="10" t="str">
        <f>TEXT(Transform_Data[[#This Row],[Date]],"mmm yyyy")</f>
        <v>Dec 2024</v>
      </c>
      <c r="H2560" s="10">
        <f>HOUR(Transform_Data[[#This Row],[Time]])</f>
        <v>14</v>
      </c>
      <c r="I2560" s="10" t="str">
        <f>IF(COUNTIF('Transform Data'!$D:$D,'Transform Data'!D2560)&gt;1,"Repeat","Single")</f>
        <v>Repeat</v>
      </c>
      <c r="J2560" s="10" t="str">
        <f>IF('Transform Data'!D2560="Cash","Cash",IF(COUNTIF('Transform Data'!$D:$D,'Transform Data'!D2560)&gt;1,"Repeat","Single"))</f>
        <v>Repeat</v>
      </c>
      <c r="K2560" s="10" t="str">
        <f t="shared" si="39"/>
        <v>TRANS-2559</v>
      </c>
    </row>
    <row r="2561" spans="1:11" x14ac:dyDescent="0.35">
      <c r="A2561" s="5">
        <v>45642</v>
      </c>
      <c r="B2561" s="3">
        <v>0.76605324074074077</v>
      </c>
      <c r="C2561" t="s">
        <v>8</v>
      </c>
      <c r="D2561" t="s">
        <v>43</v>
      </c>
      <c r="E2561" s="4">
        <v>35.76</v>
      </c>
      <c r="F2561" t="s">
        <v>32</v>
      </c>
      <c r="G2561" s="10" t="str">
        <f>TEXT(Transform_Data[[#This Row],[Date]],"mmm yyyy")</f>
        <v>Dec 2024</v>
      </c>
      <c r="H2561" s="10">
        <f>HOUR(Transform_Data[[#This Row],[Time]])</f>
        <v>18</v>
      </c>
      <c r="I2561" s="10" t="str">
        <f>IF(COUNTIF('Transform Data'!$D:$D,'Transform Data'!D2561)&gt;1,"Repeat","Single")</f>
        <v>Repeat</v>
      </c>
      <c r="J2561" s="10" t="str">
        <f>IF('Transform Data'!D2561="Cash","Cash",IF(COUNTIF('Transform Data'!$D:$D,'Transform Data'!D2561)&gt;1,"Repeat","Single"))</f>
        <v>Repeat</v>
      </c>
      <c r="K2561" s="10" t="str">
        <f t="shared" si="39"/>
        <v>TRANS-2560</v>
      </c>
    </row>
    <row r="2562" spans="1:11" x14ac:dyDescent="0.35">
      <c r="A2562" s="5">
        <v>45642</v>
      </c>
      <c r="B2562" s="3">
        <v>0.76667824074074076</v>
      </c>
      <c r="C2562" t="s">
        <v>8</v>
      </c>
      <c r="D2562" t="s">
        <v>43</v>
      </c>
      <c r="E2562" s="4">
        <v>30.86</v>
      </c>
      <c r="F2562" t="s">
        <v>36</v>
      </c>
      <c r="G2562" s="10" t="str">
        <f>TEXT(Transform_Data[[#This Row],[Date]],"mmm yyyy")</f>
        <v>Dec 2024</v>
      </c>
      <c r="H2562" s="10">
        <f>HOUR(Transform_Data[[#This Row],[Time]])</f>
        <v>18</v>
      </c>
      <c r="I2562" s="10" t="str">
        <f>IF(COUNTIF('Transform Data'!$D:$D,'Transform Data'!D2562)&gt;1,"Repeat","Single")</f>
        <v>Repeat</v>
      </c>
      <c r="J2562" s="10" t="str">
        <f>IF('Transform Data'!D2562="Cash","Cash",IF(COUNTIF('Transform Data'!$D:$D,'Transform Data'!D2562)&gt;1,"Repeat","Single"))</f>
        <v>Repeat</v>
      </c>
      <c r="K2562" s="10" t="str">
        <f t="shared" ref="K2562:K2625" si="40">"TRANS-"&amp;TEXT(ROW(A2561),"0000")</f>
        <v>TRANS-2561</v>
      </c>
    </row>
    <row r="2563" spans="1:11" x14ac:dyDescent="0.35">
      <c r="A2563" s="5">
        <v>45643</v>
      </c>
      <c r="B2563" s="3">
        <v>0.36687500000000001</v>
      </c>
      <c r="C2563" t="s">
        <v>8</v>
      </c>
      <c r="D2563" t="s">
        <v>1064</v>
      </c>
      <c r="E2563" s="4">
        <v>25.96</v>
      </c>
      <c r="F2563" t="s">
        <v>20</v>
      </c>
      <c r="G2563" s="10" t="str">
        <f>TEXT(Transform_Data[[#This Row],[Date]],"mmm yyyy")</f>
        <v>Dec 2024</v>
      </c>
      <c r="H2563" s="10">
        <f>HOUR(Transform_Data[[#This Row],[Time]])</f>
        <v>8</v>
      </c>
      <c r="I2563" s="10" t="str">
        <f>IF(COUNTIF('Transform Data'!$D:$D,'Transform Data'!D2563)&gt;1,"Repeat","Single")</f>
        <v>Single</v>
      </c>
      <c r="J2563" s="10" t="str">
        <f>IF('Transform Data'!D2563="Cash","Cash",IF(COUNTIF('Transform Data'!$D:$D,'Transform Data'!D2563)&gt;1,"Repeat","Single"))</f>
        <v>Single</v>
      </c>
      <c r="K2563" s="10" t="str">
        <f t="shared" si="40"/>
        <v>TRANS-2562</v>
      </c>
    </row>
    <row r="2564" spans="1:11" x14ac:dyDescent="0.35">
      <c r="A2564" s="5">
        <v>45643</v>
      </c>
      <c r="B2564" s="3">
        <v>0.36981481481481482</v>
      </c>
      <c r="C2564" t="s">
        <v>8</v>
      </c>
      <c r="D2564" t="s">
        <v>1065</v>
      </c>
      <c r="E2564" s="4">
        <v>35.76</v>
      </c>
      <c r="F2564" t="s">
        <v>24</v>
      </c>
      <c r="G2564" s="10" t="str">
        <f>TEXT(Transform_Data[[#This Row],[Date]],"mmm yyyy")</f>
        <v>Dec 2024</v>
      </c>
      <c r="H2564" s="10">
        <f>HOUR(Transform_Data[[#This Row],[Time]])</f>
        <v>8</v>
      </c>
      <c r="I2564" s="10" t="str">
        <f>IF(COUNTIF('Transform Data'!$D:$D,'Transform Data'!D2564)&gt;1,"Repeat","Single")</f>
        <v>Single</v>
      </c>
      <c r="J2564" s="10" t="str">
        <f>IF('Transform Data'!D2564="Cash","Cash",IF(COUNTIF('Transform Data'!$D:$D,'Transform Data'!D2564)&gt;1,"Repeat","Single"))</f>
        <v>Single</v>
      </c>
      <c r="K2564" s="10" t="str">
        <f t="shared" si="40"/>
        <v>TRANS-2563</v>
      </c>
    </row>
    <row r="2565" spans="1:11" x14ac:dyDescent="0.35">
      <c r="A2565" s="5">
        <v>45643</v>
      </c>
      <c r="B2565" s="3">
        <v>0.45075231481481481</v>
      </c>
      <c r="C2565" t="s">
        <v>8</v>
      </c>
      <c r="D2565" t="s">
        <v>29</v>
      </c>
      <c r="E2565" s="4">
        <v>30.86</v>
      </c>
      <c r="F2565" t="s">
        <v>36</v>
      </c>
      <c r="G2565" s="10" t="str">
        <f>TEXT(Transform_Data[[#This Row],[Date]],"mmm yyyy")</f>
        <v>Dec 2024</v>
      </c>
      <c r="H2565" s="10">
        <f>HOUR(Transform_Data[[#This Row],[Time]])</f>
        <v>10</v>
      </c>
      <c r="I2565" s="10" t="str">
        <f>IF(COUNTIF('Transform Data'!$D:$D,'Transform Data'!D2565)&gt;1,"Repeat","Single")</f>
        <v>Repeat</v>
      </c>
      <c r="J2565" s="10" t="str">
        <f>IF('Transform Data'!D2565="Cash","Cash",IF(COUNTIF('Transform Data'!$D:$D,'Transform Data'!D2565)&gt;1,"Repeat","Single"))</f>
        <v>Repeat</v>
      </c>
      <c r="K2565" s="10" t="str">
        <f t="shared" si="40"/>
        <v>TRANS-2564</v>
      </c>
    </row>
    <row r="2566" spans="1:11" x14ac:dyDescent="0.35">
      <c r="A2566" s="5">
        <v>45643</v>
      </c>
      <c r="B2566" s="3">
        <v>0.68234953703703705</v>
      </c>
      <c r="C2566" t="s">
        <v>8</v>
      </c>
      <c r="D2566" t="s">
        <v>1066</v>
      </c>
      <c r="E2566" s="4">
        <v>25.96</v>
      </c>
      <c r="F2566" t="s">
        <v>28</v>
      </c>
      <c r="G2566" s="10" t="str">
        <f>TEXT(Transform_Data[[#This Row],[Date]],"mmm yyyy")</f>
        <v>Dec 2024</v>
      </c>
      <c r="H2566" s="10">
        <f>HOUR(Transform_Data[[#This Row],[Time]])</f>
        <v>16</v>
      </c>
      <c r="I2566" s="10" t="str">
        <f>IF(COUNTIF('Transform Data'!$D:$D,'Transform Data'!D2566)&gt;1,"Repeat","Single")</f>
        <v>Repeat</v>
      </c>
      <c r="J2566" s="10" t="str">
        <f>IF('Transform Data'!D2566="Cash","Cash",IF(COUNTIF('Transform Data'!$D:$D,'Transform Data'!D2566)&gt;1,"Repeat","Single"))</f>
        <v>Repeat</v>
      </c>
      <c r="K2566" s="10" t="str">
        <f t="shared" si="40"/>
        <v>TRANS-2565</v>
      </c>
    </row>
    <row r="2567" spans="1:11" x14ac:dyDescent="0.35">
      <c r="A2567" s="5">
        <v>45643</v>
      </c>
      <c r="B2567" s="3">
        <v>0.68305555555555553</v>
      </c>
      <c r="C2567" t="s">
        <v>8</v>
      </c>
      <c r="D2567" t="s">
        <v>1066</v>
      </c>
      <c r="E2567" s="4">
        <v>35.76</v>
      </c>
      <c r="F2567" t="s">
        <v>10</v>
      </c>
      <c r="G2567" s="10" t="str">
        <f>TEXT(Transform_Data[[#This Row],[Date]],"mmm yyyy")</f>
        <v>Dec 2024</v>
      </c>
      <c r="H2567" s="10">
        <f>HOUR(Transform_Data[[#This Row],[Time]])</f>
        <v>16</v>
      </c>
      <c r="I2567" s="10" t="str">
        <f>IF(COUNTIF('Transform Data'!$D:$D,'Transform Data'!D2567)&gt;1,"Repeat","Single")</f>
        <v>Repeat</v>
      </c>
      <c r="J2567" s="10" t="str">
        <f>IF('Transform Data'!D2567="Cash","Cash",IF(COUNTIF('Transform Data'!$D:$D,'Transform Data'!D2567)&gt;1,"Repeat","Single"))</f>
        <v>Repeat</v>
      </c>
      <c r="K2567" s="10" t="str">
        <f t="shared" si="40"/>
        <v>TRANS-2566</v>
      </c>
    </row>
    <row r="2568" spans="1:11" x14ac:dyDescent="0.35">
      <c r="A2568" s="5">
        <v>45643</v>
      </c>
      <c r="B2568" s="3">
        <v>0.71831018518518519</v>
      </c>
      <c r="C2568" t="s">
        <v>8</v>
      </c>
      <c r="D2568" t="s">
        <v>716</v>
      </c>
      <c r="E2568" s="4">
        <v>35.76</v>
      </c>
      <c r="F2568" t="s">
        <v>24</v>
      </c>
      <c r="G2568" s="10" t="str">
        <f>TEXT(Transform_Data[[#This Row],[Date]],"mmm yyyy")</f>
        <v>Dec 2024</v>
      </c>
      <c r="H2568" s="10">
        <f>HOUR(Transform_Data[[#This Row],[Time]])</f>
        <v>17</v>
      </c>
      <c r="I2568" s="10" t="str">
        <f>IF(COUNTIF('Transform Data'!$D:$D,'Transform Data'!D2568)&gt;1,"Repeat","Single")</f>
        <v>Repeat</v>
      </c>
      <c r="J2568" s="10" t="str">
        <f>IF('Transform Data'!D2568="Cash","Cash",IF(COUNTIF('Transform Data'!$D:$D,'Transform Data'!D2568)&gt;1,"Repeat","Single"))</f>
        <v>Repeat</v>
      </c>
      <c r="K2568" s="10" t="str">
        <f t="shared" si="40"/>
        <v>TRANS-2567</v>
      </c>
    </row>
    <row r="2569" spans="1:11" x14ac:dyDescent="0.35">
      <c r="A2569" s="5">
        <v>45643</v>
      </c>
      <c r="B2569" s="3">
        <v>0.78815972222222219</v>
      </c>
      <c r="C2569" t="s">
        <v>8</v>
      </c>
      <c r="D2569" t="s">
        <v>959</v>
      </c>
      <c r="E2569" s="4">
        <v>35.76</v>
      </c>
      <c r="F2569" t="s">
        <v>10</v>
      </c>
      <c r="G2569" s="10" t="str">
        <f>TEXT(Transform_Data[[#This Row],[Date]],"mmm yyyy")</f>
        <v>Dec 2024</v>
      </c>
      <c r="H2569" s="10">
        <f>HOUR(Transform_Data[[#This Row],[Time]])</f>
        <v>18</v>
      </c>
      <c r="I2569" s="10" t="str">
        <f>IF(COUNTIF('Transform Data'!$D:$D,'Transform Data'!D2569)&gt;1,"Repeat","Single")</f>
        <v>Repeat</v>
      </c>
      <c r="J2569" s="10" t="str">
        <f>IF('Transform Data'!D2569="Cash","Cash",IF(COUNTIF('Transform Data'!$D:$D,'Transform Data'!D2569)&gt;1,"Repeat","Single"))</f>
        <v>Repeat</v>
      </c>
      <c r="K2569" s="10" t="str">
        <f t="shared" si="40"/>
        <v>TRANS-2568</v>
      </c>
    </row>
    <row r="2570" spans="1:11" x14ac:dyDescent="0.35">
      <c r="A2570" s="5">
        <v>45644</v>
      </c>
      <c r="B2570" s="3">
        <v>0.3961574074074074</v>
      </c>
      <c r="C2570" t="s">
        <v>8</v>
      </c>
      <c r="D2570" t="s">
        <v>1067</v>
      </c>
      <c r="E2570" s="4">
        <v>35.76</v>
      </c>
      <c r="F2570" t="s">
        <v>32</v>
      </c>
      <c r="G2570" s="10" t="str">
        <f>TEXT(Transform_Data[[#This Row],[Date]],"mmm yyyy")</f>
        <v>Dec 2024</v>
      </c>
      <c r="H2570" s="10">
        <f>HOUR(Transform_Data[[#This Row],[Time]])</f>
        <v>9</v>
      </c>
      <c r="I2570" s="10" t="str">
        <f>IF(COUNTIF('Transform Data'!$D:$D,'Transform Data'!D2570)&gt;1,"Repeat","Single")</f>
        <v>Single</v>
      </c>
      <c r="J2570" s="10" t="str">
        <f>IF('Transform Data'!D2570="Cash","Cash",IF(COUNTIF('Transform Data'!$D:$D,'Transform Data'!D2570)&gt;1,"Repeat","Single"))</f>
        <v>Single</v>
      </c>
      <c r="K2570" s="10" t="str">
        <f t="shared" si="40"/>
        <v>TRANS-2569</v>
      </c>
    </row>
    <row r="2571" spans="1:11" x14ac:dyDescent="0.35">
      <c r="A2571" s="5">
        <v>45644</v>
      </c>
      <c r="B2571" s="3">
        <v>0.41760416666666667</v>
      </c>
      <c r="C2571" t="s">
        <v>8</v>
      </c>
      <c r="D2571" t="s">
        <v>1068</v>
      </c>
      <c r="E2571" s="4">
        <v>30.86</v>
      </c>
      <c r="F2571" t="s">
        <v>36</v>
      </c>
      <c r="G2571" s="10" t="str">
        <f>TEXT(Transform_Data[[#This Row],[Date]],"mmm yyyy")</f>
        <v>Dec 2024</v>
      </c>
      <c r="H2571" s="10">
        <f>HOUR(Transform_Data[[#This Row],[Time]])</f>
        <v>10</v>
      </c>
      <c r="I2571" s="10" t="str">
        <f>IF(COUNTIF('Transform Data'!$D:$D,'Transform Data'!D2571)&gt;1,"Repeat","Single")</f>
        <v>Repeat</v>
      </c>
      <c r="J2571" s="10" t="str">
        <f>IF('Transform Data'!D2571="Cash","Cash",IF(COUNTIF('Transform Data'!$D:$D,'Transform Data'!D2571)&gt;1,"Repeat","Single"))</f>
        <v>Repeat</v>
      </c>
      <c r="K2571" s="10" t="str">
        <f t="shared" si="40"/>
        <v>TRANS-2570</v>
      </c>
    </row>
    <row r="2572" spans="1:11" x14ac:dyDescent="0.35">
      <c r="A2572" s="5">
        <v>45644</v>
      </c>
      <c r="B2572" s="3">
        <v>0.41877314814814814</v>
      </c>
      <c r="C2572" t="s">
        <v>8</v>
      </c>
      <c r="D2572" t="s">
        <v>1068</v>
      </c>
      <c r="E2572" s="4">
        <v>35.76</v>
      </c>
      <c r="F2572" t="s">
        <v>32</v>
      </c>
      <c r="G2572" s="10" t="str">
        <f>TEXT(Transform_Data[[#This Row],[Date]],"mmm yyyy")</f>
        <v>Dec 2024</v>
      </c>
      <c r="H2572" s="10">
        <f>HOUR(Transform_Data[[#This Row],[Time]])</f>
        <v>10</v>
      </c>
      <c r="I2572" s="10" t="str">
        <f>IF(COUNTIF('Transform Data'!$D:$D,'Transform Data'!D2572)&gt;1,"Repeat","Single")</f>
        <v>Repeat</v>
      </c>
      <c r="J2572" s="10" t="str">
        <f>IF('Transform Data'!D2572="Cash","Cash",IF(COUNTIF('Transform Data'!$D:$D,'Transform Data'!D2572)&gt;1,"Repeat","Single"))</f>
        <v>Repeat</v>
      </c>
      <c r="K2572" s="10" t="str">
        <f t="shared" si="40"/>
        <v>TRANS-2571</v>
      </c>
    </row>
    <row r="2573" spans="1:11" x14ac:dyDescent="0.35">
      <c r="A2573" s="5">
        <v>45644</v>
      </c>
      <c r="B2573" s="3">
        <v>0.41947916666666668</v>
      </c>
      <c r="C2573" t="s">
        <v>8</v>
      </c>
      <c r="D2573" t="s">
        <v>1068</v>
      </c>
      <c r="E2573" s="4">
        <v>35.76</v>
      </c>
      <c r="F2573" t="s">
        <v>24</v>
      </c>
      <c r="G2573" s="10" t="str">
        <f>TEXT(Transform_Data[[#This Row],[Date]],"mmm yyyy")</f>
        <v>Dec 2024</v>
      </c>
      <c r="H2573" s="10">
        <f>HOUR(Transform_Data[[#This Row],[Time]])</f>
        <v>10</v>
      </c>
      <c r="I2573" s="10" t="str">
        <f>IF(COUNTIF('Transform Data'!$D:$D,'Transform Data'!D2573)&gt;1,"Repeat","Single")</f>
        <v>Repeat</v>
      </c>
      <c r="J2573" s="10" t="str">
        <f>IF('Transform Data'!D2573="Cash","Cash",IF(COUNTIF('Transform Data'!$D:$D,'Transform Data'!D2573)&gt;1,"Repeat","Single"))</f>
        <v>Repeat</v>
      </c>
      <c r="K2573" s="10" t="str">
        <f t="shared" si="40"/>
        <v>TRANS-2572</v>
      </c>
    </row>
    <row r="2574" spans="1:11" x14ac:dyDescent="0.35">
      <c r="A2574" s="5">
        <v>45645</v>
      </c>
      <c r="B2574" s="3">
        <v>0.42512731481481481</v>
      </c>
      <c r="C2574" t="s">
        <v>8</v>
      </c>
      <c r="D2574" t="s">
        <v>1069</v>
      </c>
      <c r="E2574" s="4">
        <v>35.76</v>
      </c>
      <c r="F2574" t="s">
        <v>15</v>
      </c>
      <c r="G2574" s="10" t="str">
        <f>TEXT(Transform_Data[[#This Row],[Date]],"mmm yyyy")</f>
        <v>Dec 2024</v>
      </c>
      <c r="H2574" s="10">
        <f>HOUR(Transform_Data[[#This Row],[Time]])</f>
        <v>10</v>
      </c>
      <c r="I2574" s="10" t="str">
        <f>IF(COUNTIF('Transform Data'!$D:$D,'Transform Data'!D2574)&gt;1,"Repeat","Single")</f>
        <v>Single</v>
      </c>
      <c r="J2574" s="10" t="str">
        <f>IF('Transform Data'!D2574="Cash","Cash",IF(COUNTIF('Transform Data'!$D:$D,'Transform Data'!D2574)&gt;1,"Repeat","Single"))</f>
        <v>Single</v>
      </c>
      <c r="K2574" s="10" t="str">
        <f t="shared" si="40"/>
        <v>TRANS-2573</v>
      </c>
    </row>
    <row r="2575" spans="1:11" x14ac:dyDescent="0.35">
      <c r="A2575" s="5">
        <v>45645</v>
      </c>
      <c r="B2575" s="3">
        <v>0.47619212962962965</v>
      </c>
      <c r="C2575" t="s">
        <v>8</v>
      </c>
      <c r="D2575" t="s">
        <v>29</v>
      </c>
      <c r="E2575" s="4">
        <v>30.86</v>
      </c>
      <c r="F2575" t="s">
        <v>36</v>
      </c>
      <c r="G2575" s="10" t="str">
        <f>TEXT(Transform_Data[[#This Row],[Date]],"mmm yyyy")</f>
        <v>Dec 2024</v>
      </c>
      <c r="H2575" s="10">
        <f>HOUR(Transform_Data[[#This Row],[Time]])</f>
        <v>11</v>
      </c>
      <c r="I2575" s="10" t="str">
        <f>IF(COUNTIF('Transform Data'!$D:$D,'Transform Data'!D2575)&gt;1,"Repeat","Single")</f>
        <v>Repeat</v>
      </c>
      <c r="J2575" s="10" t="str">
        <f>IF('Transform Data'!D2575="Cash","Cash",IF(COUNTIF('Transform Data'!$D:$D,'Transform Data'!D2575)&gt;1,"Repeat","Single"))</f>
        <v>Repeat</v>
      </c>
      <c r="K2575" s="10" t="str">
        <f t="shared" si="40"/>
        <v>TRANS-2574</v>
      </c>
    </row>
    <row r="2576" spans="1:11" x14ac:dyDescent="0.35">
      <c r="A2576" s="5">
        <v>45645</v>
      </c>
      <c r="B2576" s="3">
        <v>0.50754629629629633</v>
      </c>
      <c r="C2576" t="s">
        <v>8</v>
      </c>
      <c r="D2576" t="s">
        <v>1070</v>
      </c>
      <c r="E2576" s="4">
        <v>21.06</v>
      </c>
      <c r="F2576" t="s">
        <v>5</v>
      </c>
      <c r="G2576" s="10" t="str">
        <f>TEXT(Transform_Data[[#This Row],[Date]],"mmm yyyy")</f>
        <v>Dec 2024</v>
      </c>
      <c r="H2576" s="10">
        <f>HOUR(Transform_Data[[#This Row],[Time]])</f>
        <v>12</v>
      </c>
      <c r="I2576" s="10" t="str">
        <f>IF(COUNTIF('Transform Data'!$D:$D,'Transform Data'!D2576)&gt;1,"Repeat","Single")</f>
        <v>Single</v>
      </c>
      <c r="J2576" s="10" t="str">
        <f>IF('Transform Data'!D2576="Cash","Cash",IF(COUNTIF('Transform Data'!$D:$D,'Transform Data'!D2576)&gt;1,"Repeat","Single"))</f>
        <v>Single</v>
      </c>
      <c r="K2576" s="10" t="str">
        <f t="shared" si="40"/>
        <v>TRANS-2575</v>
      </c>
    </row>
    <row r="2577" spans="1:11" x14ac:dyDescent="0.35">
      <c r="A2577" s="5">
        <v>45645</v>
      </c>
      <c r="B2577" s="3">
        <v>0.56870370370370371</v>
      </c>
      <c r="C2577" t="s">
        <v>8</v>
      </c>
      <c r="D2577" t="s">
        <v>1071</v>
      </c>
      <c r="E2577" s="4">
        <v>35.76</v>
      </c>
      <c r="F2577" t="s">
        <v>15</v>
      </c>
      <c r="G2577" s="10" t="str">
        <f>TEXT(Transform_Data[[#This Row],[Date]],"mmm yyyy")</f>
        <v>Dec 2024</v>
      </c>
      <c r="H2577" s="10">
        <f>HOUR(Transform_Data[[#This Row],[Time]])</f>
        <v>13</v>
      </c>
      <c r="I2577" s="10" t="str">
        <f>IF(COUNTIF('Transform Data'!$D:$D,'Transform Data'!D2577)&gt;1,"Repeat","Single")</f>
        <v>Single</v>
      </c>
      <c r="J2577" s="10" t="str">
        <f>IF('Transform Data'!D2577="Cash","Cash",IF(COUNTIF('Transform Data'!$D:$D,'Transform Data'!D2577)&gt;1,"Repeat","Single"))</f>
        <v>Single</v>
      </c>
      <c r="K2577" s="10" t="str">
        <f t="shared" si="40"/>
        <v>TRANS-2576</v>
      </c>
    </row>
    <row r="2578" spans="1:11" x14ac:dyDescent="0.35">
      <c r="A2578" s="5">
        <v>45645</v>
      </c>
      <c r="B2578" s="3">
        <v>0.79231481481481481</v>
      </c>
      <c r="C2578" t="s">
        <v>8</v>
      </c>
      <c r="D2578" t="s">
        <v>260</v>
      </c>
      <c r="E2578" s="4">
        <v>35.76</v>
      </c>
      <c r="F2578" t="s">
        <v>24</v>
      </c>
      <c r="G2578" s="10" t="str">
        <f>TEXT(Transform_Data[[#This Row],[Date]],"mmm yyyy")</f>
        <v>Dec 2024</v>
      </c>
      <c r="H2578" s="10">
        <f>HOUR(Transform_Data[[#This Row],[Time]])</f>
        <v>19</v>
      </c>
      <c r="I2578" s="10" t="str">
        <f>IF(COUNTIF('Transform Data'!$D:$D,'Transform Data'!D2578)&gt;1,"Repeat","Single")</f>
        <v>Repeat</v>
      </c>
      <c r="J2578" s="10" t="str">
        <f>IF('Transform Data'!D2578="Cash","Cash",IF(COUNTIF('Transform Data'!$D:$D,'Transform Data'!D2578)&gt;1,"Repeat","Single"))</f>
        <v>Repeat</v>
      </c>
      <c r="K2578" s="10" t="str">
        <f t="shared" si="40"/>
        <v>TRANS-2577</v>
      </c>
    </row>
    <row r="2579" spans="1:11" x14ac:dyDescent="0.35">
      <c r="A2579" s="5">
        <v>45645</v>
      </c>
      <c r="B2579" s="3">
        <v>0.79907407407407405</v>
      </c>
      <c r="C2579" t="s">
        <v>8</v>
      </c>
      <c r="D2579" t="s">
        <v>16</v>
      </c>
      <c r="E2579" s="4">
        <v>35.76</v>
      </c>
      <c r="F2579" t="s">
        <v>24</v>
      </c>
      <c r="G2579" s="10" t="str">
        <f>TEXT(Transform_Data[[#This Row],[Date]],"mmm yyyy")</f>
        <v>Dec 2024</v>
      </c>
      <c r="H2579" s="10">
        <f>HOUR(Transform_Data[[#This Row],[Time]])</f>
        <v>19</v>
      </c>
      <c r="I2579" s="10" t="str">
        <f>IF(COUNTIF('Transform Data'!$D:$D,'Transform Data'!D2579)&gt;1,"Repeat","Single")</f>
        <v>Repeat</v>
      </c>
      <c r="J2579" s="10" t="str">
        <f>IF('Transform Data'!D2579="Cash","Cash",IF(COUNTIF('Transform Data'!$D:$D,'Transform Data'!D2579)&gt;1,"Repeat","Single"))</f>
        <v>Repeat</v>
      </c>
      <c r="K2579" s="10" t="str">
        <f t="shared" si="40"/>
        <v>TRANS-2578</v>
      </c>
    </row>
    <row r="2580" spans="1:11" x14ac:dyDescent="0.35">
      <c r="A2580" s="5">
        <v>45645</v>
      </c>
      <c r="B2580" s="3">
        <v>0.82520833333333332</v>
      </c>
      <c r="C2580" t="s">
        <v>8</v>
      </c>
      <c r="D2580" t="s">
        <v>1072</v>
      </c>
      <c r="E2580" s="4">
        <v>30.86</v>
      </c>
      <c r="F2580" t="s">
        <v>36</v>
      </c>
      <c r="G2580" s="10" t="str">
        <f>TEXT(Transform_Data[[#This Row],[Date]],"mmm yyyy")</f>
        <v>Dec 2024</v>
      </c>
      <c r="H2580" s="10">
        <f>HOUR(Transform_Data[[#This Row],[Time]])</f>
        <v>19</v>
      </c>
      <c r="I2580" s="10" t="str">
        <f>IF(COUNTIF('Transform Data'!$D:$D,'Transform Data'!D2580)&gt;1,"Repeat","Single")</f>
        <v>Repeat</v>
      </c>
      <c r="J2580" s="10" t="str">
        <f>IF('Transform Data'!D2580="Cash","Cash",IF(COUNTIF('Transform Data'!$D:$D,'Transform Data'!D2580)&gt;1,"Repeat","Single"))</f>
        <v>Repeat</v>
      </c>
      <c r="K2580" s="10" t="str">
        <f t="shared" si="40"/>
        <v>TRANS-2579</v>
      </c>
    </row>
    <row r="2581" spans="1:11" x14ac:dyDescent="0.35">
      <c r="A2581" s="5">
        <v>45645</v>
      </c>
      <c r="B2581" s="3">
        <v>0.82618055555555558</v>
      </c>
      <c r="C2581" t="s">
        <v>8</v>
      </c>
      <c r="D2581" t="s">
        <v>1072</v>
      </c>
      <c r="E2581" s="4">
        <v>35.76</v>
      </c>
      <c r="F2581" t="s">
        <v>15</v>
      </c>
      <c r="G2581" s="10" t="str">
        <f>TEXT(Transform_Data[[#This Row],[Date]],"mmm yyyy")</f>
        <v>Dec 2024</v>
      </c>
      <c r="H2581" s="10">
        <f>HOUR(Transform_Data[[#This Row],[Time]])</f>
        <v>19</v>
      </c>
      <c r="I2581" s="10" t="str">
        <f>IF(COUNTIF('Transform Data'!$D:$D,'Transform Data'!D2581)&gt;1,"Repeat","Single")</f>
        <v>Repeat</v>
      </c>
      <c r="J2581" s="10" t="str">
        <f>IF('Transform Data'!D2581="Cash","Cash",IF(COUNTIF('Transform Data'!$D:$D,'Transform Data'!D2581)&gt;1,"Repeat","Single"))</f>
        <v>Repeat</v>
      </c>
      <c r="K2581" s="10" t="str">
        <f t="shared" si="40"/>
        <v>TRANS-2580</v>
      </c>
    </row>
    <row r="2582" spans="1:11" x14ac:dyDescent="0.35">
      <c r="A2582" s="5">
        <v>45645</v>
      </c>
      <c r="B2582" s="3">
        <v>0.88068287037037041</v>
      </c>
      <c r="C2582" t="s">
        <v>8</v>
      </c>
      <c r="D2582" t="s">
        <v>1073</v>
      </c>
      <c r="E2582" s="4">
        <v>35.76</v>
      </c>
      <c r="F2582" t="s">
        <v>32</v>
      </c>
      <c r="G2582" s="10" t="str">
        <f>TEXT(Transform_Data[[#This Row],[Date]],"mmm yyyy")</f>
        <v>Dec 2024</v>
      </c>
      <c r="H2582" s="10">
        <f>HOUR(Transform_Data[[#This Row],[Time]])</f>
        <v>21</v>
      </c>
      <c r="I2582" s="10" t="str">
        <f>IF(COUNTIF('Transform Data'!$D:$D,'Transform Data'!D2582)&gt;1,"Repeat","Single")</f>
        <v>Repeat</v>
      </c>
      <c r="J2582" s="10" t="str">
        <f>IF('Transform Data'!D2582="Cash","Cash",IF(COUNTIF('Transform Data'!$D:$D,'Transform Data'!D2582)&gt;1,"Repeat","Single"))</f>
        <v>Repeat</v>
      </c>
      <c r="K2582" s="10" t="str">
        <f t="shared" si="40"/>
        <v>TRANS-2581</v>
      </c>
    </row>
    <row r="2583" spans="1:11" x14ac:dyDescent="0.35">
      <c r="A2583" s="5">
        <v>45645</v>
      </c>
      <c r="B2583" s="3">
        <v>0.88142361111111112</v>
      </c>
      <c r="C2583" t="s">
        <v>8</v>
      </c>
      <c r="D2583" t="s">
        <v>1073</v>
      </c>
      <c r="E2583" s="4">
        <v>35.76</v>
      </c>
      <c r="F2583" t="s">
        <v>24</v>
      </c>
      <c r="G2583" s="10" t="str">
        <f>TEXT(Transform_Data[[#This Row],[Date]],"mmm yyyy")</f>
        <v>Dec 2024</v>
      </c>
      <c r="H2583" s="10">
        <f>HOUR(Transform_Data[[#This Row],[Time]])</f>
        <v>21</v>
      </c>
      <c r="I2583" s="10" t="str">
        <f>IF(COUNTIF('Transform Data'!$D:$D,'Transform Data'!D2583)&gt;1,"Repeat","Single")</f>
        <v>Repeat</v>
      </c>
      <c r="J2583" s="10" t="str">
        <f>IF('Transform Data'!D2583="Cash","Cash",IF(COUNTIF('Transform Data'!$D:$D,'Transform Data'!D2583)&gt;1,"Repeat","Single"))</f>
        <v>Repeat</v>
      </c>
      <c r="K2583" s="10" t="str">
        <f t="shared" si="40"/>
        <v>TRANS-2582</v>
      </c>
    </row>
    <row r="2584" spans="1:11" x14ac:dyDescent="0.35">
      <c r="A2584" s="5">
        <v>45646</v>
      </c>
      <c r="B2584" s="3">
        <v>0.34364583333333332</v>
      </c>
      <c r="C2584" t="s">
        <v>8</v>
      </c>
      <c r="D2584" t="s">
        <v>40</v>
      </c>
      <c r="E2584" s="4">
        <v>25.96</v>
      </c>
      <c r="F2584" t="s">
        <v>20</v>
      </c>
      <c r="G2584" s="10" t="str">
        <f>TEXT(Transform_Data[[#This Row],[Date]],"mmm yyyy")</f>
        <v>Dec 2024</v>
      </c>
      <c r="H2584" s="10">
        <f>HOUR(Transform_Data[[#This Row],[Time]])</f>
        <v>8</v>
      </c>
      <c r="I2584" s="10" t="str">
        <f>IF(COUNTIF('Transform Data'!$D:$D,'Transform Data'!D2584)&gt;1,"Repeat","Single")</f>
        <v>Repeat</v>
      </c>
      <c r="J2584" s="10" t="str">
        <f>IF('Transform Data'!D2584="Cash","Cash",IF(COUNTIF('Transform Data'!$D:$D,'Transform Data'!D2584)&gt;1,"Repeat","Single"))</f>
        <v>Repeat</v>
      </c>
      <c r="K2584" s="10" t="str">
        <f t="shared" si="40"/>
        <v>TRANS-2583</v>
      </c>
    </row>
    <row r="2585" spans="1:11" x14ac:dyDescent="0.35">
      <c r="A2585" s="5">
        <v>45646</v>
      </c>
      <c r="B2585" s="3">
        <v>0.40241898148148147</v>
      </c>
      <c r="C2585" t="s">
        <v>8</v>
      </c>
      <c r="D2585" t="s">
        <v>29</v>
      </c>
      <c r="E2585" s="4">
        <v>30.86</v>
      </c>
      <c r="F2585" t="s">
        <v>36</v>
      </c>
      <c r="G2585" s="10" t="str">
        <f>TEXT(Transform_Data[[#This Row],[Date]],"mmm yyyy")</f>
        <v>Dec 2024</v>
      </c>
      <c r="H2585" s="10">
        <f>HOUR(Transform_Data[[#This Row],[Time]])</f>
        <v>9</v>
      </c>
      <c r="I2585" s="10" t="str">
        <f>IF(COUNTIF('Transform Data'!$D:$D,'Transform Data'!D2585)&gt;1,"Repeat","Single")</f>
        <v>Repeat</v>
      </c>
      <c r="J2585" s="10" t="str">
        <f>IF('Transform Data'!D2585="Cash","Cash",IF(COUNTIF('Transform Data'!$D:$D,'Transform Data'!D2585)&gt;1,"Repeat","Single"))</f>
        <v>Repeat</v>
      </c>
      <c r="K2585" s="10" t="str">
        <f t="shared" si="40"/>
        <v>TRANS-2584</v>
      </c>
    </row>
    <row r="2586" spans="1:11" x14ac:dyDescent="0.35">
      <c r="A2586" s="5">
        <v>45646</v>
      </c>
      <c r="B2586" s="3">
        <v>0.42548611111111112</v>
      </c>
      <c r="C2586" t="s">
        <v>8</v>
      </c>
      <c r="D2586" t="s">
        <v>1074</v>
      </c>
      <c r="E2586" s="4">
        <v>35.76</v>
      </c>
      <c r="F2586" t="s">
        <v>24</v>
      </c>
      <c r="G2586" s="10" t="str">
        <f>TEXT(Transform_Data[[#This Row],[Date]],"mmm yyyy")</f>
        <v>Dec 2024</v>
      </c>
      <c r="H2586" s="10">
        <f>HOUR(Transform_Data[[#This Row],[Time]])</f>
        <v>10</v>
      </c>
      <c r="I2586" s="10" t="str">
        <f>IF(COUNTIF('Transform Data'!$D:$D,'Transform Data'!D2586)&gt;1,"Repeat","Single")</f>
        <v>Single</v>
      </c>
      <c r="J2586" s="10" t="str">
        <f>IF('Transform Data'!D2586="Cash","Cash",IF(COUNTIF('Transform Data'!$D:$D,'Transform Data'!D2586)&gt;1,"Repeat","Single"))</f>
        <v>Single</v>
      </c>
      <c r="K2586" s="10" t="str">
        <f t="shared" si="40"/>
        <v>TRANS-2585</v>
      </c>
    </row>
    <row r="2587" spans="1:11" x14ac:dyDescent="0.35">
      <c r="A2587" s="5">
        <v>45646</v>
      </c>
      <c r="B2587" s="3">
        <v>0.45519675925925923</v>
      </c>
      <c r="C2587" t="s">
        <v>8</v>
      </c>
      <c r="D2587" t="s">
        <v>40</v>
      </c>
      <c r="E2587" s="4">
        <v>25.96</v>
      </c>
      <c r="F2587" t="s">
        <v>20</v>
      </c>
      <c r="G2587" s="10" t="str">
        <f>TEXT(Transform_Data[[#This Row],[Date]],"mmm yyyy")</f>
        <v>Dec 2024</v>
      </c>
      <c r="H2587" s="10">
        <f>HOUR(Transform_Data[[#This Row],[Time]])</f>
        <v>10</v>
      </c>
      <c r="I2587" s="10" t="str">
        <f>IF(COUNTIF('Transform Data'!$D:$D,'Transform Data'!D2587)&gt;1,"Repeat","Single")</f>
        <v>Repeat</v>
      </c>
      <c r="J2587" s="10" t="str">
        <f>IF('Transform Data'!D2587="Cash","Cash",IF(COUNTIF('Transform Data'!$D:$D,'Transform Data'!D2587)&gt;1,"Repeat","Single"))</f>
        <v>Repeat</v>
      </c>
      <c r="K2587" s="10" t="str">
        <f t="shared" si="40"/>
        <v>TRANS-2586</v>
      </c>
    </row>
    <row r="2588" spans="1:11" x14ac:dyDescent="0.35">
      <c r="A2588" s="5">
        <v>45646</v>
      </c>
      <c r="B2588" s="3">
        <v>0.51478009259259261</v>
      </c>
      <c r="C2588" t="s">
        <v>8</v>
      </c>
      <c r="D2588" t="s">
        <v>871</v>
      </c>
      <c r="E2588" s="4">
        <v>21.06</v>
      </c>
      <c r="F2588" t="s">
        <v>5</v>
      </c>
      <c r="G2588" s="10" t="str">
        <f>TEXT(Transform_Data[[#This Row],[Date]],"mmm yyyy")</f>
        <v>Dec 2024</v>
      </c>
      <c r="H2588" s="10">
        <f>HOUR(Transform_Data[[#This Row],[Time]])</f>
        <v>12</v>
      </c>
      <c r="I2588" s="10" t="str">
        <f>IF(COUNTIF('Transform Data'!$D:$D,'Transform Data'!D2588)&gt;1,"Repeat","Single")</f>
        <v>Repeat</v>
      </c>
      <c r="J2588" s="10" t="str">
        <f>IF('Transform Data'!D2588="Cash","Cash",IF(COUNTIF('Transform Data'!$D:$D,'Transform Data'!D2588)&gt;1,"Repeat","Single"))</f>
        <v>Repeat</v>
      </c>
      <c r="K2588" s="10" t="str">
        <f t="shared" si="40"/>
        <v>TRANS-2587</v>
      </c>
    </row>
    <row r="2589" spans="1:11" x14ac:dyDescent="0.35">
      <c r="A2589" s="5">
        <v>45646</v>
      </c>
      <c r="B2589" s="3">
        <v>0.5158449074074074</v>
      </c>
      <c r="C2589" t="s">
        <v>8</v>
      </c>
      <c r="D2589" t="s">
        <v>871</v>
      </c>
      <c r="E2589" s="4">
        <v>30.86</v>
      </c>
      <c r="F2589" t="s">
        <v>36</v>
      </c>
      <c r="G2589" s="10" t="str">
        <f>TEXT(Transform_Data[[#This Row],[Date]],"mmm yyyy")</f>
        <v>Dec 2024</v>
      </c>
      <c r="H2589" s="10">
        <f>HOUR(Transform_Data[[#This Row],[Time]])</f>
        <v>12</v>
      </c>
      <c r="I2589" s="10" t="str">
        <f>IF(COUNTIF('Transform Data'!$D:$D,'Transform Data'!D2589)&gt;1,"Repeat","Single")</f>
        <v>Repeat</v>
      </c>
      <c r="J2589" s="10" t="str">
        <f>IF('Transform Data'!D2589="Cash","Cash",IF(COUNTIF('Transform Data'!$D:$D,'Transform Data'!D2589)&gt;1,"Repeat","Single"))</f>
        <v>Repeat</v>
      </c>
      <c r="K2589" s="10" t="str">
        <f t="shared" si="40"/>
        <v>TRANS-2588</v>
      </c>
    </row>
    <row r="2590" spans="1:11" x14ac:dyDescent="0.35">
      <c r="A2590" s="5">
        <v>45646</v>
      </c>
      <c r="B2590" s="3">
        <v>0.62384259259259256</v>
      </c>
      <c r="C2590" t="s">
        <v>8</v>
      </c>
      <c r="D2590" t="s">
        <v>1075</v>
      </c>
      <c r="E2590" s="4">
        <v>25.96</v>
      </c>
      <c r="F2590" t="s">
        <v>20</v>
      </c>
      <c r="G2590" s="10" t="str">
        <f>TEXT(Transform_Data[[#This Row],[Date]],"mmm yyyy")</f>
        <v>Dec 2024</v>
      </c>
      <c r="H2590" s="10">
        <f>HOUR(Transform_Data[[#This Row],[Time]])</f>
        <v>14</v>
      </c>
      <c r="I2590" s="10" t="str">
        <f>IF(COUNTIF('Transform Data'!$D:$D,'Transform Data'!D2590)&gt;1,"Repeat","Single")</f>
        <v>Single</v>
      </c>
      <c r="J2590" s="10" t="str">
        <f>IF('Transform Data'!D2590="Cash","Cash",IF(COUNTIF('Transform Data'!$D:$D,'Transform Data'!D2590)&gt;1,"Repeat","Single"))</f>
        <v>Single</v>
      </c>
      <c r="K2590" s="10" t="str">
        <f t="shared" si="40"/>
        <v>TRANS-2589</v>
      </c>
    </row>
    <row r="2591" spans="1:11" x14ac:dyDescent="0.35">
      <c r="A2591" s="5">
        <v>45646</v>
      </c>
      <c r="B2591" s="3">
        <v>0.76969907407407412</v>
      </c>
      <c r="C2591" t="s">
        <v>8</v>
      </c>
      <c r="D2591" t="s">
        <v>1076</v>
      </c>
      <c r="E2591" s="4">
        <v>35.76</v>
      </c>
      <c r="F2591" t="s">
        <v>24</v>
      </c>
      <c r="G2591" s="10" t="str">
        <f>TEXT(Transform_Data[[#This Row],[Date]],"mmm yyyy")</f>
        <v>Dec 2024</v>
      </c>
      <c r="H2591" s="10">
        <f>HOUR(Transform_Data[[#This Row],[Time]])</f>
        <v>18</v>
      </c>
      <c r="I2591" s="10" t="str">
        <f>IF(COUNTIF('Transform Data'!$D:$D,'Transform Data'!D2591)&gt;1,"Repeat","Single")</f>
        <v>Single</v>
      </c>
      <c r="J2591" s="10" t="str">
        <f>IF('Transform Data'!D2591="Cash","Cash",IF(COUNTIF('Transform Data'!$D:$D,'Transform Data'!D2591)&gt;1,"Repeat","Single"))</f>
        <v>Single</v>
      </c>
      <c r="K2591" s="10" t="str">
        <f t="shared" si="40"/>
        <v>TRANS-2590</v>
      </c>
    </row>
    <row r="2592" spans="1:11" x14ac:dyDescent="0.35">
      <c r="A2592" s="5">
        <v>45646</v>
      </c>
      <c r="B2592" s="3">
        <v>0.78973379629629625</v>
      </c>
      <c r="C2592" t="s">
        <v>8</v>
      </c>
      <c r="D2592" t="s">
        <v>260</v>
      </c>
      <c r="E2592" s="4">
        <v>35.76</v>
      </c>
      <c r="F2592" t="s">
        <v>24</v>
      </c>
      <c r="G2592" s="10" t="str">
        <f>TEXT(Transform_Data[[#This Row],[Date]],"mmm yyyy")</f>
        <v>Dec 2024</v>
      </c>
      <c r="H2592" s="10">
        <f>HOUR(Transform_Data[[#This Row],[Time]])</f>
        <v>18</v>
      </c>
      <c r="I2592" s="10" t="str">
        <f>IF(COUNTIF('Transform Data'!$D:$D,'Transform Data'!D2592)&gt;1,"Repeat","Single")</f>
        <v>Repeat</v>
      </c>
      <c r="J2592" s="10" t="str">
        <f>IF('Transform Data'!D2592="Cash","Cash",IF(COUNTIF('Transform Data'!$D:$D,'Transform Data'!D2592)&gt;1,"Repeat","Single"))</f>
        <v>Repeat</v>
      </c>
      <c r="K2592" s="10" t="str">
        <f t="shared" si="40"/>
        <v>TRANS-2591</v>
      </c>
    </row>
    <row r="2593" spans="1:11" x14ac:dyDescent="0.35">
      <c r="A2593" s="5">
        <v>45647</v>
      </c>
      <c r="B2593" s="3">
        <v>0.43012731481481481</v>
      </c>
      <c r="C2593" t="s">
        <v>8</v>
      </c>
      <c r="D2593" t="s">
        <v>1077</v>
      </c>
      <c r="E2593" s="4">
        <v>35.76</v>
      </c>
      <c r="F2593" t="s">
        <v>24</v>
      </c>
      <c r="G2593" s="10" t="str">
        <f>TEXT(Transform_Data[[#This Row],[Date]],"mmm yyyy")</f>
        <v>Dec 2024</v>
      </c>
      <c r="H2593" s="10">
        <f>HOUR(Transform_Data[[#This Row],[Time]])</f>
        <v>10</v>
      </c>
      <c r="I2593" s="10" t="str">
        <f>IF(COUNTIF('Transform Data'!$D:$D,'Transform Data'!D2593)&gt;1,"Repeat","Single")</f>
        <v>Repeat</v>
      </c>
      <c r="J2593" s="10" t="str">
        <f>IF('Transform Data'!D2593="Cash","Cash",IF(COUNTIF('Transform Data'!$D:$D,'Transform Data'!D2593)&gt;1,"Repeat","Single"))</f>
        <v>Repeat</v>
      </c>
      <c r="K2593" s="10" t="str">
        <f t="shared" si="40"/>
        <v>TRANS-2592</v>
      </c>
    </row>
    <row r="2594" spans="1:11" x14ac:dyDescent="0.35">
      <c r="A2594" s="5">
        <v>45647</v>
      </c>
      <c r="B2594" s="3">
        <v>0.43103009259259262</v>
      </c>
      <c r="C2594" t="s">
        <v>8</v>
      </c>
      <c r="D2594" t="s">
        <v>1077</v>
      </c>
      <c r="E2594" s="4">
        <v>35.76</v>
      </c>
      <c r="F2594" t="s">
        <v>32</v>
      </c>
      <c r="G2594" s="10" t="str">
        <f>TEXT(Transform_Data[[#This Row],[Date]],"mmm yyyy")</f>
        <v>Dec 2024</v>
      </c>
      <c r="H2594" s="10">
        <f>HOUR(Transform_Data[[#This Row],[Time]])</f>
        <v>10</v>
      </c>
      <c r="I2594" s="10" t="str">
        <f>IF(COUNTIF('Transform Data'!$D:$D,'Transform Data'!D2594)&gt;1,"Repeat","Single")</f>
        <v>Repeat</v>
      </c>
      <c r="J2594" s="10" t="str">
        <f>IF('Transform Data'!D2594="Cash","Cash",IF(COUNTIF('Transform Data'!$D:$D,'Transform Data'!D2594)&gt;1,"Repeat","Single"))</f>
        <v>Repeat</v>
      </c>
      <c r="K2594" s="10" t="str">
        <f t="shared" si="40"/>
        <v>TRANS-2593</v>
      </c>
    </row>
    <row r="2595" spans="1:11" x14ac:dyDescent="0.35">
      <c r="A2595" s="5">
        <v>45647</v>
      </c>
      <c r="B2595" s="3">
        <v>0.43891203703703702</v>
      </c>
      <c r="C2595" t="s">
        <v>8</v>
      </c>
      <c r="D2595" t="s">
        <v>1078</v>
      </c>
      <c r="E2595" s="4">
        <v>25.96</v>
      </c>
      <c r="F2595" t="s">
        <v>28</v>
      </c>
      <c r="G2595" s="10" t="str">
        <f>TEXT(Transform_Data[[#This Row],[Date]],"mmm yyyy")</f>
        <v>Dec 2024</v>
      </c>
      <c r="H2595" s="10">
        <f>HOUR(Transform_Data[[#This Row],[Time]])</f>
        <v>10</v>
      </c>
      <c r="I2595" s="10" t="str">
        <f>IF(COUNTIF('Transform Data'!$D:$D,'Transform Data'!D2595)&gt;1,"Repeat","Single")</f>
        <v>Single</v>
      </c>
      <c r="J2595" s="10" t="str">
        <f>IF('Transform Data'!D2595="Cash","Cash",IF(COUNTIF('Transform Data'!$D:$D,'Transform Data'!D2595)&gt;1,"Repeat","Single"))</f>
        <v>Single</v>
      </c>
      <c r="K2595" s="10" t="str">
        <f t="shared" si="40"/>
        <v>TRANS-2594</v>
      </c>
    </row>
    <row r="2596" spans="1:11" x14ac:dyDescent="0.35">
      <c r="A2596" s="5">
        <v>45647</v>
      </c>
      <c r="B2596" s="3">
        <v>0.64795138888888892</v>
      </c>
      <c r="C2596" t="s">
        <v>8</v>
      </c>
      <c r="D2596" t="s">
        <v>21</v>
      </c>
      <c r="E2596" s="4">
        <v>35.76</v>
      </c>
      <c r="F2596" t="s">
        <v>15</v>
      </c>
      <c r="G2596" s="10" t="str">
        <f>TEXT(Transform_Data[[#This Row],[Date]],"mmm yyyy")</f>
        <v>Dec 2024</v>
      </c>
      <c r="H2596" s="10">
        <f>HOUR(Transform_Data[[#This Row],[Time]])</f>
        <v>15</v>
      </c>
      <c r="I2596" s="10" t="str">
        <f>IF(COUNTIF('Transform Data'!$D:$D,'Transform Data'!D2596)&gt;1,"Repeat","Single")</f>
        <v>Repeat</v>
      </c>
      <c r="J2596" s="10" t="str">
        <f>IF('Transform Data'!D2596="Cash","Cash",IF(COUNTIF('Transform Data'!$D:$D,'Transform Data'!D2596)&gt;1,"Repeat","Single"))</f>
        <v>Repeat</v>
      </c>
      <c r="K2596" s="10" t="str">
        <f t="shared" si="40"/>
        <v>TRANS-2595</v>
      </c>
    </row>
    <row r="2597" spans="1:11" x14ac:dyDescent="0.35">
      <c r="A2597" s="5">
        <v>45647</v>
      </c>
      <c r="B2597" s="3">
        <v>0.64848379629629627</v>
      </c>
      <c r="C2597" t="s">
        <v>8</v>
      </c>
      <c r="D2597" t="s">
        <v>21</v>
      </c>
      <c r="E2597" s="4">
        <v>35.76</v>
      </c>
      <c r="F2597" t="s">
        <v>32</v>
      </c>
      <c r="G2597" s="10" t="str">
        <f>TEXT(Transform_Data[[#This Row],[Date]],"mmm yyyy")</f>
        <v>Dec 2024</v>
      </c>
      <c r="H2597" s="10">
        <f>HOUR(Transform_Data[[#This Row],[Time]])</f>
        <v>15</v>
      </c>
      <c r="I2597" s="10" t="str">
        <f>IF(COUNTIF('Transform Data'!$D:$D,'Transform Data'!D2597)&gt;1,"Repeat","Single")</f>
        <v>Repeat</v>
      </c>
      <c r="J2597" s="10" t="str">
        <f>IF('Transform Data'!D2597="Cash","Cash",IF(COUNTIF('Transform Data'!$D:$D,'Transform Data'!D2597)&gt;1,"Repeat","Single"))</f>
        <v>Repeat</v>
      </c>
      <c r="K2597" s="10" t="str">
        <f t="shared" si="40"/>
        <v>TRANS-2596</v>
      </c>
    </row>
    <row r="2598" spans="1:11" x14ac:dyDescent="0.35">
      <c r="A2598" s="5">
        <v>45647</v>
      </c>
      <c r="B2598" s="3">
        <v>0.64964120370370371</v>
      </c>
      <c r="C2598" t="s">
        <v>8</v>
      </c>
      <c r="D2598" t="s">
        <v>894</v>
      </c>
      <c r="E2598" s="4">
        <v>30.86</v>
      </c>
      <c r="F2598" t="s">
        <v>36</v>
      </c>
      <c r="G2598" s="10" t="str">
        <f>TEXT(Transform_Data[[#This Row],[Date]],"mmm yyyy")</f>
        <v>Dec 2024</v>
      </c>
      <c r="H2598" s="10">
        <f>HOUR(Transform_Data[[#This Row],[Time]])</f>
        <v>15</v>
      </c>
      <c r="I2598" s="10" t="str">
        <f>IF(COUNTIF('Transform Data'!$D:$D,'Transform Data'!D2598)&gt;1,"Repeat","Single")</f>
        <v>Repeat</v>
      </c>
      <c r="J2598" s="10" t="str">
        <f>IF('Transform Data'!D2598="Cash","Cash",IF(COUNTIF('Transform Data'!$D:$D,'Transform Data'!D2598)&gt;1,"Repeat","Single"))</f>
        <v>Repeat</v>
      </c>
      <c r="K2598" s="10" t="str">
        <f t="shared" si="40"/>
        <v>TRANS-2597</v>
      </c>
    </row>
    <row r="2599" spans="1:11" x14ac:dyDescent="0.35">
      <c r="A2599" s="5">
        <v>45647</v>
      </c>
      <c r="B2599" s="3">
        <v>0.66535879629629635</v>
      </c>
      <c r="C2599" t="s">
        <v>8</v>
      </c>
      <c r="D2599" t="s">
        <v>1079</v>
      </c>
      <c r="E2599" s="4">
        <v>35.76</v>
      </c>
      <c r="F2599" t="s">
        <v>32</v>
      </c>
      <c r="G2599" s="10" t="str">
        <f>TEXT(Transform_Data[[#This Row],[Date]],"mmm yyyy")</f>
        <v>Dec 2024</v>
      </c>
      <c r="H2599" s="10">
        <f>HOUR(Transform_Data[[#This Row],[Time]])</f>
        <v>15</v>
      </c>
      <c r="I2599" s="10" t="str">
        <f>IF(COUNTIF('Transform Data'!$D:$D,'Transform Data'!D2599)&gt;1,"Repeat","Single")</f>
        <v>Single</v>
      </c>
      <c r="J2599" s="10" t="str">
        <f>IF('Transform Data'!D2599="Cash","Cash",IF(COUNTIF('Transform Data'!$D:$D,'Transform Data'!D2599)&gt;1,"Repeat","Single"))</f>
        <v>Single</v>
      </c>
      <c r="K2599" s="10" t="str">
        <f t="shared" si="40"/>
        <v>TRANS-2598</v>
      </c>
    </row>
    <row r="2600" spans="1:11" x14ac:dyDescent="0.35">
      <c r="A2600" s="5">
        <v>45647</v>
      </c>
      <c r="B2600" s="3">
        <v>0.74128472222222219</v>
      </c>
      <c r="C2600" t="s">
        <v>8</v>
      </c>
      <c r="D2600" t="s">
        <v>1072</v>
      </c>
      <c r="E2600" s="4">
        <v>35.76</v>
      </c>
      <c r="F2600" t="s">
        <v>10</v>
      </c>
      <c r="G2600" s="10" t="str">
        <f>TEXT(Transform_Data[[#This Row],[Date]],"mmm yyyy")</f>
        <v>Dec 2024</v>
      </c>
      <c r="H2600" s="10">
        <f>HOUR(Transform_Data[[#This Row],[Time]])</f>
        <v>17</v>
      </c>
      <c r="I2600" s="10" t="str">
        <f>IF(COUNTIF('Transform Data'!$D:$D,'Transform Data'!D2600)&gt;1,"Repeat","Single")</f>
        <v>Repeat</v>
      </c>
      <c r="J2600" s="10" t="str">
        <f>IF('Transform Data'!D2600="Cash","Cash",IF(COUNTIF('Transform Data'!$D:$D,'Transform Data'!D2600)&gt;1,"Repeat","Single"))</f>
        <v>Repeat</v>
      </c>
      <c r="K2600" s="10" t="str">
        <f t="shared" si="40"/>
        <v>TRANS-2599</v>
      </c>
    </row>
    <row r="2601" spans="1:11" x14ac:dyDescent="0.35">
      <c r="A2601" s="5">
        <v>45647</v>
      </c>
      <c r="B2601" s="3">
        <v>0.7518055555555555</v>
      </c>
      <c r="C2601" t="s">
        <v>8</v>
      </c>
      <c r="D2601" t="s">
        <v>1080</v>
      </c>
      <c r="E2601" s="4">
        <v>35.76</v>
      </c>
      <c r="F2601" t="s">
        <v>15</v>
      </c>
      <c r="G2601" s="10" t="str">
        <f>TEXT(Transform_Data[[#This Row],[Date]],"mmm yyyy")</f>
        <v>Dec 2024</v>
      </c>
      <c r="H2601" s="10">
        <f>HOUR(Transform_Data[[#This Row],[Time]])</f>
        <v>18</v>
      </c>
      <c r="I2601" s="10" t="str">
        <f>IF(COUNTIF('Transform Data'!$D:$D,'Transform Data'!D2601)&gt;1,"Repeat","Single")</f>
        <v>Single</v>
      </c>
      <c r="J2601" s="10" t="str">
        <f>IF('Transform Data'!D2601="Cash","Cash",IF(COUNTIF('Transform Data'!$D:$D,'Transform Data'!D2601)&gt;1,"Repeat","Single"))</f>
        <v>Single</v>
      </c>
      <c r="K2601" s="10" t="str">
        <f t="shared" si="40"/>
        <v>TRANS-2600</v>
      </c>
    </row>
    <row r="2602" spans="1:11" x14ac:dyDescent="0.35">
      <c r="A2602" s="5">
        <v>45647</v>
      </c>
      <c r="B2602" s="3">
        <v>0.75575231481481486</v>
      </c>
      <c r="C2602" t="s">
        <v>8</v>
      </c>
      <c r="D2602" t="s">
        <v>1081</v>
      </c>
      <c r="E2602" s="4">
        <v>25.96</v>
      </c>
      <c r="F2602" t="s">
        <v>20</v>
      </c>
      <c r="G2602" s="10" t="str">
        <f>TEXT(Transform_Data[[#This Row],[Date]],"mmm yyyy")</f>
        <v>Dec 2024</v>
      </c>
      <c r="H2602" s="10">
        <f>HOUR(Transform_Data[[#This Row],[Time]])</f>
        <v>18</v>
      </c>
      <c r="I2602" s="10" t="str">
        <f>IF(COUNTIF('Transform Data'!$D:$D,'Transform Data'!D2602)&gt;1,"Repeat","Single")</f>
        <v>Repeat</v>
      </c>
      <c r="J2602" s="10" t="str">
        <f>IF('Transform Data'!D2602="Cash","Cash",IF(COUNTIF('Transform Data'!$D:$D,'Transform Data'!D2602)&gt;1,"Repeat","Single"))</f>
        <v>Repeat</v>
      </c>
      <c r="K2602" s="10" t="str">
        <f t="shared" si="40"/>
        <v>TRANS-2601</v>
      </c>
    </row>
    <row r="2603" spans="1:11" x14ac:dyDescent="0.35">
      <c r="A2603" s="5">
        <v>45647</v>
      </c>
      <c r="B2603" s="3">
        <v>0.82515046296296302</v>
      </c>
      <c r="C2603" t="s">
        <v>8</v>
      </c>
      <c r="D2603" t="s">
        <v>1082</v>
      </c>
      <c r="E2603" s="4">
        <v>30.86</v>
      </c>
      <c r="F2603" t="s">
        <v>36</v>
      </c>
      <c r="G2603" s="10" t="str">
        <f>TEXT(Transform_Data[[#This Row],[Date]],"mmm yyyy")</f>
        <v>Dec 2024</v>
      </c>
      <c r="H2603" s="10">
        <f>HOUR(Transform_Data[[#This Row],[Time]])</f>
        <v>19</v>
      </c>
      <c r="I2603" s="10" t="str">
        <f>IF(COUNTIF('Transform Data'!$D:$D,'Transform Data'!D2603)&gt;1,"Repeat","Single")</f>
        <v>Repeat</v>
      </c>
      <c r="J2603" s="10" t="str">
        <f>IF('Transform Data'!D2603="Cash","Cash",IF(COUNTIF('Transform Data'!$D:$D,'Transform Data'!D2603)&gt;1,"Repeat","Single"))</f>
        <v>Repeat</v>
      </c>
      <c r="K2603" s="10" t="str">
        <f t="shared" si="40"/>
        <v>TRANS-2602</v>
      </c>
    </row>
    <row r="2604" spans="1:11" x14ac:dyDescent="0.35">
      <c r="A2604" s="5">
        <v>45647</v>
      </c>
      <c r="B2604" s="3">
        <v>0.82621527777777781</v>
      </c>
      <c r="C2604" t="s">
        <v>8</v>
      </c>
      <c r="D2604" t="s">
        <v>1082</v>
      </c>
      <c r="E2604" s="4">
        <v>25.96</v>
      </c>
      <c r="F2604" t="s">
        <v>20</v>
      </c>
      <c r="G2604" s="10" t="str">
        <f>TEXT(Transform_Data[[#This Row],[Date]],"mmm yyyy")</f>
        <v>Dec 2024</v>
      </c>
      <c r="H2604" s="10">
        <f>HOUR(Transform_Data[[#This Row],[Time]])</f>
        <v>19</v>
      </c>
      <c r="I2604" s="10" t="str">
        <f>IF(COUNTIF('Transform Data'!$D:$D,'Transform Data'!D2604)&gt;1,"Repeat","Single")</f>
        <v>Repeat</v>
      </c>
      <c r="J2604" s="10" t="str">
        <f>IF('Transform Data'!D2604="Cash","Cash",IF(COUNTIF('Transform Data'!$D:$D,'Transform Data'!D2604)&gt;1,"Repeat","Single"))</f>
        <v>Repeat</v>
      </c>
      <c r="K2604" s="10" t="str">
        <f t="shared" si="40"/>
        <v>TRANS-2603</v>
      </c>
    </row>
    <row r="2605" spans="1:11" x14ac:dyDescent="0.35">
      <c r="A2605" s="5">
        <v>45647</v>
      </c>
      <c r="B2605" s="3">
        <v>0.90957175925925926</v>
      </c>
      <c r="C2605" t="s">
        <v>8</v>
      </c>
      <c r="D2605" t="s">
        <v>1081</v>
      </c>
      <c r="E2605" s="4">
        <v>25.96</v>
      </c>
      <c r="F2605" t="s">
        <v>20</v>
      </c>
      <c r="G2605" s="10" t="str">
        <f>TEXT(Transform_Data[[#This Row],[Date]],"mmm yyyy")</f>
        <v>Dec 2024</v>
      </c>
      <c r="H2605" s="10">
        <f>HOUR(Transform_Data[[#This Row],[Time]])</f>
        <v>21</v>
      </c>
      <c r="I2605" s="10" t="str">
        <f>IF(COUNTIF('Transform Data'!$D:$D,'Transform Data'!D2605)&gt;1,"Repeat","Single")</f>
        <v>Repeat</v>
      </c>
      <c r="J2605" s="10" t="str">
        <f>IF('Transform Data'!D2605="Cash","Cash",IF(COUNTIF('Transform Data'!$D:$D,'Transform Data'!D2605)&gt;1,"Repeat","Single"))</f>
        <v>Repeat</v>
      </c>
      <c r="K2605" s="10" t="str">
        <f t="shared" si="40"/>
        <v>TRANS-2604</v>
      </c>
    </row>
    <row r="2606" spans="1:11" x14ac:dyDescent="0.35">
      <c r="A2606" s="5">
        <v>45647</v>
      </c>
      <c r="B2606" s="3">
        <v>0.91583333333333339</v>
      </c>
      <c r="C2606" t="s">
        <v>8</v>
      </c>
      <c r="D2606" t="s">
        <v>1083</v>
      </c>
      <c r="E2606" s="4">
        <v>35.76</v>
      </c>
      <c r="F2606" t="s">
        <v>32</v>
      </c>
      <c r="G2606" s="10" t="str">
        <f>TEXT(Transform_Data[[#This Row],[Date]],"mmm yyyy")</f>
        <v>Dec 2024</v>
      </c>
      <c r="H2606" s="10">
        <f>HOUR(Transform_Data[[#This Row],[Time]])</f>
        <v>21</v>
      </c>
      <c r="I2606" s="10" t="str">
        <f>IF(COUNTIF('Transform Data'!$D:$D,'Transform Data'!D2606)&gt;1,"Repeat","Single")</f>
        <v>Single</v>
      </c>
      <c r="J2606" s="10" t="str">
        <f>IF('Transform Data'!D2606="Cash","Cash",IF(COUNTIF('Transform Data'!$D:$D,'Transform Data'!D2606)&gt;1,"Repeat","Single"))</f>
        <v>Single</v>
      </c>
      <c r="K2606" s="10" t="str">
        <f t="shared" si="40"/>
        <v>TRANS-2605</v>
      </c>
    </row>
    <row r="2607" spans="1:11" x14ac:dyDescent="0.35">
      <c r="A2607" s="5">
        <v>45647</v>
      </c>
      <c r="B2607" s="3">
        <v>0.9279398148148148</v>
      </c>
      <c r="C2607" t="s">
        <v>8</v>
      </c>
      <c r="D2607" t="s">
        <v>1081</v>
      </c>
      <c r="E2607" s="4">
        <v>25.96</v>
      </c>
      <c r="F2607" t="s">
        <v>20</v>
      </c>
      <c r="G2607" s="10" t="str">
        <f>TEXT(Transform_Data[[#This Row],[Date]],"mmm yyyy")</f>
        <v>Dec 2024</v>
      </c>
      <c r="H2607" s="10">
        <f>HOUR(Transform_Data[[#This Row],[Time]])</f>
        <v>22</v>
      </c>
      <c r="I2607" s="10" t="str">
        <f>IF(COUNTIF('Transform Data'!$D:$D,'Transform Data'!D2607)&gt;1,"Repeat","Single")</f>
        <v>Repeat</v>
      </c>
      <c r="J2607" s="10" t="str">
        <f>IF('Transform Data'!D2607="Cash","Cash",IF(COUNTIF('Transform Data'!$D:$D,'Transform Data'!D2607)&gt;1,"Repeat","Single"))</f>
        <v>Repeat</v>
      </c>
      <c r="K2607" s="10" t="str">
        <f t="shared" si="40"/>
        <v>TRANS-2606</v>
      </c>
    </row>
    <row r="2608" spans="1:11" x14ac:dyDescent="0.35">
      <c r="A2608" s="5">
        <v>45648</v>
      </c>
      <c r="B2608" s="3">
        <v>0.44648148148148148</v>
      </c>
      <c r="C2608" t="s">
        <v>8</v>
      </c>
      <c r="D2608" t="s">
        <v>386</v>
      </c>
      <c r="E2608" s="4">
        <v>35.76</v>
      </c>
      <c r="F2608" t="s">
        <v>24</v>
      </c>
      <c r="G2608" s="10" t="str">
        <f>TEXT(Transform_Data[[#This Row],[Date]],"mmm yyyy")</f>
        <v>Dec 2024</v>
      </c>
      <c r="H2608" s="10">
        <f>HOUR(Transform_Data[[#This Row],[Time]])</f>
        <v>10</v>
      </c>
      <c r="I2608" s="10" t="str">
        <f>IF(COUNTIF('Transform Data'!$D:$D,'Transform Data'!D2608)&gt;1,"Repeat","Single")</f>
        <v>Repeat</v>
      </c>
      <c r="J2608" s="10" t="str">
        <f>IF('Transform Data'!D2608="Cash","Cash",IF(COUNTIF('Transform Data'!$D:$D,'Transform Data'!D2608)&gt;1,"Repeat","Single"))</f>
        <v>Repeat</v>
      </c>
      <c r="K2608" s="10" t="str">
        <f t="shared" si="40"/>
        <v>TRANS-2607</v>
      </c>
    </row>
    <row r="2609" spans="1:11" x14ac:dyDescent="0.35">
      <c r="A2609" s="5">
        <v>45648</v>
      </c>
      <c r="B2609" s="3">
        <v>0.78870370370370368</v>
      </c>
      <c r="C2609" t="s">
        <v>8</v>
      </c>
      <c r="D2609" t="s">
        <v>260</v>
      </c>
      <c r="E2609" s="4">
        <v>35.76</v>
      </c>
      <c r="F2609" t="s">
        <v>24</v>
      </c>
      <c r="G2609" s="10" t="str">
        <f>TEXT(Transform_Data[[#This Row],[Date]],"mmm yyyy")</f>
        <v>Dec 2024</v>
      </c>
      <c r="H2609" s="10">
        <f>HOUR(Transform_Data[[#This Row],[Time]])</f>
        <v>18</v>
      </c>
      <c r="I2609" s="10" t="str">
        <f>IF(COUNTIF('Transform Data'!$D:$D,'Transform Data'!D2609)&gt;1,"Repeat","Single")</f>
        <v>Repeat</v>
      </c>
      <c r="J2609" s="10" t="str">
        <f>IF('Transform Data'!D2609="Cash","Cash",IF(COUNTIF('Transform Data'!$D:$D,'Transform Data'!D2609)&gt;1,"Repeat","Single"))</f>
        <v>Repeat</v>
      </c>
      <c r="K2609" s="10" t="str">
        <f t="shared" si="40"/>
        <v>TRANS-2608</v>
      </c>
    </row>
    <row r="2610" spans="1:11" x14ac:dyDescent="0.35">
      <c r="A2610" s="5">
        <v>45648</v>
      </c>
      <c r="B2610" s="3">
        <v>0.81649305555555551</v>
      </c>
      <c r="C2610" t="s">
        <v>8</v>
      </c>
      <c r="D2610" t="s">
        <v>1084</v>
      </c>
      <c r="E2610" s="4">
        <v>35.76</v>
      </c>
      <c r="F2610" t="s">
        <v>15</v>
      </c>
      <c r="G2610" s="10" t="str">
        <f>TEXT(Transform_Data[[#This Row],[Date]],"mmm yyyy")</f>
        <v>Dec 2024</v>
      </c>
      <c r="H2610" s="10">
        <f>HOUR(Transform_Data[[#This Row],[Time]])</f>
        <v>19</v>
      </c>
      <c r="I2610" s="10" t="str">
        <f>IF(COUNTIF('Transform Data'!$D:$D,'Transform Data'!D2610)&gt;1,"Repeat","Single")</f>
        <v>Repeat</v>
      </c>
      <c r="J2610" s="10" t="str">
        <f>IF('Transform Data'!D2610="Cash","Cash",IF(COUNTIF('Transform Data'!$D:$D,'Transform Data'!D2610)&gt;1,"Repeat","Single"))</f>
        <v>Repeat</v>
      </c>
      <c r="K2610" s="10" t="str">
        <f t="shared" si="40"/>
        <v>TRANS-2609</v>
      </c>
    </row>
    <row r="2611" spans="1:11" x14ac:dyDescent="0.35">
      <c r="A2611" s="5">
        <v>45648</v>
      </c>
      <c r="B2611" s="3">
        <v>0.81700231481481478</v>
      </c>
      <c r="C2611" t="s">
        <v>8</v>
      </c>
      <c r="D2611" t="s">
        <v>1084</v>
      </c>
      <c r="E2611" s="4">
        <v>35.76</v>
      </c>
      <c r="F2611" t="s">
        <v>15</v>
      </c>
      <c r="G2611" s="10" t="str">
        <f>TEXT(Transform_Data[[#This Row],[Date]],"mmm yyyy")</f>
        <v>Dec 2024</v>
      </c>
      <c r="H2611" s="10">
        <f>HOUR(Transform_Data[[#This Row],[Time]])</f>
        <v>19</v>
      </c>
      <c r="I2611" s="10" t="str">
        <f>IF(COUNTIF('Transform Data'!$D:$D,'Transform Data'!D2611)&gt;1,"Repeat","Single")</f>
        <v>Repeat</v>
      </c>
      <c r="J2611" s="10" t="str">
        <f>IF('Transform Data'!D2611="Cash","Cash",IF(COUNTIF('Transform Data'!$D:$D,'Transform Data'!D2611)&gt;1,"Repeat","Single"))</f>
        <v>Repeat</v>
      </c>
      <c r="K2611" s="10" t="str">
        <f t="shared" si="40"/>
        <v>TRANS-2610</v>
      </c>
    </row>
    <row r="2612" spans="1:11" x14ac:dyDescent="0.35">
      <c r="A2612" s="5">
        <v>45648</v>
      </c>
      <c r="B2612" s="3">
        <v>0.85180555555555559</v>
      </c>
      <c r="C2612" t="s">
        <v>8</v>
      </c>
      <c r="D2612" t="s">
        <v>688</v>
      </c>
      <c r="E2612" s="4">
        <v>35.76</v>
      </c>
      <c r="F2612" t="s">
        <v>15</v>
      </c>
      <c r="G2612" s="10" t="str">
        <f>TEXT(Transform_Data[[#This Row],[Date]],"mmm yyyy")</f>
        <v>Dec 2024</v>
      </c>
      <c r="H2612" s="10">
        <f>HOUR(Transform_Data[[#This Row],[Time]])</f>
        <v>20</v>
      </c>
      <c r="I2612" s="10" t="str">
        <f>IF(COUNTIF('Transform Data'!$D:$D,'Transform Data'!D2612)&gt;1,"Repeat","Single")</f>
        <v>Repeat</v>
      </c>
      <c r="J2612" s="10" t="str">
        <f>IF('Transform Data'!D2612="Cash","Cash",IF(COUNTIF('Transform Data'!$D:$D,'Transform Data'!D2612)&gt;1,"Repeat","Single"))</f>
        <v>Repeat</v>
      </c>
      <c r="K2612" s="10" t="str">
        <f t="shared" si="40"/>
        <v>TRANS-2611</v>
      </c>
    </row>
    <row r="2613" spans="1:11" x14ac:dyDescent="0.35">
      <c r="A2613" s="5">
        <v>45648</v>
      </c>
      <c r="B2613" s="3">
        <v>0.91340277777777779</v>
      </c>
      <c r="C2613" t="s">
        <v>8</v>
      </c>
      <c r="D2613" t="s">
        <v>1085</v>
      </c>
      <c r="E2613" s="4">
        <v>35.76</v>
      </c>
      <c r="F2613" t="s">
        <v>10</v>
      </c>
      <c r="G2613" s="10" t="str">
        <f>TEXT(Transform_Data[[#This Row],[Date]],"mmm yyyy")</f>
        <v>Dec 2024</v>
      </c>
      <c r="H2613" s="10">
        <f>HOUR(Transform_Data[[#This Row],[Time]])</f>
        <v>21</v>
      </c>
      <c r="I2613" s="10" t="str">
        <f>IF(COUNTIF('Transform Data'!$D:$D,'Transform Data'!D2613)&gt;1,"Repeat","Single")</f>
        <v>Single</v>
      </c>
      <c r="J2613" s="10" t="str">
        <f>IF('Transform Data'!D2613="Cash","Cash",IF(COUNTIF('Transform Data'!$D:$D,'Transform Data'!D2613)&gt;1,"Repeat","Single"))</f>
        <v>Single</v>
      </c>
      <c r="K2613" s="10" t="str">
        <f t="shared" si="40"/>
        <v>TRANS-2612</v>
      </c>
    </row>
    <row r="2614" spans="1:11" x14ac:dyDescent="0.35">
      <c r="A2614" s="5">
        <v>45648</v>
      </c>
      <c r="B2614" s="3">
        <v>0.91453703703703704</v>
      </c>
      <c r="C2614" t="s">
        <v>8</v>
      </c>
      <c r="D2614" t="s">
        <v>1086</v>
      </c>
      <c r="E2614" s="4">
        <v>25.96</v>
      </c>
      <c r="F2614" t="s">
        <v>20</v>
      </c>
      <c r="G2614" s="10" t="str">
        <f>TEXT(Transform_Data[[#This Row],[Date]],"mmm yyyy")</f>
        <v>Dec 2024</v>
      </c>
      <c r="H2614" s="10">
        <f>HOUR(Transform_Data[[#This Row],[Time]])</f>
        <v>21</v>
      </c>
      <c r="I2614" s="10" t="str">
        <f>IF(COUNTIF('Transform Data'!$D:$D,'Transform Data'!D2614)&gt;1,"Repeat","Single")</f>
        <v>Repeat</v>
      </c>
      <c r="J2614" s="10" t="str">
        <f>IF('Transform Data'!D2614="Cash","Cash",IF(COUNTIF('Transform Data'!$D:$D,'Transform Data'!D2614)&gt;1,"Repeat","Single"))</f>
        <v>Repeat</v>
      </c>
      <c r="K2614" s="10" t="str">
        <f t="shared" si="40"/>
        <v>TRANS-2613</v>
      </c>
    </row>
    <row r="2615" spans="1:11" x14ac:dyDescent="0.35">
      <c r="A2615" s="5">
        <v>45649</v>
      </c>
      <c r="B2615" s="3">
        <v>0.37732638888888886</v>
      </c>
      <c r="C2615" t="s">
        <v>8</v>
      </c>
      <c r="D2615" t="s">
        <v>1081</v>
      </c>
      <c r="E2615" s="4">
        <v>25.96</v>
      </c>
      <c r="F2615" t="s">
        <v>20</v>
      </c>
      <c r="G2615" s="10" t="str">
        <f>TEXT(Transform_Data[[#This Row],[Date]],"mmm yyyy")</f>
        <v>Dec 2024</v>
      </c>
      <c r="H2615" s="10">
        <f>HOUR(Transform_Data[[#This Row],[Time]])</f>
        <v>9</v>
      </c>
      <c r="I2615" s="10" t="str">
        <f>IF(COUNTIF('Transform Data'!$D:$D,'Transform Data'!D2615)&gt;1,"Repeat","Single")</f>
        <v>Repeat</v>
      </c>
      <c r="J2615" s="10" t="str">
        <f>IF('Transform Data'!D2615="Cash","Cash",IF(COUNTIF('Transform Data'!$D:$D,'Transform Data'!D2615)&gt;1,"Repeat","Single"))</f>
        <v>Repeat</v>
      </c>
      <c r="K2615" s="10" t="str">
        <f t="shared" si="40"/>
        <v>TRANS-2614</v>
      </c>
    </row>
    <row r="2616" spans="1:11" x14ac:dyDescent="0.35">
      <c r="A2616" s="5">
        <v>45649</v>
      </c>
      <c r="B2616" s="3">
        <v>0.39047453703703705</v>
      </c>
      <c r="C2616" t="s">
        <v>8</v>
      </c>
      <c r="D2616" t="s">
        <v>29</v>
      </c>
      <c r="E2616" s="4">
        <v>30.86</v>
      </c>
      <c r="F2616" t="s">
        <v>36</v>
      </c>
      <c r="G2616" s="10" t="str">
        <f>TEXT(Transform_Data[[#This Row],[Date]],"mmm yyyy")</f>
        <v>Dec 2024</v>
      </c>
      <c r="H2616" s="10">
        <f>HOUR(Transform_Data[[#This Row],[Time]])</f>
        <v>9</v>
      </c>
      <c r="I2616" s="10" t="str">
        <f>IF(COUNTIF('Transform Data'!$D:$D,'Transform Data'!D2616)&gt;1,"Repeat","Single")</f>
        <v>Repeat</v>
      </c>
      <c r="J2616" s="10" t="str">
        <f>IF('Transform Data'!D2616="Cash","Cash",IF(COUNTIF('Transform Data'!$D:$D,'Transform Data'!D2616)&gt;1,"Repeat","Single"))</f>
        <v>Repeat</v>
      </c>
      <c r="K2616" s="10" t="str">
        <f t="shared" si="40"/>
        <v>TRANS-2615</v>
      </c>
    </row>
    <row r="2617" spans="1:11" x14ac:dyDescent="0.35">
      <c r="A2617" s="5">
        <v>45649</v>
      </c>
      <c r="B2617" s="3">
        <v>0.44586805555555553</v>
      </c>
      <c r="C2617" t="s">
        <v>8</v>
      </c>
      <c r="D2617" t="s">
        <v>98</v>
      </c>
      <c r="E2617" s="4">
        <v>30.86</v>
      </c>
      <c r="F2617" t="s">
        <v>36</v>
      </c>
      <c r="G2617" s="10" t="str">
        <f>TEXT(Transform_Data[[#This Row],[Date]],"mmm yyyy")</f>
        <v>Dec 2024</v>
      </c>
      <c r="H2617" s="10">
        <f>HOUR(Transform_Data[[#This Row],[Time]])</f>
        <v>10</v>
      </c>
      <c r="I2617" s="10" t="str">
        <f>IF(COUNTIF('Transform Data'!$D:$D,'Transform Data'!D2617)&gt;1,"Repeat","Single")</f>
        <v>Repeat</v>
      </c>
      <c r="J2617" s="10" t="str">
        <f>IF('Transform Data'!D2617="Cash","Cash",IF(COUNTIF('Transform Data'!$D:$D,'Transform Data'!D2617)&gt;1,"Repeat","Single"))</f>
        <v>Repeat</v>
      </c>
      <c r="K2617" s="10" t="str">
        <f t="shared" si="40"/>
        <v>TRANS-2616</v>
      </c>
    </row>
    <row r="2618" spans="1:11" x14ac:dyDescent="0.35">
      <c r="A2618" s="5">
        <v>45649</v>
      </c>
      <c r="B2618" s="3">
        <v>0.48326388888888888</v>
      </c>
      <c r="C2618" t="s">
        <v>8</v>
      </c>
      <c r="D2618" t="s">
        <v>622</v>
      </c>
      <c r="E2618" s="4">
        <v>35.76</v>
      </c>
      <c r="F2618" t="s">
        <v>24</v>
      </c>
      <c r="G2618" s="10" t="str">
        <f>TEXT(Transform_Data[[#This Row],[Date]],"mmm yyyy")</f>
        <v>Dec 2024</v>
      </c>
      <c r="H2618" s="10">
        <f>HOUR(Transform_Data[[#This Row],[Time]])</f>
        <v>11</v>
      </c>
      <c r="I2618" s="10" t="str">
        <f>IF(COUNTIF('Transform Data'!$D:$D,'Transform Data'!D2618)&gt;1,"Repeat","Single")</f>
        <v>Repeat</v>
      </c>
      <c r="J2618" s="10" t="str">
        <f>IF('Transform Data'!D2618="Cash","Cash",IF(COUNTIF('Transform Data'!$D:$D,'Transform Data'!D2618)&gt;1,"Repeat","Single"))</f>
        <v>Repeat</v>
      </c>
      <c r="K2618" s="10" t="str">
        <f t="shared" si="40"/>
        <v>TRANS-2617</v>
      </c>
    </row>
    <row r="2619" spans="1:11" x14ac:dyDescent="0.35">
      <c r="A2619" s="5">
        <v>45649</v>
      </c>
      <c r="B2619" s="3">
        <v>0.5871643518518519</v>
      </c>
      <c r="C2619" t="s">
        <v>8</v>
      </c>
      <c r="D2619" t="s">
        <v>1087</v>
      </c>
      <c r="E2619" s="4">
        <v>35.76</v>
      </c>
      <c r="F2619" t="s">
        <v>32</v>
      </c>
      <c r="G2619" s="10" t="str">
        <f>TEXT(Transform_Data[[#This Row],[Date]],"mmm yyyy")</f>
        <v>Dec 2024</v>
      </c>
      <c r="H2619" s="10">
        <f>HOUR(Transform_Data[[#This Row],[Time]])</f>
        <v>14</v>
      </c>
      <c r="I2619" s="10" t="str">
        <f>IF(COUNTIF('Transform Data'!$D:$D,'Transform Data'!D2619)&gt;1,"Repeat","Single")</f>
        <v>Single</v>
      </c>
      <c r="J2619" s="10" t="str">
        <f>IF('Transform Data'!D2619="Cash","Cash",IF(COUNTIF('Transform Data'!$D:$D,'Transform Data'!D2619)&gt;1,"Repeat","Single"))</f>
        <v>Single</v>
      </c>
      <c r="K2619" s="10" t="str">
        <f t="shared" si="40"/>
        <v>TRANS-2618</v>
      </c>
    </row>
    <row r="2620" spans="1:11" x14ac:dyDescent="0.35">
      <c r="A2620" s="5">
        <v>45649</v>
      </c>
      <c r="B2620" s="3">
        <v>0.62526620370370367</v>
      </c>
      <c r="C2620" t="s">
        <v>8</v>
      </c>
      <c r="D2620" t="s">
        <v>1088</v>
      </c>
      <c r="E2620" s="4">
        <v>30.86</v>
      </c>
      <c r="F2620" t="s">
        <v>36</v>
      </c>
      <c r="G2620" s="10" t="str">
        <f>TEXT(Transform_Data[[#This Row],[Date]],"mmm yyyy")</f>
        <v>Dec 2024</v>
      </c>
      <c r="H2620" s="10">
        <f>HOUR(Transform_Data[[#This Row],[Time]])</f>
        <v>15</v>
      </c>
      <c r="I2620" s="10" t="str">
        <f>IF(COUNTIF('Transform Data'!$D:$D,'Transform Data'!D2620)&gt;1,"Repeat","Single")</f>
        <v>Single</v>
      </c>
      <c r="J2620" s="10" t="str">
        <f>IF('Transform Data'!D2620="Cash","Cash",IF(COUNTIF('Transform Data'!$D:$D,'Transform Data'!D2620)&gt;1,"Repeat","Single"))</f>
        <v>Single</v>
      </c>
      <c r="K2620" s="10" t="str">
        <f t="shared" si="40"/>
        <v>TRANS-2619</v>
      </c>
    </row>
    <row r="2621" spans="1:11" x14ac:dyDescent="0.35">
      <c r="A2621" s="5">
        <v>45649</v>
      </c>
      <c r="B2621" s="3">
        <v>0.67696759259259254</v>
      </c>
      <c r="C2621" t="s">
        <v>8</v>
      </c>
      <c r="D2621" t="s">
        <v>958</v>
      </c>
      <c r="E2621" s="4">
        <v>35.76</v>
      </c>
      <c r="F2621" t="s">
        <v>32</v>
      </c>
      <c r="G2621" s="10" t="str">
        <f>TEXT(Transform_Data[[#This Row],[Date]],"mmm yyyy")</f>
        <v>Dec 2024</v>
      </c>
      <c r="H2621" s="10">
        <f>HOUR(Transform_Data[[#This Row],[Time]])</f>
        <v>16</v>
      </c>
      <c r="I2621" s="10" t="str">
        <f>IF(COUNTIF('Transform Data'!$D:$D,'Transform Data'!D2621)&gt;1,"Repeat","Single")</f>
        <v>Repeat</v>
      </c>
      <c r="J2621" s="10" t="str">
        <f>IF('Transform Data'!D2621="Cash","Cash",IF(COUNTIF('Transform Data'!$D:$D,'Transform Data'!D2621)&gt;1,"Repeat","Single"))</f>
        <v>Repeat</v>
      </c>
      <c r="K2621" s="10" t="str">
        <f t="shared" si="40"/>
        <v>TRANS-2620</v>
      </c>
    </row>
    <row r="2622" spans="1:11" x14ac:dyDescent="0.35">
      <c r="A2622" s="5">
        <v>45649</v>
      </c>
      <c r="B2622" s="3">
        <v>0.7231481481481481</v>
      </c>
      <c r="C2622" t="s">
        <v>8</v>
      </c>
      <c r="D2622" t="s">
        <v>1089</v>
      </c>
      <c r="E2622" s="4">
        <v>25.96</v>
      </c>
      <c r="F2622" t="s">
        <v>20</v>
      </c>
      <c r="G2622" s="10" t="str">
        <f>TEXT(Transform_Data[[#This Row],[Date]],"mmm yyyy")</f>
        <v>Dec 2024</v>
      </c>
      <c r="H2622" s="10">
        <f>HOUR(Transform_Data[[#This Row],[Time]])</f>
        <v>17</v>
      </c>
      <c r="I2622" s="10" t="str">
        <f>IF(COUNTIF('Transform Data'!$D:$D,'Transform Data'!D2622)&gt;1,"Repeat","Single")</f>
        <v>Repeat</v>
      </c>
      <c r="J2622" s="10" t="str">
        <f>IF('Transform Data'!D2622="Cash","Cash",IF(COUNTIF('Transform Data'!$D:$D,'Transform Data'!D2622)&gt;1,"Repeat","Single"))</f>
        <v>Repeat</v>
      </c>
      <c r="K2622" s="10" t="str">
        <f t="shared" si="40"/>
        <v>TRANS-2621</v>
      </c>
    </row>
    <row r="2623" spans="1:11" x14ac:dyDescent="0.35">
      <c r="A2623" s="5">
        <v>45649</v>
      </c>
      <c r="B2623" s="3">
        <v>0.72407407407407409</v>
      </c>
      <c r="C2623" t="s">
        <v>8</v>
      </c>
      <c r="D2623" t="s">
        <v>1089</v>
      </c>
      <c r="E2623" s="4">
        <v>35.76</v>
      </c>
      <c r="F2623" t="s">
        <v>32</v>
      </c>
      <c r="G2623" s="10" t="str">
        <f>TEXT(Transform_Data[[#This Row],[Date]],"mmm yyyy")</f>
        <v>Dec 2024</v>
      </c>
      <c r="H2623" s="10">
        <f>HOUR(Transform_Data[[#This Row],[Time]])</f>
        <v>17</v>
      </c>
      <c r="I2623" s="10" t="str">
        <f>IF(COUNTIF('Transform Data'!$D:$D,'Transform Data'!D2623)&gt;1,"Repeat","Single")</f>
        <v>Repeat</v>
      </c>
      <c r="J2623" s="10" t="str">
        <f>IF('Transform Data'!D2623="Cash","Cash",IF(COUNTIF('Transform Data'!$D:$D,'Transform Data'!D2623)&gt;1,"Repeat","Single"))</f>
        <v>Repeat</v>
      </c>
      <c r="K2623" s="10" t="str">
        <f t="shared" si="40"/>
        <v>TRANS-2622</v>
      </c>
    </row>
    <row r="2624" spans="1:11" x14ac:dyDescent="0.35">
      <c r="A2624" s="5">
        <v>45649</v>
      </c>
      <c r="B2624" s="3">
        <v>0.86535879629629631</v>
      </c>
      <c r="C2624" t="s">
        <v>8</v>
      </c>
      <c r="D2624" t="s">
        <v>1081</v>
      </c>
      <c r="E2624" s="4">
        <v>25.96</v>
      </c>
      <c r="F2624" t="s">
        <v>20</v>
      </c>
      <c r="G2624" s="10" t="str">
        <f>TEXT(Transform_Data[[#This Row],[Date]],"mmm yyyy")</f>
        <v>Dec 2024</v>
      </c>
      <c r="H2624" s="10">
        <f>HOUR(Transform_Data[[#This Row],[Time]])</f>
        <v>20</v>
      </c>
      <c r="I2624" s="10" t="str">
        <f>IF(COUNTIF('Transform Data'!$D:$D,'Transform Data'!D2624)&gt;1,"Repeat","Single")</f>
        <v>Repeat</v>
      </c>
      <c r="J2624" s="10" t="str">
        <f>IF('Transform Data'!D2624="Cash","Cash",IF(COUNTIF('Transform Data'!$D:$D,'Transform Data'!D2624)&gt;1,"Repeat","Single"))</f>
        <v>Repeat</v>
      </c>
      <c r="K2624" s="10" t="str">
        <f t="shared" si="40"/>
        <v>TRANS-2623</v>
      </c>
    </row>
    <row r="2625" spans="1:11" x14ac:dyDescent="0.35">
      <c r="A2625" s="5">
        <v>45650</v>
      </c>
      <c r="B2625" s="3">
        <v>0.63244212962962965</v>
      </c>
      <c r="C2625" t="s">
        <v>8</v>
      </c>
      <c r="D2625" t="s">
        <v>1090</v>
      </c>
      <c r="E2625" s="4">
        <v>30.86</v>
      </c>
      <c r="F2625" t="s">
        <v>36</v>
      </c>
      <c r="G2625" s="10" t="str">
        <f>TEXT(Transform_Data[[#This Row],[Date]],"mmm yyyy")</f>
        <v>Dec 2024</v>
      </c>
      <c r="H2625" s="10">
        <f>HOUR(Transform_Data[[#This Row],[Time]])</f>
        <v>15</v>
      </c>
      <c r="I2625" s="10" t="str">
        <f>IF(COUNTIF('Transform Data'!$D:$D,'Transform Data'!D2625)&gt;1,"Repeat","Single")</f>
        <v>Single</v>
      </c>
      <c r="J2625" s="10" t="str">
        <f>IF('Transform Data'!D2625="Cash","Cash",IF(COUNTIF('Transform Data'!$D:$D,'Transform Data'!D2625)&gt;1,"Repeat","Single"))</f>
        <v>Single</v>
      </c>
      <c r="K2625" s="10" t="str">
        <f t="shared" si="40"/>
        <v>TRANS-2624</v>
      </c>
    </row>
    <row r="2626" spans="1:11" x14ac:dyDescent="0.35">
      <c r="A2626" s="5">
        <v>45650</v>
      </c>
      <c r="B2626" s="3">
        <v>0.67266203703703709</v>
      </c>
      <c r="C2626" t="s">
        <v>8</v>
      </c>
      <c r="D2626" t="s">
        <v>1091</v>
      </c>
      <c r="E2626" s="4">
        <v>35.76</v>
      </c>
      <c r="F2626" t="s">
        <v>15</v>
      </c>
      <c r="G2626" s="10" t="str">
        <f>TEXT(Transform_Data[[#This Row],[Date]],"mmm yyyy")</f>
        <v>Dec 2024</v>
      </c>
      <c r="H2626" s="10">
        <f>HOUR(Transform_Data[[#This Row],[Time]])</f>
        <v>16</v>
      </c>
      <c r="I2626" s="10" t="str">
        <f>IF(COUNTIF('Transform Data'!$D:$D,'Transform Data'!D2626)&gt;1,"Repeat","Single")</f>
        <v>Repeat</v>
      </c>
      <c r="J2626" s="10" t="str">
        <f>IF('Transform Data'!D2626="Cash","Cash",IF(COUNTIF('Transform Data'!$D:$D,'Transform Data'!D2626)&gt;1,"Repeat","Single"))</f>
        <v>Repeat</v>
      </c>
      <c r="K2626" s="10" t="str">
        <f t="shared" ref="K2626:K2689" si="41">"TRANS-"&amp;TEXT(ROW(A2625),"0000")</f>
        <v>TRANS-2625</v>
      </c>
    </row>
    <row r="2627" spans="1:11" x14ac:dyDescent="0.35">
      <c r="A2627" s="5">
        <v>45650</v>
      </c>
      <c r="B2627" s="3">
        <v>0.74685185185185188</v>
      </c>
      <c r="C2627" t="s">
        <v>8</v>
      </c>
      <c r="D2627" t="s">
        <v>1081</v>
      </c>
      <c r="E2627" s="4">
        <v>25.96</v>
      </c>
      <c r="F2627" t="s">
        <v>20</v>
      </c>
      <c r="G2627" s="10" t="str">
        <f>TEXT(Transform_Data[[#This Row],[Date]],"mmm yyyy")</f>
        <v>Dec 2024</v>
      </c>
      <c r="H2627" s="10">
        <f>HOUR(Transform_Data[[#This Row],[Time]])</f>
        <v>17</v>
      </c>
      <c r="I2627" s="10" t="str">
        <f>IF(COUNTIF('Transform Data'!$D:$D,'Transform Data'!D2627)&gt;1,"Repeat","Single")</f>
        <v>Repeat</v>
      </c>
      <c r="J2627" s="10" t="str">
        <f>IF('Transform Data'!D2627="Cash","Cash",IF(COUNTIF('Transform Data'!$D:$D,'Transform Data'!D2627)&gt;1,"Repeat","Single"))</f>
        <v>Repeat</v>
      </c>
      <c r="K2627" s="10" t="str">
        <f t="shared" si="41"/>
        <v>TRANS-2626</v>
      </c>
    </row>
    <row r="2628" spans="1:11" x14ac:dyDescent="0.35">
      <c r="A2628" s="5">
        <v>45650</v>
      </c>
      <c r="B2628" s="3">
        <v>0.79902777777777778</v>
      </c>
      <c r="C2628" t="s">
        <v>8</v>
      </c>
      <c r="D2628" t="s">
        <v>1091</v>
      </c>
      <c r="E2628" s="4">
        <v>35.76</v>
      </c>
      <c r="F2628" t="s">
        <v>15</v>
      </c>
      <c r="G2628" s="10" t="str">
        <f>TEXT(Transform_Data[[#This Row],[Date]],"mmm yyyy")</f>
        <v>Dec 2024</v>
      </c>
      <c r="H2628" s="10">
        <f>HOUR(Transform_Data[[#This Row],[Time]])</f>
        <v>19</v>
      </c>
      <c r="I2628" s="10" t="str">
        <f>IF(COUNTIF('Transform Data'!$D:$D,'Transform Data'!D2628)&gt;1,"Repeat","Single")</f>
        <v>Repeat</v>
      </c>
      <c r="J2628" s="10" t="str">
        <f>IF('Transform Data'!D2628="Cash","Cash",IF(COUNTIF('Transform Data'!$D:$D,'Transform Data'!D2628)&gt;1,"Repeat","Single"))</f>
        <v>Repeat</v>
      </c>
      <c r="K2628" s="10" t="str">
        <f t="shared" si="41"/>
        <v>TRANS-2627</v>
      </c>
    </row>
    <row r="2629" spans="1:11" x14ac:dyDescent="0.35">
      <c r="A2629" s="5">
        <v>45650</v>
      </c>
      <c r="B2629" s="3">
        <v>0.79972222222222222</v>
      </c>
      <c r="C2629" t="s">
        <v>8</v>
      </c>
      <c r="D2629" t="s">
        <v>1092</v>
      </c>
      <c r="E2629" s="4">
        <v>35.76</v>
      </c>
      <c r="F2629" t="s">
        <v>32</v>
      </c>
      <c r="G2629" s="10" t="str">
        <f>TEXT(Transform_Data[[#This Row],[Date]],"mmm yyyy")</f>
        <v>Dec 2024</v>
      </c>
      <c r="H2629" s="10">
        <f>HOUR(Transform_Data[[#This Row],[Time]])</f>
        <v>19</v>
      </c>
      <c r="I2629" s="10" t="str">
        <f>IF(COUNTIF('Transform Data'!$D:$D,'Transform Data'!D2629)&gt;1,"Repeat","Single")</f>
        <v>Single</v>
      </c>
      <c r="J2629" s="10" t="str">
        <f>IF('Transform Data'!D2629="Cash","Cash",IF(COUNTIF('Transform Data'!$D:$D,'Transform Data'!D2629)&gt;1,"Repeat","Single"))</f>
        <v>Single</v>
      </c>
      <c r="K2629" s="10" t="str">
        <f t="shared" si="41"/>
        <v>TRANS-2628</v>
      </c>
    </row>
    <row r="2630" spans="1:11" x14ac:dyDescent="0.35">
      <c r="A2630" s="5">
        <v>45650</v>
      </c>
      <c r="B2630" s="3">
        <v>0.80039351851851848</v>
      </c>
      <c r="C2630" t="s">
        <v>8</v>
      </c>
      <c r="D2630" t="s">
        <v>1091</v>
      </c>
      <c r="E2630" s="4">
        <v>21.06</v>
      </c>
      <c r="F2630" t="s">
        <v>5</v>
      </c>
      <c r="G2630" s="10" t="str">
        <f>TEXT(Transform_Data[[#This Row],[Date]],"mmm yyyy")</f>
        <v>Dec 2024</v>
      </c>
      <c r="H2630" s="10">
        <f>HOUR(Transform_Data[[#This Row],[Time]])</f>
        <v>19</v>
      </c>
      <c r="I2630" s="10" t="str">
        <f>IF(COUNTIF('Transform Data'!$D:$D,'Transform Data'!D2630)&gt;1,"Repeat","Single")</f>
        <v>Repeat</v>
      </c>
      <c r="J2630" s="10" t="str">
        <f>IF('Transform Data'!D2630="Cash","Cash",IF(COUNTIF('Transform Data'!$D:$D,'Transform Data'!D2630)&gt;1,"Repeat","Single"))</f>
        <v>Repeat</v>
      </c>
      <c r="K2630" s="10" t="str">
        <f t="shared" si="41"/>
        <v>TRANS-2629</v>
      </c>
    </row>
    <row r="2631" spans="1:11" x14ac:dyDescent="0.35">
      <c r="A2631" s="5">
        <v>45650</v>
      </c>
      <c r="B2631" s="3">
        <v>0.81668981481481484</v>
      </c>
      <c r="C2631" t="s">
        <v>8</v>
      </c>
      <c r="D2631" t="s">
        <v>11</v>
      </c>
      <c r="E2631" s="4">
        <v>35.76</v>
      </c>
      <c r="F2631" t="s">
        <v>24</v>
      </c>
      <c r="G2631" s="10" t="str">
        <f>TEXT(Transform_Data[[#This Row],[Date]],"mmm yyyy")</f>
        <v>Dec 2024</v>
      </c>
      <c r="H2631" s="10">
        <f>HOUR(Transform_Data[[#This Row],[Time]])</f>
        <v>19</v>
      </c>
      <c r="I2631" s="10" t="str">
        <f>IF(COUNTIF('Transform Data'!$D:$D,'Transform Data'!D2631)&gt;1,"Repeat","Single")</f>
        <v>Repeat</v>
      </c>
      <c r="J2631" s="10" t="str">
        <f>IF('Transform Data'!D2631="Cash","Cash",IF(COUNTIF('Transform Data'!$D:$D,'Transform Data'!D2631)&gt;1,"Repeat","Single"))</f>
        <v>Repeat</v>
      </c>
      <c r="K2631" s="10" t="str">
        <f t="shared" si="41"/>
        <v>TRANS-2630</v>
      </c>
    </row>
    <row r="2632" spans="1:11" x14ac:dyDescent="0.35">
      <c r="A2632" s="5">
        <v>45651</v>
      </c>
      <c r="B2632" s="3">
        <v>0.44717592592592592</v>
      </c>
      <c r="C2632" t="s">
        <v>8</v>
      </c>
      <c r="D2632" t="s">
        <v>1093</v>
      </c>
      <c r="E2632" s="4">
        <v>35.76</v>
      </c>
      <c r="F2632" t="s">
        <v>32</v>
      </c>
      <c r="G2632" s="10" t="str">
        <f>TEXT(Transform_Data[[#This Row],[Date]],"mmm yyyy")</f>
        <v>Dec 2024</v>
      </c>
      <c r="H2632" s="10">
        <f>HOUR(Transform_Data[[#This Row],[Time]])</f>
        <v>10</v>
      </c>
      <c r="I2632" s="10" t="str">
        <f>IF(COUNTIF('Transform Data'!$D:$D,'Transform Data'!D2632)&gt;1,"Repeat","Single")</f>
        <v>Repeat</v>
      </c>
      <c r="J2632" s="10" t="str">
        <f>IF('Transform Data'!D2632="Cash","Cash",IF(COUNTIF('Transform Data'!$D:$D,'Transform Data'!D2632)&gt;1,"Repeat","Single"))</f>
        <v>Repeat</v>
      </c>
      <c r="K2632" s="10" t="str">
        <f t="shared" si="41"/>
        <v>TRANS-2631</v>
      </c>
    </row>
    <row r="2633" spans="1:11" x14ac:dyDescent="0.35">
      <c r="A2633" s="5">
        <v>45651</v>
      </c>
      <c r="B2633" s="3">
        <v>0.44793981481481482</v>
      </c>
      <c r="C2633" t="s">
        <v>8</v>
      </c>
      <c r="D2633" t="s">
        <v>1093</v>
      </c>
      <c r="E2633" s="4">
        <v>35.76</v>
      </c>
      <c r="F2633" t="s">
        <v>32</v>
      </c>
      <c r="G2633" s="10" t="str">
        <f>TEXT(Transform_Data[[#This Row],[Date]],"mmm yyyy")</f>
        <v>Dec 2024</v>
      </c>
      <c r="H2633" s="10">
        <f>HOUR(Transform_Data[[#This Row],[Time]])</f>
        <v>10</v>
      </c>
      <c r="I2633" s="10" t="str">
        <f>IF(COUNTIF('Transform Data'!$D:$D,'Transform Data'!D2633)&gt;1,"Repeat","Single")</f>
        <v>Repeat</v>
      </c>
      <c r="J2633" s="10" t="str">
        <f>IF('Transform Data'!D2633="Cash","Cash",IF(COUNTIF('Transform Data'!$D:$D,'Transform Data'!D2633)&gt;1,"Repeat","Single"))</f>
        <v>Repeat</v>
      </c>
      <c r="K2633" s="10" t="str">
        <f t="shared" si="41"/>
        <v>TRANS-2632</v>
      </c>
    </row>
    <row r="2634" spans="1:11" x14ac:dyDescent="0.35">
      <c r="A2634" s="5">
        <v>45651</v>
      </c>
      <c r="B2634" s="3">
        <v>0.52434027777777781</v>
      </c>
      <c r="C2634" t="s">
        <v>8</v>
      </c>
      <c r="D2634" t="s">
        <v>1094</v>
      </c>
      <c r="E2634" s="4">
        <v>30.86</v>
      </c>
      <c r="F2634" t="s">
        <v>36</v>
      </c>
      <c r="G2634" s="10" t="str">
        <f>TEXT(Transform_Data[[#This Row],[Date]],"mmm yyyy")</f>
        <v>Dec 2024</v>
      </c>
      <c r="H2634" s="10">
        <f>HOUR(Transform_Data[[#This Row],[Time]])</f>
        <v>12</v>
      </c>
      <c r="I2634" s="10" t="str">
        <f>IF(COUNTIF('Transform Data'!$D:$D,'Transform Data'!D2634)&gt;1,"Repeat","Single")</f>
        <v>Repeat</v>
      </c>
      <c r="J2634" s="10" t="str">
        <f>IF('Transform Data'!D2634="Cash","Cash",IF(COUNTIF('Transform Data'!$D:$D,'Transform Data'!D2634)&gt;1,"Repeat","Single"))</f>
        <v>Repeat</v>
      </c>
      <c r="K2634" s="10" t="str">
        <f t="shared" si="41"/>
        <v>TRANS-2633</v>
      </c>
    </row>
    <row r="2635" spans="1:11" x14ac:dyDescent="0.35">
      <c r="A2635" s="5">
        <v>45651</v>
      </c>
      <c r="B2635" s="3">
        <v>0.52500000000000002</v>
      </c>
      <c r="C2635" t="s">
        <v>8</v>
      </c>
      <c r="D2635" t="s">
        <v>1094</v>
      </c>
      <c r="E2635" s="4">
        <v>25.96</v>
      </c>
      <c r="F2635" t="s">
        <v>28</v>
      </c>
      <c r="G2635" s="10" t="str">
        <f>TEXT(Transform_Data[[#This Row],[Date]],"mmm yyyy")</f>
        <v>Dec 2024</v>
      </c>
      <c r="H2635" s="10">
        <f>HOUR(Transform_Data[[#This Row],[Time]])</f>
        <v>12</v>
      </c>
      <c r="I2635" s="10" t="str">
        <f>IF(COUNTIF('Transform Data'!$D:$D,'Transform Data'!D2635)&gt;1,"Repeat","Single")</f>
        <v>Repeat</v>
      </c>
      <c r="J2635" s="10" t="str">
        <f>IF('Transform Data'!D2635="Cash","Cash",IF(COUNTIF('Transform Data'!$D:$D,'Transform Data'!D2635)&gt;1,"Repeat","Single"))</f>
        <v>Repeat</v>
      </c>
      <c r="K2635" s="10" t="str">
        <f t="shared" si="41"/>
        <v>TRANS-2634</v>
      </c>
    </row>
    <row r="2636" spans="1:11" x14ac:dyDescent="0.35">
      <c r="A2636" s="5">
        <v>45651</v>
      </c>
      <c r="B2636" s="3">
        <v>0.55359953703703701</v>
      </c>
      <c r="C2636" t="s">
        <v>8</v>
      </c>
      <c r="D2636" t="s">
        <v>1095</v>
      </c>
      <c r="E2636" s="4">
        <v>30.86</v>
      </c>
      <c r="F2636" t="s">
        <v>36</v>
      </c>
      <c r="G2636" s="10" t="str">
        <f>TEXT(Transform_Data[[#This Row],[Date]],"mmm yyyy")</f>
        <v>Dec 2024</v>
      </c>
      <c r="H2636" s="10">
        <f>HOUR(Transform_Data[[#This Row],[Time]])</f>
        <v>13</v>
      </c>
      <c r="I2636" s="10" t="str">
        <f>IF(COUNTIF('Transform Data'!$D:$D,'Transform Data'!D2636)&gt;1,"Repeat","Single")</f>
        <v>Single</v>
      </c>
      <c r="J2636" s="10" t="str">
        <f>IF('Transform Data'!D2636="Cash","Cash",IF(COUNTIF('Transform Data'!$D:$D,'Transform Data'!D2636)&gt;1,"Repeat","Single"))</f>
        <v>Single</v>
      </c>
      <c r="K2636" s="10" t="str">
        <f t="shared" si="41"/>
        <v>TRANS-2635</v>
      </c>
    </row>
    <row r="2637" spans="1:11" x14ac:dyDescent="0.35">
      <c r="A2637" s="5">
        <v>45651</v>
      </c>
      <c r="B2637" s="3">
        <v>0.56443287037037038</v>
      </c>
      <c r="C2637" t="s">
        <v>8</v>
      </c>
      <c r="D2637" t="s">
        <v>1096</v>
      </c>
      <c r="E2637" s="4">
        <v>25.96</v>
      </c>
      <c r="F2637" t="s">
        <v>28</v>
      </c>
      <c r="G2637" s="10" t="str">
        <f>TEXT(Transform_Data[[#This Row],[Date]],"mmm yyyy")</f>
        <v>Dec 2024</v>
      </c>
      <c r="H2637" s="10">
        <f>HOUR(Transform_Data[[#This Row],[Time]])</f>
        <v>13</v>
      </c>
      <c r="I2637" s="10" t="str">
        <f>IF(COUNTIF('Transform Data'!$D:$D,'Transform Data'!D2637)&gt;1,"Repeat","Single")</f>
        <v>Single</v>
      </c>
      <c r="J2637" s="10" t="str">
        <f>IF('Transform Data'!D2637="Cash","Cash",IF(COUNTIF('Transform Data'!$D:$D,'Transform Data'!D2637)&gt;1,"Repeat","Single"))</f>
        <v>Single</v>
      </c>
      <c r="K2637" s="10" t="str">
        <f t="shared" si="41"/>
        <v>TRANS-2636</v>
      </c>
    </row>
    <row r="2638" spans="1:11" x14ac:dyDescent="0.35">
      <c r="A2638" s="5">
        <v>45651</v>
      </c>
      <c r="B2638" s="3">
        <v>0.83518518518518514</v>
      </c>
      <c r="C2638" t="s">
        <v>8</v>
      </c>
      <c r="D2638" t="s">
        <v>11</v>
      </c>
      <c r="E2638" s="4">
        <v>35.76</v>
      </c>
      <c r="F2638" t="s">
        <v>24</v>
      </c>
      <c r="G2638" s="10" t="str">
        <f>TEXT(Transform_Data[[#This Row],[Date]],"mmm yyyy")</f>
        <v>Dec 2024</v>
      </c>
      <c r="H2638" s="10">
        <f>HOUR(Transform_Data[[#This Row],[Time]])</f>
        <v>20</v>
      </c>
      <c r="I2638" s="10" t="str">
        <f>IF(COUNTIF('Transform Data'!$D:$D,'Transform Data'!D2638)&gt;1,"Repeat","Single")</f>
        <v>Repeat</v>
      </c>
      <c r="J2638" s="10" t="str">
        <f>IF('Transform Data'!D2638="Cash","Cash",IF(COUNTIF('Transform Data'!$D:$D,'Transform Data'!D2638)&gt;1,"Repeat","Single"))</f>
        <v>Repeat</v>
      </c>
      <c r="K2638" s="10" t="str">
        <f t="shared" si="41"/>
        <v>TRANS-2637</v>
      </c>
    </row>
    <row r="2639" spans="1:11" x14ac:dyDescent="0.35">
      <c r="A2639" s="5">
        <v>45651</v>
      </c>
      <c r="B2639" s="3">
        <v>0.88806712962962964</v>
      </c>
      <c r="C2639" t="s">
        <v>8</v>
      </c>
      <c r="D2639" t="s">
        <v>1097</v>
      </c>
      <c r="E2639" s="4">
        <v>35.76</v>
      </c>
      <c r="F2639" t="s">
        <v>10</v>
      </c>
      <c r="G2639" s="10" t="str">
        <f>TEXT(Transform_Data[[#This Row],[Date]],"mmm yyyy")</f>
        <v>Dec 2024</v>
      </c>
      <c r="H2639" s="10">
        <f>HOUR(Transform_Data[[#This Row],[Time]])</f>
        <v>21</v>
      </c>
      <c r="I2639" s="10" t="str">
        <f>IF(COUNTIF('Transform Data'!$D:$D,'Transform Data'!D2639)&gt;1,"Repeat","Single")</f>
        <v>Repeat</v>
      </c>
      <c r="J2639" s="10" t="str">
        <f>IF('Transform Data'!D2639="Cash","Cash",IF(COUNTIF('Transform Data'!$D:$D,'Transform Data'!D2639)&gt;1,"Repeat","Single"))</f>
        <v>Repeat</v>
      </c>
      <c r="K2639" s="10" t="str">
        <f t="shared" si="41"/>
        <v>TRANS-2638</v>
      </c>
    </row>
    <row r="2640" spans="1:11" x14ac:dyDescent="0.35">
      <c r="A2640" s="5">
        <v>45651</v>
      </c>
      <c r="B2640" s="3">
        <v>0.88868055555555558</v>
      </c>
      <c r="C2640" t="s">
        <v>8</v>
      </c>
      <c r="D2640" t="s">
        <v>1097</v>
      </c>
      <c r="E2640" s="4">
        <v>35.76</v>
      </c>
      <c r="F2640" t="s">
        <v>10</v>
      </c>
      <c r="G2640" s="10" t="str">
        <f>TEXT(Transform_Data[[#This Row],[Date]],"mmm yyyy")</f>
        <v>Dec 2024</v>
      </c>
      <c r="H2640" s="10">
        <f>HOUR(Transform_Data[[#This Row],[Time]])</f>
        <v>21</v>
      </c>
      <c r="I2640" s="10" t="str">
        <f>IF(COUNTIF('Transform Data'!$D:$D,'Transform Data'!D2640)&gt;1,"Repeat","Single")</f>
        <v>Repeat</v>
      </c>
      <c r="J2640" s="10" t="str">
        <f>IF('Transform Data'!D2640="Cash","Cash",IF(COUNTIF('Transform Data'!$D:$D,'Transform Data'!D2640)&gt;1,"Repeat","Single"))</f>
        <v>Repeat</v>
      </c>
      <c r="K2640" s="10" t="str">
        <f t="shared" si="41"/>
        <v>TRANS-2639</v>
      </c>
    </row>
    <row r="2641" spans="1:11" x14ac:dyDescent="0.35">
      <c r="A2641" s="5">
        <v>45651</v>
      </c>
      <c r="B2641" s="3">
        <v>0.91493055555555558</v>
      </c>
      <c r="C2641" t="s">
        <v>8</v>
      </c>
      <c r="D2641" t="s">
        <v>1098</v>
      </c>
      <c r="E2641" s="4">
        <v>35.76</v>
      </c>
      <c r="F2641" t="s">
        <v>32</v>
      </c>
      <c r="G2641" s="10" t="str">
        <f>TEXT(Transform_Data[[#This Row],[Date]],"mmm yyyy")</f>
        <v>Dec 2024</v>
      </c>
      <c r="H2641" s="10">
        <f>HOUR(Transform_Data[[#This Row],[Time]])</f>
        <v>21</v>
      </c>
      <c r="I2641" s="10" t="str">
        <f>IF(COUNTIF('Transform Data'!$D:$D,'Transform Data'!D2641)&gt;1,"Repeat","Single")</f>
        <v>Single</v>
      </c>
      <c r="J2641" s="10" t="str">
        <f>IF('Transform Data'!D2641="Cash","Cash",IF(COUNTIF('Transform Data'!$D:$D,'Transform Data'!D2641)&gt;1,"Repeat","Single"))</f>
        <v>Single</v>
      </c>
      <c r="K2641" s="10" t="str">
        <f t="shared" si="41"/>
        <v>TRANS-2640</v>
      </c>
    </row>
    <row r="2642" spans="1:11" x14ac:dyDescent="0.35">
      <c r="A2642" s="5">
        <v>45651</v>
      </c>
      <c r="B2642" s="3">
        <v>0.95210648148148147</v>
      </c>
      <c r="C2642" t="s">
        <v>8</v>
      </c>
      <c r="D2642" t="s">
        <v>208</v>
      </c>
      <c r="E2642" s="4">
        <v>35.76</v>
      </c>
      <c r="F2642" t="s">
        <v>24</v>
      </c>
      <c r="G2642" s="10" t="str">
        <f>TEXT(Transform_Data[[#This Row],[Date]],"mmm yyyy")</f>
        <v>Dec 2024</v>
      </c>
      <c r="H2642" s="10">
        <f>HOUR(Transform_Data[[#This Row],[Time]])</f>
        <v>22</v>
      </c>
      <c r="I2642" s="10" t="str">
        <f>IF(COUNTIF('Transform Data'!$D:$D,'Transform Data'!D2642)&gt;1,"Repeat","Single")</f>
        <v>Repeat</v>
      </c>
      <c r="J2642" s="10" t="str">
        <f>IF('Transform Data'!D2642="Cash","Cash",IF(COUNTIF('Transform Data'!$D:$D,'Transform Data'!D2642)&gt;1,"Repeat","Single"))</f>
        <v>Repeat</v>
      </c>
      <c r="K2642" s="10" t="str">
        <f t="shared" si="41"/>
        <v>TRANS-2641</v>
      </c>
    </row>
    <row r="2643" spans="1:11" x14ac:dyDescent="0.35">
      <c r="A2643" s="5">
        <v>45651</v>
      </c>
      <c r="B2643" s="3">
        <v>0.95354166666666662</v>
      </c>
      <c r="C2643" t="s">
        <v>8</v>
      </c>
      <c r="D2643" t="s">
        <v>208</v>
      </c>
      <c r="E2643" s="4">
        <v>30.86</v>
      </c>
      <c r="F2643" t="s">
        <v>36</v>
      </c>
      <c r="G2643" s="10" t="str">
        <f>TEXT(Transform_Data[[#This Row],[Date]],"mmm yyyy")</f>
        <v>Dec 2024</v>
      </c>
      <c r="H2643" s="10">
        <f>HOUR(Transform_Data[[#This Row],[Time]])</f>
        <v>22</v>
      </c>
      <c r="I2643" s="10" t="str">
        <f>IF(COUNTIF('Transform Data'!$D:$D,'Transform Data'!D2643)&gt;1,"Repeat","Single")</f>
        <v>Repeat</v>
      </c>
      <c r="J2643" s="10" t="str">
        <f>IF('Transform Data'!D2643="Cash","Cash",IF(COUNTIF('Transform Data'!$D:$D,'Transform Data'!D2643)&gt;1,"Repeat","Single"))</f>
        <v>Repeat</v>
      </c>
      <c r="K2643" s="10" t="str">
        <f t="shared" si="41"/>
        <v>TRANS-2642</v>
      </c>
    </row>
    <row r="2644" spans="1:11" x14ac:dyDescent="0.35">
      <c r="A2644" s="5">
        <v>45652</v>
      </c>
      <c r="B2644" s="3">
        <v>0.5504282407407407</v>
      </c>
      <c r="C2644" t="s">
        <v>8</v>
      </c>
      <c r="D2644" t="s">
        <v>1099</v>
      </c>
      <c r="E2644" s="4">
        <v>35.76</v>
      </c>
      <c r="F2644" t="s">
        <v>24</v>
      </c>
      <c r="G2644" s="10" t="str">
        <f>TEXT(Transform_Data[[#This Row],[Date]],"mmm yyyy")</f>
        <v>Dec 2024</v>
      </c>
      <c r="H2644" s="10">
        <f>HOUR(Transform_Data[[#This Row],[Time]])</f>
        <v>13</v>
      </c>
      <c r="I2644" s="10" t="str">
        <f>IF(COUNTIF('Transform Data'!$D:$D,'Transform Data'!D2644)&gt;1,"Repeat","Single")</f>
        <v>Single</v>
      </c>
      <c r="J2644" s="10" t="str">
        <f>IF('Transform Data'!D2644="Cash","Cash",IF(COUNTIF('Transform Data'!$D:$D,'Transform Data'!D2644)&gt;1,"Repeat","Single"))</f>
        <v>Single</v>
      </c>
      <c r="K2644" s="10" t="str">
        <f t="shared" si="41"/>
        <v>TRANS-2643</v>
      </c>
    </row>
    <row r="2645" spans="1:11" x14ac:dyDescent="0.35">
      <c r="A2645" s="5">
        <v>45652</v>
      </c>
      <c r="B2645" s="3">
        <v>0.62817129629629631</v>
      </c>
      <c r="C2645" t="s">
        <v>8</v>
      </c>
      <c r="D2645" t="s">
        <v>1100</v>
      </c>
      <c r="E2645" s="4">
        <v>21.06</v>
      </c>
      <c r="F2645" t="s">
        <v>5</v>
      </c>
      <c r="G2645" s="10" t="str">
        <f>TEXT(Transform_Data[[#This Row],[Date]],"mmm yyyy")</f>
        <v>Dec 2024</v>
      </c>
      <c r="H2645" s="10">
        <f>HOUR(Transform_Data[[#This Row],[Time]])</f>
        <v>15</v>
      </c>
      <c r="I2645" s="10" t="str">
        <f>IF(COUNTIF('Transform Data'!$D:$D,'Transform Data'!D2645)&gt;1,"Repeat","Single")</f>
        <v>Single</v>
      </c>
      <c r="J2645" s="10" t="str">
        <f>IF('Transform Data'!D2645="Cash","Cash",IF(COUNTIF('Transform Data'!$D:$D,'Transform Data'!D2645)&gt;1,"Repeat","Single"))</f>
        <v>Single</v>
      </c>
      <c r="K2645" s="10" t="str">
        <f t="shared" si="41"/>
        <v>TRANS-2644</v>
      </c>
    </row>
    <row r="2646" spans="1:11" x14ac:dyDescent="0.35">
      <c r="A2646" s="5">
        <v>45653</v>
      </c>
      <c r="B2646" s="3">
        <v>0.32662037037037039</v>
      </c>
      <c r="C2646" t="s">
        <v>8</v>
      </c>
      <c r="D2646" t="s">
        <v>1101</v>
      </c>
      <c r="E2646" s="4">
        <v>25.96</v>
      </c>
      <c r="F2646" t="s">
        <v>28</v>
      </c>
      <c r="G2646" s="10" t="str">
        <f>TEXT(Transform_Data[[#This Row],[Date]],"mmm yyyy")</f>
        <v>Dec 2024</v>
      </c>
      <c r="H2646" s="10">
        <f>HOUR(Transform_Data[[#This Row],[Time]])</f>
        <v>7</v>
      </c>
      <c r="I2646" s="10" t="str">
        <f>IF(COUNTIF('Transform Data'!$D:$D,'Transform Data'!D2646)&gt;1,"Repeat","Single")</f>
        <v>Single</v>
      </c>
      <c r="J2646" s="10" t="str">
        <f>IF('Transform Data'!D2646="Cash","Cash",IF(COUNTIF('Transform Data'!$D:$D,'Transform Data'!D2646)&gt;1,"Repeat","Single"))</f>
        <v>Single</v>
      </c>
      <c r="K2646" s="10" t="str">
        <f t="shared" si="41"/>
        <v>TRANS-2645</v>
      </c>
    </row>
    <row r="2647" spans="1:11" x14ac:dyDescent="0.35">
      <c r="A2647" s="5">
        <v>45653</v>
      </c>
      <c r="B2647" s="3">
        <v>0.37335648148148148</v>
      </c>
      <c r="C2647" t="s">
        <v>8</v>
      </c>
      <c r="D2647" t="s">
        <v>1081</v>
      </c>
      <c r="E2647" s="4">
        <v>25.96</v>
      </c>
      <c r="F2647" t="s">
        <v>20</v>
      </c>
      <c r="G2647" s="10" t="str">
        <f>TEXT(Transform_Data[[#This Row],[Date]],"mmm yyyy")</f>
        <v>Dec 2024</v>
      </c>
      <c r="H2647" s="10">
        <f>HOUR(Transform_Data[[#This Row],[Time]])</f>
        <v>8</v>
      </c>
      <c r="I2647" s="10" t="str">
        <f>IF(COUNTIF('Transform Data'!$D:$D,'Transform Data'!D2647)&gt;1,"Repeat","Single")</f>
        <v>Repeat</v>
      </c>
      <c r="J2647" s="10" t="str">
        <f>IF('Transform Data'!D2647="Cash","Cash",IF(COUNTIF('Transform Data'!$D:$D,'Transform Data'!D2647)&gt;1,"Repeat","Single"))</f>
        <v>Repeat</v>
      </c>
      <c r="K2647" s="10" t="str">
        <f t="shared" si="41"/>
        <v>TRANS-2646</v>
      </c>
    </row>
    <row r="2648" spans="1:11" x14ac:dyDescent="0.35">
      <c r="A2648" s="5">
        <v>45653</v>
      </c>
      <c r="B2648" s="3">
        <v>0.38188657407407406</v>
      </c>
      <c r="C2648" t="s">
        <v>8</v>
      </c>
      <c r="D2648" t="s">
        <v>40</v>
      </c>
      <c r="E2648" s="4">
        <v>25.96</v>
      </c>
      <c r="F2648" t="s">
        <v>20</v>
      </c>
      <c r="G2648" s="10" t="str">
        <f>TEXT(Transform_Data[[#This Row],[Date]],"mmm yyyy")</f>
        <v>Dec 2024</v>
      </c>
      <c r="H2648" s="10">
        <f>HOUR(Transform_Data[[#This Row],[Time]])</f>
        <v>9</v>
      </c>
      <c r="I2648" s="10" t="str">
        <f>IF(COUNTIF('Transform Data'!$D:$D,'Transform Data'!D2648)&gt;1,"Repeat","Single")</f>
        <v>Repeat</v>
      </c>
      <c r="J2648" s="10" t="str">
        <f>IF('Transform Data'!D2648="Cash","Cash",IF(COUNTIF('Transform Data'!$D:$D,'Transform Data'!D2648)&gt;1,"Repeat","Single"))</f>
        <v>Repeat</v>
      </c>
      <c r="K2648" s="10" t="str">
        <f t="shared" si="41"/>
        <v>TRANS-2647</v>
      </c>
    </row>
    <row r="2649" spans="1:11" x14ac:dyDescent="0.35">
      <c r="A2649" s="5">
        <v>45653</v>
      </c>
      <c r="B2649" s="3">
        <v>0.42561342592592594</v>
      </c>
      <c r="C2649" t="s">
        <v>8</v>
      </c>
      <c r="D2649" t="s">
        <v>29</v>
      </c>
      <c r="E2649" s="4">
        <v>30.86</v>
      </c>
      <c r="F2649" t="s">
        <v>36</v>
      </c>
      <c r="G2649" s="10" t="str">
        <f>TEXT(Transform_Data[[#This Row],[Date]],"mmm yyyy")</f>
        <v>Dec 2024</v>
      </c>
      <c r="H2649" s="10">
        <f>HOUR(Transform_Data[[#This Row],[Time]])</f>
        <v>10</v>
      </c>
      <c r="I2649" s="10" t="str">
        <f>IF(COUNTIF('Transform Data'!$D:$D,'Transform Data'!D2649)&gt;1,"Repeat","Single")</f>
        <v>Repeat</v>
      </c>
      <c r="J2649" s="10" t="str">
        <f>IF('Transform Data'!D2649="Cash","Cash",IF(COUNTIF('Transform Data'!$D:$D,'Transform Data'!D2649)&gt;1,"Repeat","Single"))</f>
        <v>Repeat</v>
      </c>
      <c r="K2649" s="10" t="str">
        <f t="shared" si="41"/>
        <v>TRANS-2648</v>
      </c>
    </row>
    <row r="2650" spans="1:11" x14ac:dyDescent="0.35">
      <c r="A2650" s="5">
        <v>45653</v>
      </c>
      <c r="B2650" s="3">
        <v>0.71671296296296294</v>
      </c>
      <c r="C2650" t="s">
        <v>8</v>
      </c>
      <c r="D2650" t="s">
        <v>1102</v>
      </c>
      <c r="E2650" s="4">
        <v>35.76</v>
      </c>
      <c r="F2650" t="s">
        <v>32</v>
      </c>
      <c r="G2650" s="10" t="str">
        <f>TEXT(Transform_Data[[#This Row],[Date]],"mmm yyyy")</f>
        <v>Dec 2024</v>
      </c>
      <c r="H2650" s="10">
        <f>HOUR(Transform_Data[[#This Row],[Time]])</f>
        <v>17</v>
      </c>
      <c r="I2650" s="10" t="str">
        <f>IF(COUNTIF('Transform Data'!$D:$D,'Transform Data'!D2650)&gt;1,"Repeat","Single")</f>
        <v>Single</v>
      </c>
      <c r="J2650" s="10" t="str">
        <f>IF('Transform Data'!D2650="Cash","Cash",IF(COUNTIF('Transform Data'!$D:$D,'Transform Data'!D2650)&gt;1,"Repeat","Single"))</f>
        <v>Single</v>
      </c>
      <c r="K2650" s="10" t="str">
        <f t="shared" si="41"/>
        <v>TRANS-2649</v>
      </c>
    </row>
    <row r="2651" spans="1:11" x14ac:dyDescent="0.35">
      <c r="A2651" s="5">
        <v>45653</v>
      </c>
      <c r="B2651" s="3">
        <v>0.82461805555555556</v>
      </c>
      <c r="C2651" t="s">
        <v>8</v>
      </c>
      <c r="D2651" t="s">
        <v>1103</v>
      </c>
      <c r="E2651" s="4">
        <v>25.96</v>
      </c>
      <c r="F2651" t="s">
        <v>28</v>
      </c>
      <c r="G2651" s="10" t="str">
        <f>TEXT(Transform_Data[[#This Row],[Date]],"mmm yyyy")</f>
        <v>Dec 2024</v>
      </c>
      <c r="H2651" s="10">
        <f>HOUR(Transform_Data[[#This Row],[Time]])</f>
        <v>19</v>
      </c>
      <c r="I2651" s="10" t="str">
        <f>IF(COUNTIF('Transform Data'!$D:$D,'Transform Data'!D2651)&gt;1,"Repeat","Single")</f>
        <v>Repeat</v>
      </c>
      <c r="J2651" s="10" t="str">
        <f>IF('Transform Data'!D2651="Cash","Cash",IF(COUNTIF('Transform Data'!$D:$D,'Transform Data'!D2651)&gt;1,"Repeat","Single"))</f>
        <v>Repeat</v>
      </c>
      <c r="K2651" s="10" t="str">
        <f t="shared" si="41"/>
        <v>TRANS-2650</v>
      </c>
    </row>
    <row r="2652" spans="1:11" x14ac:dyDescent="0.35">
      <c r="A2652" s="5">
        <v>45653</v>
      </c>
      <c r="B2652" s="3">
        <v>0.82524305555555555</v>
      </c>
      <c r="C2652" t="s">
        <v>8</v>
      </c>
      <c r="D2652" t="s">
        <v>1103</v>
      </c>
      <c r="E2652" s="4">
        <v>30.86</v>
      </c>
      <c r="F2652" t="s">
        <v>36</v>
      </c>
      <c r="G2652" s="10" t="str">
        <f>TEXT(Transform_Data[[#This Row],[Date]],"mmm yyyy")</f>
        <v>Dec 2024</v>
      </c>
      <c r="H2652" s="10">
        <f>HOUR(Transform_Data[[#This Row],[Time]])</f>
        <v>19</v>
      </c>
      <c r="I2652" s="10" t="str">
        <f>IF(COUNTIF('Transform Data'!$D:$D,'Transform Data'!D2652)&gt;1,"Repeat","Single")</f>
        <v>Repeat</v>
      </c>
      <c r="J2652" s="10" t="str">
        <f>IF('Transform Data'!D2652="Cash","Cash",IF(COUNTIF('Transform Data'!$D:$D,'Transform Data'!D2652)&gt;1,"Repeat","Single"))</f>
        <v>Repeat</v>
      </c>
      <c r="K2652" s="10" t="str">
        <f t="shared" si="41"/>
        <v>TRANS-2651</v>
      </c>
    </row>
    <row r="2653" spans="1:11" x14ac:dyDescent="0.35">
      <c r="A2653" s="5">
        <v>45653</v>
      </c>
      <c r="B2653" s="3">
        <v>0.95453703703703707</v>
      </c>
      <c r="C2653" t="s">
        <v>8</v>
      </c>
      <c r="D2653" t="s">
        <v>753</v>
      </c>
      <c r="E2653" s="4">
        <v>35.76</v>
      </c>
      <c r="F2653" t="s">
        <v>10</v>
      </c>
      <c r="G2653" s="10" t="str">
        <f>TEXT(Transform_Data[[#This Row],[Date]],"mmm yyyy")</f>
        <v>Dec 2024</v>
      </c>
      <c r="H2653" s="10">
        <f>HOUR(Transform_Data[[#This Row],[Time]])</f>
        <v>22</v>
      </c>
      <c r="I2653" s="10" t="str">
        <f>IF(COUNTIF('Transform Data'!$D:$D,'Transform Data'!D2653)&gt;1,"Repeat","Single")</f>
        <v>Repeat</v>
      </c>
      <c r="J2653" s="10" t="str">
        <f>IF('Transform Data'!D2653="Cash","Cash",IF(COUNTIF('Transform Data'!$D:$D,'Transform Data'!D2653)&gt;1,"Repeat","Single"))</f>
        <v>Repeat</v>
      </c>
      <c r="K2653" s="10" t="str">
        <f t="shared" si="41"/>
        <v>TRANS-2652</v>
      </c>
    </row>
    <row r="2654" spans="1:11" x14ac:dyDescent="0.35">
      <c r="A2654" s="5">
        <v>45654</v>
      </c>
      <c r="B2654" s="3">
        <v>0.37526620370370373</v>
      </c>
      <c r="C2654" t="s">
        <v>8</v>
      </c>
      <c r="D2654" t="s">
        <v>1081</v>
      </c>
      <c r="E2654" s="4">
        <v>25.96</v>
      </c>
      <c r="F2654" t="s">
        <v>20</v>
      </c>
      <c r="G2654" s="10" t="str">
        <f>TEXT(Transform_Data[[#This Row],[Date]],"mmm yyyy")</f>
        <v>Dec 2024</v>
      </c>
      <c r="H2654" s="10">
        <f>HOUR(Transform_Data[[#This Row],[Time]])</f>
        <v>9</v>
      </c>
      <c r="I2654" s="10" t="str">
        <f>IF(COUNTIF('Transform Data'!$D:$D,'Transform Data'!D2654)&gt;1,"Repeat","Single")</f>
        <v>Repeat</v>
      </c>
      <c r="J2654" s="10" t="str">
        <f>IF('Transform Data'!D2654="Cash","Cash",IF(COUNTIF('Transform Data'!$D:$D,'Transform Data'!D2654)&gt;1,"Repeat","Single"))</f>
        <v>Repeat</v>
      </c>
      <c r="K2654" s="10" t="str">
        <f t="shared" si="41"/>
        <v>TRANS-2653</v>
      </c>
    </row>
    <row r="2655" spans="1:11" x14ac:dyDescent="0.35">
      <c r="A2655" s="5">
        <v>45654</v>
      </c>
      <c r="B2655" s="3">
        <v>0.41015046296296298</v>
      </c>
      <c r="C2655" t="s">
        <v>8</v>
      </c>
      <c r="D2655" t="s">
        <v>40</v>
      </c>
      <c r="E2655" s="4">
        <v>25.96</v>
      </c>
      <c r="F2655" t="s">
        <v>20</v>
      </c>
      <c r="G2655" s="10" t="str">
        <f>TEXT(Transform_Data[[#This Row],[Date]],"mmm yyyy")</f>
        <v>Dec 2024</v>
      </c>
      <c r="H2655" s="10">
        <f>HOUR(Transform_Data[[#This Row],[Time]])</f>
        <v>9</v>
      </c>
      <c r="I2655" s="10" t="str">
        <f>IF(COUNTIF('Transform Data'!$D:$D,'Transform Data'!D2655)&gt;1,"Repeat","Single")</f>
        <v>Repeat</v>
      </c>
      <c r="J2655" s="10" t="str">
        <f>IF('Transform Data'!D2655="Cash","Cash",IF(COUNTIF('Transform Data'!$D:$D,'Transform Data'!D2655)&gt;1,"Repeat","Single"))</f>
        <v>Repeat</v>
      </c>
      <c r="K2655" s="10" t="str">
        <f t="shared" si="41"/>
        <v>TRANS-2654</v>
      </c>
    </row>
    <row r="2656" spans="1:11" x14ac:dyDescent="0.35">
      <c r="A2656" s="5">
        <v>45654</v>
      </c>
      <c r="B2656" s="3">
        <v>0.42967592592592591</v>
      </c>
      <c r="C2656" t="s">
        <v>8</v>
      </c>
      <c r="D2656" t="s">
        <v>779</v>
      </c>
      <c r="E2656" s="4">
        <v>30.86</v>
      </c>
      <c r="F2656" t="s">
        <v>36</v>
      </c>
      <c r="G2656" s="10" t="str">
        <f>TEXT(Transform_Data[[#This Row],[Date]],"mmm yyyy")</f>
        <v>Dec 2024</v>
      </c>
      <c r="H2656" s="10">
        <f>HOUR(Transform_Data[[#This Row],[Time]])</f>
        <v>10</v>
      </c>
      <c r="I2656" s="10" t="str">
        <f>IF(COUNTIF('Transform Data'!$D:$D,'Transform Data'!D2656)&gt;1,"Repeat","Single")</f>
        <v>Repeat</v>
      </c>
      <c r="J2656" s="10" t="str">
        <f>IF('Transform Data'!D2656="Cash","Cash",IF(COUNTIF('Transform Data'!$D:$D,'Transform Data'!D2656)&gt;1,"Repeat","Single"))</f>
        <v>Repeat</v>
      </c>
      <c r="K2656" s="10" t="str">
        <f t="shared" si="41"/>
        <v>TRANS-2655</v>
      </c>
    </row>
    <row r="2657" spans="1:11" x14ac:dyDescent="0.35">
      <c r="A2657" s="5">
        <v>45654</v>
      </c>
      <c r="B2657" s="3">
        <v>0.45281250000000001</v>
      </c>
      <c r="C2657" t="s">
        <v>8</v>
      </c>
      <c r="D2657" t="s">
        <v>622</v>
      </c>
      <c r="E2657" s="4">
        <v>35.76</v>
      </c>
      <c r="F2657" t="s">
        <v>32</v>
      </c>
      <c r="G2657" s="10" t="str">
        <f>TEXT(Transform_Data[[#This Row],[Date]],"mmm yyyy")</f>
        <v>Dec 2024</v>
      </c>
      <c r="H2657" s="10">
        <f>HOUR(Transform_Data[[#This Row],[Time]])</f>
        <v>10</v>
      </c>
      <c r="I2657" s="10" t="str">
        <f>IF(COUNTIF('Transform Data'!$D:$D,'Transform Data'!D2657)&gt;1,"Repeat","Single")</f>
        <v>Repeat</v>
      </c>
      <c r="J2657" s="10" t="str">
        <f>IF('Transform Data'!D2657="Cash","Cash",IF(COUNTIF('Transform Data'!$D:$D,'Transform Data'!D2657)&gt;1,"Repeat","Single"))</f>
        <v>Repeat</v>
      </c>
      <c r="K2657" s="10" t="str">
        <f t="shared" si="41"/>
        <v>TRANS-2656</v>
      </c>
    </row>
    <row r="2658" spans="1:11" x14ac:dyDescent="0.35">
      <c r="A2658" s="5">
        <v>45654</v>
      </c>
      <c r="B2658" s="3">
        <v>0.59028935185185183</v>
      </c>
      <c r="C2658" t="s">
        <v>8</v>
      </c>
      <c r="D2658" t="s">
        <v>1104</v>
      </c>
      <c r="E2658" s="4">
        <v>35.76</v>
      </c>
      <c r="F2658" t="s">
        <v>24</v>
      </c>
      <c r="G2658" s="10" t="str">
        <f>TEXT(Transform_Data[[#This Row],[Date]],"mmm yyyy")</f>
        <v>Dec 2024</v>
      </c>
      <c r="H2658" s="10">
        <f>HOUR(Transform_Data[[#This Row],[Time]])</f>
        <v>14</v>
      </c>
      <c r="I2658" s="10" t="str">
        <f>IF(COUNTIF('Transform Data'!$D:$D,'Transform Data'!D2658)&gt;1,"Repeat","Single")</f>
        <v>Single</v>
      </c>
      <c r="J2658" s="10" t="str">
        <f>IF('Transform Data'!D2658="Cash","Cash",IF(COUNTIF('Transform Data'!$D:$D,'Transform Data'!D2658)&gt;1,"Repeat","Single"))</f>
        <v>Single</v>
      </c>
      <c r="K2658" s="10" t="str">
        <f t="shared" si="41"/>
        <v>TRANS-2657</v>
      </c>
    </row>
    <row r="2659" spans="1:11" x14ac:dyDescent="0.35">
      <c r="A2659" s="5">
        <v>45654</v>
      </c>
      <c r="B2659" s="3">
        <v>0.59255787037037033</v>
      </c>
      <c r="C2659" t="s">
        <v>8</v>
      </c>
      <c r="D2659" t="s">
        <v>1105</v>
      </c>
      <c r="E2659" s="4">
        <v>35.76</v>
      </c>
      <c r="F2659" t="s">
        <v>15</v>
      </c>
      <c r="G2659" s="10" t="str">
        <f>TEXT(Transform_Data[[#This Row],[Date]],"mmm yyyy")</f>
        <v>Dec 2024</v>
      </c>
      <c r="H2659" s="10">
        <f>HOUR(Transform_Data[[#This Row],[Time]])</f>
        <v>14</v>
      </c>
      <c r="I2659" s="10" t="str">
        <f>IF(COUNTIF('Transform Data'!$D:$D,'Transform Data'!D2659)&gt;1,"Repeat","Single")</f>
        <v>Single</v>
      </c>
      <c r="J2659" s="10" t="str">
        <f>IF('Transform Data'!D2659="Cash","Cash",IF(COUNTIF('Transform Data'!$D:$D,'Transform Data'!D2659)&gt;1,"Repeat","Single"))</f>
        <v>Single</v>
      </c>
      <c r="K2659" s="10" t="str">
        <f t="shared" si="41"/>
        <v>TRANS-2658</v>
      </c>
    </row>
    <row r="2660" spans="1:11" x14ac:dyDescent="0.35">
      <c r="A2660" s="5">
        <v>45654</v>
      </c>
      <c r="B2660" s="3">
        <v>0.72476851851851853</v>
      </c>
      <c r="C2660" t="s">
        <v>8</v>
      </c>
      <c r="D2660" t="s">
        <v>21</v>
      </c>
      <c r="E2660" s="4">
        <v>35.76</v>
      </c>
      <c r="F2660" t="s">
        <v>32</v>
      </c>
      <c r="G2660" s="10" t="str">
        <f>TEXT(Transform_Data[[#This Row],[Date]],"mmm yyyy")</f>
        <v>Dec 2024</v>
      </c>
      <c r="H2660" s="10">
        <f>HOUR(Transform_Data[[#This Row],[Time]])</f>
        <v>17</v>
      </c>
      <c r="I2660" s="10" t="str">
        <f>IF(COUNTIF('Transform Data'!$D:$D,'Transform Data'!D2660)&gt;1,"Repeat","Single")</f>
        <v>Repeat</v>
      </c>
      <c r="J2660" s="10" t="str">
        <f>IF('Transform Data'!D2660="Cash","Cash",IF(COUNTIF('Transform Data'!$D:$D,'Transform Data'!D2660)&gt;1,"Repeat","Single"))</f>
        <v>Repeat</v>
      </c>
      <c r="K2660" s="10" t="str">
        <f t="shared" si="41"/>
        <v>TRANS-2659</v>
      </c>
    </row>
    <row r="2661" spans="1:11" x14ac:dyDescent="0.35">
      <c r="A2661" s="5">
        <v>45654</v>
      </c>
      <c r="B2661" s="3">
        <v>0.92431712962962964</v>
      </c>
      <c r="C2661" t="s">
        <v>8</v>
      </c>
      <c r="D2661" t="s">
        <v>1106</v>
      </c>
      <c r="E2661" s="4">
        <v>35.76</v>
      </c>
      <c r="F2661" t="s">
        <v>24</v>
      </c>
      <c r="G2661" s="10" t="str">
        <f>TEXT(Transform_Data[[#This Row],[Date]],"mmm yyyy")</f>
        <v>Dec 2024</v>
      </c>
      <c r="H2661" s="10">
        <f>HOUR(Transform_Data[[#This Row],[Time]])</f>
        <v>22</v>
      </c>
      <c r="I2661" s="10" t="str">
        <f>IF(COUNTIF('Transform Data'!$D:$D,'Transform Data'!D2661)&gt;1,"Repeat","Single")</f>
        <v>Single</v>
      </c>
      <c r="J2661" s="10" t="str">
        <f>IF('Transform Data'!D2661="Cash","Cash",IF(COUNTIF('Transform Data'!$D:$D,'Transform Data'!D2661)&gt;1,"Repeat","Single"))</f>
        <v>Single</v>
      </c>
      <c r="K2661" s="10" t="str">
        <f t="shared" si="41"/>
        <v>TRANS-2660</v>
      </c>
    </row>
    <row r="2662" spans="1:11" x14ac:dyDescent="0.35">
      <c r="A2662" s="5">
        <v>45655</v>
      </c>
      <c r="B2662" s="3">
        <v>0.57379629629629625</v>
      </c>
      <c r="C2662" t="s">
        <v>8</v>
      </c>
      <c r="D2662" t="s">
        <v>1081</v>
      </c>
      <c r="E2662" s="4">
        <v>25.96</v>
      </c>
      <c r="F2662" t="s">
        <v>20</v>
      </c>
      <c r="G2662" s="10" t="str">
        <f>TEXT(Transform_Data[[#This Row],[Date]],"mmm yyyy")</f>
        <v>Dec 2024</v>
      </c>
      <c r="H2662" s="10">
        <f>HOUR(Transform_Data[[#This Row],[Time]])</f>
        <v>13</v>
      </c>
      <c r="I2662" s="10" t="str">
        <f>IF(COUNTIF('Transform Data'!$D:$D,'Transform Data'!D2662)&gt;1,"Repeat","Single")</f>
        <v>Repeat</v>
      </c>
      <c r="J2662" s="10" t="str">
        <f>IF('Transform Data'!D2662="Cash","Cash",IF(COUNTIF('Transform Data'!$D:$D,'Transform Data'!D2662)&gt;1,"Repeat","Single"))</f>
        <v>Repeat</v>
      </c>
      <c r="K2662" s="10" t="str">
        <f t="shared" si="41"/>
        <v>TRANS-2661</v>
      </c>
    </row>
    <row r="2663" spans="1:11" x14ac:dyDescent="0.35">
      <c r="A2663" s="5">
        <v>45655</v>
      </c>
      <c r="B2663" s="3">
        <v>0.62807870370370367</v>
      </c>
      <c r="C2663" t="s">
        <v>8</v>
      </c>
      <c r="D2663" t="s">
        <v>1107</v>
      </c>
      <c r="E2663" s="4">
        <v>21.06</v>
      </c>
      <c r="F2663" t="s">
        <v>5</v>
      </c>
      <c r="G2663" s="10" t="str">
        <f>TEXT(Transform_Data[[#This Row],[Date]],"mmm yyyy")</f>
        <v>Dec 2024</v>
      </c>
      <c r="H2663" s="10">
        <f>HOUR(Transform_Data[[#This Row],[Time]])</f>
        <v>15</v>
      </c>
      <c r="I2663" s="10" t="str">
        <f>IF(COUNTIF('Transform Data'!$D:$D,'Transform Data'!D2663)&gt;1,"Repeat","Single")</f>
        <v>Repeat</v>
      </c>
      <c r="J2663" s="10" t="str">
        <f>IF('Transform Data'!D2663="Cash","Cash",IF(COUNTIF('Transform Data'!$D:$D,'Transform Data'!D2663)&gt;1,"Repeat","Single"))</f>
        <v>Repeat</v>
      </c>
      <c r="K2663" s="10" t="str">
        <f t="shared" si="41"/>
        <v>TRANS-2662</v>
      </c>
    </row>
    <row r="2664" spans="1:11" x14ac:dyDescent="0.35">
      <c r="A2664" s="5">
        <v>45655</v>
      </c>
      <c r="B2664" s="3">
        <v>0.62865740740740739</v>
      </c>
      <c r="C2664" t="s">
        <v>8</v>
      </c>
      <c r="D2664" t="s">
        <v>1107</v>
      </c>
      <c r="E2664" s="4">
        <v>25.96</v>
      </c>
      <c r="F2664" t="s">
        <v>28</v>
      </c>
      <c r="G2664" s="10" t="str">
        <f>TEXT(Transform_Data[[#This Row],[Date]],"mmm yyyy")</f>
        <v>Dec 2024</v>
      </c>
      <c r="H2664" s="10">
        <f>HOUR(Transform_Data[[#This Row],[Time]])</f>
        <v>15</v>
      </c>
      <c r="I2664" s="10" t="str">
        <f>IF(COUNTIF('Transform Data'!$D:$D,'Transform Data'!D2664)&gt;1,"Repeat","Single")</f>
        <v>Repeat</v>
      </c>
      <c r="J2664" s="10" t="str">
        <f>IF('Transform Data'!D2664="Cash","Cash",IF(COUNTIF('Transform Data'!$D:$D,'Transform Data'!D2664)&gt;1,"Repeat","Single"))</f>
        <v>Repeat</v>
      </c>
      <c r="K2664" s="10" t="str">
        <f t="shared" si="41"/>
        <v>TRANS-2663</v>
      </c>
    </row>
    <row r="2665" spans="1:11" x14ac:dyDescent="0.35">
      <c r="A2665" s="5">
        <v>45655</v>
      </c>
      <c r="B2665" s="3">
        <v>0.72921296296296301</v>
      </c>
      <c r="C2665" t="s">
        <v>8</v>
      </c>
      <c r="D2665" t="s">
        <v>1108</v>
      </c>
      <c r="E2665" s="4">
        <v>25.96</v>
      </c>
      <c r="F2665" t="s">
        <v>20</v>
      </c>
      <c r="G2665" s="10" t="str">
        <f>TEXT(Transform_Data[[#This Row],[Date]],"mmm yyyy")</f>
        <v>Dec 2024</v>
      </c>
      <c r="H2665" s="10">
        <f>HOUR(Transform_Data[[#This Row],[Time]])</f>
        <v>17</v>
      </c>
      <c r="I2665" s="10" t="str">
        <f>IF(COUNTIF('Transform Data'!$D:$D,'Transform Data'!D2665)&gt;1,"Repeat","Single")</f>
        <v>Single</v>
      </c>
      <c r="J2665" s="10" t="str">
        <f>IF('Transform Data'!D2665="Cash","Cash",IF(COUNTIF('Transform Data'!$D:$D,'Transform Data'!D2665)&gt;1,"Repeat","Single"))</f>
        <v>Single</v>
      </c>
      <c r="K2665" s="10" t="str">
        <f t="shared" si="41"/>
        <v>TRANS-2664</v>
      </c>
    </row>
    <row r="2666" spans="1:11" x14ac:dyDescent="0.35">
      <c r="A2666" s="5">
        <v>45655</v>
      </c>
      <c r="B2666" s="3">
        <v>0.73039351851851853</v>
      </c>
      <c r="C2666" t="s">
        <v>8</v>
      </c>
      <c r="D2666" t="s">
        <v>1109</v>
      </c>
      <c r="E2666" s="4">
        <v>21.06</v>
      </c>
      <c r="F2666" t="s">
        <v>5</v>
      </c>
      <c r="G2666" s="10" t="str">
        <f>TEXT(Transform_Data[[#This Row],[Date]],"mmm yyyy")</f>
        <v>Dec 2024</v>
      </c>
      <c r="H2666" s="10">
        <f>HOUR(Transform_Data[[#This Row],[Time]])</f>
        <v>17</v>
      </c>
      <c r="I2666" s="10" t="str">
        <f>IF(COUNTIF('Transform Data'!$D:$D,'Transform Data'!D2666)&gt;1,"Repeat","Single")</f>
        <v>Single</v>
      </c>
      <c r="J2666" s="10" t="str">
        <f>IF('Transform Data'!D2666="Cash","Cash",IF(COUNTIF('Transform Data'!$D:$D,'Transform Data'!D2666)&gt;1,"Repeat","Single"))</f>
        <v>Single</v>
      </c>
      <c r="K2666" s="10" t="str">
        <f t="shared" si="41"/>
        <v>TRANS-2665</v>
      </c>
    </row>
    <row r="2667" spans="1:11" x14ac:dyDescent="0.35">
      <c r="A2667" s="5">
        <v>45655</v>
      </c>
      <c r="B2667" s="3">
        <v>0.82480324074074074</v>
      </c>
      <c r="C2667" t="s">
        <v>8</v>
      </c>
      <c r="D2667" t="s">
        <v>1081</v>
      </c>
      <c r="E2667" s="4">
        <v>25.96</v>
      </c>
      <c r="F2667" t="s">
        <v>20</v>
      </c>
      <c r="G2667" s="10" t="str">
        <f>TEXT(Transform_Data[[#This Row],[Date]],"mmm yyyy")</f>
        <v>Dec 2024</v>
      </c>
      <c r="H2667" s="10">
        <f>HOUR(Transform_Data[[#This Row],[Time]])</f>
        <v>19</v>
      </c>
      <c r="I2667" s="10" t="str">
        <f>IF(COUNTIF('Transform Data'!$D:$D,'Transform Data'!D2667)&gt;1,"Repeat","Single")</f>
        <v>Repeat</v>
      </c>
      <c r="J2667" s="10" t="str">
        <f>IF('Transform Data'!D2667="Cash","Cash",IF(COUNTIF('Transform Data'!$D:$D,'Transform Data'!D2667)&gt;1,"Repeat","Single"))</f>
        <v>Repeat</v>
      </c>
      <c r="K2667" s="10" t="str">
        <f t="shared" si="41"/>
        <v>TRANS-2666</v>
      </c>
    </row>
    <row r="2668" spans="1:11" x14ac:dyDescent="0.35">
      <c r="A2668" s="5">
        <v>45655</v>
      </c>
      <c r="B2668" s="3">
        <v>0.85131944444444441</v>
      </c>
      <c r="C2668" t="s">
        <v>8</v>
      </c>
      <c r="D2668" t="s">
        <v>1110</v>
      </c>
      <c r="E2668" s="4">
        <v>35.76</v>
      </c>
      <c r="F2668" t="s">
        <v>15</v>
      </c>
      <c r="G2668" s="10" t="str">
        <f>TEXT(Transform_Data[[#This Row],[Date]],"mmm yyyy")</f>
        <v>Dec 2024</v>
      </c>
      <c r="H2668" s="10">
        <f>HOUR(Transform_Data[[#This Row],[Time]])</f>
        <v>20</v>
      </c>
      <c r="I2668" s="10" t="str">
        <f>IF(COUNTIF('Transform Data'!$D:$D,'Transform Data'!D2668)&gt;1,"Repeat","Single")</f>
        <v>Single</v>
      </c>
      <c r="J2668" s="10" t="str">
        <f>IF('Transform Data'!D2668="Cash","Cash",IF(COUNTIF('Transform Data'!$D:$D,'Transform Data'!D2668)&gt;1,"Repeat","Single"))</f>
        <v>Single</v>
      </c>
      <c r="K2668" s="10" t="str">
        <f t="shared" si="41"/>
        <v>TRANS-2667</v>
      </c>
    </row>
    <row r="2669" spans="1:11" x14ac:dyDescent="0.35">
      <c r="A2669" s="5">
        <v>45655</v>
      </c>
      <c r="B2669" s="3">
        <v>0.88702546296296292</v>
      </c>
      <c r="C2669" t="s">
        <v>8</v>
      </c>
      <c r="D2669" t="s">
        <v>781</v>
      </c>
      <c r="E2669" s="4">
        <v>35.76</v>
      </c>
      <c r="F2669" t="s">
        <v>32</v>
      </c>
      <c r="G2669" s="10" t="str">
        <f>TEXT(Transform_Data[[#This Row],[Date]],"mmm yyyy")</f>
        <v>Dec 2024</v>
      </c>
      <c r="H2669" s="10">
        <f>HOUR(Transform_Data[[#This Row],[Time]])</f>
        <v>21</v>
      </c>
      <c r="I2669" s="10" t="str">
        <f>IF(COUNTIF('Transform Data'!$D:$D,'Transform Data'!D2669)&gt;1,"Repeat","Single")</f>
        <v>Repeat</v>
      </c>
      <c r="J2669" s="10" t="str">
        <f>IF('Transform Data'!D2669="Cash","Cash",IF(COUNTIF('Transform Data'!$D:$D,'Transform Data'!D2669)&gt;1,"Repeat","Single"))</f>
        <v>Repeat</v>
      </c>
      <c r="K2669" s="10" t="str">
        <f t="shared" si="41"/>
        <v>TRANS-2668</v>
      </c>
    </row>
    <row r="2670" spans="1:11" x14ac:dyDescent="0.35">
      <c r="A2670" s="5">
        <v>45656</v>
      </c>
      <c r="B2670" s="3">
        <v>0.37689814814814815</v>
      </c>
      <c r="C2670" t="s">
        <v>8</v>
      </c>
      <c r="D2670" t="s">
        <v>1081</v>
      </c>
      <c r="E2670" s="4">
        <v>25.96</v>
      </c>
      <c r="F2670" t="s">
        <v>20</v>
      </c>
      <c r="G2670" s="10" t="str">
        <f>TEXT(Transform_Data[[#This Row],[Date]],"mmm yyyy")</f>
        <v>Dec 2024</v>
      </c>
      <c r="H2670" s="10">
        <f>HOUR(Transform_Data[[#This Row],[Time]])</f>
        <v>9</v>
      </c>
      <c r="I2670" s="10" t="str">
        <f>IF(COUNTIF('Transform Data'!$D:$D,'Transform Data'!D2670)&gt;1,"Repeat","Single")</f>
        <v>Repeat</v>
      </c>
      <c r="J2670" s="10" t="str">
        <f>IF('Transform Data'!D2670="Cash","Cash",IF(COUNTIF('Transform Data'!$D:$D,'Transform Data'!D2670)&gt;1,"Repeat","Single"))</f>
        <v>Repeat</v>
      </c>
      <c r="K2670" s="10" t="str">
        <f t="shared" si="41"/>
        <v>TRANS-2669</v>
      </c>
    </row>
    <row r="2671" spans="1:11" x14ac:dyDescent="0.35">
      <c r="A2671" s="5">
        <v>45656</v>
      </c>
      <c r="B2671" s="3">
        <v>0.40568287037037037</v>
      </c>
      <c r="C2671" t="s">
        <v>8</v>
      </c>
      <c r="D2671" t="s">
        <v>29</v>
      </c>
      <c r="E2671" s="4">
        <v>30.86</v>
      </c>
      <c r="F2671" t="s">
        <v>36</v>
      </c>
      <c r="G2671" s="10" t="str">
        <f>TEXT(Transform_Data[[#This Row],[Date]],"mmm yyyy")</f>
        <v>Dec 2024</v>
      </c>
      <c r="H2671" s="10">
        <f>HOUR(Transform_Data[[#This Row],[Time]])</f>
        <v>9</v>
      </c>
      <c r="I2671" s="10" t="str">
        <f>IF(COUNTIF('Transform Data'!$D:$D,'Transform Data'!D2671)&gt;1,"Repeat","Single")</f>
        <v>Repeat</v>
      </c>
      <c r="J2671" s="10" t="str">
        <f>IF('Transform Data'!D2671="Cash","Cash",IF(COUNTIF('Transform Data'!$D:$D,'Transform Data'!D2671)&gt;1,"Repeat","Single"))</f>
        <v>Repeat</v>
      </c>
      <c r="K2671" s="10" t="str">
        <f t="shared" si="41"/>
        <v>TRANS-2670</v>
      </c>
    </row>
    <row r="2672" spans="1:11" x14ac:dyDescent="0.35">
      <c r="A2672" s="5">
        <v>45656</v>
      </c>
      <c r="B2672" s="3">
        <v>0.57813657407407404</v>
      </c>
      <c r="C2672" t="s">
        <v>8</v>
      </c>
      <c r="D2672" t="s">
        <v>1111</v>
      </c>
      <c r="E2672" s="4">
        <v>35.76</v>
      </c>
      <c r="F2672" t="s">
        <v>32</v>
      </c>
      <c r="G2672" s="10" t="str">
        <f>TEXT(Transform_Data[[#This Row],[Date]],"mmm yyyy")</f>
        <v>Dec 2024</v>
      </c>
      <c r="H2672" s="10">
        <f>HOUR(Transform_Data[[#This Row],[Time]])</f>
        <v>13</v>
      </c>
      <c r="I2672" s="10" t="str">
        <f>IF(COUNTIF('Transform Data'!$D:$D,'Transform Data'!D2672)&gt;1,"Repeat","Single")</f>
        <v>Repeat</v>
      </c>
      <c r="J2672" s="10" t="str">
        <f>IF('Transform Data'!D2672="Cash","Cash",IF(COUNTIF('Transform Data'!$D:$D,'Transform Data'!D2672)&gt;1,"Repeat","Single"))</f>
        <v>Repeat</v>
      </c>
      <c r="K2672" s="10" t="str">
        <f t="shared" si="41"/>
        <v>TRANS-2671</v>
      </c>
    </row>
    <row r="2673" spans="1:11" x14ac:dyDescent="0.35">
      <c r="A2673" s="5">
        <v>45656</v>
      </c>
      <c r="B2673" s="3">
        <v>0.57892361111111112</v>
      </c>
      <c r="C2673" t="s">
        <v>8</v>
      </c>
      <c r="D2673" t="s">
        <v>1111</v>
      </c>
      <c r="E2673" s="4">
        <v>35.76</v>
      </c>
      <c r="F2673" t="s">
        <v>15</v>
      </c>
      <c r="G2673" s="10" t="str">
        <f>TEXT(Transform_Data[[#This Row],[Date]],"mmm yyyy")</f>
        <v>Dec 2024</v>
      </c>
      <c r="H2673" s="10">
        <f>HOUR(Transform_Data[[#This Row],[Time]])</f>
        <v>13</v>
      </c>
      <c r="I2673" s="10" t="str">
        <f>IF(COUNTIF('Transform Data'!$D:$D,'Transform Data'!D2673)&gt;1,"Repeat","Single")</f>
        <v>Repeat</v>
      </c>
      <c r="J2673" s="10" t="str">
        <f>IF('Transform Data'!D2673="Cash","Cash",IF(COUNTIF('Transform Data'!$D:$D,'Transform Data'!D2673)&gt;1,"Repeat","Single"))</f>
        <v>Repeat</v>
      </c>
      <c r="K2673" s="10" t="str">
        <f t="shared" si="41"/>
        <v>TRANS-2672</v>
      </c>
    </row>
    <row r="2674" spans="1:11" x14ac:dyDescent="0.35">
      <c r="A2674" s="5">
        <v>45656</v>
      </c>
      <c r="B2674" s="3">
        <v>0.63385416666666672</v>
      </c>
      <c r="C2674" t="s">
        <v>8</v>
      </c>
      <c r="D2674" t="s">
        <v>972</v>
      </c>
      <c r="E2674" s="4">
        <v>35.76</v>
      </c>
      <c r="F2674" t="s">
        <v>32</v>
      </c>
      <c r="G2674" s="10" t="str">
        <f>TEXT(Transform_Data[[#This Row],[Date]],"mmm yyyy")</f>
        <v>Dec 2024</v>
      </c>
      <c r="H2674" s="10">
        <f>HOUR(Transform_Data[[#This Row],[Time]])</f>
        <v>15</v>
      </c>
      <c r="I2674" s="10" t="str">
        <f>IF(COUNTIF('Transform Data'!$D:$D,'Transform Data'!D2674)&gt;1,"Repeat","Single")</f>
        <v>Repeat</v>
      </c>
      <c r="J2674" s="10" t="str">
        <f>IF('Transform Data'!D2674="Cash","Cash",IF(COUNTIF('Transform Data'!$D:$D,'Transform Data'!D2674)&gt;1,"Repeat","Single"))</f>
        <v>Repeat</v>
      </c>
      <c r="K2674" s="10" t="str">
        <f t="shared" si="41"/>
        <v>TRANS-2673</v>
      </c>
    </row>
    <row r="2675" spans="1:11" x14ac:dyDescent="0.35">
      <c r="A2675" s="5">
        <v>45656</v>
      </c>
      <c r="B2675" s="3">
        <v>0.63446759259259256</v>
      </c>
      <c r="C2675" t="s">
        <v>8</v>
      </c>
      <c r="D2675" t="s">
        <v>972</v>
      </c>
      <c r="E2675" s="4">
        <v>30.86</v>
      </c>
      <c r="F2675" t="s">
        <v>36</v>
      </c>
      <c r="G2675" s="10" t="str">
        <f>TEXT(Transform_Data[[#This Row],[Date]],"mmm yyyy")</f>
        <v>Dec 2024</v>
      </c>
      <c r="H2675" s="10">
        <f>HOUR(Transform_Data[[#This Row],[Time]])</f>
        <v>15</v>
      </c>
      <c r="I2675" s="10" t="str">
        <f>IF(COUNTIF('Transform Data'!$D:$D,'Transform Data'!D2675)&gt;1,"Repeat","Single")</f>
        <v>Repeat</v>
      </c>
      <c r="J2675" s="10" t="str">
        <f>IF('Transform Data'!D2675="Cash","Cash",IF(COUNTIF('Transform Data'!$D:$D,'Transform Data'!D2675)&gt;1,"Repeat","Single"))</f>
        <v>Repeat</v>
      </c>
      <c r="K2675" s="10" t="str">
        <f t="shared" si="41"/>
        <v>TRANS-2674</v>
      </c>
    </row>
    <row r="2676" spans="1:11" x14ac:dyDescent="0.35">
      <c r="A2676" s="5">
        <v>45656</v>
      </c>
      <c r="B2676" s="3">
        <v>0.68741898148148151</v>
      </c>
      <c r="C2676" t="s">
        <v>8</v>
      </c>
      <c r="D2676" t="s">
        <v>1055</v>
      </c>
      <c r="E2676" s="4">
        <v>30.86</v>
      </c>
      <c r="F2676" t="s">
        <v>36</v>
      </c>
      <c r="G2676" s="10" t="str">
        <f>TEXT(Transform_Data[[#This Row],[Date]],"mmm yyyy")</f>
        <v>Dec 2024</v>
      </c>
      <c r="H2676" s="10">
        <f>HOUR(Transform_Data[[#This Row],[Time]])</f>
        <v>16</v>
      </c>
      <c r="I2676" s="10" t="str">
        <f>IF(COUNTIF('Transform Data'!$D:$D,'Transform Data'!D2676)&gt;1,"Repeat","Single")</f>
        <v>Repeat</v>
      </c>
      <c r="J2676" s="10" t="str">
        <f>IF('Transform Data'!D2676="Cash","Cash",IF(COUNTIF('Transform Data'!$D:$D,'Transform Data'!D2676)&gt;1,"Repeat","Single"))</f>
        <v>Repeat</v>
      </c>
      <c r="K2676" s="10" t="str">
        <f t="shared" si="41"/>
        <v>TRANS-2675</v>
      </c>
    </row>
    <row r="2677" spans="1:11" x14ac:dyDescent="0.35">
      <c r="A2677" s="5">
        <v>45656</v>
      </c>
      <c r="B2677" s="3">
        <v>0.68851851851851853</v>
      </c>
      <c r="C2677" t="s">
        <v>8</v>
      </c>
      <c r="D2677" t="s">
        <v>1112</v>
      </c>
      <c r="E2677" s="4">
        <v>25.96</v>
      </c>
      <c r="F2677" t="s">
        <v>28</v>
      </c>
      <c r="G2677" s="10" t="str">
        <f>TEXT(Transform_Data[[#This Row],[Date]],"mmm yyyy")</f>
        <v>Dec 2024</v>
      </c>
      <c r="H2677" s="10">
        <f>HOUR(Transform_Data[[#This Row],[Time]])</f>
        <v>16</v>
      </c>
      <c r="I2677" s="10" t="str">
        <f>IF(COUNTIF('Transform Data'!$D:$D,'Transform Data'!D2677)&gt;1,"Repeat","Single")</f>
        <v>Single</v>
      </c>
      <c r="J2677" s="10" t="str">
        <f>IF('Transform Data'!D2677="Cash","Cash",IF(COUNTIF('Transform Data'!$D:$D,'Transform Data'!D2677)&gt;1,"Repeat","Single"))</f>
        <v>Single</v>
      </c>
      <c r="K2677" s="10" t="str">
        <f t="shared" si="41"/>
        <v>TRANS-2676</v>
      </c>
    </row>
    <row r="2678" spans="1:11" x14ac:dyDescent="0.35">
      <c r="A2678" s="5">
        <v>45656</v>
      </c>
      <c r="B2678" s="3">
        <v>0.69218749999999996</v>
      </c>
      <c r="C2678" t="s">
        <v>8</v>
      </c>
      <c r="D2678" t="s">
        <v>938</v>
      </c>
      <c r="E2678" s="4">
        <v>35.76</v>
      </c>
      <c r="F2678" t="s">
        <v>24</v>
      </c>
      <c r="G2678" s="10" t="str">
        <f>TEXT(Transform_Data[[#This Row],[Date]],"mmm yyyy")</f>
        <v>Dec 2024</v>
      </c>
      <c r="H2678" s="10">
        <f>HOUR(Transform_Data[[#This Row],[Time]])</f>
        <v>16</v>
      </c>
      <c r="I2678" s="10" t="str">
        <f>IF(COUNTIF('Transform Data'!$D:$D,'Transform Data'!D2678)&gt;1,"Repeat","Single")</f>
        <v>Repeat</v>
      </c>
      <c r="J2678" s="10" t="str">
        <f>IF('Transform Data'!D2678="Cash","Cash",IF(COUNTIF('Transform Data'!$D:$D,'Transform Data'!D2678)&gt;1,"Repeat","Single"))</f>
        <v>Repeat</v>
      </c>
      <c r="K2678" s="10" t="str">
        <f t="shared" si="41"/>
        <v>TRANS-2677</v>
      </c>
    </row>
    <row r="2679" spans="1:11" x14ac:dyDescent="0.35">
      <c r="A2679" s="5">
        <v>45657</v>
      </c>
      <c r="B2679" s="3">
        <v>0.3697685185185185</v>
      </c>
      <c r="C2679" t="s">
        <v>8</v>
      </c>
      <c r="D2679" t="s">
        <v>1081</v>
      </c>
      <c r="E2679" s="4">
        <v>25.96</v>
      </c>
      <c r="F2679" t="s">
        <v>20</v>
      </c>
      <c r="G2679" s="10" t="str">
        <f>TEXT(Transform_Data[[#This Row],[Date]],"mmm yyyy")</f>
        <v>Dec 2024</v>
      </c>
      <c r="H2679" s="10">
        <f>HOUR(Transform_Data[[#This Row],[Time]])</f>
        <v>8</v>
      </c>
      <c r="I2679" s="10" t="str">
        <f>IF(COUNTIF('Transform Data'!$D:$D,'Transform Data'!D2679)&gt;1,"Repeat","Single")</f>
        <v>Repeat</v>
      </c>
      <c r="J2679" s="10" t="str">
        <f>IF('Transform Data'!D2679="Cash","Cash",IF(COUNTIF('Transform Data'!$D:$D,'Transform Data'!D2679)&gt;1,"Repeat","Single"))</f>
        <v>Repeat</v>
      </c>
      <c r="K2679" s="10" t="str">
        <f t="shared" si="41"/>
        <v>TRANS-2678</v>
      </c>
    </row>
    <row r="2680" spans="1:11" x14ac:dyDescent="0.35">
      <c r="A2680" s="5">
        <v>45657</v>
      </c>
      <c r="B2680" s="3">
        <v>0.40057870370370369</v>
      </c>
      <c r="C2680" t="s">
        <v>8</v>
      </c>
      <c r="D2680" t="s">
        <v>1086</v>
      </c>
      <c r="E2680" s="4">
        <v>35.76</v>
      </c>
      <c r="F2680" t="s">
        <v>24</v>
      </c>
      <c r="G2680" s="10" t="str">
        <f>TEXT(Transform_Data[[#This Row],[Date]],"mmm yyyy")</f>
        <v>Dec 2024</v>
      </c>
      <c r="H2680" s="10">
        <f>HOUR(Transform_Data[[#This Row],[Time]])</f>
        <v>9</v>
      </c>
      <c r="I2680" s="10" t="str">
        <f>IF(COUNTIF('Transform Data'!$D:$D,'Transform Data'!D2680)&gt;1,"Repeat","Single")</f>
        <v>Repeat</v>
      </c>
      <c r="J2680" s="10" t="str">
        <f>IF('Transform Data'!D2680="Cash","Cash",IF(COUNTIF('Transform Data'!$D:$D,'Transform Data'!D2680)&gt;1,"Repeat","Single"))</f>
        <v>Repeat</v>
      </c>
      <c r="K2680" s="10" t="str">
        <f t="shared" si="41"/>
        <v>TRANS-2679</v>
      </c>
    </row>
    <row r="2681" spans="1:11" x14ac:dyDescent="0.35">
      <c r="A2681" s="5">
        <v>45657</v>
      </c>
      <c r="B2681" s="3">
        <v>0.40255787037037039</v>
      </c>
      <c r="C2681" t="s">
        <v>8</v>
      </c>
      <c r="D2681" t="s">
        <v>1086</v>
      </c>
      <c r="E2681" s="4">
        <v>25.96</v>
      </c>
      <c r="F2681" t="s">
        <v>20</v>
      </c>
      <c r="G2681" s="10" t="str">
        <f>TEXT(Transform_Data[[#This Row],[Date]],"mmm yyyy")</f>
        <v>Dec 2024</v>
      </c>
      <c r="H2681" s="10">
        <f>HOUR(Transform_Data[[#This Row],[Time]])</f>
        <v>9</v>
      </c>
      <c r="I2681" s="10" t="str">
        <f>IF(COUNTIF('Transform Data'!$D:$D,'Transform Data'!D2681)&gt;1,"Repeat","Single")</f>
        <v>Repeat</v>
      </c>
      <c r="J2681" s="10" t="str">
        <f>IF('Transform Data'!D2681="Cash","Cash",IF(COUNTIF('Transform Data'!$D:$D,'Transform Data'!D2681)&gt;1,"Repeat","Single"))</f>
        <v>Repeat</v>
      </c>
      <c r="K2681" s="10" t="str">
        <f t="shared" si="41"/>
        <v>TRANS-2680</v>
      </c>
    </row>
    <row r="2682" spans="1:11" x14ac:dyDescent="0.35">
      <c r="A2682" s="5">
        <v>45657</v>
      </c>
      <c r="B2682" s="3">
        <v>0.40657407407407409</v>
      </c>
      <c r="C2682" t="s">
        <v>8</v>
      </c>
      <c r="D2682" t="s">
        <v>1113</v>
      </c>
      <c r="E2682" s="4">
        <v>35.76</v>
      </c>
      <c r="F2682" t="s">
        <v>10</v>
      </c>
      <c r="G2682" s="10" t="str">
        <f>TEXT(Transform_Data[[#This Row],[Date]],"mmm yyyy")</f>
        <v>Dec 2024</v>
      </c>
      <c r="H2682" s="10">
        <f>HOUR(Transform_Data[[#This Row],[Time]])</f>
        <v>9</v>
      </c>
      <c r="I2682" s="10" t="str">
        <f>IF(COUNTIF('Transform Data'!$D:$D,'Transform Data'!D2682)&gt;1,"Repeat","Single")</f>
        <v>Single</v>
      </c>
      <c r="J2682" s="10" t="str">
        <f>IF('Transform Data'!D2682="Cash","Cash",IF(COUNTIF('Transform Data'!$D:$D,'Transform Data'!D2682)&gt;1,"Repeat","Single"))</f>
        <v>Single</v>
      </c>
      <c r="K2682" s="10" t="str">
        <f t="shared" si="41"/>
        <v>TRANS-2681</v>
      </c>
    </row>
    <row r="2683" spans="1:11" x14ac:dyDescent="0.35">
      <c r="A2683" s="5">
        <v>45657</v>
      </c>
      <c r="B2683" s="3">
        <v>0.43532407407407409</v>
      </c>
      <c r="C2683" t="s">
        <v>8</v>
      </c>
      <c r="D2683" t="s">
        <v>1114</v>
      </c>
      <c r="E2683" s="4">
        <v>30.86</v>
      </c>
      <c r="F2683" t="s">
        <v>36</v>
      </c>
      <c r="G2683" s="10" t="str">
        <f>TEXT(Transform_Data[[#This Row],[Date]],"mmm yyyy")</f>
        <v>Dec 2024</v>
      </c>
      <c r="H2683" s="10">
        <f>HOUR(Transform_Data[[#This Row],[Time]])</f>
        <v>10</v>
      </c>
      <c r="I2683" s="10" t="str">
        <f>IF(COUNTIF('Transform Data'!$D:$D,'Transform Data'!D2683)&gt;1,"Repeat","Single")</f>
        <v>Repeat</v>
      </c>
      <c r="J2683" s="10" t="str">
        <f>IF('Transform Data'!D2683="Cash","Cash",IF(COUNTIF('Transform Data'!$D:$D,'Transform Data'!D2683)&gt;1,"Repeat","Single"))</f>
        <v>Repeat</v>
      </c>
      <c r="K2683" s="10" t="str">
        <f t="shared" si="41"/>
        <v>TRANS-2682</v>
      </c>
    </row>
    <row r="2684" spans="1:11" x14ac:dyDescent="0.35">
      <c r="A2684" s="5">
        <v>45657</v>
      </c>
      <c r="B2684" s="3">
        <v>0.43712962962962965</v>
      </c>
      <c r="C2684" t="s">
        <v>8</v>
      </c>
      <c r="D2684" t="s">
        <v>1114</v>
      </c>
      <c r="E2684" s="4">
        <v>30.86</v>
      </c>
      <c r="F2684" t="s">
        <v>36</v>
      </c>
      <c r="G2684" s="10" t="str">
        <f>TEXT(Transform_Data[[#This Row],[Date]],"mmm yyyy")</f>
        <v>Dec 2024</v>
      </c>
      <c r="H2684" s="10">
        <f>HOUR(Transform_Data[[#This Row],[Time]])</f>
        <v>10</v>
      </c>
      <c r="I2684" s="10" t="str">
        <f>IF(COUNTIF('Transform Data'!$D:$D,'Transform Data'!D2684)&gt;1,"Repeat","Single")</f>
        <v>Repeat</v>
      </c>
      <c r="J2684" s="10" t="str">
        <f>IF('Transform Data'!D2684="Cash","Cash",IF(COUNTIF('Transform Data'!$D:$D,'Transform Data'!D2684)&gt;1,"Repeat","Single"))</f>
        <v>Repeat</v>
      </c>
      <c r="K2684" s="10" t="str">
        <f t="shared" si="41"/>
        <v>TRANS-2683</v>
      </c>
    </row>
    <row r="2685" spans="1:11" x14ac:dyDescent="0.35">
      <c r="A2685" s="5">
        <v>45657</v>
      </c>
      <c r="B2685" s="3">
        <v>0.46631944444444445</v>
      </c>
      <c r="C2685" t="s">
        <v>8</v>
      </c>
      <c r="D2685" t="s">
        <v>249</v>
      </c>
      <c r="E2685" s="4">
        <v>35.76</v>
      </c>
      <c r="F2685" t="s">
        <v>24</v>
      </c>
      <c r="G2685" s="10" t="str">
        <f>TEXT(Transform_Data[[#This Row],[Date]],"mmm yyyy")</f>
        <v>Dec 2024</v>
      </c>
      <c r="H2685" s="10">
        <f>HOUR(Transform_Data[[#This Row],[Time]])</f>
        <v>11</v>
      </c>
      <c r="I2685" s="10" t="str">
        <f>IF(COUNTIF('Transform Data'!$D:$D,'Transform Data'!D2685)&gt;1,"Repeat","Single")</f>
        <v>Repeat</v>
      </c>
      <c r="J2685" s="10" t="str">
        <f>IF('Transform Data'!D2685="Cash","Cash",IF(COUNTIF('Transform Data'!$D:$D,'Transform Data'!D2685)&gt;1,"Repeat","Single"))</f>
        <v>Repeat</v>
      </c>
      <c r="K2685" s="10" t="str">
        <f t="shared" si="41"/>
        <v>TRANS-2684</v>
      </c>
    </row>
    <row r="2686" spans="1:11" x14ac:dyDescent="0.35">
      <c r="A2686" s="5">
        <v>45657</v>
      </c>
      <c r="B2686" s="3">
        <v>0.46715277777777775</v>
      </c>
      <c r="C2686" t="s">
        <v>8</v>
      </c>
      <c r="D2686" t="s">
        <v>249</v>
      </c>
      <c r="E2686" s="4">
        <v>30.86</v>
      </c>
      <c r="F2686" t="s">
        <v>36</v>
      </c>
      <c r="G2686" s="10" t="str">
        <f>TEXT(Transform_Data[[#This Row],[Date]],"mmm yyyy")</f>
        <v>Dec 2024</v>
      </c>
      <c r="H2686" s="10">
        <f>HOUR(Transform_Data[[#This Row],[Time]])</f>
        <v>11</v>
      </c>
      <c r="I2686" s="10" t="str">
        <f>IF(COUNTIF('Transform Data'!$D:$D,'Transform Data'!D2686)&gt;1,"Repeat","Single")</f>
        <v>Repeat</v>
      </c>
      <c r="J2686" s="10" t="str">
        <f>IF('Transform Data'!D2686="Cash","Cash",IF(COUNTIF('Transform Data'!$D:$D,'Transform Data'!D2686)&gt;1,"Repeat","Single"))</f>
        <v>Repeat</v>
      </c>
      <c r="K2686" s="10" t="str">
        <f t="shared" si="41"/>
        <v>TRANS-2685</v>
      </c>
    </row>
    <row r="2687" spans="1:11" x14ac:dyDescent="0.35">
      <c r="A2687" s="5">
        <v>45657</v>
      </c>
      <c r="B2687" s="3">
        <v>0.65432870370370366</v>
      </c>
      <c r="C2687" t="s">
        <v>8</v>
      </c>
      <c r="D2687" t="s">
        <v>43</v>
      </c>
      <c r="E2687" s="4">
        <v>21.06</v>
      </c>
      <c r="F2687" t="s">
        <v>5</v>
      </c>
      <c r="G2687" s="10" t="str">
        <f>TEXT(Transform_Data[[#This Row],[Date]],"mmm yyyy")</f>
        <v>Dec 2024</v>
      </c>
      <c r="H2687" s="10">
        <f>HOUR(Transform_Data[[#This Row],[Time]])</f>
        <v>15</v>
      </c>
      <c r="I2687" s="10" t="str">
        <f>IF(COUNTIF('Transform Data'!$D:$D,'Transform Data'!D2687)&gt;1,"Repeat","Single")</f>
        <v>Repeat</v>
      </c>
      <c r="J2687" s="10" t="str">
        <f>IF('Transform Data'!D2687="Cash","Cash",IF(COUNTIF('Transform Data'!$D:$D,'Transform Data'!D2687)&gt;1,"Repeat","Single"))</f>
        <v>Repeat</v>
      </c>
      <c r="K2687" s="10" t="str">
        <f t="shared" si="41"/>
        <v>TRANS-2686</v>
      </c>
    </row>
    <row r="2688" spans="1:11" x14ac:dyDescent="0.35">
      <c r="A2688" s="5">
        <v>45657</v>
      </c>
      <c r="B2688" s="3">
        <v>0.65501157407407407</v>
      </c>
      <c r="C2688" t="s">
        <v>8</v>
      </c>
      <c r="D2688" t="s">
        <v>43</v>
      </c>
      <c r="E2688" s="4">
        <v>25.96</v>
      </c>
      <c r="F2688" t="s">
        <v>28</v>
      </c>
      <c r="G2688" s="10" t="str">
        <f>TEXT(Transform_Data[[#This Row],[Date]],"mmm yyyy")</f>
        <v>Dec 2024</v>
      </c>
      <c r="H2688" s="10">
        <f>HOUR(Transform_Data[[#This Row],[Time]])</f>
        <v>15</v>
      </c>
      <c r="I2688" s="10" t="str">
        <f>IF(COUNTIF('Transform Data'!$D:$D,'Transform Data'!D2688)&gt;1,"Repeat","Single")</f>
        <v>Repeat</v>
      </c>
      <c r="J2688" s="10" t="str">
        <f>IF('Transform Data'!D2688="Cash","Cash",IF(COUNTIF('Transform Data'!$D:$D,'Transform Data'!D2688)&gt;1,"Repeat","Single"))</f>
        <v>Repeat</v>
      </c>
      <c r="K2688" s="10" t="str">
        <f t="shared" si="41"/>
        <v>TRANS-2687</v>
      </c>
    </row>
    <row r="2689" spans="1:11" x14ac:dyDescent="0.35">
      <c r="A2689" s="5">
        <v>45657</v>
      </c>
      <c r="B2689" s="3">
        <v>0.67173611111111109</v>
      </c>
      <c r="C2689" t="s">
        <v>8</v>
      </c>
      <c r="D2689" t="s">
        <v>1115</v>
      </c>
      <c r="E2689" s="4">
        <v>35.76</v>
      </c>
      <c r="F2689" t="s">
        <v>24</v>
      </c>
      <c r="G2689" s="10" t="str">
        <f>TEXT(Transform_Data[[#This Row],[Date]],"mmm yyyy")</f>
        <v>Dec 2024</v>
      </c>
      <c r="H2689" s="10">
        <f>HOUR(Transform_Data[[#This Row],[Time]])</f>
        <v>16</v>
      </c>
      <c r="I2689" s="10" t="str">
        <f>IF(COUNTIF('Transform Data'!$D:$D,'Transform Data'!D2689)&gt;1,"Repeat","Single")</f>
        <v>Single</v>
      </c>
      <c r="J2689" s="10" t="str">
        <f>IF('Transform Data'!D2689="Cash","Cash",IF(COUNTIF('Transform Data'!$D:$D,'Transform Data'!D2689)&gt;1,"Repeat","Single"))</f>
        <v>Single</v>
      </c>
      <c r="K2689" s="10" t="str">
        <f t="shared" si="41"/>
        <v>TRANS-2688</v>
      </c>
    </row>
    <row r="2690" spans="1:11" x14ac:dyDescent="0.35">
      <c r="A2690" s="5">
        <v>45657</v>
      </c>
      <c r="B2690" s="3">
        <v>0.71547453703703701</v>
      </c>
      <c r="C2690" t="s">
        <v>8</v>
      </c>
      <c r="D2690" t="s">
        <v>577</v>
      </c>
      <c r="E2690" s="4">
        <v>35.76</v>
      </c>
      <c r="F2690" t="s">
        <v>32</v>
      </c>
      <c r="G2690" s="10" t="str">
        <f>TEXT(Transform_Data[[#This Row],[Date]],"mmm yyyy")</f>
        <v>Dec 2024</v>
      </c>
      <c r="H2690" s="10">
        <f>HOUR(Transform_Data[[#This Row],[Time]])</f>
        <v>17</v>
      </c>
      <c r="I2690" s="10" t="str">
        <f>IF(COUNTIF('Transform Data'!$D:$D,'Transform Data'!D2690)&gt;1,"Repeat","Single")</f>
        <v>Repeat</v>
      </c>
      <c r="J2690" s="10" t="str">
        <f>IF('Transform Data'!D2690="Cash","Cash",IF(COUNTIF('Transform Data'!$D:$D,'Transform Data'!D2690)&gt;1,"Repeat","Single"))</f>
        <v>Repeat</v>
      </c>
      <c r="K2690" s="10" t="str">
        <f t="shared" ref="K2690:K2753" si="42">"TRANS-"&amp;TEXT(ROW(A2689),"0000")</f>
        <v>TRANS-2689</v>
      </c>
    </row>
    <row r="2691" spans="1:11" x14ac:dyDescent="0.35">
      <c r="A2691" s="5">
        <v>45657</v>
      </c>
      <c r="B2691" s="3">
        <v>0.72976851851851854</v>
      </c>
      <c r="C2691" t="s">
        <v>8</v>
      </c>
      <c r="D2691" t="s">
        <v>1116</v>
      </c>
      <c r="E2691" s="4">
        <v>30.86</v>
      </c>
      <c r="F2691" t="s">
        <v>36</v>
      </c>
      <c r="G2691" s="10" t="str">
        <f>TEXT(Transform_Data[[#This Row],[Date]],"mmm yyyy")</f>
        <v>Dec 2024</v>
      </c>
      <c r="H2691" s="10">
        <f>HOUR(Transform_Data[[#This Row],[Time]])</f>
        <v>17</v>
      </c>
      <c r="I2691" s="10" t="str">
        <f>IF(COUNTIF('Transform Data'!$D:$D,'Transform Data'!D2691)&gt;1,"Repeat","Single")</f>
        <v>Single</v>
      </c>
      <c r="J2691" s="10" t="str">
        <f>IF('Transform Data'!D2691="Cash","Cash",IF(COUNTIF('Transform Data'!$D:$D,'Transform Data'!D2691)&gt;1,"Repeat","Single"))</f>
        <v>Single</v>
      </c>
      <c r="K2691" s="10" t="str">
        <f t="shared" si="42"/>
        <v>TRANS-2690</v>
      </c>
    </row>
    <row r="2692" spans="1:11" x14ac:dyDescent="0.35">
      <c r="A2692" s="5">
        <v>45657</v>
      </c>
      <c r="B2692" s="3">
        <v>0.73041666666666671</v>
      </c>
      <c r="C2692" t="s">
        <v>8</v>
      </c>
      <c r="D2692" t="s">
        <v>1117</v>
      </c>
      <c r="E2692" s="4">
        <v>35.76</v>
      </c>
      <c r="F2692" t="s">
        <v>24</v>
      </c>
      <c r="G2692" s="10" t="str">
        <f>TEXT(Transform_Data[[#This Row],[Date]],"mmm yyyy")</f>
        <v>Dec 2024</v>
      </c>
      <c r="H2692" s="10">
        <f>HOUR(Transform_Data[[#This Row],[Time]])</f>
        <v>17</v>
      </c>
      <c r="I2692" s="10" t="str">
        <f>IF(COUNTIF('Transform Data'!$D:$D,'Transform Data'!D2692)&gt;1,"Repeat","Single")</f>
        <v>Single</v>
      </c>
      <c r="J2692" s="10" t="str">
        <f>IF('Transform Data'!D2692="Cash","Cash",IF(COUNTIF('Transform Data'!$D:$D,'Transform Data'!D2692)&gt;1,"Repeat","Single"))</f>
        <v>Single</v>
      </c>
      <c r="K2692" s="10" t="str">
        <f t="shared" si="42"/>
        <v>TRANS-2691</v>
      </c>
    </row>
    <row r="2693" spans="1:11" x14ac:dyDescent="0.35">
      <c r="A2693" s="5">
        <v>45657</v>
      </c>
      <c r="B2693" s="3">
        <v>0.79681712962962958</v>
      </c>
      <c r="C2693" t="s">
        <v>8</v>
      </c>
      <c r="D2693" t="s">
        <v>1118</v>
      </c>
      <c r="E2693" s="4">
        <v>35.76</v>
      </c>
      <c r="F2693" t="s">
        <v>32</v>
      </c>
      <c r="G2693" s="10" t="str">
        <f>TEXT(Transform_Data[[#This Row],[Date]],"mmm yyyy")</f>
        <v>Dec 2024</v>
      </c>
      <c r="H2693" s="10">
        <f>HOUR(Transform_Data[[#This Row],[Time]])</f>
        <v>19</v>
      </c>
      <c r="I2693" s="10" t="str">
        <f>IF(COUNTIF('Transform Data'!$D:$D,'Transform Data'!D2693)&gt;1,"Repeat","Single")</f>
        <v>Repeat</v>
      </c>
      <c r="J2693" s="10" t="str">
        <f>IF('Transform Data'!D2693="Cash","Cash",IF(COUNTIF('Transform Data'!$D:$D,'Transform Data'!D2693)&gt;1,"Repeat","Single"))</f>
        <v>Repeat</v>
      </c>
      <c r="K2693" s="10" t="str">
        <f t="shared" si="42"/>
        <v>TRANS-2692</v>
      </c>
    </row>
    <row r="2694" spans="1:11" x14ac:dyDescent="0.35">
      <c r="A2694" s="5">
        <v>45657</v>
      </c>
      <c r="B2694" s="3">
        <v>0.79766203703703709</v>
      </c>
      <c r="C2694" t="s">
        <v>8</v>
      </c>
      <c r="D2694" t="s">
        <v>1118</v>
      </c>
      <c r="E2694" s="4">
        <v>35.76</v>
      </c>
      <c r="F2694" t="s">
        <v>15</v>
      </c>
      <c r="G2694" s="10" t="str">
        <f>TEXT(Transform_Data[[#This Row],[Date]],"mmm yyyy")</f>
        <v>Dec 2024</v>
      </c>
      <c r="H2694" s="10">
        <f>HOUR(Transform_Data[[#This Row],[Time]])</f>
        <v>19</v>
      </c>
      <c r="I2694" s="10" t="str">
        <f>IF(COUNTIF('Transform Data'!$D:$D,'Transform Data'!D2694)&gt;1,"Repeat","Single")</f>
        <v>Repeat</v>
      </c>
      <c r="J2694" s="10" t="str">
        <f>IF('Transform Data'!D2694="Cash","Cash",IF(COUNTIF('Transform Data'!$D:$D,'Transform Data'!D2694)&gt;1,"Repeat","Single"))</f>
        <v>Repeat</v>
      </c>
      <c r="K2694" s="10" t="str">
        <f t="shared" si="42"/>
        <v>TRANS-2693</v>
      </c>
    </row>
    <row r="2695" spans="1:11" x14ac:dyDescent="0.35">
      <c r="A2695" s="5">
        <v>45659</v>
      </c>
      <c r="B2695" s="3">
        <v>0.41533564814814816</v>
      </c>
      <c r="C2695" t="s">
        <v>8</v>
      </c>
      <c r="D2695" t="s">
        <v>29</v>
      </c>
      <c r="E2695" s="4">
        <v>30.86</v>
      </c>
      <c r="F2695" t="s">
        <v>36</v>
      </c>
      <c r="G2695" s="10" t="str">
        <f>TEXT(Transform_Data[[#This Row],[Date]],"mmm yyyy")</f>
        <v>Jan 2025</v>
      </c>
      <c r="H2695" s="10">
        <f>HOUR(Transform_Data[[#This Row],[Time]])</f>
        <v>9</v>
      </c>
      <c r="I2695" s="10" t="str">
        <f>IF(COUNTIF('Transform Data'!$D:$D,'Transform Data'!D2695)&gt;1,"Repeat","Single")</f>
        <v>Repeat</v>
      </c>
      <c r="J2695" s="10" t="str">
        <f>IF('Transform Data'!D2695="Cash","Cash",IF(COUNTIF('Transform Data'!$D:$D,'Transform Data'!D2695)&gt;1,"Repeat","Single"))</f>
        <v>Repeat</v>
      </c>
      <c r="K2695" s="10" t="str">
        <f t="shared" si="42"/>
        <v>TRANS-2694</v>
      </c>
    </row>
    <row r="2696" spans="1:11" x14ac:dyDescent="0.35">
      <c r="A2696" s="5">
        <v>45659</v>
      </c>
      <c r="B2696" s="3">
        <v>0.56226851851851856</v>
      </c>
      <c r="C2696" t="s">
        <v>8</v>
      </c>
      <c r="D2696" t="s">
        <v>1119</v>
      </c>
      <c r="E2696" s="4">
        <v>35.76</v>
      </c>
      <c r="F2696" t="s">
        <v>10</v>
      </c>
      <c r="G2696" s="10" t="str">
        <f>TEXT(Transform_Data[[#This Row],[Date]],"mmm yyyy")</f>
        <v>Jan 2025</v>
      </c>
      <c r="H2696" s="10">
        <f>HOUR(Transform_Data[[#This Row],[Time]])</f>
        <v>13</v>
      </c>
      <c r="I2696" s="10" t="str">
        <f>IF(COUNTIF('Transform Data'!$D:$D,'Transform Data'!D2696)&gt;1,"Repeat","Single")</f>
        <v>Repeat</v>
      </c>
      <c r="J2696" s="10" t="str">
        <f>IF('Transform Data'!D2696="Cash","Cash",IF(COUNTIF('Transform Data'!$D:$D,'Transform Data'!D2696)&gt;1,"Repeat","Single"))</f>
        <v>Repeat</v>
      </c>
      <c r="K2696" s="10" t="str">
        <f t="shared" si="42"/>
        <v>TRANS-2695</v>
      </c>
    </row>
    <row r="2697" spans="1:11" x14ac:dyDescent="0.35">
      <c r="A2697" s="5">
        <v>45659</v>
      </c>
      <c r="B2697" s="3">
        <v>0.56293981481481481</v>
      </c>
      <c r="C2697" t="s">
        <v>8</v>
      </c>
      <c r="D2697" t="s">
        <v>1119</v>
      </c>
      <c r="E2697" s="4">
        <v>35.76</v>
      </c>
      <c r="F2697" t="s">
        <v>10</v>
      </c>
      <c r="G2697" s="10" t="str">
        <f>TEXT(Transform_Data[[#This Row],[Date]],"mmm yyyy")</f>
        <v>Jan 2025</v>
      </c>
      <c r="H2697" s="10">
        <f>HOUR(Transform_Data[[#This Row],[Time]])</f>
        <v>13</v>
      </c>
      <c r="I2697" s="10" t="str">
        <f>IF(COUNTIF('Transform Data'!$D:$D,'Transform Data'!D2697)&gt;1,"Repeat","Single")</f>
        <v>Repeat</v>
      </c>
      <c r="J2697" s="10" t="str">
        <f>IF('Transform Data'!D2697="Cash","Cash",IF(COUNTIF('Transform Data'!$D:$D,'Transform Data'!D2697)&gt;1,"Repeat","Single"))</f>
        <v>Repeat</v>
      </c>
      <c r="K2697" s="10" t="str">
        <f t="shared" si="42"/>
        <v>TRANS-2696</v>
      </c>
    </row>
    <row r="2698" spans="1:11" x14ac:dyDescent="0.35">
      <c r="A2698" s="5">
        <v>45659</v>
      </c>
      <c r="B2698" s="3">
        <v>0.61192129629629632</v>
      </c>
      <c r="C2698" t="s">
        <v>8</v>
      </c>
      <c r="D2698" t="s">
        <v>1120</v>
      </c>
      <c r="E2698" s="4">
        <v>25.96</v>
      </c>
      <c r="F2698" t="s">
        <v>20</v>
      </c>
      <c r="G2698" s="10" t="str">
        <f>TEXT(Transform_Data[[#This Row],[Date]],"mmm yyyy")</f>
        <v>Jan 2025</v>
      </c>
      <c r="H2698" s="10">
        <f>HOUR(Transform_Data[[#This Row],[Time]])</f>
        <v>14</v>
      </c>
      <c r="I2698" s="10" t="str">
        <f>IF(COUNTIF('Transform Data'!$D:$D,'Transform Data'!D2698)&gt;1,"Repeat","Single")</f>
        <v>Repeat</v>
      </c>
      <c r="J2698" s="10" t="str">
        <f>IF('Transform Data'!D2698="Cash","Cash",IF(COUNTIF('Transform Data'!$D:$D,'Transform Data'!D2698)&gt;1,"Repeat","Single"))</f>
        <v>Repeat</v>
      </c>
      <c r="K2698" s="10" t="str">
        <f t="shared" si="42"/>
        <v>TRANS-2697</v>
      </c>
    </row>
    <row r="2699" spans="1:11" x14ac:dyDescent="0.35">
      <c r="A2699" s="5">
        <v>45659</v>
      </c>
      <c r="B2699" s="3">
        <v>0.61302083333333335</v>
      </c>
      <c r="C2699" t="s">
        <v>8</v>
      </c>
      <c r="D2699" t="s">
        <v>1120</v>
      </c>
      <c r="E2699" s="4">
        <v>25.96</v>
      </c>
      <c r="F2699" t="s">
        <v>20</v>
      </c>
      <c r="G2699" s="10" t="str">
        <f>TEXT(Transform_Data[[#This Row],[Date]],"mmm yyyy")</f>
        <v>Jan 2025</v>
      </c>
      <c r="H2699" s="10">
        <f>HOUR(Transform_Data[[#This Row],[Time]])</f>
        <v>14</v>
      </c>
      <c r="I2699" s="10" t="str">
        <f>IF(COUNTIF('Transform Data'!$D:$D,'Transform Data'!D2699)&gt;1,"Repeat","Single")</f>
        <v>Repeat</v>
      </c>
      <c r="J2699" s="10" t="str">
        <f>IF('Transform Data'!D2699="Cash","Cash",IF(COUNTIF('Transform Data'!$D:$D,'Transform Data'!D2699)&gt;1,"Repeat","Single"))</f>
        <v>Repeat</v>
      </c>
      <c r="K2699" s="10" t="str">
        <f t="shared" si="42"/>
        <v>TRANS-2698</v>
      </c>
    </row>
    <row r="2700" spans="1:11" x14ac:dyDescent="0.35">
      <c r="A2700" s="5">
        <v>45659</v>
      </c>
      <c r="B2700" s="3">
        <v>0.68231481481481482</v>
      </c>
      <c r="C2700" t="s">
        <v>8</v>
      </c>
      <c r="D2700" t="s">
        <v>1121</v>
      </c>
      <c r="E2700" s="4">
        <v>25.96</v>
      </c>
      <c r="F2700" t="s">
        <v>28</v>
      </c>
      <c r="G2700" s="10" t="str">
        <f>TEXT(Transform_Data[[#This Row],[Date]],"mmm yyyy")</f>
        <v>Jan 2025</v>
      </c>
      <c r="H2700" s="10">
        <f>HOUR(Transform_Data[[#This Row],[Time]])</f>
        <v>16</v>
      </c>
      <c r="I2700" s="10" t="str">
        <f>IF(COUNTIF('Transform Data'!$D:$D,'Transform Data'!D2700)&gt;1,"Repeat","Single")</f>
        <v>Repeat</v>
      </c>
      <c r="J2700" s="10" t="str">
        <f>IF('Transform Data'!D2700="Cash","Cash",IF(COUNTIF('Transform Data'!$D:$D,'Transform Data'!D2700)&gt;1,"Repeat","Single"))</f>
        <v>Repeat</v>
      </c>
      <c r="K2700" s="10" t="str">
        <f t="shared" si="42"/>
        <v>TRANS-2699</v>
      </c>
    </row>
    <row r="2701" spans="1:11" x14ac:dyDescent="0.35">
      <c r="A2701" s="5">
        <v>45659</v>
      </c>
      <c r="B2701" s="3">
        <v>0.69096064814814817</v>
      </c>
      <c r="C2701" t="s">
        <v>8</v>
      </c>
      <c r="D2701" t="s">
        <v>929</v>
      </c>
      <c r="E2701" s="4">
        <v>35.76</v>
      </c>
      <c r="F2701" t="s">
        <v>15</v>
      </c>
      <c r="G2701" s="10" t="str">
        <f>TEXT(Transform_Data[[#This Row],[Date]],"mmm yyyy")</f>
        <v>Jan 2025</v>
      </c>
      <c r="H2701" s="10">
        <f>HOUR(Transform_Data[[#This Row],[Time]])</f>
        <v>16</v>
      </c>
      <c r="I2701" s="10" t="str">
        <f>IF(COUNTIF('Transform Data'!$D:$D,'Transform Data'!D2701)&gt;1,"Repeat","Single")</f>
        <v>Repeat</v>
      </c>
      <c r="J2701" s="10" t="str">
        <f>IF('Transform Data'!D2701="Cash","Cash",IF(COUNTIF('Transform Data'!$D:$D,'Transform Data'!D2701)&gt;1,"Repeat","Single"))</f>
        <v>Repeat</v>
      </c>
      <c r="K2701" s="10" t="str">
        <f t="shared" si="42"/>
        <v>TRANS-2700</v>
      </c>
    </row>
    <row r="2702" spans="1:11" x14ac:dyDescent="0.35">
      <c r="A2702" s="5">
        <v>45659</v>
      </c>
      <c r="B2702" s="3">
        <v>0.69148148148148147</v>
      </c>
      <c r="C2702" t="s">
        <v>8</v>
      </c>
      <c r="D2702" t="s">
        <v>929</v>
      </c>
      <c r="E2702" s="4">
        <v>30.86</v>
      </c>
      <c r="F2702" t="s">
        <v>36</v>
      </c>
      <c r="G2702" s="10" t="str">
        <f>TEXT(Transform_Data[[#This Row],[Date]],"mmm yyyy")</f>
        <v>Jan 2025</v>
      </c>
      <c r="H2702" s="10">
        <f>HOUR(Transform_Data[[#This Row],[Time]])</f>
        <v>16</v>
      </c>
      <c r="I2702" s="10" t="str">
        <f>IF(COUNTIF('Transform Data'!$D:$D,'Transform Data'!D2702)&gt;1,"Repeat","Single")</f>
        <v>Repeat</v>
      </c>
      <c r="J2702" s="10" t="str">
        <f>IF('Transform Data'!D2702="Cash","Cash",IF(COUNTIF('Transform Data'!$D:$D,'Transform Data'!D2702)&gt;1,"Repeat","Single"))</f>
        <v>Repeat</v>
      </c>
      <c r="K2702" s="10" t="str">
        <f t="shared" si="42"/>
        <v>TRANS-2701</v>
      </c>
    </row>
    <row r="2703" spans="1:11" x14ac:dyDescent="0.35">
      <c r="A2703" s="5">
        <v>45659</v>
      </c>
      <c r="B2703" s="3">
        <v>0.73831018518518521</v>
      </c>
      <c r="C2703" t="s">
        <v>8</v>
      </c>
      <c r="D2703" t="s">
        <v>577</v>
      </c>
      <c r="E2703" s="4">
        <v>35.76</v>
      </c>
      <c r="F2703" t="s">
        <v>24</v>
      </c>
      <c r="G2703" s="10" t="str">
        <f>TEXT(Transform_Data[[#This Row],[Date]],"mmm yyyy")</f>
        <v>Jan 2025</v>
      </c>
      <c r="H2703" s="10">
        <f>HOUR(Transform_Data[[#This Row],[Time]])</f>
        <v>17</v>
      </c>
      <c r="I2703" s="10" t="str">
        <f>IF(COUNTIF('Transform Data'!$D:$D,'Transform Data'!D2703)&gt;1,"Repeat","Single")</f>
        <v>Repeat</v>
      </c>
      <c r="J2703" s="10" t="str">
        <f>IF('Transform Data'!D2703="Cash","Cash",IF(COUNTIF('Transform Data'!$D:$D,'Transform Data'!D2703)&gt;1,"Repeat","Single"))</f>
        <v>Repeat</v>
      </c>
      <c r="K2703" s="10" t="str">
        <f t="shared" si="42"/>
        <v>TRANS-2702</v>
      </c>
    </row>
    <row r="2704" spans="1:11" x14ac:dyDescent="0.35">
      <c r="A2704" s="5">
        <v>45660</v>
      </c>
      <c r="B2704" s="3">
        <v>0.37733796296296296</v>
      </c>
      <c r="C2704" t="s">
        <v>8</v>
      </c>
      <c r="D2704" t="s">
        <v>1081</v>
      </c>
      <c r="E2704" s="4">
        <v>25.96</v>
      </c>
      <c r="F2704" t="s">
        <v>20</v>
      </c>
      <c r="G2704" s="10" t="str">
        <f>TEXT(Transform_Data[[#This Row],[Date]],"mmm yyyy")</f>
        <v>Jan 2025</v>
      </c>
      <c r="H2704" s="10">
        <f>HOUR(Transform_Data[[#This Row],[Time]])</f>
        <v>9</v>
      </c>
      <c r="I2704" s="10" t="str">
        <f>IF(COUNTIF('Transform Data'!$D:$D,'Transform Data'!D2704)&gt;1,"Repeat","Single")</f>
        <v>Repeat</v>
      </c>
      <c r="J2704" s="10" t="str">
        <f>IF('Transform Data'!D2704="Cash","Cash",IF(COUNTIF('Transform Data'!$D:$D,'Transform Data'!D2704)&gt;1,"Repeat","Single"))</f>
        <v>Repeat</v>
      </c>
      <c r="K2704" s="10" t="str">
        <f t="shared" si="42"/>
        <v>TRANS-2703</v>
      </c>
    </row>
    <row r="2705" spans="1:11" x14ac:dyDescent="0.35">
      <c r="A2705" s="5">
        <v>45660</v>
      </c>
      <c r="B2705" s="3">
        <v>0.42395833333333333</v>
      </c>
      <c r="C2705" t="s">
        <v>8</v>
      </c>
      <c r="D2705" t="s">
        <v>29</v>
      </c>
      <c r="E2705" s="4">
        <v>30.86</v>
      </c>
      <c r="F2705" t="s">
        <v>36</v>
      </c>
      <c r="G2705" s="10" t="str">
        <f>TEXT(Transform_Data[[#This Row],[Date]],"mmm yyyy")</f>
        <v>Jan 2025</v>
      </c>
      <c r="H2705" s="10">
        <f>HOUR(Transform_Data[[#This Row],[Time]])</f>
        <v>10</v>
      </c>
      <c r="I2705" s="10" t="str">
        <f>IF(COUNTIF('Transform Data'!$D:$D,'Transform Data'!D2705)&gt;1,"Repeat","Single")</f>
        <v>Repeat</v>
      </c>
      <c r="J2705" s="10" t="str">
        <f>IF('Transform Data'!D2705="Cash","Cash",IF(COUNTIF('Transform Data'!$D:$D,'Transform Data'!D2705)&gt;1,"Repeat","Single"))</f>
        <v>Repeat</v>
      </c>
      <c r="K2705" s="10" t="str">
        <f t="shared" si="42"/>
        <v>TRANS-2704</v>
      </c>
    </row>
    <row r="2706" spans="1:11" x14ac:dyDescent="0.35">
      <c r="A2706" s="5">
        <v>45660</v>
      </c>
      <c r="B2706" s="3">
        <v>0.70704861111111106</v>
      </c>
      <c r="C2706" t="s">
        <v>8</v>
      </c>
      <c r="D2706" t="s">
        <v>1122</v>
      </c>
      <c r="E2706" s="4">
        <v>30.86</v>
      </c>
      <c r="F2706" t="s">
        <v>36</v>
      </c>
      <c r="G2706" s="10" t="str">
        <f>TEXT(Transform_Data[[#This Row],[Date]],"mmm yyyy")</f>
        <v>Jan 2025</v>
      </c>
      <c r="H2706" s="10">
        <f>HOUR(Transform_Data[[#This Row],[Time]])</f>
        <v>16</v>
      </c>
      <c r="I2706" s="10" t="str">
        <f>IF(COUNTIF('Transform Data'!$D:$D,'Transform Data'!D2706)&gt;1,"Repeat","Single")</f>
        <v>Single</v>
      </c>
      <c r="J2706" s="10" t="str">
        <f>IF('Transform Data'!D2706="Cash","Cash",IF(COUNTIF('Transform Data'!$D:$D,'Transform Data'!D2706)&gt;1,"Repeat","Single"))</f>
        <v>Single</v>
      </c>
      <c r="K2706" s="10" t="str">
        <f t="shared" si="42"/>
        <v>TRANS-2705</v>
      </c>
    </row>
    <row r="2707" spans="1:11" x14ac:dyDescent="0.35">
      <c r="A2707" s="5">
        <v>45660</v>
      </c>
      <c r="B2707" s="3">
        <v>0.92601851851851846</v>
      </c>
      <c r="C2707" t="s">
        <v>8</v>
      </c>
      <c r="D2707" t="s">
        <v>672</v>
      </c>
      <c r="E2707" s="4">
        <v>35.76</v>
      </c>
      <c r="F2707" t="s">
        <v>24</v>
      </c>
      <c r="G2707" s="10" t="str">
        <f>TEXT(Transform_Data[[#This Row],[Date]],"mmm yyyy")</f>
        <v>Jan 2025</v>
      </c>
      <c r="H2707" s="10">
        <f>HOUR(Transform_Data[[#This Row],[Time]])</f>
        <v>22</v>
      </c>
      <c r="I2707" s="10" t="str">
        <f>IF(COUNTIF('Transform Data'!$D:$D,'Transform Data'!D2707)&gt;1,"Repeat","Single")</f>
        <v>Repeat</v>
      </c>
      <c r="J2707" s="10" t="str">
        <f>IF('Transform Data'!D2707="Cash","Cash",IF(COUNTIF('Transform Data'!$D:$D,'Transform Data'!D2707)&gt;1,"Repeat","Single"))</f>
        <v>Repeat</v>
      </c>
      <c r="K2707" s="10" t="str">
        <f t="shared" si="42"/>
        <v>TRANS-2706</v>
      </c>
    </row>
    <row r="2708" spans="1:11" x14ac:dyDescent="0.35">
      <c r="A2708" s="5">
        <v>45660</v>
      </c>
      <c r="B2708" s="3">
        <v>0.92939814814814814</v>
      </c>
      <c r="C2708" t="s">
        <v>8</v>
      </c>
      <c r="D2708" t="s">
        <v>1123</v>
      </c>
      <c r="E2708" s="4">
        <v>25.96</v>
      </c>
      <c r="F2708" t="s">
        <v>28</v>
      </c>
      <c r="G2708" s="10" t="str">
        <f>TEXT(Transform_Data[[#This Row],[Date]],"mmm yyyy")</f>
        <v>Jan 2025</v>
      </c>
      <c r="H2708" s="10">
        <f>HOUR(Transform_Data[[#This Row],[Time]])</f>
        <v>22</v>
      </c>
      <c r="I2708" s="10" t="str">
        <f>IF(COUNTIF('Transform Data'!$D:$D,'Transform Data'!D2708)&gt;1,"Repeat","Single")</f>
        <v>Single</v>
      </c>
      <c r="J2708" s="10" t="str">
        <f>IF('Transform Data'!D2708="Cash","Cash",IF(COUNTIF('Transform Data'!$D:$D,'Transform Data'!D2708)&gt;1,"Repeat","Single"))</f>
        <v>Single</v>
      </c>
      <c r="K2708" s="10" t="str">
        <f t="shared" si="42"/>
        <v>TRANS-2707</v>
      </c>
    </row>
    <row r="2709" spans="1:11" x14ac:dyDescent="0.35">
      <c r="A2709" s="5">
        <v>45660</v>
      </c>
      <c r="B2709" s="3">
        <v>0.93002314814814813</v>
      </c>
      <c r="C2709" t="s">
        <v>8</v>
      </c>
      <c r="D2709" t="s">
        <v>1124</v>
      </c>
      <c r="E2709" s="4">
        <v>25.96</v>
      </c>
      <c r="F2709" t="s">
        <v>28</v>
      </c>
      <c r="G2709" s="10" t="str">
        <f>TEXT(Transform_Data[[#This Row],[Date]],"mmm yyyy")</f>
        <v>Jan 2025</v>
      </c>
      <c r="H2709" s="10">
        <f>HOUR(Transform_Data[[#This Row],[Time]])</f>
        <v>22</v>
      </c>
      <c r="I2709" s="10" t="str">
        <f>IF(COUNTIF('Transform Data'!$D:$D,'Transform Data'!D2709)&gt;1,"Repeat","Single")</f>
        <v>Single</v>
      </c>
      <c r="J2709" s="10" t="str">
        <f>IF('Transform Data'!D2709="Cash","Cash",IF(COUNTIF('Transform Data'!$D:$D,'Transform Data'!D2709)&gt;1,"Repeat","Single"))</f>
        <v>Single</v>
      </c>
      <c r="K2709" s="10" t="str">
        <f t="shared" si="42"/>
        <v>TRANS-2708</v>
      </c>
    </row>
    <row r="2710" spans="1:11" x14ac:dyDescent="0.35">
      <c r="A2710" s="5">
        <v>45660</v>
      </c>
      <c r="B2710" s="3">
        <v>0.93153935185185188</v>
      </c>
      <c r="C2710" t="s">
        <v>8</v>
      </c>
      <c r="D2710" t="s">
        <v>742</v>
      </c>
      <c r="E2710" s="4">
        <v>35.76</v>
      </c>
      <c r="F2710" t="s">
        <v>32</v>
      </c>
      <c r="G2710" s="10" t="str">
        <f>TEXT(Transform_Data[[#This Row],[Date]],"mmm yyyy")</f>
        <v>Jan 2025</v>
      </c>
      <c r="H2710" s="10">
        <f>HOUR(Transform_Data[[#This Row],[Time]])</f>
        <v>22</v>
      </c>
      <c r="I2710" s="10" t="str">
        <f>IF(COUNTIF('Transform Data'!$D:$D,'Transform Data'!D2710)&gt;1,"Repeat","Single")</f>
        <v>Repeat</v>
      </c>
      <c r="J2710" s="10" t="str">
        <f>IF('Transform Data'!D2710="Cash","Cash",IF(COUNTIF('Transform Data'!$D:$D,'Transform Data'!D2710)&gt;1,"Repeat","Single"))</f>
        <v>Repeat</v>
      </c>
      <c r="K2710" s="10" t="str">
        <f t="shared" si="42"/>
        <v>TRANS-2709</v>
      </c>
    </row>
    <row r="2711" spans="1:11" x14ac:dyDescent="0.35">
      <c r="A2711" s="5">
        <v>45661</v>
      </c>
      <c r="B2711" s="3">
        <v>0.37391203703703701</v>
      </c>
      <c r="C2711" t="s">
        <v>8</v>
      </c>
      <c r="D2711" t="s">
        <v>1081</v>
      </c>
      <c r="E2711" s="4">
        <v>25.96</v>
      </c>
      <c r="F2711" t="s">
        <v>20</v>
      </c>
      <c r="G2711" s="10" t="str">
        <f>TEXT(Transform_Data[[#This Row],[Date]],"mmm yyyy")</f>
        <v>Jan 2025</v>
      </c>
      <c r="H2711" s="10">
        <f>HOUR(Transform_Data[[#This Row],[Time]])</f>
        <v>8</v>
      </c>
      <c r="I2711" s="10" t="str">
        <f>IF(COUNTIF('Transform Data'!$D:$D,'Transform Data'!D2711)&gt;1,"Repeat","Single")</f>
        <v>Repeat</v>
      </c>
      <c r="J2711" s="10" t="str">
        <f>IF('Transform Data'!D2711="Cash","Cash",IF(COUNTIF('Transform Data'!$D:$D,'Transform Data'!D2711)&gt;1,"Repeat","Single"))</f>
        <v>Repeat</v>
      </c>
      <c r="K2711" s="10" t="str">
        <f t="shared" si="42"/>
        <v>TRANS-2710</v>
      </c>
    </row>
    <row r="2712" spans="1:11" x14ac:dyDescent="0.35">
      <c r="A2712" s="5">
        <v>45661</v>
      </c>
      <c r="B2712" s="3">
        <v>0.41628472222222224</v>
      </c>
      <c r="C2712" t="s">
        <v>8</v>
      </c>
      <c r="D2712" t="s">
        <v>1125</v>
      </c>
      <c r="E2712" s="4">
        <v>25.96</v>
      </c>
      <c r="F2712" t="s">
        <v>28</v>
      </c>
      <c r="G2712" s="10" t="str">
        <f>TEXT(Transform_Data[[#This Row],[Date]],"mmm yyyy")</f>
        <v>Jan 2025</v>
      </c>
      <c r="H2712" s="10">
        <f>HOUR(Transform_Data[[#This Row],[Time]])</f>
        <v>9</v>
      </c>
      <c r="I2712" s="10" t="str">
        <f>IF(COUNTIF('Transform Data'!$D:$D,'Transform Data'!D2712)&gt;1,"Repeat","Single")</f>
        <v>Single</v>
      </c>
      <c r="J2712" s="10" t="str">
        <f>IF('Transform Data'!D2712="Cash","Cash",IF(COUNTIF('Transform Data'!$D:$D,'Transform Data'!D2712)&gt;1,"Repeat","Single"))</f>
        <v>Single</v>
      </c>
      <c r="K2712" s="10" t="str">
        <f t="shared" si="42"/>
        <v>TRANS-2711</v>
      </c>
    </row>
    <row r="2713" spans="1:11" x14ac:dyDescent="0.35">
      <c r="A2713" s="5">
        <v>45661</v>
      </c>
      <c r="B2713" s="3">
        <v>0.56944444444444442</v>
      </c>
      <c r="C2713" t="s">
        <v>8</v>
      </c>
      <c r="D2713" t="s">
        <v>1126</v>
      </c>
      <c r="E2713" s="4">
        <v>35.76</v>
      </c>
      <c r="F2713" t="s">
        <v>24</v>
      </c>
      <c r="G2713" s="10" t="str">
        <f>TEXT(Transform_Data[[#This Row],[Date]],"mmm yyyy")</f>
        <v>Jan 2025</v>
      </c>
      <c r="H2713" s="10">
        <f>HOUR(Transform_Data[[#This Row],[Time]])</f>
        <v>13</v>
      </c>
      <c r="I2713" s="10" t="str">
        <f>IF(COUNTIF('Transform Data'!$D:$D,'Transform Data'!D2713)&gt;1,"Repeat","Single")</f>
        <v>Single</v>
      </c>
      <c r="J2713" s="10" t="str">
        <f>IF('Transform Data'!D2713="Cash","Cash",IF(COUNTIF('Transform Data'!$D:$D,'Transform Data'!D2713)&gt;1,"Repeat","Single"))</f>
        <v>Single</v>
      </c>
      <c r="K2713" s="10" t="str">
        <f t="shared" si="42"/>
        <v>TRANS-2712</v>
      </c>
    </row>
    <row r="2714" spans="1:11" x14ac:dyDescent="0.35">
      <c r="A2714" s="5">
        <v>45661</v>
      </c>
      <c r="B2714" s="3">
        <v>0.66635416666666669</v>
      </c>
      <c r="C2714" t="s">
        <v>8</v>
      </c>
      <c r="D2714" t="s">
        <v>929</v>
      </c>
      <c r="E2714" s="4">
        <v>35.76</v>
      </c>
      <c r="F2714" t="s">
        <v>10</v>
      </c>
      <c r="G2714" s="10" t="str">
        <f>TEXT(Transform_Data[[#This Row],[Date]],"mmm yyyy")</f>
        <v>Jan 2025</v>
      </c>
      <c r="H2714" s="10">
        <f>HOUR(Transform_Data[[#This Row],[Time]])</f>
        <v>15</v>
      </c>
      <c r="I2714" s="10" t="str">
        <f>IF(COUNTIF('Transform Data'!$D:$D,'Transform Data'!D2714)&gt;1,"Repeat","Single")</f>
        <v>Repeat</v>
      </c>
      <c r="J2714" s="10" t="str">
        <f>IF('Transform Data'!D2714="Cash","Cash",IF(COUNTIF('Transform Data'!$D:$D,'Transform Data'!D2714)&gt;1,"Repeat","Single"))</f>
        <v>Repeat</v>
      </c>
      <c r="K2714" s="10" t="str">
        <f t="shared" si="42"/>
        <v>TRANS-2713</v>
      </c>
    </row>
    <row r="2715" spans="1:11" x14ac:dyDescent="0.35">
      <c r="A2715" s="5">
        <v>45661</v>
      </c>
      <c r="B2715" s="3">
        <v>0.67563657407407407</v>
      </c>
      <c r="C2715" t="s">
        <v>8</v>
      </c>
      <c r="D2715" t="s">
        <v>1086</v>
      </c>
      <c r="E2715" s="4">
        <v>30.86</v>
      </c>
      <c r="F2715" t="s">
        <v>36</v>
      </c>
      <c r="G2715" s="10" t="str">
        <f>TEXT(Transform_Data[[#This Row],[Date]],"mmm yyyy")</f>
        <v>Jan 2025</v>
      </c>
      <c r="H2715" s="10">
        <f>HOUR(Transform_Data[[#This Row],[Time]])</f>
        <v>16</v>
      </c>
      <c r="I2715" s="10" t="str">
        <f>IF(COUNTIF('Transform Data'!$D:$D,'Transform Data'!D2715)&gt;1,"Repeat","Single")</f>
        <v>Repeat</v>
      </c>
      <c r="J2715" s="10" t="str">
        <f>IF('Transform Data'!D2715="Cash","Cash",IF(COUNTIF('Transform Data'!$D:$D,'Transform Data'!D2715)&gt;1,"Repeat","Single"))</f>
        <v>Repeat</v>
      </c>
      <c r="K2715" s="10" t="str">
        <f t="shared" si="42"/>
        <v>TRANS-2714</v>
      </c>
    </row>
    <row r="2716" spans="1:11" x14ac:dyDescent="0.35">
      <c r="A2716" s="5">
        <v>45661</v>
      </c>
      <c r="B2716" s="3">
        <v>0.67650462962962965</v>
      </c>
      <c r="C2716" t="s">
        <v>8</v>
      </c>
      <c r="D2716" t="s">
        <v>1086</v>
      </c>
      <c r="E2716" s="4">
        <v>35.76</v>
      </c>
      <c r="F2716" t="s">
        <v>24</v>
      </c>
      <c r="G2716" s="10" t="str">
        <f>TEXT(Transform_Data[[#This Row],[Date]],"mmm yyyy")</f>
        <v>Jan 2025</v>
      </c>
      <c r="H2716" s="10">
        <f>HOUR(Transform_Data[[#This Row],[Time]])</f>
        <v>16</v>
      </c>
      <c r="I2716" s="10" t="str">
        <f>IF(COUNTIF('Transform Data'!$D:$D,'Transform Data'!D2716)&gt;1,"Repeat","Single")</f>
        <v>Repeat</v>
      </c>
      <c r="J2716" s="10" t="str">
        <f>IF('Transform Data'!D2716="Cash","Cash",IF(COUNTIF('Transform Data'!$D:$D,'Transform Data'!D2716)&gt;1,"Repeat","Single"))</f>
        <v>Repeat</v>
      </c>
      <c r="K2716" s="10" t="str">
        <f t="shared" si="42"/>
        <v>TRANS-2715</v>
      </c>
    </row>
    <row r="2717" spans="1:11" x14ac:dyDescent="0.35">
      <c r="A2717" s="5">
        <v>45661</v>
      </c>
      <c r="B2717" s="3">
        <v>0.67790509259259257</v>
      </c>
      <c r="C2717" t="s">
        <v>8</v>
      </c>
      <c r="D2717" t="s">
        <v>1086</v>
      </c>
      <c r="E2717" s="4">
        <v>35.76</v>
      </c>
      <c r="F2717" t="s">
        <v>24</v>
      </c>
      <c r="G2717" s="10" t="str">
        <f>TEXT(Transform_Data[[#This Row],[Date]],"mmm yyyy")</f>
        <v>Jan 2025</v>
      </c>
      <c r="H2717" s="10">
        <f>HOUR(Transform_Data[[#This Row],[Time]])</f>
        <v>16</v>
      </c>
      <c r="I2717" s="10" t="str">
        <f>IF(COUNTIF('Transform Data'!$D:$D,'Transform Data'!D2717)&gt;1,"Repeat","Single")</f>
        <v>Repeat</v>
      </c>
      <c r="J2717" s="10" t="str">
        <f>IF('Transform Data'!D2717="Cash","Cash",IF(COUNTIF('Transform Data'!$D:$D,'Transform Data'!D2717)&gt;1,"Repeat","Single"))</f>
        <v>Repeat</v>
      </c>
      <c r="K2717" s="10" t="str">
        <f t="shared" si="42"/>
        <v>TRANS-2716</v>
      </c>
    </row>
    <row r="2718" spans="1:11" x14ac:dyDescent="0.35">
      <c r="A2718" s="5">
        <v>45661</v>
      </c>
      <c r="B2718" s="3">
        <v>0.67921296296296296</v>
      </c>
      <c r="C2718" t="s">
        <v>8</v>
      </c>
      <c r="D2718" t="s">
        <v>1086</v>
      </c>
      <c r="E2718" s="4">
        <v>25.96</v>
      </c>
      <c r="F2718" t="s">
        <v>20</v>
      </c>
      <c r="G2718" s="10" t="str">
        <f>TEXT(Transform_Data[[#This Row],[Date]],"mmm yyyy")</f>
        <v>Jan 2025</v>
      </c>
      <c r="H2718" s="10">
        <f>HOUR(Transform_Data[[#This Row],[Time]])</f>
        <v>16</v>
      </c>
      <c r="I2718" s="10" t="str">
        <f>IF(COUNTIF('Transform Data'!$D:$D,'Transform Data'!D2718)&gt;1,"Repeat","Single")</f>
        <v>Repeat</v>
      </c>
      <c r="J2718" s="10" t="str">
        <f>IF('Transform Data'!D2718="Cash","Cash",IF(COUNTIF('Transform Data'!$D:$D,'Transform Data'!D2718)&gt;1,"Repeat","Single"))</f>
        <v>Repeat</v>
      </c>
      <c r="K2718" s="10" t="str">
        <f t="shared" si="42"/>
        <v>TRANS-2717</v>
      </c>
    </row>
    <row r="2719" spans="1:11" x14ac:dyDescent="0.35">
      <c r="A2719" s="5">
        <v>45661</v>
      </c>
      <c r="B2719" s="3">
        <v>0.75809027777777782</v>
      </c>
      <c r="C2719" t="s">
        <v>8</v>
      </c>
      <c r="D2719" t="s">
        <v>1127</v>
      </c>
      <c r="E2719" s="4">
        <v>25.96</v>
      </c>
      <c r="F2719" t="s">
        <v>28</v>
      </c>
      <c r="G2719" s="10" t="str">
        <f>TEXT(Transform_Data[[#This Row],[Date]],"mmm yyyy")</f>
        <v>Jan 2025</v>
      </c>
      <c r="H2719" s="10">
        <f>HOUR(Transform_Data[[#This Row],[Time]])</f>
        <v>18</v>
      </c>
      <c r="I2719" s="10" t="str">
        <f>IF(COUNTIF('Transform Data'!$D:$D,'Transform Data'!D2719)&gt;1,"Repeat","Single")</f>
        <v>Single</v>
      </c>
      <c r="J2719" s="10" t="str">
        <f>IF('Transform Data'!D2719="Cash","Cash",IF(COUNTIF('Transform Data'!$D:$D,'Transform Data'!D2719)&gt;1,"Repeat","Single"))</f>
        <v>Single</v>
      </c>
      <c r="K2719" s="10" t="str">
        <f t="shared" si="42"/>
        <v>TRANS-2718</v>
      </c>
    </row>
    <row r="2720" spans="1:11" x14ac:dyDescent="0.35">
      <c r="A2720" s="5">
        <v>45661</v>
      </c>
      <c r="B2720" s="3">
        <v>0.93298611111111107</v>
      </c>
      <c r="C2720" t="s">
        <v>8</v>
      </c>
      <c r="D2720" t="s">
        <v>1052</v>
      </c>
      <c r="E2720" s="4">
        <v>35.76</v>
      </c>
      <c r="F2720" t="s">
        <v>32</v>
      </c>
      <c r="G2720" s="10" t="str">
        <f>TEXT(Transform_Data[[#This Row],[Date]],"mmm yyyy")</f>
        <v>Jan 2025</v>
      </c>
      <c r="H2720" s="10">
        <f>HOUR(Transform_Data[[#This Row],[Time]])</f>
        <v>22</v>
      </c>
      <c r="I2720" s="10" t="str">
        <f>IF(COUNTIF('Transform Data'!$D:$D,'Transform Data'!D2720)&gt;1,"Repeat","Single")</f>
        <v>Repeat</v>
      </c>
      <c r="J2720" s="10" t="str">
        <f>IF('Transform Data'!D2720="Cash","Cash",IF(COUNTIF('Transform Data'!$D:$D,'Transform Data'!D2720)&gt;1,"Repeat","Single"))</f>
        <v>Repeat</v>
      </c>
      <c r="K2720" s="10" t="str">
        <f t="shared" si="42"/>
        <v>TRANS-2719</v>
      </c>
    </row>
    <row r="2721" spans="1:11" x14ac:dyDescent="0.35">
      <c r="A2721" s="5">
        <v>45662</v>
      </c>
      <c r="B2721" s="3">
        <v>0.40690972222222221</v>
      </c>
      <c r="C2721" t="s">
        <v>8</v>
      </c>
      <c r="D2721" t="s">
        <v>1128</v>
      </c>
      <c r="E2721" s="4">
        <v>30.86</v>
      </c>
      <c r="F2721" t="s">
        <v>36</v>
      </c>
      <c r="G2721" s="10" t="str">
        <f>TEXT(Transform_Data[[#This Row],[Date]],"mmm yyyy")</f>
        <v>Jan 2025</v>
      </c>
      <c r="H2721" s="10">
        <f>HOUR(Transform_Data[[#This Row],[Time]])</f>
        <v>9</v>
      </c>
      <c r="I2721" s="10" t="str">
        <f>IF(COUNTIF('Transform Data'!$D:$D,'Transform Data'!D2721)&gt;1,"Repeat","Single")</f>
        <v>Single</v>
      </c>
      <c r="J2721" s="10" t="str">
        <f>IF('Transform Data'!D2721="Cash","Cash",IF(COUNTIF('Transform Data'!$D:$D,'Transform Data'!D2721)&gt;1,"Repeat","Single"))</f>
        <v>Single</v>
      </c>
      <c r="K2721" s="10" t="str">
        <f t="shared" si="42"/>
        <v>TRANS-2720</v>
      </c>
    </row>
    <row r="2722" spans="1:11" x14ac:dyDescent="0.35">
      <c r="A2722" s="5">
        <v>45662</v>
      </c>
      <c r="B2722" s="3">
        <v>0.45347222222222222</v>
      </c>
      <c r="C2722" t="s">
        <v>8</v>
      </c>
      <c r="D2722" t="s">
        <v>1129</v>
      </c>
      <c r="E2722" s="4">
        <v>35.76</v>
      </c>
      <c r="F2722" t="s">
        <v>32</v>
      </c>
      <c r="G2722" s="10" t="str">
        <f>TEXT(Transform_Data[[#This Row],[Date]],"mmm yyyy")</f>
        <v>Jan 2025</v>
      </c>
      <c r="H2722" s="10">
        <f>HOUR(Transform_Data[[#This Row],[Time]])</f>
        <v>10</v>
      </c>
      <c r="I2722" s="10" t="str">
        <f>IF(COUNTIF('Transform Data'!$D:$D,'Transform Data'!D2722)&gt;1,"Repeat","Single")</f>
        <v>Single</v>
      </c>
      <c r="J2722" s="10" t="str">
        <f>IF('Transform Data'!D2722="Cash","Cash",IF(COUNTIF('Transform Data'!$D:$D,'Transform Data'!D2722)&gt;1,"Repeat","Single"))</f>
        <v>Single</v>
      </c>
      <c r="K2722" s="10" t="str">
        <f t="shared" si="42"/>
        <v>TRANS-2721</v>
      </c>
    </row>
    <row r="2723" spans="1:11" x14ac:dyDescent="0.35">
      <c r="A2723" s="5">
        <v>45662</v>
      </c>
      <c r="B2723" s="3">
        <v>0.92171296296296301</v>
      </c>
      <c r="C2723" t="s">
        <v>8</v>
      </c>
      <c r="D2723" t="s">
        <v>1130</v>
      </c>
      <c r="E2723" s="4">
        <v>30.86</v>
      </c>
      <c r="F2723" t="s">
        <v>36</v>
      </c>
      <c r="G2723" s="10" t="str">
        <f>TEXT(Transform_Data[[#This Row],[Date]],"mmm yyyy")</f>
        <v>Jan 2025</v>
      </c>
      <c r="H2723" s="10">
        <f>HOUR(Transform_Data[[#This Row],[Time]])</f>
        <v>22</v>
      </c>
      <c r="I2723" s="10" t="str">
        <f>IF(COUNTIF('Transform Data'!$D:$D,'Transform Data'!D2723)&gt;1,"Repeat","Single")</f>
        <v>Single</v>
      </c>
      <c r="J2723" s="10" t="str">
        <f>IF('Transform Data'!D2723="Cash","Cash",IF(COUNTIF('Transform Data'!$D:$D,'Transform Data'!D2723)&gt;1,"Repeat","Single"))</f>
        <v>Single</v>
      </c>
      <c r="K2723" s="10" t="str">
        <f t="shared" si="42"/>
        <v>TRANS-2722</v>
      </c>
    </row>
    <row r="2724" spans="1:11" x14ac:dyDescent="0.35">
      <c r="A2724" s="5">
        <v>45663</v>
      </c>
      <c r="B2724" s="3">
        <v>0.8325231481481481</v>
      </c>
      <c r="C2724" t="s">
        <v>8</v>
      </c>
      <c r="D2724" t="s">
        <v>1131</v>
      </c>
      <c r="E2724" s="4">
        <v>25.96</v>
      </c>
      <c r="F2724" t="s">
        <v>28</v>
      </c>
      <c r="G2724" s="10" t="str">
        <f>TEXT(Transform_Data[[#This Row],[Date]],"mmm yyyy")</f>
        <v>Jan 2025</v>
      </c>
      <c r="H2724" s="10">
        <f>HOUR(Transform_Data[[#This Row],[Time]])</f>
        <v>19</v>
      </c>
      <c r="I2724" s="10" t="str">
        <f>IF(COUNTIF('Transform Data'!$D:$D,'Transform Data'!D2724)&gt;1,"Repeat","Single")</f>
        <v>Single</v>
      </c>
      <c r="J2724" s="10" t="str">
        <f>IF('Transform Data'!D2724="Cash","Cash",IF(COUNTIF('Transform Data'!$D:$D,'Transform Data'!D2724)&gt;1,"Repeat","Single"))</f>
        <v>Single</v>
      </c>
      <c r="K2724" s="10" t="str">
        <f t="shared" si="42"/>
        <v>TRANS-2723</v>
      </c>
    </row>
    <row r="2725" spans="1:11" x14ac:dyDescent="0.35">
      <c r="A2725" s="5">
        <v>45664</v>
      </c>
      <c r="B2725" s="3">
        <v>0.56182870370370375</v>
      </c>
      <c r="C2725" t="s">
        <v>8</v>
      </c>
      <c r="D2725" t="s">
        <v>1132</v>
      </c>
      <c r="E2725" s="4">
        <v>35.76</v>
      </c>
      <c r="F2725" t="s">
        <v>24</v>
      </c>
      <c r="G2725" s="10" t="str">
        <f>TEXT(Transform_Data[[#This Row],[Date]],"mmm yyyy")</f>
        <v>Jan 2025</v>
      </c>
      <c r="H2725" s="10">
        <f>HOUR(Transform_Data[[#This Row],[Time]])</f>
        <v>13</v>
      </c>
      <c r="I2725" s="10" t="str">
        <f>IF(COUNTIF('Transform Data'!$D:$D,'Transform Data'!D2725)&gt;1,"Repeat","Single")</f>
        <v>Single</v>
      </c>
      <c r="J2725" s="10" t="str">
        <f>IF('Transform Data'!D2725="Cash","Cash",IF(COUNTIF('Transform Data'!$D:$D,'Transform Data'!D2725)&gt;1,"Repeat","Single"))</f>
        <v>Single</v>
      </c>
      <c r="K2725" s="10" t="str">
        <f t="shared" si="42"/>
        <v>TRANS-2724</v>
      </c>
    </row>
    <row r="2726" spans="1:11" x14ac:dyDescent="0.35">
      <c r="A2726" s="5">
        <v>45664</v>
      </c>
      <c r="B2726" s="3">
        <v>0.93940972222222219</v>
      </c>
      <c r="C2726" t="s">
        <v>8</v>
      </c>
      <c r="D2726" t="s">
        <v>1133</v>
      </c>
      <c r="E2726" s="4">
        <v>35.76</v>
      </c>
      <c r="F2726" t="s">
        <v>10</v>
      </c>
      <c r="G2726" s="10" t="str">
        <f>TEXT(Transform_Data[[#This Row],[Date]],"mmm yyyy")</f>
        <v>Jan 2025</v>
      </c>
      <c r="H2726" s="10">
        <f>HOUR(Transform_Data[[#This Row],[Time]])</f>
        <v>22</v>
      </c>
      <c r="I2726" s="10" t="str">
        <f>IF(COUNTIF('Transform Data'!$D:$D,'Transform Data'!D2726)&gt;1,"Repeat","Single")</f>
        <v>Repeat</v>
      </c>
      <c r="J2726" s="10" t="str">
        <f>IF('Transform Data'!D2726="Cash","Cash",IF(COUNTIF('Transform Data'!$D:$D,'Transform Data'!D2726)&gt;1,"Repeat","Single"))</f>
        <v>Repeat</v>
      </c>
      <c r="K2726" s="10" t="str">
        <f t="shared" si="42"/>
        <v>TRANS-2725</v>
      </c>
    </row>
    <row r="2727" spans="1:11" x14ac:dyDescent="0.35">
      <c r="A2727" s="5">
        <v>45664</v>
      </c>
      <c r="B2727" s="3">
        <v>0.94025462962962958</v>
      </c>
      <c r="C2727" t="s">
        <v>8</v>
      </c>
      <c r="D2727" t="s">
        <v>1133</v>
      </c>
      <c r="E2727" s="4">
        <v>35.76</v>
      </c>
      <c r="F2727" t="s">
        <v>10</v>
      </c>
      <c r="G2727" s="10" t="str">
        <f>TEXT(Transform_Data[[#This Row],[Date]],"mmm yyyy")</f>
        <v>Jan 2025</v>
      </c>
      <c r="H2727" s="10">
        <f>HOUR(Transform_Data[[#This Row],[Time]])</f>
        <v>22</v>
      </c>
      <c r="I2727" s="10" t="str">
        <f>IF(COUNTIF('Transform Data'!$D:$D,'Transform Data'!D2727)&gt;1,"Repeat","Single")</f>
        <v>Repeat</v>
      </c>
      <c r="J2727" s="10" t="str">
        <f>IF('Transform Data'!D2727="Cash","Cash",IF(COUNTIF('Transform Data'!$D:$D,'Transform Data'!D2727)&gt;1,"Repeat","Single"))</f>
        <v>Repeat</v>
      </c>
      <c r="K2727" s="10" t="str">
        <f t="shared" si="42"/>
        <v>TRANS-2726</v>
      </c>
    </row>
    <row r="2728" spans="1:11" x14ac:dyDescent="0.35">
      <c r="A2728" s="5">
        <v>45665</v>
      </c>
      <c r="B2728" s="3">
        <v>0.31252314814814813</v>
      </c>
      <c r="C2728" t="s">
        <v>8</v>
      </c>
      <c r="D2728" t="s">
        <v>1134</v>
      </c>
      <c r="E2728" s="4">
        <v>30.86</v>
      </c>
      <c r="F2728" t="s">
        <v>36</v>
      </c>
      <c r="G2728" s="10" t="str">
        <f>TEXT(Transform_Data[[#This Row],[Date]],"mmm yyyy")</f>
        <v>Jan 2025</v>
      </c>
      <c r="H2728" s="10">
        <f>HOUR(Transform_Data[[#This Row],[Time]])</f>
        <v>7</v>
      </c>
      <c r="I2728" s="10" t="str">
        <f>IF(COUNTIF('Transform Data'!$D:$D,'Transform Data'!D2728)&gt;1,"Repeat","Single")</f>
        <v>Repeat</v>
      </c>
      <c r="J2728" s="10" t="str">
        <f>IF('Transform Data'!D2728="Cash","Cash",IF(COUNTIF('Transform Data'!$D:$D,'Transform Data'!D2728)&gt;1,"Repeat","Single"))</f>
        <v>Repeat</v>
      </c>
      <c r="K2728" s="10" t="str">
        <f t="shared" si="42"/>
        <v>TRANS-2727</v>
      </c>
    </row>
    <row r="2729" spans="1:11" x14ac:dyDescent="0.35">
      <c r="A2729" s="5">
        <v>45665</v>
      </c>
      <c r="B2729" s="3">
        <v>0.3828125</v>
      </c>
      <c r="C2729" t="s">
        <v>8</v>
      </c>
      <c r="D2729" t="s">
        <v>1135</v>
      </c>
      <c r="E2729" s="4">
        <v>35.76</v>
      </c>
      <c r="F2729" t="s">
        <v>32</v>
      </c>
      <c r="G2729" s="10" t="str">
        <f>TEXT(Transform_Data[[#This Row],[Date]],"mmm yyyy")</f>
        <v>Jan 2025</v>
      </c>
      <c r="H2729" s="10">
        <f>HOUR(Transform_Data[[#This Row],[Time]])</f>
        <v>9</v>
      </c>
      <c r="I2729" s="10" t="str">
        <f>IF(COUNTIF('Transform Data'!$D:$D,'Transform Data'!D2729)&gt;1,"Repeat","Single")</f>
        <v>Single</v>
      </c>
      <c r="J2729" s="10" t="str">
        <f>IF('Transform Data'!D2729="Cash","Cash",IF(COUNTIF('Transform Data'!$D:$D,'Transform Data'!D2729)&gt;1,"Repeat","Single"))</f>
        <v>Single</v>
      </c>
      <c r="K2729" s="10" t="str">
        <f t="shared" si="42"/>
        <v>TRANS-2728</v>
      </c>
    </row>
    <row r="2730" spans="1:11" x14ac:dyDescent="0.35">
      <c r="A2730" s="5">
        <v>45665</v>
      </c>
      <c r="B2730" s="3">
        <v>0.43782407407407409</v>
      </c>
      <c r="C2730" t="s">
        <v>8</v>
      </c>
      <c r="D2730" t="s">
        <v>1086</v>
      </c>
      <c r="E2730" s="4">
        <v>25.96</v>
      </c>
      <c r="F2730" t="s">
        <v>20</v>
      </c>
      <c r="G2730" s="10" t="str">
        <f>TEXT(Transform_Data[[#This Row],[Date]],"mmm yyyy")</f>
        <v>Jan 2025</v>
      </c>
      <c r="H2730" s="10">
        <f>HOUR(Transform_Data[[#This Row],[Time]])</f>
        <v>10</v>
      </c>
      <c r="I2730" s="10" t="str">
        <f>IF(COUNTIF('Transform Data'!$D:$D,'Transform Data'!D2730)&gt;1,"Repeat","Single")</f>
        <v>Repeat</v>
      </c>
      <c r="J2730" s="10" t="str">
        <f>IF('Transform Data'!D2730="Cash","Cash",IF(COUNTIF('Transform Data'!$D:$D,'Transform Data'!D2730)&gt;1,"Repeat","Single"))</f>
        <v>Repeat</v>
      </c>
      <c r="K2730" s="10" t="str">
        <f t="shared" si="42"/>
        <v>TRANS-2729</v>
      </c>
    </row>
    <row r="2731" spans="1:11" x14ac:dyDescent="0.35">
      <c r="A2731" s="5">
        <v>45665</v>
      </c>
      <c r="B2731" s="3">
        <v>0.72420138888888885</v>
      </c>
      <c r="C2731" t="s">
        <v>8</v>
      </c>
      <c r="D2731" t="s">
        <v>260</v>
      </c>
      <c r="E2731" s="4">
        <v>35.76</v>
      </c>
      <c r="F2731" t="s">
        <v>24</v>
      </c>
      <c r="G2731" s="10" t="str">
        <f>TEXT(Transform_Data[[#This Row],[Date]],"mmm yyyy")</f>
        <v>Jan 2025</v>
      </c>
      <c r="H2731" s="10">
        <f>HOUR(Transform_Data[[#This Row],[Time]])</f>
        <v>17</v>
      </c>
      <c r="I2731" s="10" t="str">
        <f>IF(COUNTIF('Transform Data'!$D:$D,'Transform Data'!D2731)&gt;1,"Repeat","Single")</f>
        <v>Repeat</v>
      </c>
      <c r="J2731" s="10" t="str">
        <f>IF('Transform Data'!D2731="Cash","Cash",IF(COUNTIF('Transform Data'!$D:$D,'Transform Data'!D2731)&gt;1,"Repeat","Single"))</f>
        <v>Repeat</v>
      </c>
      <c r="K2731" s="10" t="str">
        <f t="shared" si="42"/>
        <v>TRANS-2730</v>
      </c>
    </row>
    <row r="2732" spans="1:11" x14ac:dyDescent="0.35">
      <c r="A2732" s="5">
        <v>45666</v>
      </c>
      <c r="B2732" s="3">
        <v>0.33827546296296296</v>
      </c>
      <c r="C2732" t="s">
        <v>8</v>
      </c>
      <c r="D2732" t="s">
        <v>1136</v>
      </c>
      <c r="E2732" s="4">
        <v>25.96</v>
      </c>
      <c r="F2732" t="s">
        <v>28</v>
      </c>
      <c r="G2732" s="10" t="str">
        <f>TEXT(Transform_Data[[#This Row],[Date]],"mmm yyyy")</f>
        <v>Jan 2025</v>
      </c>
      <c r="H2732" s="10">
        <f>HOUR(Transform_Data[[#This Row],[Time]])</f>
        <v>8</v>
      </c>
      <c r="I2732" s="10" t="str">
        <f>IF(COUNTIF('Transform Data'!$D:$D,'Transform Data'!D2732)&gt;1,"Repeat","Single")</f>
        <v>Single</v>
      </c>
      <c r="J2732" s="10" t="str">
        <f>IF('Transform Data'!D2732="Cash","Cash",IF(COUNTIF('Transform Data'!$D:$D,'Transform Data'!D2732)&gt;1,"Repeat","Single"))</f>
        <v>Single</v>
      </c>
      <c r="K2732" s="10" t="str">
        <f t="shared" si="42"/>
        <v>TRANS-2731</v>
      </c>
    </row>
    <row r="2733" spans="1:11" x14ac:dyDescent="0.35">
      <c r="A2733" s="5">
        <v>45666</v>
      </c>
      <c r="B2733" s="3">
        <v>0.37261574074074072</v>
      </c>
      <c r="C2733" t="s">
        <v>8</v>
      </c>
      <c r="D2733" t="s">
        <v>622</v>
      </c>
      <c r="E2733" s="4">
        <v>35.76</v>
      </c>
      <c r="F2733" t="s">
        <v>32</v>
      </c>
      <c r="G2733" s="10" t="str">
        <f>TEXT(Transform_Data[[#This Row],[Date]],"mmm yyyy")</f>
        <v>Jan 2025</v>
      </c>
      <c r="H2733" s="10">
        <f>HOUR(Transform_Data[[#This Row],[Time]])</f>
        <v>8</v>
      </c>
      <c r="I2733" s="10" t="str">
        <f>IF(COUNTIF('Transform Data'!$D:$D,'Transform Data'!D2733)&gt;1,"Repeat","Single")</f>
        <v>Repeat</v>
      </c>
      <c r="J2733" s="10" t="str">
        <f>IF('Transform Data'!D2733="Cash","Cash",IF(COUNTIF('Transform Data'!$D:$D,'Transform Data'!D2733)&gt;1,"Repeat","Single"))</f>
        <v>Repeat</v>
      </c>
      <c r="K2733" s="10" t="str">
        <f t="shared" si="42"/>
        <v>TRANS-2732</v>
      </c>
    </row>
    <row r="2734" spans="1:11" x14ac:dyDescent="0.35">
      <c r="A2734" s="5">
        <v>45666</v>
      </c>
      <c r="B2734" s="3">
        <v>0.3767476851851852</v>
      </c>
      <c r="C2734" t="s">
        <v>8</v>
      </c>
      <c r="D2734" t="s">
        <v>438</v>
      </c>
      <c r="E2734" s="4">
        <v>30.86</v>
      </c>
      <c r="F2734" t="s">
        <v>36</v>
      </c>
      <c r="G2734" s="10" t="str">
        <f>TEXT(Transform_Data[[#This Row],[Date]],"mmm yyyy")</f>
        <v>Jan 2025</v>
      </c>
      <c r="H2734" s="10">
        <f>HOUR(Transform_Data[[#This Row],[Time]])</f>
        <v>9</v>
      </c>
      <c r="I2734" s="10" t="str">
        <f>IF(COUNTIF('Transform Data'!$D:$D,'Transform Data'!D2734)&gt;1,"Repeat","Single")</f>
        <v>Repeat</v>
      </c>
      <c r="J2734" s="10" t="str">
        <f>IF('Transform Data'!D2734="Cash","Cash",IF(COUNTIF('Transform Data'!$D:$D,'Transform Data'!D2734)&gt;1,"Repeat","Single"))</f>
        <v>Repeat</v>
      </c>
      <c r="K2734" s="10" t="str">
        <f t="shared" si="42"/>
        <v>TRANS-2733</v>
      </c>
    </row>
    <row r="2735" spans="1:11" x14ac:dyDescent="0.35">
      <c r="A2735" s="5">
        <v>45666</v>
      </c>
      <c r="B2735" s="3">
        <v>0.60234953703703709</v>
      </c>
      <c r="C2735" t="s">
        <v>8</v>
      </c>
      <c r="D2735" t="s">
        <v>401</v>
      </c>
      <c r="E2735" s="4">
        <v>21.06</v>
      </c>
      <c r="F2735" t="s">
        <v>5</v>
      </c>
      <c r="G2735" s="10" t="str">
        <f>TEXT(Transform_Data[[#This Row],[Date]],"mmm yyyy")</f>
        <v>Jan 2025</v>
      </c>
      <c r="H2735" s="10">
        <f>HOUR(Transform_Data[[#This Row],[Time]])</f>
        <v>14</v>
      </c>
      <c r="I2735" s="10" t="str">
        <f>IF(COUNTIF('Transform Data'!$D:$D,'Transform Data'!D2735)&gt;1,"Repeat","Single")</f>
        <v>Repeat</v>
      </c>
      <c r="J2735" s="10" t="str">
        <f>IF('Transform Data'!D2735="Cash","Cash",IF(COUNTIF('Transform Data'!$D:$D,'Transform Data'!D2735)&gt;1,"Repeat","Single"))</f>
        <v>Repeat</v>
      </c>
      <c r="K2735" s="10" t="str">
        <f t="shared" si="42"/>
        <v>TRANS-2734</v>
      </c>
    </row>
    <row r="2736" spans="1:11" x14ac:dyDescent="0.35">
      <c r="A2736" s="5">
        <v>45666</v>
      </c>
      <c r="B2736" s="3">
        <v>0.65067129629629628</v>
      </c>
      <c r="C2736" t="s">
        <v>8</v>
      </c>
      <c r="D2736" t="s">
        <v>1137</v>
      </c>
      <c r="E2736" s="4">
        <v>35.76</v>
      </c>
      <c r="F2736" t="s">
        <v>32</v>
      </c>
      <c r="G2736" s="10" t="str">
        <f>TEXT(Transform_Data[[#This Row],[Date]],"mmm yyyy")</f>
        <v>Jan 2025</v>
      </c>
      <c r="H2736" s="10">
        <f>HOUR(Transform_Data[[#This Row],[Time]])</f>
        <v>15</v>
      </c>
      <c r="I2736" s="10" t="str">
        <f>IF(COUNTIF('Transform Data'!$D:$D,'Transform Data'!D2736)&gt;1,"Repeat","Single")</f>
        <v>Single</v>
      </c>
      <c r="J2736" s="10" t="str">
        <f>IF('Transform Data'!D2736="Cash","Cash",IF(COUNTIF('Transform Data'!$D:$D,'Transform Data'!D2736)&gt;1,"Repeat","Single"))</f>
        <v>Single</v>
      </c>
      <c r="K2736" s="10" t="str">
        <f t="shared" si="42"/>
        <v>TRANS-2735</v>
      </c>
    </row>
    <row r="2737" spans="1:11" x14ac:dyDescent="0.35">
      <c r="A2737" s="5">
        <v>45666</v>
      </c>
      <c r="B2737" s="3">
        <v>0.65844907407407405</v>
      </c>
      <c r="C2737" t="s">
        <v>8</v>
      </c>
      <c r="D2737" t="s">
        <v>40</v>
      </c>
      <c r="E2737" s="4">
        <v>30.86</v>
      </c>
      <c r="F2737" t="s">
        <v>36</v>
      </c>
      <c r="G2737" s="10" t="str">
        <f>TEXT(Transform_Data[[#This Row],[Date]],"mmm yyyy")</f>
        <v>Jan 2025</v>
      </c>
      <c r="H2737" s="10">
        <f>HOUR(Transform_Data[[#This Row],[Time]])</f>
        <v>15</v>
      </c>
      <c r="I2737" s="10" t="str">
        <f>IF(COUNTIF('Transform Data'!$D:$D,'Transform Data'!D2737)&gt;1,"Repeat","Single")</f>
        <v>Repeat</v>
      </c>
      <c r="J2737" s="10" t="str">
        <f>IF('Transform Data'!D2737="Cash","Cash",IF(COUNTIF('Transform Data'!$D:$D,'Transform Data'!D2737)&gt;1,"Repeat","Single"))</f>
        <v>Repeat</v>
      </c>
      <c r="K2737" s="10" t="str">
        <f t="shared" si="42"/>
        <v>TRANS-2736</v>
      </c>
    </row>
    <row r="2738" spans="1:11" x14ac:dyDescent="0.35">
      <c r="A2738" s="5">
        <v>45666</v>
      </c>
      <c r="B2738" s="3">
        <v>0.65915509259259264</v>
      </c>
      <c r="C2738" t="s">
        <v>8</v>
      </c>
      <c r="D2738" t="s">
        <v>40</v>
      </c>
      <c r="E2738" s="4">
        <v>25.96</v>
      </c>
      <c r="F2738" t="s">
        <v>20</v>
      </c>
      <c r="G2738" s="10" t="str">
        <f>TEXT(Transform_Data[[#This Row],[Date]],"mmm yyyy")</f>
        <v>Jan 2025</v>
      </c>
      <c r="H2738" s="10">
        <f>HOUR(Transform_Data[[#This Row],[Time]])</f>
        <v>15</v>
      </c>
      <c r="I2738" s="10" t="str">
        <f>IF(COUNTIF('Transform Data'!$D:$D,'Transform Data'!D2738)&gt;1,"Repeat","Single")</f>
        <v>Repeat</v>
      </c>
      <c r="J2738" s="10" t="str">
        <f>IF('Transform Data'!D2738="Cash","Cash",IF(COUNTIF('Transform Data'!$D:$D,'Transform Data'!D2738)&gt;1,"Repeat","Single"))</f>
        <v>Repeat</v>
      </c>
      <c r="K2738" s="10" t="str">
        <f t="shared" si="42"/>
        <v>TRANS-2737</v>
      </c>
    </row>
    <row r="2739" spans="1:11" x14ac:dyDescent="0.35">
      <c r="A2739" s="5">
        <v>45666</v>
      </c>
      <c r="B2739" s="3">
        <v>0.85450231481481487</v>
      </c>
      <c r="C2739" t="s">
        <v>8</v>
      </c>
      <c r="D2739" t="s">
        <v>43</v>
      </c>
      <c r="E2739" s="4">
        <v>30.86</v>
      </c>
      <c r="F2739" t="s">
        <v>36</v>
      </c>
      <c r="G2739" s="10" t="str">
        <f>TEXT(Transform_Data[[#This Row],[Date]],"mmm yyyy")</f>
        <v>Jan 2025</v>
      </c>
      <c r="H2739" s="10">
        <f>HOUR(Transform_Data[[#This Row],[Time]])</f>
        <v>20</v>
      </c>
      <c r="I2739" s="10" t="str">
        <f>IF(COUNTIF('Transform Data'!$D:$D,'Transform Data'!D2739)&gt;1,"Repeat","Single")</f>
        <v>Repeat</v>
      </c>
      <c r="J2739" s="10" t="str">
        <f>IF('Transform Data'!D2739="Cash","Cash",IF(COUNTIF('Transform Data'!$D:$D,'Transform Data'!D2739)&gt;1,"Repeat","Single"))</f>
        <v>Repeat</v>
      </c>
      <c r="K2739" s="10" t="str">
        <f t="shared" si="42"/>
        <v>TRANS-2738</v>
      </c>
    </row>
    <row r="2740" spans="1:11" x14ac:dyDescent="0.35">
      <c r="A2740" s="5">
        <v>45666</v>
      </c>
      <c r="B2740" s="3">
        <v>0.9238425925925926</v>
      </c>
      <c r="C2740" t="s">
        <v>8</v>
      </c>
      <c r="D2740" t="s">
        <v>382</v>
      </c>
      <c r="E2740" s="4">
        <v>35.76</v>
      </c>
      <c r="F2740" t="s">
        <v>32</v>
      </c>
      <c r="G2740" s="10" t="str">
        <f>TEXT(Transform_Data[[#This Row],[Date]],"mmm yyyy")</f>
        <v>Jan 2025</v>
      </c>
      <c r="H2740" s="10">
        <f>HOUR(Transform_Data[[#This Row],[Time]])</f>
        <v>22</v>
      </c>
      <c r="I2740" s="10" t="str">
        <f>IF(COUNTIF('Transform Data'!$D:$D,'Transform Data'!D2740)&gt;1,"Repeat","Single")</f>
        <v>Repeat</v>
      </c>
      <c r="J2740" s="10" t="str">
        <f>IF('Transform Data'!D2740="Cash","Cash",IF(COUNTIF('Transform Data'!$D:$D,'Transform Data'!D2740)&gt;1,"Repeat","Single"))</f>
        <v>Repeat</v>
      </c>
      <c r="K2740" s="10" t="str">
        <f t="shared" si="42"/>
        <v>TRANS-2739</v>
      </c>
    </row>
    <row r="2741" spans="1:11" x14ac:dyDescent="0.35">
      <c r="A2741" s="5">
        <v>45667</v>
      </c>
      <c r="B2741" s="3">
        <v>0.36759259259259258</v>
      </c>
      <c r="C2741" t="s">
        <v>8</v>
      </c>
      <c r="D2741" t="s">
        <v>278</v>
      </c>
      <c r="E2741" s="4">
        <v>30.86</v>
      </c>
      <c r="F2741" t="s">
        <v>36</v>
      </c>
      <c r="G2741" s="10" t="str">
        <f>TEXT(Transform_Data[[#This Row],[Date]],"mmm yyyy")</f>
        <v>Jan 2025</v>
      </c>
      <c r="H2741" s="10">
        <f>HOUR(Transform_Data[[#This Row],[Time]])</f>
        <v>8</v>
      </c>
      <c r="I2741" s="10" t="str">
        <f>IF(COUNTIF('Transform Data'!$D:$D,'Transform Data'!D2741)&gt;1,"Repeat","Single")</f>
        <v>Repeat</v>
      </c>
      <c r="J2741" s="10" t="str">
        <f>IF('Transform Data'!D2741="Cash","Cash",IF(COUNTIF('Transform Data'!$D:$D,'Transform Data'!D2741)&gt;1,"Repeat","Single"))</f>
        <v>Repeat</v>
      </c>
      <c r="K2741" s="10" t="str">
        <f t="shared" si="42"/>
        <v>TRANS-2740</v>
      </c>
    </row>
    <row r="2742" spans="1:11" x14ac:dyDescent="0.35">
      <c r="A2742" s="5">
        <v>45667</v>
      </c>
      <c r="B2742" s="3">
        <v>0.3865277777777778</v>
      </c>
      <c r="C2742" t="s">
        <v>8</v>
      </c>
      <c r="D2742" t="s">
        <v>438</v>
      </c>
      <c r="E2742" s="4">
        <v>30.86</v>
      </c>
      <c r="F2742" t="s">
        <v>36</v>
      </c>
      <c r="G2742" s="10" t="str">
        <f>TEXT(Transform_Data[[#This Row],[Date]],"mmm yyyy")</f>
        <v>Jan 2025</v>
      </c>
      <c r="H2742" s="10">
        <f>HOUR(Transform_Data[[#This Row],[Time]])</f>
        <v>9</v>
      </c>
      <c r="I2742" s="10" t="str">
        <f>IF(COUNTIF('Transform Data'!$D:$D,'Transform Data'!D2742)&gt;1,"Repeat","Single")</f>
        <v>Repeat</v>
      </c>
      <c r="J2742" s="10" t="str">
        <f>IF('Transform Data'!D2742="Cash","Cash",IF(COUNTIF('Transform Data'!$D:$D,'Transform Data'!D2742)&gt;1,"Repeat","Single"))</f>
        <v>Repeat</v>
      </c>
      <c r="K2742" s="10" t="str">
        <f t="shared" si="42"/>
        <v>TRANS-2741</v>
      </c>
    </row>
    <row r="2743" spans="1:11" x14ac:dyDescent="0.35">
      <c r="A2743" s="5">
        <v>45667</v>
      </c>
      <c r="B2743" s="3">
        <v>0.74395833333333339</v>
      </c>
      <c r="C2743" t="s">
        <v>8</v>
      </c>
      <c r="D2743" t="s">
        <v>1138</v>
      </c>
      <c r="E2743" s="4">
        <v>35.76</v>
      </c>
      <c r="F2743" t="s">
        <v>24</v>
      </c>
      <c r="G2743" s="10" t="str">
        <f>TEXT(Transform_Data[[#This Row],[Date]],"mmm yyyy")</f>
        <v>Jan 2025</v>
      </c>
      <c r="H2743" s="10">
        <f>HOUR(Transform_Data[[#This Row],[Time]])</f>
        <v>17</v>
      </c>
      <c r="I2743" s="10" t="str">
        <f>IF(COUNTIF('Transform Data'!$D:$D,'Transform Data'!D2743)&gt;1,"Repeat","Single")</f>
        <v>Single</v>
      </c>
      <c r="J2743" s="10" t="str">
        <f>IF('Transform Data'!D2743="Cash","Cash",IF(COUNTIF('Transform Data'!$D:$D,'Transform Data'!D2743)&gt;1,"Repeat","Single"))</f>
        <v>Single</v>
      </c>
      <c r="K2743" s="10" t="str">
        <f t="shared" si="42"/>
        <v>TRANS-2742</v>
      </c>
    </row>
    <row r="2744" spans="1:11" x14ac:dyDescent="0.35">
      <c r="A2744" s="5">
        <v>45667</v>
      </c>
      <c r="B2744" s="3">
        <v>0.74714120370370374</v>
      </c>
      <c r="C2744" t="s">
        <v>8</v>
      </c>
      <c r="D2744" t="s">
        <v>1097</v>
      </c>
      <c r="E2744" s="4">
        <v>35.76</v>
      </c>
      <c r="F2744" t="s">
        <v>15</v>
      </c>
      <c r="G2744" s="10" t="str">
        <f>TEXT(Transform_Data[[#This Row],[Date]],"mmm yyyy")</f>
        <v>Jan 2025</v>
      </c>
      <c r="H2744" s="10">
        <f>HOUR(Transform_Data[[#This Row],[Time]])</f>
        <v>17</v>
      </c>
      <c r="I2744" s="10" t="str">
        <f>IF(COUNTIF('Transform Data'!$D:$D,'Transform Data'!D2744)&gt;1,"Repeat","Single")</f>
        <v>Repeat</v>
      </c>
      <c r="J2744" s="10" t="str">
        <f>IF('Transform Data'!D2744="Cash","Cash",IF(COUNTIF('Transform Data'!$D:$D,'Transform Data'!D2744)&gt;1,"Repeat","Single"))</f>
        <v>Repeat</v>
      </c>
      <c r="K2744" s="10" t="str">
        <f t="shared" si="42"/>
        <v>TRANS-2743</v>
      </c>
    </row>
    <row r="2745" spans="1:11" x14ac:dyDescent="0.35">
      <c r="A2745" s="5">
        <v>45667</v>
      </c>
      <c r="B2745" s="3">
        <v>0.74975694444444441</v>
      </c>
      <c r="C2745" t="s">
        <v>8</v>
      </c>
      <c r="D2745" t="s">
        <v>278</v>
      </c>
      <c r="E2745" s="4">
        <v>30.86</v>
      </c>
      <c r="F2745" t="s">
        <v>36</v>
      </c>
      <c r="G2745" s="10" t="str">
        <f>TEXT(Transform_Data[[#This Row],[Date]],"mmm yyyy")</f>
        <v>Jan 2025</v>
      </c>
      <c r="H2745" s="10">
        <f>HOUR(Transform_Data[[#This Row],[Time]])</f>
        <v>17</v>
      </c>
      <c r="I2745" s="10" t="str">
        <f>IF(COUNTIF('Transform Data'!$D:$D,'Transform Data'!D2745)&gt;1,"Repeat","Single")</f>
        <v>Repeat</v>
      </c>
      <c r="J2745" s="10" t="str">
        <f>IF('Transform Data'!D2745="Cash","Cash",IF(COUNTIF('Transform Data'!$D:$D,'Transform Data'!D2745)&gt;1,"Repeat","Single"))</f>
        <v>Repeat</v>
      </c>
      <c r="K2745" s="10" t="str">
        <f t="shared" si="42"/>
        <v>TRANS-2744</v>
      </c>
    </row>
    <row r="2746" spans="1:11" x14ac:dyDescent="0.35">
      <c r="A2746" s="5">
        <v>45668</v>
      </c>
      <c r="B2746" s="3">
        <v>0.32256944444444446</v>
      </c>
      <c r="C2746" t="s">
        <v>8</v>
      </c>
      <c r="D2746" t="s">
        <v>894</v>
      </c>
      <c r="E2746" s="4">
        <v>30.86</v>
      </c>
      <c r="F2746" t="s">
        <v>36</v>
      </c>
      <c r="G2746" s="10" t="str">
        <f>TEXT(Transform_Data[[#This Row],[Date]],"mmm yyyy")</f>
        <v>Jan 2025</v>
      </c>
      <c r="H2746" s="10">
        <f>HOUR(Transform_Data[[#This Row],[Time]])</f>
        <v>7</v>
      </c>
      <c r="I2746" s="10" t="str">
        <f>IF(COUNTIF('Transform Data'!$D:$D,'Transform Data'!D2746)&gt;1,"Repeat","Single")</f>
        <v>Repeat</v>
      </c>
      <c r="J2746" s="10" t="str">
        <f>IF('Transform Data'!D2746="Cash","Cash",IF(COUNTIF('Transform Data'!$D:$D,'Transform Data'!D2746)&gt;1,"Repeat","Single"))</f>
        <v>Repeat</v>
      </c>
      <c r="K2746" s="10" t="str">
        <f t="shared" si="42"/>
        <v>TRANS-2745</v>
      </c>
    </row>
    <row r="2747" spans="1:11" x14ac:dyDescent="0.35">
      <c r="A2747" s="5">
        <v>45668</v>
      </c>
      <c r="B2747" s="3">
        <v>0.45116898148148149</v>
      </c>
      <c r="C2747" t="s">
        <v>8</v>
      </c>
      <c r="D2747" t="s">
        <v>1139</v>
      </c>
      <c r="E2747" s="4">
        <v>35.76</v>
      </c>
      <c r="F2747" t="s">
        <v>15</v>
      </c>
      <c r="G2747" s="10" t="str">
        <f>TEXT(Transform_Data[[#This Row],[Date]],"mmm yyyy")</f>
        <v>Jan 2025</v>
      </c>
      <c r="H2747" s="10">
        <f>HOUR(Transform_Data[[#This Row],[Time]])</f>
        <v>10</v>
      </c>
      <c r="I2747" s="10" t="str">
        <f>IF(COUNTIF('Transform Data'!$D:$D,'Transform Data'!D2747)&gt;1,"Repeat","Single")</f>
        <v>Single</v>
      </c>
      <c r="J2747" s="10" t="str">
        <f>IF('Transform Data'!D2747="Cash","Cash",IF(COUNTIF('Transform Data'!$D:$D,'Transform Data'!D2747)&gt;1,"Repeat","Single"))</f>
        <v>Single</v>
      </c>
      <c r="K2747" s="10" t="str">
        <f t="shared" si="42"/>
        <v>TRANS-2746</v>
      </c>
    </row>
    <row r="2748" spans="1:11" x14ac:dyDescent="0.35">
      <c r="A2748" s="5">
        <v>45668</v>
      </c>
      <c r="B2748" s="3">
        <v>0.46797453703703706</v>
      </c>
      <c r="C2748" t="s">
        <v>8</v>
      </c>
      <c r="D2748" t="s">
        <v>1140</v>
      </c>
      <c r="E2748" s="4">
        <v>25.96</v>
      </c>
      <c r="F2748" t="s">
        <v>28</v>
      </c>
      <c r="G2748" s="10" t="str">
        <f>TEXT(Transform_Data[[#This Row],[Date]],"mmm yyyy")</f>
        <v>Jan 2025</v>
      </c>
      <c r="H2748" s="10">
        <f>HOUR(Transform_Data[[#This Row],[Time]])</f>
        <v>11</v>
      </c>
      <c r="I2748" s="10" t="str">
        <f>IF(COUNTIF('Transform Data'!$D:$D,'Transform Data'!D2748)&gt;1,"Repeat","Single")</f>
        <v>Single</v>
      </c>
      <c r="J2748" s="10" t="str">
        <f>IF('Transform Data'!D2748="Cash","Cash",IF(COUNTIF('Transform Data'!$D:$D,'Transform Data'!D2748)&gt;1,"Repeat","Single"))</f>
        <v>Single</v>
      </c>
      <c r="K2748" s="10" t="str">
        <f t="shared" si="42"/>
        <v>TRANS-2747</v>
      </c>
    </row>
    <row r="2749" spans="1:11" x14ac:dyDescent="0.35">
      <c r="A2749" s="5">
        <v>45668</v>
      </c>
      <c r="B2749" s="3">
        <v>0.47241898148148148</v>
      </c>
      <c r="C2749" t="s">
        <v>8</v>
      </c>
      <c r="D2749" t="s">
        <v>1141</v>
      </c>
      <c r="E2749" s="4">
        <v>35.76</v>
      </c>
      <c r="F2749" t="s">
        <v>32</v>
      </c>
      <c r="G2749" s="10" t="str">
        <f>TEXT(Transform_Data[[#This Row],[Date]],"mmm yyyy")</f>
        <v>Jan 2025</v>
      </c>
      <c r="H2749" s="10">
        <f>HOUR(Transform_Data[[#This Row],[Time]])</f>
        <v>11</v>
      </c>
      <c r="I2749" s="10" t="str">
        <f>IF(COUNTIF('Transform Data'!$D:$D,'Transform Data'!D2749)&gt;1,"Repeat","Single")</f>
        <v>Repeat</v>
      </c>
      <c r="J2749" s="10" t="str">
        <f>IF('Transform Data'!D2749="Cash","Cash",IF(COUNTIF('Transform Data'!$D:$D,'Transform Data'!D2749)&gt;1,"Repeat","Single"))</f>
        <v>Repeat</v>
      </c>
      <c r="K2749" s="10" t="str">
        <f t="shared" si="42"/>
        <v>TRANS-2748</v>
      </c>
    </row>
    <row r="2750" spans="1:11" x14ac:dyDescent="0.35">
      <c r="A2750" s="5">
        <v>45668</v>
      </c>
      <c r="B2750" s="3">
        <v>0.47320601851851851</v>
      </c>
      <c r="C2750" t="s">
        <v>8</v>
      </c>
      <c r="D2750" t="s">
        <v>1141</v>
      </c>
      <c r="E2750" s="4">
        <v>35.76</v>
      </c>
      <c r="F2750" t="s">
        <v>32</v>
      </c>
      <c r="G2750" s="10" t="str">
        <f>TEXT(Transform_Data[[#This Row],[Date]],"mmm yyyy")</f>
        <v>Jan 2025</v>
      </c>
      <c r="H2750" s="10">
        <f>HOUR(Transform_Data[[#This Row],[Time]])</f>
        <v>11</v>
      </c>
      <c r="I2750" s="10" t="str">
        <f>IF(COUNTIF('Transform Data'!$D:$D,'Transform Data'!D2750)&gt;1,"Repeat","Single")</f>
        <v>Repeat</v>
      </c>
      <c r="J2750" s="10" t="str">
        <f>IF('Transform Data'!D2750="Cash","Cash",IF(COUNTIF('Transform Data'!$D:$D,'Transform Data'!D2750)&gt;1,"Repeat","Single"))</f>
        <v>Repeat</v>
      </c>
      <c r="K2750" s="10" t="str">
        <f t="shared" si="42"/>
        <v>TRANS-2749</v>
      </c>
    </row>
    <row r="2751" spans="1:11" x14ac:dyDescent="0.35">
      <c r="A2751" s="5">
        <v>45668</v>
      </c>
      <c r="B2751" s="3">
        <v>0.50761574074074078</v>
      </c>
      <c r="C2751" t="s">
        <v>8</v>
      </c>
      <c r="D2751" t="s">
        <v>1141</v>
      </c>
      <c r="E2751" s="4">
        <v>35.76</v>
      </c>
      <c r="F2751" t="s">
        <v>32</v>
      </c>
      <c r="G2751" s="10" t="str">
        <f>TEXT(Transform_Data[[#This Row],[Date]],"mmm yyyy")</f>
        <v>Jan 2025</v>
      </c>
      <c r="H2751" s="10">
        <f>HOUR(Transform_Data[[#This Row],[Time]])</f>
        <v>12</v>
      </c>
      <c r="I2751" s="10" t="str">
        <f>IF(COUNTIF('Transform Data'!$D:$D,'Transform Data'!D2751)&gt;1,"Repeat","Single")</f>
        <v>Repeat</v>
      </c>
      <c r="J2751" s="10" t="str">
        <f>IF('Transform Data'!D2751="Cash","Cash",IF(COUNTIF('Transform Data'!$D:$D,'Transform Data'!D2751)&gt;1,"Repeat","Single"))</f>
        <v>Repeat</v>
      </c>
      <c r="K2751" s="10" t="str">
        <f t="shared" si="42"/>
        <v>TRANS-2750</v>
      </c>
    </row>
    <row r="2752" spans="1:11" x14ac:dyDescent="0.35">
      <c r="A2752" s="5">
        <v>45668</v>
      </c>
      <c r="B2752" s="3">
        <v>0.50930555555555557</v>
      </c>
      <c r="C2752" t="s">
        <v>8</v>
      </c>
      <c r="D2752" t="s">
        <v>1141</v>
      </c>
      <c r="E2752" s="4">
        <v>35.76</v>
      </c>
      <c r="F2752" t="s">
        <v>32</v>
      </c>
      <c r="G2752" s="10" t="str">
        <f>TEXT(Transform_Data[[#This Row],[Date]],"mmm yyyy")</f>
        <v>Jan 2025</v>
      </c>
      <c r="H2752" s="10">
        <f>HOUR(Transform_Data[[#This Row],[Time]])</f>
        <v>12</v>
      </c>
      <c r="I2752" s="10" t="str">
        <f>IF(COUNTIF('Transform Data'!$D:$D,'Transform Data'!D2752)&gt;1,"Repeat","Single")</f>
        <v>Repeat</v>
      </c>
      <c r="J2752" s="10" t="str">
        <f>IF('Transform Data'!D2752="Cash","Cash",IF(COUNTIF('Transform Data'!$D:$D,'Transform Data'!D2752)&gt;1,"Repeat","Single"))</f>
        <v>Repeat</v>
      </c>
      <c r="K2752" s="10" t="str">
        <f t="shared" si="42"/>
        <v>TRANS-2751</v>
      </c>
    </row>
    <row r="2753" spans="1:11" x14ac:dyDescent="0.35">
      <c r="A2753" s="5">
        <v>45668</v>
      </c>
      <c r="B2753" s="3">
        <v>0.59229166666666666</v>
      </c>
      <c r="C2753" t="s">
        <v>8</v>
      </c>
      <c r="D2753" t="s">
        <v>1142</v>
      </c>
      <c r="E2753" s="4">
        <v>30.86</v>
      </c>
      <c r="F2753" t="s">
        <v>36</v>
      </c>
      <c r="G2753" s="10" t="str">
        <f>TEXT(Transform_Data[[#This Row],[Date]],"mmm yyyy")</f>
        <v>Jan 2025</v>
      </c>
      <c r="H2753" s="10">
        <f>HOUR(Transform_Data[[#This Row],[Time]])</f>
        <v>14</v>
      </c>
      <c r="I2753" s="10" t="str">
        <f>IF(COUNTIF('Transform Data'!$D:$D,'Transform Data'!D2753)&gt;1,"Repeat","Single")</f>
        <v>Single</v>
      </c>
      <c r="J2753" s="10" t="str">
        <f>IF('Transform Data'!D2753="Cash","Cash",IF(COUNTIF('Transform Data'!$D:$D,'Transform Data'!D2753)&gt;1,"Repeat","Single"))</f>
        <v>Single</v>
      </c>
      <c r="K2753" s="10" t="str">
        <f t="shared" si="42"/>
        <v>TRANS-2752</v>
      </c>
    </row>
    <row r="2754" spans="1:11" x14ac:dyDescent="0.35">
      <c r="A2754" s="5">
        <v>45668</v>
      </c>
      <c r="B2754" s="3">
        <v>0.59418981481481481</v>
      </c>
      <c r="C2754" t="s">
        <v>8</v>
      </c>
      <c r="D2754" t="s">
        <v>1143</v>
      </c>
      <c r="E2754" s="4">
        <v>30.86</v>
      </c>
      <c r="F2754" t="s">
        <v>36</v>
      </c>
      <c r="G2754" s="10" t="str">
        <f>TEXT(Transform_Data[[#This Row],[Date]],"mmm yyyy")</f>
        <v>Jan 2025</v>
      </c>
      <c r="H2754" s="10">
        <f>HOUR(Transform_Data[[#This Row],[Time]])</f>
        <v>14</v>
      </c>
      <c r="I2754" s="10" t="str">
        <f>IF(COUNTIF('Transform Data'!$D:$D,'Transform Data'!D2754)&gt;1,"Repeat","Single")</f>
        <v>Repeat</v>
      </c>
      <c r="J2754" s="10" t="str">
        <f>IF('Transform Data'!D2754="Cash","Cash",IF(COUNTIF('Transform Data'!$D:$D,'Transform Data'!D2754)&gt;1,"Repeat","Single"))</f>
        <v>Repeat</v>
      </c>
      <c r="K2754" s="10" t="str">
        <f t="shared" ref="K2754:K2817" si="43">"TRANS-"&amp;TEXT(ROW(A2753),"0000")</f>
        <v>TRANS-2753</v>
      </c>
    </row>
    <row r="2755" spans="1:11" x14ac:dyDescent="0.35">
      <c r="A2755" s="5">
        <v>45668</v>
      </c>
      <c r="B2755" s="3">
        <v>0.59494212962962967</v>
      </c>
      <c r="C2755" t="s">
        <v>8</v>
      </c>
      <c r="D2755" t="s">
        <v>1143</v>
      </c>
      <c r="E2755" s="4">
        <v>35.76</v>
      </c>
      <c r="F2755" t="s">
        <v>24</v>
      </c>
      <c r="G2755" s="10" t="str">
        <f>TEXT(Transform_Data[[#This Row],[Date]],"mmm yyyy")</f>
        <v>Jan 2025</v>
      </c>
      <c r="H2755" s="10">
        <f>HOUR(Transform_Data[[#This Row],[Time]])</f>
        <v>14</v>
      </c>
      <c r="I2755" s="10" t="str">
        <f>IF(COUNTIF('Transform Data'!$D:$D,'Transform Data'!D2755)&gt;1,"Repeat","Single")</f>
        <v>Repeat</v>
      </c>
      <c r="J2755" s="10" t="str">
        <f>IF('Transform Data'!D2755="Cash","Cash",IF(COUNTIF('Transform Data'!$D:$D,'Transform Data'!D2755)&gt;1,"Repeat","Single"))</f>
        <v>Repeat</v>
      </c>
      <c r="K2755" s="10" t="str">
        <f t="shared" si="43"/>
        <v>TRANS-2754</v>
      </c>
    </row>
    <row r="2756" spans="1:11" x14ac:dyDescent="0.35">
      <c r="A2756" s="5">
        <v>45668</v>
      </c>
      <c r="B2756" s="3">
        <v>0.61599537037037033</v>
      </c>
      <c r="C2756" t="s">
        <v>8</v>
      </c>
      <c r="D2756" t="s">
        <v>1144</v>
      </c>
      <c r="E2756" s="4">
        <v>35.76</v>
      </c>
      <c r="F2756" t="s">
        <v>32</v>
      </c>
      <c r="G2756" s="10" t="str">
        <f>TEXT(Transform_Data[[#This Row],[Date]],"mmm yyyy")</f>
        <v>Jan 2025</v>
      </c>
      <c r="H2756" s="10">
        <f>HOUR(Transform_Data[[#This Row],[Time]])</f>
        <v>14</v>
      </c>
      <c r="I2756" s="10" t="str">
        <f>IF(COUNTIF('Transform Data'!$D:$D,'Transform Data'!D2756)&gt;1,"Repeat","Single")</f>
        <v>Single</v>
      </c>
      <c r="J2756" s="10" t="str">
        <f>IF('Transform Data'!D2756="Cash","Cash",IF(COUNTIF('Transform Data'!$D:$D,'Transform Data'!D2756)&gt;1,"Repeat","Single"))</f>
        <v>Single</v>
      </c>
      <c r="K2756" s="10" t="str">
        <f t="shared" si="43"/>
        <v>TRANS-2755</v>
      </c>
    </row>
    <row r="2757" spans="1:11" x14ac:dyDescent="0.35">
      <c r="A2757" s="5">
        <v>45668</v>
      </c>
      <c r="B2757" s="3">
        <v>0.72190972222222227</v>
      </c>
      <c r="C2757" t="s">
        <v>8</v>
      </c>
      <c r="D2757" t="s">
        <v>1145</v>
      </c>
      <c r="E2757" s="4">
        <v>25.96</v>
      </c>
      <c r="F2757" t="s">
        <v>20</v>
      </c>
      <c r="G2757" s="10" t="str">
        <f>TEXT(Transform_Data[[#This Row],[Date]],"mmm yyyy")</f>
        <v>Jan 2025</v>
      </c>
      <c r="H2757" s="10">
        <f>HOUR(Transform_Data[[#This Row],[Time]])</f>
        <v>17</v>
      </c>
      <c r="I2757" s="10" t="str">
        <f>IF(COUNTIF('Transform Data'!$D:$D,'Transform Data'!D2757)&gt;1,"Repeat","Single")</f>
        <v>Repeat</v>
      </c>
      <c r="J2757" s="10" t="str">
        <f>IF('Transform Data'!D2757="Cash","Cash",IF(COUNTIF('Transform Data'!$D:$D,'Transform Data'!D2757)&gt;1,"Repeat","Single"))</f>
        <v>Repeat</v>
      </c>
      <c r="K2757" s="10" t="str">
        <f t="shared" si="43"/>
        <v>TRANS-2756</v>
      </c>
    </row>
    <row r="2758" spans="1:11" x14ac:dyDescent="0.35">
      <c r="A2758" s="5">
        <v>45668</v>
      </c>
      <c r="B2758" s="3">
        <v>0.72287037037037039</v>
      </c>
      <c r="C2758" t="s">
        <v>8</v>
      </c>
      <c r="D2758" t="s">
        <v>1146</v>
      </c>
      <c r="E2758" s="4">
        <v>35.76</v>
      </c>
      <c r="F2758" t="s">
        <v>32</v>
      </c>
      <c r="G2758" s="10" t="str">
        <f>TEXT(Transform_Data[[#This Row],[Date]],"mmm yyyy")</f>
        <v>Jan 2025</v>
      </c>
      <c r="H2758" s="10">
        <f>HOUR(Transform_Data[[#This Row],[Time]])</f>
        <v>17</v>
      </c>
      <c r="I2758" s="10" t="str">
        <f>IF(COUNTIF('Transform Data'!$D:$D,'Transform Data'!D2758)&gt;1,"Repeat","Single")</f>
        <v>Single</v>
      </c>
      <c r="J2758" s="10" t="str">
        <f>IF('Transform Data'!D2758="Cash","Cash",IF(COUNTIF('Transform Data'!$D:$D,'Transform Data'!D2758)&gt;1,"Repeat","Single"))</f>
        <v>Single</v>
      </c>
      <c r="K2758" s="10" t="str">
        <f t="shared" si="43"/>
        <v>TRANS-2757</v>
      </c>
    </row>
    <row r="2759" spans="1:11" x14ac:dyDescent="0.35">
      <c r="A2759" s="5">
        <v>45668</v>
      </c>
      <c r="B2759" s="3">
        <v>0.72366898148148151</v>
      </c>
      <c r="C2759" t="s">
        <v>8</v>
      </c>
      <c r="D2759" t="s">
        <v>1145</v>
      </c>
      <c r="E2759" s="4">
        <v>25.96</v>
      </c>
      <c r="F2759" t="s">
        <v>20</v>
      </c>
      <c r="G2759" s="10" t="str">
        <f>TEXT(Transform_Data[[#This Row],[Date]],"mmm yyyy")</f>
        <v>Jan 2025</v>
      </c>
      <c r="H2759" s="10">
        <f>HOUR(Transform_Data[[#This Row],[Time]])</f>
        <v>17</v>
      </c>
      <c r="I2759" s="10" t="str">
        <f>IF(COUNTIF('Transform Data'!$D:$D,'Transform Data'!D2759)&gt;1,"Repeat","Single")</f>
        <v>Repeat</v>
      </c>
      <c r="J2759" s="10" t="str">
        <f>IF('Transform Data'!D2759="Cash","Cash",IF(COUNTIF('Transform Data'!$D:$D,'Transform Data'!D2759)&gt;1,"Repeat","Single"))</f>
        <v>Repeat</v>
      </c>
      <c r="K2759" s="10" t="str">
        <f t="shared" si="43"/>
        <v>TRANS-2758</v>
      </c>
    </row>
    <row r="2760" spans="1:11" x14ac:dyDescent="0.35">
      <c r="A2760" s="5">
        <v>45668</v>
      </c>
      <c r="B2760" s="3">
        <v>0.75101851851851853</v>
      </c>
      <c r="C2760" t="s">
        <v>8</v>
      </c>
      <c r="D2760" t="s">
        <v>1147</v>
      </c>
      <c r="E2760" s="4">
        <v>30.86</v>
      </c>
      <c r="F2760" t="s">
        <v>36</v>
      </c>
      <c r="G2760" s="10" t="str">
        <f>TEXT(Transform_Data[[#This Row],[Date]],"mmm yyyy")</f>
        <v>Jan 2025</v>
      </c>
      <c r="H2760" s="10">
        <f>HOUR(Transform_Data[[#This Row],[Time]])</f>
        <v>18</v>
      </c>
      <c r="I2760" s="10" t="str">
        <f>IF(COUNTIF('Transform Data'!$D:$D,'Transform Data'!D2760)&gt;1,"Repeat","Single")</f>
        <v>Single</v>
      </c>
      <c r="J2760" s="10" t="str">
        <f>IF('Transform Data'!D2760="Cash","Cash",IF(COUNTIF('Transform Data'!$D:$D,'Transform Data'!D2760)&gt;1,"Repeat","Single"))</f>
        <v>Single</v>
      </c>
      <c r="K2760" s="10" t="str">
        <f t="shared" si="43"/>
        <v>TRANS-2759</v>
      </c>
    </row>
    <row r="2761" spans="1:11" x14ac:dyDescent="0.35">
      <c r="A2761" s="5">
        <v>45669</v>
      </c>
      <c r="B2761" s="3">
        <v>0.48995370370370372</v>
      </c>
      <c r="C2761" t="s">
        <v>8</v>
      </c>
      <c r="D2761" t="s">
        <v>894</v>
      </c>
      <c r="E2761" s="4">
        <v>30.86</v>
      </c>
      <c r="F2761" t="s">
        <v>36</v>
      </c>
      <c r="G2761" s="10" t="str">
        <f>TEXT(Transform_Data[[#This Row],[Date]],"mmm yyyy")</f>
        <v>Jan 2025</v>
      </c>
      <c r="H2761" s="10">
        <f>HOUR(Transform_Data[[#This Row],[Time]])</f>
        <v>11</v>
      </c>
      <c r="I2761" s="10" t="str">
        <f>IF(COUNTIF('Transform Data'!$D:$D,'Transform Data'!D2761)&gt;1,"Repeat","Single")</f>
        <v>Repeat</v>
      </c>
      <c r="J2761" s="10" t="str">
        <f>IF('Transform Data'!D2761="Cash","Cash",IF(COUNTIF('Transform Data'!$D:$D,'Transform Data'!D2761)&gt;1,"Repeat","Single"))</f>
        <v>Repeat</v>
      </c>
      <c r="K2761" s="10" t="str">
        <f t="shared" si="43"/>
        <v>TRANS-2760</v>
      </c>
    </row>
    <row r="2762" spans="1:11" x14ac:dyDescent="0.35">
      <c r="A2762" s="5">
        <v>45669</v>
      </c>
      <c r="B2762" s="3">
        <v>0.49187500000000001</v>
      </c>
      <c r="C2762" t="s">
        <v>8</v>
      </c>
      <c r="D2762" t="s">
        <v>894</v>
      </c>
      <c r="E2762" s="4">
        <v>25.96</v>
      </c>
      <c r="F2762" t="s">
        <v>28</v>
      </c>
      <c r="G2762" s="10" t="str">
        <f>TEXT(Transform_Data[[#This Row],[Date]],"mmm yyyy")</f>
        <v>Jan 2025</v>
      </c>
      <c r="H2762" s="10">
        <f>HOUR(Transform_Data[[#This Row],[Time]])</f>
        <v>11</v>
      </c>
      <c r="I2762" s="10" t="str">
        <f>IF(COUNTIF('Transform Data'!$D:$D,'Transform Data'!D2762)&gt;1,"Repeat","Single")</f>
        <v>Repeat</v>
      </c>
      <c r="J2762" s="10" t="str">
        <f>IF('Transform Data'!D2762="Cash","Cash",IF(COUNTIF('Transform Data'!$D:$D,'Transform Data'!D2762)&gt;1,"Repeat","Single"))</f>
        <v>Repeat</v>
      </c>
      <c r="K2762" s="10" t="str">
        <f t="shared" si="43"/>
        <v>TRANS-2761</v>
      </c>
    </row>
    <row r="2763" spans="1:11" x14ac:dyDescent="0.35">
      <c r="A2763" s="5">
        <v>45669</v>
      </c>
      <c r="B2763" s="3">
        <v>0.4929398148148148</v>
      </c>
      <c r="C2763" t="s">
        <v>8</v>
      </c>
      <c r="D2763" t="s">
        <v>43</v>
      </c>
      <c r="E2763" s="4">
        <v>30.86</v>
      </c>
      <c r="F2763" t="s">
        <v>36</v>
      </c>
      <c r="G2763" s="10" t="str">
        <f>TEXT(Transform_Data[[#This Row],[Date]],"mmm yyyy")</f>
        <v>Jan 2025</v>
      </c>
      <c r="H2763" s="10">
        <f>HOUR(Transform_Data[[#This Row],[Time]])</f>
        <v>11</v>
      </c>
      <c r="I2763" s="10" t="str">
        <f>IF(COUNTIF('Transform Data'!$D:$D,'Transform Data'!D2763)&gt;1,"Repeat","Single")</f>
        <v>Repeat</v>
      </c>
      <c r="J2763" s="10" t="str">
        <f>IF('Transform Data'!D2763="Cash","Cash",IF(COUNTIF('Transform Data'!$D:$D,'Transform Data'!D2763)&gt;1,"Repeat","Single"))</f>
        <v>Repeat</v>
      </c>
      <c r="K2763" s="10" t="str">
        <f t="shared" si="43"/>
        <v>TRANS-2762</v>
      </c>
    </row>
    <row r="2764" spans="1:11" x14ac:dyDescent="0.35">
      <c r="A2764" s="5">
        <v>45669</v>
      </c>
      <c r="B2764" s="3">
        <v>0.67775462962962962</v>
      </c>
      <c r="C2764" t="s">
        <v>8</v>
      </c>
      <c r="D2764" t="s">
        <v>1148</v>
      </c>
      <c r="E2764" s="4">
        <v>35.76</v>
      </c>
      <c r="F2764" t="s">
        <v>15</v>
      </c>
      <c r="G2764" s="10" t="str">
        <f>TEXT(Transform_Data[[#This Row],[Date]],"mmm yyyy")</f>
        <v>Jan 2025</v>
      </c>
      <c r="H2764" s="10">
        <f>HOUR(Transform_Data[[#This Row],[Time]])</f>
        <v>16</v>
      </c>
      <c r="I2764" s="10" t="str">
        <f>IF(COUNTIF('Transform Data'!$D:$D,'Transform Data'!D2764)&gt;1,"Repeat","Single")</f>
        <v>Single</v>
      </c>
      <c r="J2764" s="10" t="str">
        <f>IF('Transform Data'!D2764="Cash","Cash",IF(COUNTIF('Transform Data'!$D:$D,'Transform Data'!D2764)&gt;1,"Repeat","Single"))</f>
        <v>Single</v>
      </c>
      <c r="K2764" s="10" t="str">
        <f t="shared" si="43"/>
        <v>TRANS-2763</v>
      </c>
    </row>
    <row r="2765" spans="1:11" x14ac:dyDescent="0.35">
      <c r="A2765" s="5">
        <v>45669</v>
      </c>
      <c r="B2765" s="3">
        <v>0.8722685185185185</v>
      </c>
      <c r="C2765" t="s">
        <v>8</v>
      </c>
      <c r="D2765" t="s">
        <v>1149</v>
      </c>
      <c r="E2765" s="4">
        <v>30.86</v>
      </c>
      <c r="F2765" t="s">
        <v>36</v>
      </c>
      <c r="G2765" s="10" t="str">
        <f>TEXT(Transform_Data[[#This Row],[Date]],"mmm yyyy")</f>
        <v>Jan 2025</v>
      </c>
      <c r="H2765" s="10">
        <f>HOUR(Transform_Data[[#This Row],[Time]])</f>
        <v>20</v>
      </c>
      <c r="I2765" s="10" t="str">
        <f>IF(COUNTIF('Transform Data'!$D:$D,'Transform Data'!D2765)&gt;1,"Repeat","Single")</f>
        <v>Repeat</v>
      </c>
      <c r="J2765" s="10" t="str">
        <f>IF('Transform Data'!D2765="Cash","Cash",IF(COUNTIF('Transform Data'!$D:$D,'Transform Data'!D2765)&gt;1,"Repeat","Single"))</f>
        <v>Repeat</v>
      </c>
      <c r="K2765" s="10" t="str">
        <f t="shared" si="43"/>
        <v>TRANS-2764</v>
      </c>
    </row>
    <row r="2766" spans="1:11" x14ac:dyDescent="0.35">
      <c r="A2766" s="5">
        <v>45670</v>
      </c>
      <c r="B2766" s="3">
        <v>0.33912037037037035</v>
      </c>
      <c r="C2766" t="s">
        <v>8</v>
      </c>
      <c r="D2766" t="s">
        <v>585</v>
      </c>
      <c r="E2766" s="4">
        <v>30.86</v>
      </c>
      <c r="F2766" t="s">
        <v>36</v>
      </c>
      <c r="G2766" s="10" t="str">
        <f>TEXT(Transform_Data[[#This Row],[Date]],"mmm yyyy")</f>
        <v>Jan 2025</v>
      </c>
      <c r="H2766" s="10">
        <f>HOUR(Transform_Data[[#This Row],[Time]])</f>
        <v>8</v>
      </c>
      <c r="I2766" s="10" t="str">
        <f>IF(COUNTIF('Transform Data'!$D:$D,'Transform Data'!D2766)&gt;1,"Repeat","Single")</f>
        <v>Repeat</v>
      </c>
      <c r="J2766" s="10" t="str">
        <f>IF('Transform Data'!D2766="Cash","Cash",IF(COUNTIF('Transform Data'!$D:$D,'Transform Data'!D2766)&gt;1,"Repeat","Single"))</f>
        <v>Repeat</v>
      </c>
      <c r="K2766" s="10" t="str">
        <f t="shared" si="43"/>
        <v>TRANS-2765</v>
      </c>
    </row>
    <row r="2767" spans="1:11" x14ac:dyDescent="0.35">
      <c r="A2767" s="5">
        <v>45670</v>
      </c>
      <c r="B2767" s="3">
        <v>0.38702546296296297</v>
      </c>
      <c r="C2767" t="s">
        <v>8</v>
      </c>
      <c r="D2767" t="s">
        <v>29</v>
      </c>
      <c r="E2767" s="4">
        <v>30.86</v>
      </c>
      <c r="F2767" t="s">
        <v>36</v>
      </c>
      <c r="G2767" s="10" t="str">
        <f>TEXT(Transform_Data[[#This Row],[Date]],"mmm yyyy")</f>
        <v>Jan 2025</v>
      </c>
      <c r="H2767" s="10">
        <f>HOUR(Transform_Data[[#This Row],[Time]])</f>
        <v>9</v>
      </c>
      <c r="I2767" s="10" t="str">
        <f>IF(COUNTIF('Transform Data'!$D:$D,'Transform Data'!D2767)&gt;1,"Repeat","Single")</f>
        <v>Repeat</v>
      </c>
      <c r="J2767" s="10" t="str">
        <f>IF('Transform Data'!D2767="Cash","Cash",IF(COUNTIF('Transform Data'!$D:$D,'Transform Data'!D2767)&gt;1,"Repeat","Single"))</f>
        <v>Repeat</v>
      </c>
      <c r="K2767" s="10" t="str">
        <f t="shared" si="43"/>
        <v>TRANS-2766</v>
      </c>
    </row>
    <row r="2768" spans="1:11" x14ac:dyDescent="0.35">
      <c r="A2768" s="5">
        <v>45670</v>
      </c>
      <c r="B2768" s="3">
        <v>0.54370370370370369</v>
      </c>
      <c r="C2768" t="s">
        <v>8</v>
      </c>
      <c r="D2768" t="s">
        <v>1086</v>
      </c>
      <c r="E2768" s="4">
        <v>25.96</v>
      </c>
      <c r="F2768" t="s">
        <v>20</v>
      </c>
      <c r="G2768" s="10" t="str">
        <f>TEXT(Transform_Data[[#This Row],[Date]],"mmm yyyy")</f>
        <v>Jan 2025</v>
      </c>
      <c r="H2768" s="10">
        <f>HOUR(Transform_Data[[#This Row],[Time]])</f>
        <v>13</v>
      </c>
      <c r="I2768" s="10" t="str">
        <f>IF(COUNTIF('Transform Data'!$D:$D,'Transform Data'!D2768)&gt;1,"Repeat","Single")</f>
        <v>Repeat</v>
      </c>
      <c r="J2768" s="10" t="str">
        <f>IF('Transform Data'!D2768="Cash","Cash",IF(COUNTIF('Transform Data'!$D:$D,'Transform Data'!D2768)&gt;1,"Repeat","Single"))</f>
        <v>Repeat</v>
      </c>
      <c r="K2768" s="10" t="str">
        <f t="shared" si="43"/>
        <v>TRANS-2767</v>
      </c>
    </row>
    <row r="2769" spans="1:11" x14ac:dyDescent="0.35">
      <c r="A2769" s="5">
        <v>45670</v>
      </c>
      <c r="B2769" s="3">
        <v>0.57692129629629629</v>
      </c>
      <c r="C2769" t="s">
        <v>8</v>
      </c>
      <c r="D2769" t="s">
        <v>958</v>
      </c>
      <c r="E2769" s="4">
        <v>35.76</v>
      </c>
      <c r="F2769" t="s">
        <v>32</v>
      </c>
      <c r="G2769" s="10" t="str">
        <f>TEXT(Transform_Data[[#This Row],[Date]],"mmm yyyy")</f>
        <v>Jan 2025</v>
      </c>
      <c r="H2769" s="10">
        <f>HOUR(Transform_Data[[#This Row],[Time]])</f>
        <v>13</v>
      </c>
      <c r="I2769" s="10" t="str">
        <f>IF(COUNTIF('Transform Data'!$D:$D,'Transform Data'!D2769)&gt;1,"Repeat","Single")</f>
        <v>Repeat</v>
      </c>
      <c r="J2769" s="10" t="str">
        <f>IF('Transform Data'!D2769="Cash","Cash",IF(COUNTIF('Transform Data'!$D:$D,'Transform Data'!D2769)&gt;1,"Repeat","Single"))</f>
        <v>Repeat</v>
      </c>
      <c r="K2769" s="10" t="str">
        <f t="shared" si="43"/>
        <v>TRANS-2768</v>
      </c>
    </row>
    <row r="2770" spans="1:11" x14ac:dyDescent="0.35">
      <c r="A2770" s="5">
        <v>45670</v>
      </c>
      <c r="B2770" s="3">
        <v>0.59128472222222217</v>
      </c>
      <c r="C2770" t="s">
        <v>8</v>
      </c>
      <c r="D2770" t="s">
        <v>1150</v>
      </c>
      <c r="E2770" s="4">
        <v>35.76</v>
      </c>
      <c r="F2770" t="s">
        <v>32</v>
      </c>
      <c r="G2770" s="10" t="str">
        <f>TEXT(Transform_Data[[#This Row],[Date]],"mmm yyyy")</f>
        <v>Jan 2025</v>
      </c>
      <c r="H2770" s="10">
        <f>HOUR(Transform_Data[[#This Row],[Time]])</f>
        <v>14</v>
      </c>
      <c r="I2770" s="10" t="str">
        <f>IF(COUNTIF('Transform Data'!$D:$D,'Transform Data'!D2770)&gt;1,"Repeat","Single")</f>
        <v>Repeat</v>
      </c>
      <c r="J2770" s="10" t="str">
        <f>IF('Transform Data'!D2770="Cash","Cash",IF(COUNTIF('Transform Data'!$D:$D,'Transform Data'!D2770)&gt;1,"Repeat","Single"))</f>
        <v>Repeat</v>
      </c>
      <c r="K2770" s="10" t="str">
        <f t="shared" si="43"/>
        <v>TRANS-2769</v>
      </c>
    </row>
    <row r="2771" spans="1:11" x14ac:dyDescent="0.35">
      <c r="A2771" s="5">
        <v>45670</v>
      </c>
      <c r="B2771" s="3">
        <v>0.59199074074074076</v>
      </c>
      <c r="C2771" t="s">
        <v>8</v>
      </c>
      <c r="D2771" t="s">
        <v>1150</v>
      </c>
      <c r="E2771" s="4">
        <v>35.76</v>
      </c>
      <c r="F2771" t="s">
        <v>24</v>
      </c>
      <c r="G2771" s="10" t="str">
        <f>TEXT(Transform_Data[[#This Row],[Date]],"mmm yyyy")</f>
        <v>Jan 2025</v>
      </c>
      <c r="H2771" s="10">
        <f>HOUR(Transform_Data[[#This Row],[Time]])</f>
        <v>14</v>
      </c>
      <c r="I2771" s="10" t="str">
        <f>IF(COUNTIF('Transform Data'!$D:$D,'Transform Data'!D2771)&gt;1,"Repeat","Single")</f>
        <v>Repeat</v>
      </c>
      <c r="J2771" s="10" t="str">
        <f>IF('Transform Data'!D2771="Cash","Cash",IF(COUNTIF('Transform Data'!$D:$D,'Transform Data'!D2771)&gt;1,"Repeat","Single"))</f>
        <v>Repeat</v>
      </c>
      <c r="K2771" s="10" t="str">
        <f t="shared" si="43"/>
        <v>TRANS-2770</v>
      </c>
    </row>
    <row r="2772" spans="1:11" x14ac:dyDescent="0.35">
      <c r="A2772" s="5">
        <v>45670</v>
      </c>
      <c r="B2772" s="3">
        <v>0.68444444444444441</v>
      </c>
      <c r="C2772" t="s">
        <v>8</v>
      </c>
      <c r="D2772" t="s">
        <v>1151</v>
      </c>
      <c r="E2772" s="4">
        <v>35.76</v>
      </c>
      <c r="F2772" t="s">
        <v>32</v>
      </c>
      <c r="G2772" s="10" t="str">
        <f>TEXT(Transform_Data[[#This Row],[Date]],"mmm yyyy")</f>
        <v>Jan 2025</v>
      </c>
      <c r="H2772" s="10">
        <f>HOUR(Transform_Data[[#This Row],[Time]])</f>
        <v>16</v>
      </c>
      <c r="I2772" s="10" t="str">
        <f>IF(COUNTIF('Transform Data'!$D:$D,'Transform Data'!D2772)&gt;1,"Repeat","Single")</f>
        <v>Single</v>
      </c>
      <c r="J2772" s="10" t="str">
        <f>IF('Transform Data'!D2772="Cash","Cash",IF(COUNTIF('Transform Data'!$D:$D,'Transform Data'!D2772)&gt;1,"Repeat","Single"))</f>
        <v>Single</v>
      </c>
      <c r="K2772" s="10" t="str">
        <f t="shared" si="43"/>
        <v>TRANS-2771</v>
      </c>
    </row>
    <row r="2773" spans="1:11" x14ac:dyDescent="0.35">
      <c r="A2773" s="5">
        <v>45670</v>
      </c>
      <c r="B2773" s="3">
        <v>0.86895833333333339</v>
      </c>
      <c r="C2773" t="s">
        <v>8</v>
      </c>
      <c r="D2773" t="s">
        <v>106</v>
      </c>
      <c r="E2773" s="4">
        <v>21.06</v>
      </c>
      <c r="F2773" t="s">
        <v>5</v>
      </c>
      <c r="G2773" s="10" t="str">
        <f>TEXT(Transform_Data[[#This Row],[Date]],"mmm yyyy")</f>
        <v>Jan 2025</v>
      </c>
      <c r="H2773" s="10">
        <f>HOUR(Transform_Data[[#This Row],[Time]])</f>
        <v>20</v>
      </c>
      <c r="I2773" s="10" t="str">
        <f>IF(COUNTIF('Transform Data'!$D:$D,'Transform Data'!D2773)&gt;1,"Repeat","Single")</f>
        <v>Repeat</v>
      </c>
      <c r="J2773" s="10" t="str">
        <f>IF('Transform Data'!D2773="Cash","Cash",IF(COUNTIF('Transform Data'!$D:$D,'Transform Data'!D2773)&gt;1,"Repeat","Single"))</f>
        <v>Repeat</v>
      </c>
      <c r="K2773" s="10" t="str">
        <f t="shared" si="43"/>
        <v>TRANS-2772</v>
      </c>
    </row>
    <row r="2774" spans="1:11" x14ac:dyDescent="0.35">
      <c r="A2774" s="5">
        <v>45671</v>
      </c>
      <c r="B2774" s="3">
        <v>0.31784722222222223</v>
      </c>
      <c r="C2774" t="s">
        <v>8</v>
      </c>
      <c r="D2774" t="s">
        <v>734</v>
      </c>
      <c r="E2774" s="4">
        <v>35.76</v>
      </c>
      <c r="F2774" t="s">
        <v>32</v>
      </c>
      <c r="G2774" s="10" t="str">
        <f>TEXT(Transform_Data[[#This Row],[Date]],"mmm yyyy")</f>
        <v>Jan 2025</v>
      </c>
      <c r="H2774" s="10">
        <f>HOUR(Transform_Data[[#This Row],[Time]])</f>
        <v>7</v>
      </c>
      <c r="I2774" s="10" t="str">
        <f>IF(COUNTIF('Transform Data'!$D:$D,'Transform Data'!D2774)&gt;1,"Repeat","Single")</f>
        <v>Repeat</v>
      </c>
      <c r="J2774" s="10" t="str">
        <f>IF('Transform Data'!D2774="Cash","Cash",IF(COUNTIF('Transform Data'!$D:$D,'Transform Data'!D2774)&gt;1,"Repeat","Single"))</f>
        <v>Repeat</v>
      </c>
      <c r="K2774" s="10" t="str">
        <f t="shared" si="43"/>
        <v>TRANS-2773</v>
      </c>
    </row>
    <row r="2775" spans="1:11" x14ac:dyDescent="0.35">
      <c r="A2775" s="5">
        <v>45671</v>
      </c>
      <c r="B2775" s="3">
        <v>0.41229166666666667</v>
      </c>
      <c r="C2775" t="s">
        <v>8</v>
      </c>
      <c r="D2775" t="s">
        <v>1081</v>
      </c>
      <c r="E2775" s="4">
        <v>25.96</v>
      </c>
      <c r="F2775" t="s">
        <v>20</v>
      </c>
      <c r="G2775" s="10" t="str">
        <f>TEXT(Transform_Data[[#This Row],[Date]],"mmm yyyy")</f>
        <v>Jan 2025</v>
      </c>
      <c r="H2775" s="10">
        <f>HOUR(Transform_Data[[#This Row],[Time]])</f>
        <v>9</v>
      </c>
      <c r="I2775" s="10" t="str">
        <f>IF(COUNTIF('Transform Data'!$D:$D,'Transform Data'!D2775)&gt;1,"Repeat","Single")</f>
        <v>Repeat</v>
      </c>
      <c r="J2775" s="10" t="str">
        <f>IF('Transform Data'!D2775="Cash","Cash",IF(COUNTIF('Transform Data'!$D:$D,'Transform Data'!D2775)&gt;1,"Repeat","Single"))</f>
        <v>Repeat</v>
      </c>
      <c r="K2775" s="10" t="str">
        <f t="shared" si="43"/>
        <v>TRANS-2774</v>
      </c>
    </row>
    <row r="2776" spans="1:11" x14ac:dyDescent="0.35">
      <c r="A2776" s="5">
        <v>45671</v>
      </c>
      <c r="B2776" s="3">
        <v>0.43177083333333333</v>
      </c>
      <c r="C2776" t="s">
        <v>8</v>
      </c>
      <c r="D2776" t="s">
        <v>29</v>
      </c>
      <c r="E2776" s="4">
        <v>30.86</v>
      </c>
      <c r="F2776" t="s">
        <v>36</v>
      </c>
      <c r="G2776" s="10" t="str">
        <f>TEXT(Transform_Data[[#This Row],[Date]],"mmm yyyy")</f>
        <v>Jan 2025</v>
      </c>
      <c r="H2776" s="10">
        <f>HOUR(Transform_Data[[#This Row],[Time]])</f>
        <v>10</v>
      </c>
      <c r="I2776" s="10" t="str">
        <f>IF(COUNTIF('Transform Data'!$D:$D,'Transform Data'!D2776)&gt;1,"Repeat","Single")</f>
        <v>Repeat</v>
      </c>
      <c r="J2776" s="10" t="str">
        <f>IF('Transform Data'!D2776="Cash","Cash",IF(COUNTIF('Transform Data'!$D:$D,'Transform Data'!D2776)&gt;1,"Repeat","Single"))</f>
        <v>Repeat</v>
      </c>
      <c r="K2776" s="10" t="str">
        <f t="shared" si="43"/>
        <v>TRANS-2775</v>
      </c>
    </row>
    <row r="2777" spans="1:11" x14ac:dyDescent="0.35">
      <c r="A2777" s="5">
        <v>45671</v>
      </c>
      <c r="B2777" s="3">
        <v>0.53418981481481487</v>
      </c>
      <c r="C2777" t="s">
        <v>8</v>
      </c>
      <c r="D2777" t="s">
        <v>1152</v>
      </c>
      <c r="E2777" s="4">
        <v>35.76</v>
      </c>
      <c r="F2777" t="s">
        <v>32</v>
      </c>
      <c r="G2777" s="10" t="str">
        <f>TEXT(Transform_Data[[#This Row],[Date]],"mmm yyyy")</f>
        <v>Jan 2025</v>
      </c>
      <c r="H2777" s="10">
        <f>HOUR(Transform_Data[[#This Row],[Time]])</f>
        <v>12</v>
      </c>
      <c r="I2777" s="10" t="str">
        <f>IF(COUNTIF('Transform Data'!$D:$D,'Transform Data'!D2777)&gt;1,"Repeat","Single")</f>
        <v>Single</v>
      </c>
      <c r="J2777" s="10" t="str">
        <f>IF('Transform Data'!D2777="Cash","Cash",IF(COUNTIF('Transform Data'!$D:$D,'Transform Data'!D2777)&gt;1,"Repeat","Single"))</f>
        <v>Single</v>
      </c>
      <c r="K2777" s="10" t="str">
        <f t="shared" si="43"/>
        <v>TRANS-2776</v>
      </c>
    </row>
    <row r="2778" spans="1:11" x14ac:dyDescent="0.35">
      <c r="A2778" s="5">
        <v>45671</v>
      </c>
      <c r="B2778" s="3">
        <v>0.6793865740740741</v>
      </c>
      <c r="C2778" t="s">
        <v>8</v>
      </c>
      <c r="D2778" t="s">
        <v>1153</v>
      </c>
      <c r="E2778" s="4">
        <v>30.86</v>
      </c>
      <c r="F2778" t="s">
        <v>36</v>
      </c>
      <c r="G2778" s="10" t="str">
        <f>TEXT(Transform_Data[[#This Row],[Date]],"mmm yyyy")</f>
        <v>Jan 2025</v>
      </c>
      <c r="H2778" s="10">
        <f>HOUR(Transform_Data[[#This Row],[Time]])</f>
        <v>16</v>
      </c>
      <c r="I2778" s="10" t="str">
        <f>IF(COUNTIF('Transform Data'!$D:$D,'Transform Data'!D2778)&gt;1,"Repeat","Single")</f>
        <v>Repeat</v>
      </c>
      <c r="J2778" s="10" t="str">
        <f>IF('Transform Data'!D2778="Cash","Cash",IF(COUNTIF('Transform Data'!$D:$D,'Transform Data'!D2778)&gt;1,"Repeat","Single"))</f>
        <v>Repeat</v>
      </c>
      <c r="K2778" s="10" t="str">
        <f t="shared" si="43"/>
        <v>TRANS-2777</v>
      </c>
    </row>
    <row r="2779" spans="1:11" x14ac:dyDescent="0.35">
      <c r="A2779" s="5">
        <v>45671</v>
      </c>
      <c r="B2779" s="3">
        <v>0.68016203703703704</v>
      </c>
      <c r="C2779" t="s">
        <v>8</v>
      </c>
      <c r="D2779" t="s">
        <v>1153</v>
      </c>
      <c r="E2779" s="4">
        <v>30.86</v>
      </c>
      <c r="F2779" t="s">
        <v>36</v>
      </c>
      <c r="G2779" s="10" t="str">
        <f>TEXT(Transform_Data[[#This Row],[Date]],"mmm yyyy")</f>
        <v>Jan 2025</v>
      </c>
      <c r="H2779" s="10">
        <f>HOUR(Transform_Data[[#This Row],[Time]])</f>
        <v>16</v>
      </c>
      <c r="I2779" s="10" t="str">
        <f>IF(COUNTIF('Transform Data'!$D:$D,'Transform Data'!D2779)&gt;1,"Repeat","Single")</f>
        <v>Repeat</v>
      </c>
      <c r="J2779" s="10" t="str">
        <f>IF('Transform Data'!D2779="Cash","Cash",IF(COUNTIF('Transform Data'!$D:$D,'Transform Data'!D2779)&gt;1,"Repeat","Single"))</f>
        <v>Repeat</v>
      </c>
      <c r="K2779" s="10" t="str">
        <f t="shared" si="43"/>
        <v>TRANS-2778</v>
      </c>
    </row>
    <row r="2780" spans="1:11" x14ac:dyDescent="0.35">
      <c r="A2780" s="5">
        <v>45671</v>
      </c>
      <c r="B2780" s="3">
        <v>0.820775462962963</v>
      </c>
      <c r="C2780" t="s">
        <v>8</v>
      </c>
      <c r="D2780" t="s">
        <v>260</v>
      </c>
      <c r="E2780" s="4">
        <v>35.76</v>
      </c>
      <c r="F2780" t="s">
        <v>24</v>
      </c>
      <c r="G2780" s="10" t="str">
        <f>TEXT(Transform_Data[[#This Row],[Date]],"mmm yyyy")</f>
        <v>Jan 2025</v>
      </c>
      <c r="H2780" s="10">
        <f>HOUR(Transform_Data[[#This Row],[Time]])</f>
        <v>19</v>
      </c>
      <c r="I2780" s="10" t="str">
        <f>IF(COUNTIF('Transform Data'!$D:$D,'Transform Data'!D2780)&gt;1,"Repeat","Single")</f>
        <v>Repeat</v>
      </c>
      <c r="J2780" s="10" t="str">
        <f>IF('Transform Data'!D2780="Cash","Cash",IF(COUNTIF('Transform Data'!$D:$D,'Transform Data'!D2780)&gt;1,"Repeat","Single"))</f>
        <v>Repeat</v>
      </c>
      <c r="K2780" s="10" t="str">
        <f t="shared" si="43"/>
        <v>TRANS-2779</v>
      </c>
    </row>
    <row r="2781" spans="1:11" x14ac:dyDescent="0.35">
      <c r="A2781" s="5">
        <v>45671</v>
      </c>
      <c r="B2781" s="3">
        <v>0.87679398148148147</v>
      </c>
      <c r="C2781" t="s">
        <v>8</v>
      </c>
      <c r="D2781" t="s">
        <v>1149</v>
      </c>
      <c r="E2781" s="4">
        <v>35.76</v>
      </c>
      <c r="F2781" t="s">
        <v>32</v>
      </c>
      <c r="G2781" s="10" t="str">
        <f>TEXT(Transform_Data[[#This Row],[Date]],"mmm yyyy")</f>
        <v>Jan 2025</v>
      </c>
      <c r="H2781" s="10">
        <f>HOUR(Transform_Data[[#This Row],[Time]])</f>
        <v>21</v>
      </c>
      <c r="I2781" s="10" t="str">
        <f>IF(COUNTIF('Transform Data'!$D:$D,'Transform Data'!D2781)&gt;1,"Repeat","Single")</f>
        <v>Repeat</v>
      </c>
      <c r="J2781" s="10" t="str">
        <f>IF('Transform Data'!D2781="Cash","Cash",IF(COUNTIF('Transform Data'!$D:$D,'Transform Data'!D2781)&gt;1,"Repeat","Single"))</f>
        <v>Repeat</v>
      </c>
      <c r="K2781" s="10" t="str">
        <f t="shared" si="43"/>
        <v>TRANS-2780</v>
      </c>
    </row>
    <row r="2782" spans="1:11" x14ac:dyDescent="0.35">
      <c r="A2782" s="5">
        <v>45672</v>
      </c>
      <c r="B2782" s="3">
        <v>0.38337962962962963</v>
      </c>
      <c r="C2782" t="s">
        <v>8</v>
      </c>
      <c r="D2782" t="s">
        <v>472</v>
      </c>
      <c r="E2782" s="4">
        <v>30.86</v>
      </c>
      <c r="F2782" t="s">
        <v>36</v>
      </c>
      <c r="G2782" s="10" t="str">
        <f>TEXT(Transform_Data[[#This Row],[Date]],"mmm yyyy")</f>
        <v>Jan 2025</v>
      </c>
      <c r="H2782" s="10">
        <f>HOUR(Transform_Data[[#This Row],[Time]])</f>
        <v>9</v>
      </c>
      <c r="I2782" s="10" t="str">
        <f>IF(COUNTIF('Transform Data'!$D:$D,'Transform Data'!D2782)&gt;1,"Repeat","Single")</f>
        <v>Repeat</v>
      </c>
      <c r="J2782" s="10" t="str">
        <f>IF('Transform Data'!D2782="Cash","Cash",IF(COUNTIF('Transform Data'!$D:$D,'Transform Data'!D2782)&gt;1,"Repeat","Single"))</f>
        <v>Repeat</v>
      </c>
      <c r="K2782" s="10" t="str">
        <f t="shared" si="43"/>
        <v>TRANS-2781</v>
      </c>
    </row>
    <row r="2783" spans="1:11" x14ac:dyDescent="0.35">
      <c r="A2783" s="5">
        <v>45672</v>
      </c>
      <c r="B2783" s="3">
        <v>0.46554398148148146</v>
      </c>
      <c r="C2783" t="s">
        <v>8</v>
      </c>
      <c r="D2783" t="s">
        <v>1154</v>
      </c>
      <c r="E2783" s="4">
        <v>25.96</v>
      </c>
      <c r="F2783" t="s">
        <v>28</v>
      </c>
      <c r="G2783" s="10" t="str">
        <f>TEXT(Transform_Data[[#This Row],[Date]],"mmm yyyy")</f>
        <v>Jan 2025</v>
      </c>
      <c r="H2783" s="10">
        <f>HOUR(Transform_Data[[#This Row],[Time]])</f>
        <v>11</v>
      </c>
      <c r="I2783" s="10" t="str">
        <f>IF(COUNTIF('Transform Data'!$D:$D,'Transform Data'!D2783)&gt;1,"Repeat","Single")</f>
        <v>Single</v>
      </c>
      <c r="J2783" s="10" t="str">
        <f>IF('Transform Data'!D2783="Cash","Cash",IF(COUNTIF('Transform Data'!$D:$D,'Transform Data'!D2783)&gt;1,"Repeat","Single"))</f>
        <v>Single</v>
      </c>
      <c r="K2783" s="10" t="str">
        <f t="shared" si="43"/>
        <v>TRANS-2782</v>
      </c>
    </row>
    <row r="2784" spans="1:11" x14ac:dyDescent="0.35">
      <c r="A2784" s="5">
        <v>45672</v>
      </c>
      <c r="B2784" s="3">
        <v>0.55155092592592592</v>
      </c>
      <c r="C2784" t="s">
        <v>8</v>
      </c>
      <c r="D2784" t="s">
        <v>938</v>
      </c>
      <c r="E2784" s="4">
        <v>35.76</v>
      </c>
      <c r="F2784" t="s">
        <v>24</v>
      </c>
      <c r="G2784" s="10" t="str">
        <f>TEXT(Transform_Data[[#This Row],[Date]],"mmm yyyy")</f>
        <v>Jan 2025</v>
      </c>
      <c r="H2784" s="10">
        <f>HOUR(Transform_Data[[#This Row],[Time]])</f>
        <v>13</v>
      </c>
      <c r="I2784" s="10" t="str">
        <f>IF(COUNTIF('Transform Data'!$D:$D,'Transform Data'!D2784)&gt;1,"Repeat","Single")</f>
        <v>Repeat</v>
      </c>
      <c r="J2784" s="10" t="str">
        <f>IF('Transform Data'!D2784="Cash","Cash",IF(COUNTIF('Transform Data'!$D:$D,'Transform Data'!D2784)&gt;1,"Repeat","Single"))</f>
        <v>Repeat</v>
      </c>
      <c r="K2784" s="10" t="str">
        <f t="shared" si="43"/>
        <v>TRANS-2783</v>
      </c>
    </row>
    <row r="2785" spans="1:11" x14ac:dyDescent="0.35">
      <c r="A2785" s="5">
        <v>45672</v>
      </c>
      <c r="B2785" s="3">
        <v>0.64954861111111106</v>
      </c>
      <c r="C2785" t="s">
        <v>8</v>
      </c>
      <c r="D2785" t="s">
        <v>686</v>
      </c>
      <c r="E2785" s="4">
        <v>35.76</v>
      </c>
      <c r="F2785" t="s">
        <v>32</v>
      </c>
      <c r="G2785" s="10" t="str">
        <f>TEXT(Transform_Data[[#This Row],[Date]],"mmm yyyy")</f>
        <v>Jan 2025</v>
      </c>
      <c r="H2785" s="10">
        <f>HOUR(Transform_Data[[#This Row],[Time]])</f>
        <v>15</v>
      </c>
      <c r="I2785" s="10" t="str">
        <f>IF(COUNTIF('Transform Data'!$D:$D,'Transform Data'!D2785)&gt;1,"Repeat","Single")</f>
        <v>Repeat</v>
      </c>
      <c r="J2785" s="10" t="str">
        <f>IF('Transform Data'!D2785="Cash","Cash",IF(COUNTIF('Transform Data'!$D:$D,'Transform Data'!D2785)&gt;1,"Repeat","Single"))</f>
        <v>Repeat</v>
      </c>
      <c r="K2785" s="10" t="str">
        <f t="shared" si="43"/>
        <v>TRANS-2784</v>
      </c>
    </row>
    <row r="2786" spans="1:11" x14ac:dyDescent="0.35">
      <c r="A2786" s="5">
        <v>45672</v>
      </c>
      <c r="B2786" s="3">
        <v>0.65054398148148151</v>
      </c>
      <c r="C2786" t="s">
        <v>8</v>
      </c>
      <c r="D2786" t="s">
        <v>1155</v>
      </c>
      <c r="E2786" s="4">
        <v>35.76</v>
      </c>
      <c r="F2786" t="s">
        <v>24</v>
      </c>
      <c r="G2786" s="10" t="str">
        <f>TEXT(Transform_Data[[#This Row],[Date]],"mmm yyyy")</f>
        <v>Jan 2025</v>
      </c>
      <c r="H2786" s="10">
        <f>HOUR(Transform_Data[[#This Row],[Time]])</f>
        <v>15</v>
      </c>
      <c r="I2786" s="10" t="str">
        <f>IF(COUNTIF('Transform Data'!$D:$D,'Transform Data'!D2786)&gt;1,"Repeat","Single")</f>
        <v>Single</v>
      </c>
      <c r="J2786" s="10" t="str">
        <f>IF('Transform Data'!D2786="Cash","Cash",IF(COUNTIF('Transform Data'!$D:$D,'Transform Data'!D2786)&gt;1,"Repeat","Single"))</f>
        <v>Single</v>
      </c>
      <c r="K2786" s="10" t="str">
        <f t="shared" si="43"/>
        <v>TRANS-2785</v>
      </c>
    </row>
    <row r="2787" spans="1:11" x14ac:dyDescent="0.35">
      <c r="A2787" s="5">
        <v>45672</v>
      </c>
      <c r="B2787" s="3">
        <v>0.65133101851851849</v>
      </c>
      <c r="C2787" t="s">
        <v>8</v>
      </c>
      <c r="D2787" t="s">
        <v>686</v>
      </c>
      <c r="E2787" s="4">
        <v>35.76</v>
      </c>
      <c r="F2787" t="s">
        <v>32</v>
      </c>
      <c r="G2787" s="10" t="str">
        <f>TEXT(Transform_Data[[#This Row],[Date]],"mmm yyyy")</f>
        <v>Jan 2025</v>
      </c>
      <c r="H2787" s="10">
        <f>HOUR(Transform_Data[[#This Row],[Time]])</f>
        <v>15</v>
      </c>
      <c r="I2787" s="10" t="str">
        <f>IF(COUNTIF('Transform Data'!$D:$D,'Transform Data'!D2787)&gt;1,"Repeat","Single")</f>
        <v>Repeat</v>
      </c>
      <c r="J2787" s="10" t="str">
        <f>IF('Transform Data'!D2787="Cash","Cash",IF(COUNTIF('Transform Data'!$D:$D,'Transform Data'!D2787)&gt;1,"Repeat","Single"))</f>
        <v>Repeat</v>
      </c>
      <c r="K2787" s="10" t="str">
        <f t="shared" si="43"/>
        <v>TRANS-2786</v>
      </c>
    </row>
    <row r="2788" spans="1:11" x14ac:dyDescent="0.35">
      <c r="A2788" s="5">
        <v>45672</v>
      </c>
      <c r="B2788" s="3">
        <v>0.70516203703703706</v>
      </c>
      <c r="C2788" t="s">
        <v>8</v>
      </c>
      <c r="D2788" t="s">
        <v>1156</v>
      </c>
      <c r="E2788" s="4">
        <v>35.76</v>
      </c>
      <c r="F2788" t="s">
        <v>32</v>
      </c>
      <c r="G2788" s="10" t="str">
        <f>TEXT(Transform_Data[[#This Row],[Date]],"mmm yyyy")</f>
        <v>Jan 2025</v>
      </c>
      <c r="H2788" s="10">
        <f>HOUR(Transform_Data[[#This Row],[Time]])</f>
        <v>16</v>
      </c>
      <c r="I2788" s="10" t="str">
        <f>IF(COUNTIF('Transform Data'!$D:$D,'Transform Data'!D2788)&gt;1,"Repeat","Single")</f>
        <v>Single</v>
      </c>
      <c r="J2788" s="10" t="str">
        <f>IF('Transform Data'!D2788="Cash","Cash",IF(COUNTIF('Transform Data'!$D:$D,'Transform Data'!D2788)&gt;1,"Repeat","Single"))</f>
        <v>Single</v>
      </c>
      <c r="K2788" s="10" t="str">
        <f t="shared" si="43"/>
        <v>TRANS-2787</v>
      </c>
    </row>
    <row r="2789" spans="1:11" x14ac:dyDescent="0.35">
      <c r="A2789" s="5">
        <v>45672</v>
      </c>
      <c r="B2789" s="3">
        <v>0.75430555555555556</v>
      </c>
      <c r="C2789" t="s">
        <v>8</v>
      </c>
      <c r="D2789" t="s">
        <v>1157</v>
      </c>
      <c r="E2789" s="4">
        <v>35.76</v>
      </c>
      <c r="F2789" t="s">
        <v>32</v>
      </c>
      <c r="G2789" s="10" t="str">
        <f>TEXT(Transform_Data[[#This Row],[Date]],"mmm yyyy")</f>
        <v>Jan 2025</v>
      </c>
      <c r="H2789" s="10">
        <f>HOUR(Transform_Data[[#This Row],[Time]])</f>
        <v>18</v>
      </c>
      <c r="I2789" s="10" t="str">
        <f>IF(COUNTIF('Transform Data'!$D:$D,'Transform Data'!D2789)&gt;1,"Repeat","Single")</f>
        <v>Single</v>
      </c>
      <c r="J2789" s="10" t="str">
        <f>IF('Transform Data'!D2789="Cash","Cash",IF(COUNTIF('Transform Data'!$D:$D,'Transform Data'!D2789)&gt;1,"Repeat","Single"))</f>
        <v>Single</v>
      </c>
      <c r="K2789" s="10" t="str">
        <f t="shared" si="43"/>
        <v>TRANS-2788</v>
      </c>
    </row>
    <row r="2790" spans="1:11" x14ac:dyDescent="0.35">
      <c r="A2790" s="5">
        <v>45672</v>
      </c>
      <c r="B2790" s="3">
        <v>0.82724537037037038</v>
      </c>
      <c r="C2790" t="s">
        <v>8</v>
      </c>
      <c r="D2790" t="s">
        <v>1149</v>
      </c>
      <c r="E2790" s="4">
        <v>35.76</v>
      </c>
      <c r="F2790" t="s">
        <v>32</v>
      </c>
      <c r="G2790" s="10" t="str">
        <f>TEXT(Transform_Data[[#This Row],[Date]],"mmm yyyy")</f>
        <v>Jan 2025</v>
      </c>
      <c r="H2790" s="10">
        <f>HOUR(Transform_Data[[#This Row],[Time]])</f>
        <v>19</v>
      </c>
      <c r="I2790" s="10" t="str">
        <f>IF(COUNTIF('Transform Data'!$D:$D,'Transform Data'!D2790)&gt;1,"Repeat","Single")</f>
        <v>Repeat</v>
      </c>
      <c r="J2790" s="10" t="str">
        <f>IF('Transform Data'!D2790="Cash","Cash",IF(COUNTIF('Transform Data'!$D:$D,'Transform Data'!D2790)&gt;1,"Repeat","Single"))</f>
        <v>Repeat</v>
      </c>
      <c r="K2790" s="10" t="str">
        <f t="shared" si="43"/>
        <v>TRANS-2789</v>
      </c>
    </row>
    <row r="2791" spans="1:11" x14ac:dyDescent="0.35">
      <c r="A2791" s="5">
        <v>45672</v>
      </c>
      <c r="B2791" s="3">
        <v>0.90363425925925922</v>
      </c>
      <c r="C2791" t="s">
        <v>8</v>
      </c>
      <c r="D2791" t="s">
        <v>783</v>
      </c>
      <c r="E2791" s="4">
        <v>35.76</v>
      </c>
      <c r="F2791" t="s">
        <v>24</v>
      </c>
      <c r="G2791" s="10" t="str">
        <f>TEXT(Transform_Data[[#This Row],[Date]],"mmm yyyy")</f>
        <v>Jan 2025</v>
      </c>
      <c r="H2791" s="10">
        <f>HOUR(Transform_Data[[#This Row],[Time]])</f>
        <v>21</v>
      </c>
      <c r="I2791" s="10" t="str">
        <f>IF(COUNTIF('Transform Data'!$D:$D,'Transform Data'!D2791)&gt;1,"Repeat","Single")</f>
        <v>Repeat</v>
      </c>
      <c r="J2791" s="10" t="str">
        <f>IF('Transform Data'!D2791="Cash","Cash",IF(COUNTIF('Transform Data'!$D:$D,'Transform Data'!D2791)&gt;1,"Repeat","Single"))</f>
        <v>Repeat</v>
      </c>
      <c r="K2791" s="10" t="str">
        <f t="shared" si="43"/>
        <v>TRANS-2790</v>
      </c>
    </row>
    <row r="2792" spans="1:11" x14ac:dyDescent="0.35">
      <c r="A2792" s="5">
        <v>45673</v>
      </c>
      <c r="B2792" s="3">
        <v>0.39788194444444447</v>
      </c>
      <c r="C2792" t="s">
        <v>8</v>
      </c>
      <c r="D2792" t="s">
        <v>938</v>
      </c>
      <c r="E2792" s="4">
        <v>35.76</v>
      </c>
      <c r="F2792" t="s">
        <v>32</v>
      </c>
      <c r="G2792" s="10" t="str">
        <f>TEXT(Transform_Data[[#This Row],[Date]],"mmm yyyy")</f>
        <v>Jan 2025</v>
      </c>
      <c r="H2792" s="10">
        <f>HOUR(Transform_Data[[#This Row],[Time]])</f>
        <v>9</v>
      </c>
      <c r="I2792" s="10" t="str">
        <f>IF(COUNTIF('Transform Data'!$D:$D,'Transform Data'!D2792)&gt;1,"Repeat","Single")</f>
        <v>Repeat</v>
      </c>
      <c r="J2792" s="10" t="str">
        <f>IF('Transform Data'!D2792="Cash","Cash",IF(COUNTIF('Transform Data'!$D:$D,'Transform Data'!D2792)&gt;1,"Repeat","Single"))</f>
        <v>Repeat</v>
      </c>
      <c r="K2792" s="10" t="str">
        <f t="shared" si="43"/>
        <v>TRANS-2791</v>
      </c>
    </row>
    <row r="2793" spans="1:11" x14ac:dyDescent="0.35">
      <c r="A2793" s="5">
        <v>45673</v>
      </c>
      <c r="B2793" s="3">
        <v>0.40149305555555553</v>
      </c>
      <c r="C2793" t="s">
        <v>8</v>
      </c>
      <c r="D2793" t="s">
        <v>472</v>
      </c>
      <c r="E2793" s="4">
        <v>30.86</v>
      </c>
      <c r="F2793" t="s">
        <v>36</v>
      </c>
      <c r="G2793" s="10" t="str">
        <f>TEXT(Transform_Data[[#This Row],[Date]],"mmm yyyy")</f>
        <v>Jan 2025</v>
      </c>
      <c r="H2793" s="10">
        <f>HOUR(Transform_Data[[#This Row],[Time]])</f>
        <v>9</v>
      </c>
      <c r="I2793" s="10" t="str">
        <f>IF(COUNTIF('Transform Data'!$D:$D,'Transform Data'!D2793)&gt;1,"Repeat","Single")</f>
        <v>Repeat</v>
      </c>
      <c r="J2793" s="10" t="str">
        <f>IF('Transform Data'!D2793="Cash","Cash",IF(COUNTIF('Transform Data'!$D:$D,'Transform Data'!D2793)&gt;1,"Repeat","Single"))</f>
        <v>Repeat</v>
      </c>
      <c r="K2793" s="10" t="str">
        <f t="shared" si="43"/>
        <v>TRANS-2792</v>
      </c>
    </row>
    <row r="2794" spans="1:11" x14ac:dyDescent="0.35">
      <c r="A2794" s="5">
        <v>45673</v>
      </c>
      <c r="B2794" s="3">
        <v>0.44560185185185186</v>
      </c>
      <c r="C2794" t="s">
        <v>8</v>
      </c>
      <c r="D2794" t="s">
        <v>43</v>
      </c>
      <c r="E2794" s="4">
        <v>30.86</v>
      </c>
      <c r="F2794" t="s">
        <v>36</v>
      </c>
      <c r="G2794" s="10" t="str">
        <f>TEXT(Transform_Data[[#This Row],[Date]],"mmm yyyy")</f>
        <v>Jan 2025</v>
      </c>
      <c r="H2794" s="10">
        <f>HOUR(Transform_Data[[#This Row],[Time]])</f>
        <v>10</v>
      </c>
      <c r="I2794" s="10" t="str">
        <f>IF(COUNTIF('Transform Data'!$D:$D,'Transform Data'!D2794)&gt;1,"Repeat","Single")</f>
        <v>Repeat</v>
      </c>
      <c r="J2794" s="10" t="str">
        <f>IF('Transform Data'!D2794="Cash","Cash",IF(COUNTIF('Transform Data'!$D:$D,'Transform Data'!D2794)&gt;1,"Repeat","Single"))</f>
        <v>Repeat</v>
      </c>
      <c r="K2794" s="10" t="str">
        <f t="shared" si="43"/>
        <v>TRANS-2793</v>
      </c>
    </row>
    <row r="2795" spans="1:11" x14ac:dyDescent="0.35">
      <c r="A2795" s="5">
        <v>45673</v>
      </c>
      <c r="B2795" s="3">
        <v>0.50851851851851848</v>
      </c>
      <c r="C2795" t="s">
        <v>8</v>
      </c>
      <c r="D2795" t="s">
        <v>40</v>
      </c>
      <c r="E2795" s="4">
        <v>25.96</v>
      </c>
      <c r="F2795" t="s">
        <v>20</v>
      </c>
      <c r="G2795" s="10" t="str">
        <f>TEXT(Transform_Data[[#This Row],[Date]],"mmm yyyy")</f>
        <v>Jan 2025</v>
      </c>
      <c r="H2795" s="10">
        <f>HOUR(Transform_Data[[#This Row],[Time]])</f>
        <v>12</v>
      </c>
      <c r="I2795" s="10" t="str">
        <f>IF(COUNTIF('Transform Data'!$D:$D,'Transform Data'!D2795)&gt;1,"Repeat","Single")</f>
        <v>Repeat</v>
      </c>
      <c r="J2795" s="10" t="str">
        <f>IF('Transform Data'!D2795="Cash","Cash",IF(COUNTIF('Transform Data'!$D:$D,'Transform Data'!D2795)&gt;1,"Repeat","Single"))</f>
        <v>Repeat</v>
      </c>
      <c r="K2795" s="10" t="str">
        <f t="shared" si="43"/>
        <v>TRANS-2794</v>
      </c>
    </row>
    <row r="2796" spans="1:11" x14ac:dyDescent="0.35">
      <c r="A2796" s="5">
        <v>45673</v>
      </c>
      <c r="B2796" s="3">
        <v>0.63633101851851848</v>
      </c>
      <c r="C2796" t="s">
        <v>8</v>
      </c>
      <c r="D2796" t="s">
        <v>1158</v>
      </c>
      <c r="E2796" s="4">
        <v>35.76</v>
      </c>
      <c r="F2796" t="s">
        <v>32</v>
      </c>
      <c r="G2796" s="10" t="str">
        <f>TEXT(Transform_Data[[#This Row],[Date]],"mmm yyyy")</f>
        <v>Jan 2025</v>
      </c>
      <c r="H2796" s="10">
        <f>HOUR(Transform_Data[[#This Row],[Time]])</f>
        <v>15</v>
      </c>
      <c r="I2796" s="10" t="str">
        <f>IF(COUNTIF('Transform Data'!$D:$D,'Transform Data'!D2796)&gt;1,"Repeat","Single")</f>
        <v>Single</v>
      </c>
      <c r="J2796" s="10" t="str">
        <f>IF('Transform Data'!D2796="Cash","Cash",IF(COUNTIF('Transform Data'!$D:$D,'Transform Data'!D2796)&gt;1,"Repeat","Single"))</f>
        <v>Single</v>
      </c>
      <c r="K2796" s="10" t="str">
        <f t="shared" si="43"/>
        <v>TRANS-2795</v>
      </c>
    </row>
    <row r="2797" spans="1:11" x14ac:dyDescent="0.35">
      <c r="A2797" s="5">
        <v>45673</v>
      </c>
      <c r="B2797" s="3">
        <v>0.69109953703703708</v>
      </c>
      <c r="C2797" t="s">
        <v>8</v>
      </c>
      <c r="D2797" t="s">
        <v>459</v>
      </c>
      <c r="E2797" s="4">
        <v>35.76</v>
      </c>
      <c r="F2797" t="s">
        <v>32</v>
      </c>
      <c r="G2797" s="10" t="str">
        <f>TEXT(Transform_Data[[#This Row],[Date]],"mmm yyyy")</f>
        <v>Jan 2025</v>
      </c>
      <c r="H2797" s="10">
        <f>HOUR(Transform_Data[[#This Row],[Time]])</f>
        <v>16</v>
      </c>
      <c r="I2797" s="10" t="str">
        <f>IF(COUNTIF('Transform Data'!$D:$D,'Transform Data'!D2797)&gt;1,"Repeat","Single")</f>
        <v>Repeat</v>
      </c>
      <c r="J2797" s="10" t="str">
        <f>IF('Transform Data'!D2797="Cash","Cash",IF(COUNTIF('Transform Data'!$D:$D,'Transform Data'!D2797)&gt;1,"Repeat","Single"))</f>
        <v>Repeat</v>
      </c>
      <c r="K2797" s="10" t="str">
        <f t="shared" si="43"/>
        <v>TRANS-2796</v>
      </c>
    </row>
    <row r="2798" spans="1:11" x14ac:dyDescent="0.35">
      <c r="A2798" s="5">
        <v>45673</v>
      </c>
      <c r="B2798" s="3">
        <v>0.76107638888888884</v>
      </c>
      <c r="C2798" t="s">
        <v>8</v>
      </c>
      <c r="D2798" t="s">
        <v>1149</v>
      </c>
      <c r="E2798" s="4">
        <v>35.76</v>
      </c>
      <c r="F2798" t="s">
        <v>24</v>
      </c>
      <c r="G2798" s="10" t="str">
        <f>TEXT(Transform_Data[[#This Row],[Date]],"mmm yyyy")</f>
        <v>Jan 2025</v>
      </c>
      <c r="H2798" s="10">
        <f>HOUR(Transform_Data[[#This Row],[Time]])</f>
        <v>18</v>
      </c>
      <c r="I2798" s="10" t="str">
        <f>IF(COUNTIF('Transform Data'!$D:$D,'Transform Data'!D2798)&gt;1,"Repeat","Single")</f>
        <v>Repeat</v>
      </c>
      <c r="J2798" s="10" t="str">
        <f>IF('Transform Data'!D2798="Cash","Cash",IF(COUNTIF('Transform Data'!$D:$D,'Transform Data'!D2798)&gt;1,"Repeat","Single"))</f>
        <v>Repeat</v>
      </c>
      <c r="K2798" s="10" t="str">
        <f t="shared" si="43"/>
        <v>TRANS-2797</v>
      </c>
    </row>
    <row r="2799" spans="1:11" x14ac:dyDescent="0.35">
      <c r="A2799" s="5">
        <v>45673</v>
      </c>
      <c r="B2799" s="3">
        <v>0.88609953703703703</v>
      </c>
      <c r="C2799" t="s">
        <v>8</v>
      </c>
      <c r="D2799" t="s">
        <v>1097</v>
      </c>
      <c r="E2799" s="4">
        <v>35.76</v>
      </c>
      <c r="F2799" t="s">
        <v>15</v>
      </c>
      <c r="G2799" s="10" t="str">
        <f>TEXT(Transform_Data[[#This Row],[Date]],"mmm yyyy")</f>
        <v>Jan 2025</v>
      </c>
      <c r="H2799" s="10">
        <f>HOUR(Transform_Data[[#This Row],[Time]])</f>
        <v>21</v>
      </c>
      <c r="I2799" s="10" t="str">
        <f>IF(COUNTIF('Transform Data'!$D:$D,'Transform Data'!D2799)&gt;1,"Repeat","Single")</f>
        <v>Repeat</v>
      </c>
      <c r="J2799" s="10" t="str">
        <f>IF('Transform Data'!D2799="Cash","Cash",IF(COUNTIF('Transform Data'!$D:$D,'Transform Data'!D2799)&gt;1,"Repeat","Single"))</f>
        <v>Repeat</v>
      </c>
      <c r="K2799" s="10" t="str">
        <f t="shared" si="43"/>
        <v>TRANS-2798</v>
      </c>
    </row>
    <row r="2800" spans="1:11" x14ac:dyDescent="0.35">
      <c r="A2800" s="5">
        <v>45673</v>
      </c>
      <c r="B2800" s="3">
        <v>0.88679398148148147</v>
      </c>
      <c r="C2800" t="s">
        <v>8</v>
      </c>
      <c r="D2800" t="s">
        <v>1097</v>
      </c>
      <c r="E2800" s="4">
        <v>35.76</v>
      </c>
      <c r="F2800" t="s">
        <v>15</v>
      </c>
      <c r="G2800" s="10" t="str">
        <f>TEXT(Transform_Data[[#This Row],[Date]],"mmm yyyy")</f>
        <v>Jan 2025</v>
      </c>
      <c r="H2800" s="10">
        <f>HOUR(Transform_Data[[#This Row],[Time]])</f>
        <v>21</v>
      </c>
      <c r="I2800" s="10" t="str">
        <f>IF(COUNTIF('Transform Data'!$D:$D,'Transform Data'!D2800)&gt;1,"Repeat","Single")</f>
        <v>Repeat</v>
      </c>
      <c r="J2800" s="10" t="str">
        <f>IF('Transform Data'!D2800="Cash","Cash",IF(COUNTIF('Transform Data'!$D:$D,'Transform Data'!D2800)&gt;1,"Repeat","Single"))</f>
        <v>Repeat</v>
      </c>
      <c r="K2800" s="10" t="str">
        <f t="shared" si="43"/>
        <v>TRANS-2799</v>
      </c>
    </row>
    <row r="2801" spans="1:11" x14ac:dyDescent="0.35">
      <c r="A2801" s="5">
        <v>45673</v>
      </c>
      <c r="B2801" s="3">
        <v>0.9029166666666667</v>
      </c>
      <c r="C2801" t="s">
        <v>8</v>
      </c>
      <c r="D2801" t="s">
        <v>1159</v>
      </c>
      <c r="E2801" s="4">
        <v>25.96</v>
      </c>
      <c r="F2801" t="s">
        <v>20</v>
      </c>
      <c r="G2801" s="10" t="str">
        <f>TEXT(Transform_Data[[#This Row],[Date]],"mmm yyyy")</f>
        <v>Jan 2025</v>
      </c>
      <c r="H2801" s="10">
        <f>HOUR(Transform_Data[[#This Row],[Time]])</f>
        <v>21</v>
      </c>
      <c r="I2801" s="10" t="str">
        <f>IF(COUNTIF('Transform Data'!$D:$D,'Transform Data'!D2801)&gt;1,"Repeat","Single")</f>
        <v>Single</v>
      </c>
      <c r="J2801" s="10" t="str">
        <f>IF('Transform Data'!D2801="Cash","Cash",IF(COUNTIF('Transform Data'!$D:$D,'Transform Data'!D2801)&gt;1,"Repeat","Single"))</f>
        <v>Single</v>
      </c>
      <c r="K2801" s="10" t="str">
        <f t="shared" si="43"/>
        <v>TRANS-2800</v>
      </c>
    </row>
    <row r="2802" spans="1:11" x14ac:dyDescent="0.35">
      <c r="A2802" s="5">
        <v>45674</v>
      </c>
      <c r="B2802" s="3">
        <v>0.31827546296296294</v>
      </c>
      <c r="C2802" t="s">
        <v>8</v>
      </c>
      <c r="D2802" t="s">
        <v>1160</v>
      </c>
      <c r="E2802" s="4">
        <v>35.76</v>
      </c>
      <c r="F2802" t="s">
        <v>10</v>
      </c>
      <c r="G2802" s="10" t="str">
        <f>TEXT(Transform_Data[[#This Row],[Date]],"mmm yyyy")</f>
        <v>Jan 2025</v>
      </c>
      <c r="H2802" s="10">
        <f>HOUR(Transform_Data[[#This Row],[Time]])</f>
        <v>7</v>
      </c>
      <c r="I2802" s="10" t="str">
        <f>IF(COUNTIF('Transform Data'!$D:$D,'Transform Data'!D2802)&gt;1,"Repeat","Single")</f>
        <v>Single</v>
      </c>
      <c r="J2802" s="10" t="str">
        <f>IF('Transform Data'!D2802="Cash","Cash",IF(COUNTIF('Transform Data'!$D:$D,'Transform Data'!D2802)&gt;1,"Repeat","Single"))</f>
        <v>Single</v>
      </c>
      <c r="K2802" s="10" t="str">
        <f t="shared" si="43"/>
        <v>TRANS-2801</v>
      </c>
    </row>
    <row r="2803" spans="1:11" x14ac:dyDescent="0.35">
      <c r="A2803" s="5">
        <v>45674</v>
      </c>
      <c r="B2803" s="3">
        <v>0.35162037037037036</v>
      </c>
      <c r="C2803" t="s">
        <v>8</v>
      </c>
      <c r="D2803" t="s">
        <v>1161</v>
      </c>
      <c r="E2803" s="4">
        <v>35.76</v>
      </c>
      <c r="F2803" t="s">
        <v>32</v>
      </c>
      <c r="G2803" s="10" t="str">
        <f>TEXT(Transform_Data[[#This Row],[Date]],"mmm yyyy")</f>
        <v>Jan 2025</v>
      </c>
      <c r="H2803" s="10">
        <f>HOUR(Transform_Data[[#This Row],[Time]])</f>
        <v>8</v>
      </c>
      <c r="I2803" s="10" t="str">
        <f>IF(COUNTIF('Transform Data'!$D:$D,'Transform Data'!D2803)&gt;1,"Repeat","Single")</f>
        <v>Repeat</v>
      </c>
      <c r="J2803" s="10" t="str">
        <f>IF('Transform Data'!D2803="Cash","Cash",IF(COUNTIF('Transform Data'!$D:$D,'Transform Data'!D2803)&gt;1,"Repeat","Single"))</f>
        <v>Repeat</v>
      </c>
      <c r="K2803" s="10" t="str">
        <f t="shared" si="43"/>
        <v>TRANS-2802</v>
      </c>
    </row>
    <row r="2804" spans="1:11" x14ac:dyDescent="0.35">
      <c r="A2804" s="5">
        <v>45674</v>
      </c>
      <c r="B2804" s="3">
        <v>0.35263888888888889</v>
      </c>
      <c r="C2804" t="s">
        <v>8</v>
      </c>
      <c r="D2804" t="s">
        <v>1161</v>
      </c>
      <c r="E2804" s="4">
        <v>35.76</v>
      </c>
      <c r="F2804" t="s">
        <v>24</v>
      </c>
      <c r="G2804" s="10" t="str">
        <f>TEXT(Transform_Data[[#This Row],[Date]],"mmm yyyy")</f>
        <v>Jan 2025</v>
      </c>
      <c r="H2804" s="10">
        <f>HOUR(Transform_Data[[#This Row],[Time]])</f>
        <v>8</v>
      </c>
      <c r="I2804" s="10" t="str">
        <f>IF(COUNTIF('Transform Data'!$D:$D,'Transform Data'!D2804)&gt;1,"Repeat","Single")</f>
        <v>Repeat</v>
      </c>
      <c r="J2804" s="10" t="str">
        <f>IF('Transform Data'!D2804="Cash","Cash",IF(COUNTIF('Transform Data'!$D:$D,'Transform Data'!D2804)&gt;1,"Repeat","Single"))</f>
        <v>Repeat</v>
      </c>
      <c r="K2804" s="10" t="str">
        <f t="shared" si="43"/>
        <v>TRANS-2803</v>
      </c>
    </row>
    <row r="2805" spans="1:11" x14ac:dyDescent="0.35">
      <c r="A2805" s="5">
        <v>45674</v>
      </c>
      <c r="B2805" s="3">
        <v>0.36662037037037037</v>
      </c>
      <c r="C2805" t="s">
        <v>8</v>
      </c>
      <c r="D2805" t="s">
        <v>29</v>
      </c>
      <c r="E2805" s="4">
        <v>30.86</v>
      </c>
      <c r="F2805" t="s">
        <v>36</v>
      </c>
      <c r="G2805" s="10" t="str">
        <f>TEXT(Transform_Data[[#This Row],[Date]],"mmm yyyy")</f>
        <v>Jan 2025</v>
      </c>
      <c r="H2805" s="10">
        <f>HOUR(Transform_Data[[#This Row],[Time]])</f>
        <v>8</v>
      </c>
      <c r="I2805" s="10" t="str">
        <f>IF(COUNTIF('Transform Data'!$D:$D,'Transform Data'!D2805)&gt;1,"Repeat","Single")</f>
        <v>Repeat</v>
      </c>
      <c r="J2805" s="10" t="str">
        <f>IF('Transform Data'!D2805="Cash","Cash",IF(COUNTIF('Transform Data'!$D:$D,'Transform Data'!D2805)&gt;1,"Repeat","Single"))</f>
        <v>Repeat</v>
      </c>
      <c r="K2805" s="10" t="str">
        <f t="shared" si="43"/>
        <v>TRANS-2804</v>
      </c>
    </row>
    <row r="2806" spans="1:11" x14ac:dyDescent="0.35">
      <c r="A2806" s="5">
        <v>45674</v>
      </c>
      <c r="B2806" s="3">
        <v>0.3941898148148148</v>
      </c>
      <c r="C2806" t="s">
        <v>8</v>
      </c>
      <c r="D2806" t="s">
        <v>43</v>
      </c>
      <c r="E2806" s="4">
        <v>30.86</v>
      </c>
      <c r="F2806" t="s">
        <v>36</v>
      </c>
      <c r="G2806" s="10" t="str">
        <f>TEXT(Transform_Data[[#This Row],[Date]],"mmm yyyy")</f>
        <v>Jan 2025</v>
      </c>
      <c r="H2806" s="10">
        <f>HOUR(Transform_Data[[#This Row],[Time]])</f>
        <v>9</v>
      </c>
      <c r="I2806" s="10" t="str">
        <f>IF(COUNTIF('Transform Data'!$D:$D,'Transform Data'!D2806)&gt;1,"Repeat","Single")</f>
        <v>Repeat</v>
      </c>
      <c r="J2806" s="10" t="str">
        <f>IF('Transform Data'!D2806="Cash","Cash",IF(COUNTIF('Transform Data'!$D:$D,'Transform Data'!D2806)&gt;1,"Repeat","Single"))</f>
        <v>Repeat</v>
      </c>
      <c r="K2806" s="10" t="str">
        <f t="shared" si="43"/>
        <v>TRANS-2805</v>
      </c>
    </row>
    <row r="2807" spans="1:11" x14ac:dyDescent="0.35">
      <c r="A2807" s="5">
        <v>45674</v>
      </c>
      <c r="B2807" s="3">
        <v>0.59783564814814816</v>
      </c>
      <c r="C2807" t="s">
        <v>8</v>
      </c>
      <c r="D2807" t="s">
        <v>6</v>
      </c>
      <c r="E2807" s="4">
        <v>35.76</v>
      </c>
      <c r="F2807" t="s">
        <v>10</v>
      </c>
      <c r="G2807" s="10" t="str">
        <f>TEXT(Transform_Data[[#This Row],[Date]],"mmm yyyy")</f>
        <v>Jan 2025</v>
      </c>
      <c r="H2807" s="10">
        <f>HOUR(Transform_Data[[#This Row],[Time]])</f>
        <v>14</v>
      </c>
      <c r="I2807" s="10" t="str">
        <f>IF(COUNTIF('Transform Data'!$D:$D,'Transform Data'!D2807)&gt;1,"Repeat","Single")</f>
        <v>Repeat</v>
      </c>
      <c r="J2807" s="10" t="str">
        <f>IF('Transform Data'!D2807="Cash","Cash",IF(COUNTIF('Transform Data'!$D:$D,'Transform Data'!D2807)&gt;1,"Repeat","Single"))</f>
        <v>Repeat</v>
      </c>
      <c r="K2807" s="10" t="str">
        <f t="shared" si="43"/>
        <v>TRANS-2806</v>
      </c>
    </row>
    <row r="2808" spans="1:11" x14ac:dyDescent="0.35">
      <c r="A2808" s="5">
        <v>45674</v>
      </c>
      <c r="B2808" s="3">
        <v>0.59863425925925928</v>
      </c>
      <c r="C2808" t="s">
        <v>8</v>
      </c>
      <c r="D2808" t="s">
        <v>6</v>
      </c>
      <c r="E2808" s="4">
        <v>35.76</v>
      </c>
      <c r="F2808" t="s">
        <v>10</v>
      </c>
      <c r="G2808" s="10" t="str">
        <f>TEXT(Transform_Data[[#This Row],[Date]],"mmm yyyy")</f>
        <v>Jan 2025</v>
      </c>
      <c r="H2808" s="10">
        <f>HOUR(Transform_Data[[#This Row],[Time]])</f>
        <v>14</v>
      </c>
      <c r="I2808" s="10" t="str">
        <f>IF(COUNTIF('Transform Data'!$D:$D,'Transform Data'!D2808)&gt;1,"Repeat","Single")</f>
        <v>Repeat</v>
      </c>
      <c r="J2808" s="10" t="str">
        <f>IF('Transform Data'!D2808="Cash","Cash",IF(COUNTIF('Transform Data'!$D:$D,'Transform Data'!D2808)&gt;1,"Repeat","Single"))</f>
        <v>Repeat</v>
      </c>
      <c r="K2808" s="10" t="str">
        <f t="shared" si="43"/>
        <v>TRANS-2807</v>
      </c>
    </row>
    <row r="2809" spans="1:11" x14ac:dyDescent="0.35">
      <c r="A2809" s="5">
        <v>45674</v>
      </c>
      <c r="B2809" s="3">
        <v>0.73553240740740744</v>
      </c>
      <c r="C2809" t="s">
        <v>8</v>
      </c>
      <c r="D2809" t="s">
        <v>958</v>
      </c>
      <c r="E2809" s="4">
        <v>35.76</v>
      </c>
      <c r="F2809" t="s">
        <v>15</v>
      </c>
      <c r="G2809" s="10" t="str">
        <f>TEXT(Transform_Data[[#This Row],[Date]],"mmm yyyy")</f>
        <v>Jan 2025</v>
      </c>
      <c r="H2809" s="10">
        <f>HOUR(Transform_Data[[#This Row],[Time]])</f>
        <v>17</v>
      </c>
      <c r="I2809" s="10" t="str">
        <f>IF(COUNTIF('Transform Data'!$D:$D,'Transform Data'!D2809)&gt;1,"Repeat","Single")</f>
        <v>Repeat</v>
      </c>
      <c r="J2809" s="10" t="str">
        <f>IF('Transform Data'!D2809="Cash","Cash",IF(COUNTIF('Transform Data'!$D:$D,'Transform Data'!D2809)&gt;1,"Repeat","Single"))</f>
        <v>Repeat</v>
      </c>
      <c r="K2809" s="10" t="str">
        <f t="shared" si="43"/>
        <v>TRANS-2808</v>
      </c>
    </row>
    <row r="2810" spans="1:11" x14ac:dyDescent="0.35">
      <c r="A2810" s="5">
        <v>45674</v>
      </c>
      <c r="B2810" s="3">
        <v>0.89048611111111109</v>
      </c>
      <c r="C2810" t="s">
        <v>8</v>
      </c>
      <c r="D2810" t="s">
        <v>929</v>
      </c>
      <c r="E2810" s="4">
        <v>35.76</v>
      </c>
      <c r="F2810" t="s">
        <v>15</v>
      </c>
      <c r="G2810" s="10" t="str">
        <f>TEXT(Transform_Data[[#This Row],[Date]],"mmm yyyy")</f>
        <v>Jan 2025</v>
      </c>
      <c r="H2810" s="10">
        <f>HOUR(Transform_Data[[#This Row],[Time]])</f>
        <v>21</v>
      </c>
      <c r="I2810" s="10" t="str">
        <f>IF(COUNTIF('Transform Data'!$D:$D,'Transform Data'!D2810)&gt;1,"Repeat","Single")</f>
        <v>Repeat</v>
      </c>
      <c r="J2810" s="10" t="str">
        <f>IF('Transform Data'!D2810="Cash","Cash",IF(COUNTIF('Transform Data'!$D:$D,'Transform Data'!D2810)&gt;1,"Repeat","Single"))</f>
        <v>Repeat</v>
      </c>
      <c r="K2810" s="10" t="str">
        <f t="shared" si="43"/>
        <v>TRANS-2809</v>
      </c>
    </row>
    <row r="2811" spans="1:11" x14ac:dyDescent="0.35">
      <c r="A2811" s="5">
        <v>45675</v>
      </c>
      <c r="B2811" s="3">
        <v>0.4254398148148148</v>
      </c>
      <c r="C2811" t="s">
        <v>8</v>
      </c>
      <c r="D2811" t="s">
        <v>1134</v>
      </c>
      <c r="E2811" s="4">
        <v>30.86</v>
      </c>
      <c r="F2811" t="s">
        <v>36</v>
      </c>
      <c r="G2811" s="10" t="str">
        <f>TEXT(Transform_Data[[#This Row],[Date]],"mmm yyyy")</f>
        <v>Jan 2025</v>
      </c>
      <c r="H2811" s="10">
        <f>HOUR(Transform_Data[[#This Row],[Time]])</f>
        <v>10</v>
      </c>
      <c r="I2811" s="10" t="str">
        <f>IF(COUNTIF('Transform Data'!$D:$D,'Transform Data'!D2811)&gt;1,"Repeat","Single")</f>
        <v>Repeat</v>
      </c>
      <c r="J2811" s="10" t="str">
        <f>IF('Transform Data'!D2811="Cash","Cash",IF(COUNTIF('Transform Data'!$D:$D,'Transform Data'!D2811)&gt;1,"Repeat","Single"))</f>
        <v>Repeat</v>
      </c>
      <c r="K2811" s="10" t="str">
        <f t="shared" si="43"/>
        <v>TRANS-2810</v>
      </c>
    </row>
    <row r="2812" spans="1:11" x14ac:dyDescent="0.35">
      <c r="A2812" s="5">
        <v>45675</v>
      </c>
      <c r="B2812" s="3">
        <v>0.69004629629629632</v>
      </c>
      <c r="C2812" t="s">
        <v>8</v>
      </c>
      <c r="D2812" t="s">
        <v>21</v>
      </c>
      <c r="E2812" s="4">
        <v>35.76</v>
      </c>
      <c r="F2812" t="s">
        <v>15</v>
      </c>
      <c r="G2812" s="10" t="str">
        <f>TEXT(Transform_Data[[#This Row],[Date]],"mmm yyyy")</f>
        <v>Jan 2025</v>
      </c>
      <c r="H2812" s="10">
        <f>HOUR(Transform_Data[[#This Row],[Time]])</f>
        <v>16</v>
      </c>
      <c r="I2812" s="10" t="str">
        <f>IF(COUNTIF('Transform Data'!$D:$D,'Transform Data'!D2812)&gt;1,"Repeat","Single")</f>
        <v>Repeat</v>
      </c>
      <c r="J2812" s="10" t="str">
        <f>IF('Transform Data'!D2812="Cash","Cash",IF(COUNTIF('Transform Data'!$D:$D,'Transform Data'!D2812)&gt;1,"Repeat","Single"))</f>
        <v>Repeat</v>
      </c>
      <c r="K2812" s="10" t="str">
        <f t="shared" si="43"/>
        <v>TRANS-2811</v>
      </c>
    </row>
    <row r="2813" spans="1:11" x14ac:dyDescent="0.35">
      <c r="A2813" s="5">
        <v>45675</v>
      </c>
      <c r="B2813" s="3">
        <v>0.69113425925925931</v>
      </c>
      <c r="C2813" t="s">
        <v>8</v>
      </c>
      <c r="D2813" t="s">
        <v>21</v>
      </c>
      <c r="E2813" s="4">
        <v>35.76</v>
      </c>
      <c r="F2813" t="s">
        <v>32</v>
      </c>
      <c r="G2813" s="10" t="str">
        <f>TEXT(Transform_Data[[#This Row],[Date]],"mmm yyyy")</f>
        <v>Jan 2025</v>
      </c>
      <c r="H2813" s="10">
        <f>HOUR(Transform_Data[[#This Row],[Time]])</f>
        <v>16</v>
      </c>
      <c r="I2813" s="10" t="str">
        <f>IF(COUNTIF('Transform Data'!$D:$D,'Transform Data'!D2813)&gt;1,"Repeat","Single")</f>
        <v>Repeat</v>
      </c>
      <c r="J2813" s="10" t="str">
        <f>IF('Transform Data'!D2813="Cash","Cash",IF(COUNTIF('Transform Data'!$D:$D,'Transform Data'!D2813)&gt;1,"Repeat","Single"))</f>
        <v>Repeat</v>
      </c>
      <c r="K2813" s="10" t="str">
        <f t="shared" si="43"/>
        <v>TRANS-2812</v>
      </c>
    </row>
    <row r="2814" spans="1:11" x14ac:dyDescent="0.35">
      <c r="A2814" s="5">
        <v>45675</v>
      </c>
      <c r="B2814" s="3">
        <v>0.69199074074074074</v>
      </c>
      <c r="C2814" t="s">
        <v>8</v>
      </c>
      <c r="D2814" t="s">
        <v>21</v>
      </c>
      <c r="E2814" s="4">
        <v>35.76</v>
      </c>
      <c r="F2814" t="s">
        <v>15</v>
      </c>
      <c r="G2814" s="10" t="str">
        <f>TEXT(Transform_Data[[#This Row],[Date]],"mmm yyyy")</f>
        <v>Jan 2025</v>
      </c>
      <c r="H2814" s="10">
        <f>HOUR(Transform_Data[[#This Row],[Time]])</f>
        <v>16</v>
      </c>
      <c r="I2814" s="10" t="str">
        <f>IF(COUNTIF('Transform Data'!$D:$D,'Transform Data'!D2814)&gt;1,"Repeat","Single")</f>
        <v>Repeat</v>
      </c>
      <c r="J2814" s="10" t="str">
        <f>IF('Transform Data'!D2814="Cash","Cash",IF(COUNTIF('Transform Data'!$D:$D,'Transform Data'!D2814)&gt;1,"Repeat","Single"))</f>
        <v>Repeat</v>
      </c>
      <c r="K2814" s="10" t="str">
        <f t="shared" si="43"/>
        <v>TRANS-2813</v>
      </c>
    </row>
    <row r="2815" spans="1:11" x14ac:dyDescent="0.35">
      <c r="A2815" s="5">
        <v>45677</v>
      </c>
      <c r="B2815" s="3">
        <v>0.35401620370370368</v>
      </c>
      <c r="C2815" t="s">
        <v>8</v>
      </c>
      <c r="D2815" t="s">
        <v>43</v>
      </c>
      <c r="E2815" s="4">
        <v>30.86</v>
      </c>
      <c r="F2815" t="s">
        <v>36</v>
      </c>
      <c r="G2815" s="10" t="str">
        <f>TEXT(Transform_Data[[#This Row],[Date]],"mmm yyyy")</f>
        <v>Jan 2025</v>
      </c>
      <c r="H2815" s="10">
        <f>HOUR(Transform_Data[[#This Row],[Time]])</f>
        <v>8</v>
      </c>
      <c r="I2815" s="10" t="str">
        <f>IF(COUNTIF('Transform Data'!$D:$D,'Transform Data'!D2815)&gt;1,"Repeat","Single")</f>
        <v>Repeat</v>
      </c>
      <c r="J2815" s="10" t="str">
        <f>IF('Transform Data'!D2815="Cash","Cash",IF(COUNTIF('Transform Data'!$D:$D,'Transform Data'!D2815)&gt;1,"Repeat","Single"))</f>
        <v>Repeat</v>
      </c>
      <c r="K2815" s="10" t="str">
        <f t="shared" si="43"/>
        <v>TRANS-2814</v>
      </c>
    </row>
    <row r="2816" spans="1:11" x14ac:dyDescent="0.35">
      <c r="A2816" s="5">
        <v>45677</v>
      </c>
      <c r="B2816" s="3">
        <v>0.45653935185185185</v>
      </c>
      <c r="C2816" t="s">
        <v>8</v>
      </c>
      <c r="D2816" t="s">
        <v>29</v>
      </c>
      <c r="E2816" s="4">
        <v>30.86</v>
      </c>
      <c r="F2816" t="s">
        <v>36</v>
      </c>
      <c r="G2816" s="10" t="str">
        <f>TEXT(Transform_Data[[#This Row],[Date]],"mmm yyyy")</f>
        <v>Jan 2025</v>
      </c>
      <c r="H2816" s="10">
        <f>HOUR(Transform_Data[[#This Row],[Time]])</f>
        <v>10</v>
      </c>
      <c r="I2816" s="10" t="str">
        <f>IF(COUNTIF('Transform Data'!$D:$D,'Transform Data'!D2816)&gt;1,"Repeat","Single")</f>
        <v>Repeat</v>
      </c>
      <c r="J2816" s="10" t="str">
        <f>IF('Transform Data'!D2816="Cash","Cash",IF(COUNTIF('Transform Data'!$D:$D,'Transform Data'!D2816)&gt;1,"Repeat","Single"))</f>
        <v>Repeat</v>
      </c>
      <c r="K2816" s="10" t="str">
        <f t="shared" si="43"/>
        <v>TRANS-2815</v>
      </c>
    </row>
    <row r="2817" spans="1:11" x14ac:dyDescent="0.35">
      <c r="A2817" s="5">
        <v>45677</v>
      </c>
      <c r="B2817" s="3">
        <v>0.48638888888888887</v>
      </c>
      <c r="C2817" t="s">
        <v>8</v>
      </c>
      <c r="D2817" t="s">
        <v>40</v>
      </c>
      <c r="E2817" s="4">
        <v>25.96</v>
      </c>
      <c r="F2817" t="s">
        <v>20</v>
      </c>
      <c r="G2817" s="10" t="str">
        <f>TEXT(Transform_Data[[#This Row],[Date]],"mmm yyyy")</f>
        <v>Jan 2025</v>
      </c>
      <c r="H2817" s="10">
        <f>HOUR(Transform_Data[[#This Row],[Time]])</f>
        <v>11</v>
      </c>
      <c r="I2817" s="10" t="str">
        <f>IF(COUNTIF('Transform Data'!$D:$D,'Transform Data'!D2817)&gt;1,"Repeat","Single")</f>
        <v>Repeat</v>
      </c>
      <c r="J2817" s="10" t="str">
        <f>IF('Transform Data'!D2817="Cash","Cash",IF(COUNTIF('Transform Data'!$D:$D,'Transform Data'!D2817)&gt;1,"Repeat","Single"))</f>
        <v>Repeat</v>
      </c>
      <c r="K2817" s="10" t="str">
        <f t="shared" si="43"/>
        <v>TRANS-2816</v>
      </c>
    </row>
    <row r="2818" spans="1:11" x14ac:dyDescent="0.35">
      <c r="A2818" s="5">
        <v>45677</v>
      </c>
      <c r="B2818" s="3">
        <v>0.50334490740740745</v>
      </c>
      <c r="C2818" t="s">
        <v>8</v>
      </c>
      <c r="D2818" t="s">
        <v>1162</v>
      </c>
      <c r="E2818" s="4">
        <v>25.96</v>
      </c>
      <c r="F2818" t="s">
        <v>28</v>
      </c>
      <c r="G2818" s="10" t="str">
        <f>TEXT(Transform_Data[[#This Row],[Date]],"mmm yyyy")</f>
        <v>Jan 2025</v>
      </c>
      <c r="H2818" s="10">
        <f>HOUR(Transform_Data[[#This Row],[Time]])</f>
        <v>12</v>
      </c>
      <c r="I2818" s="10" t="str">
        <f>IF(COUNTIF('Transform Data'!$D:$D,'Transform Data'!D2818)&gt;1,"Repeat","Single")</f>
        <v>Repeat</v>
      </c>
      <c r="J2818" s="10" t="str">
        <f>IF('Transform Data'!D2818="Cash","Cash",IF(COUNTIF('Transform Data'!$D:$D,'Transform Data'!D2818)&gt;1,"Repeat","Single"))</f>
        <v>Repeat</v>
      </c>
      <c r="K2818" s="10" t="str">
        <f t="shared" ref="K2818:K2881" si="44">"TRANS-"&amp;TEXT(ROW(A2817),"0000")</f>
        <v>TRANS-2817</v>
      </c>
    </row>
    <row r="2819" spans="1:11" x14ac:dyDescent="0.35">
      <c r="A2819" s="5">
        <v>45677</v>
      </c>
      <c r="B2819" s="3">
        <v>0.50416666666666665</v>
      </c>
      <c r="C2819" t="s">
        <v>8</v>
      </c>
      <c r="D2819" t="s">
        <v>1162</v>
      </c>
      <c r="E2819" s="4">
        <v>25.96</v>
      </c>
      <c r="F2819" t="s">
        <v>20</v>
      </c>
      <c r="G2819" s="10" t="str">
        <f>TEXT(Transform_Data[[#This Row],[Date]],"mmm yyyy")</f>
        <v>Jan 2025</v>
      </c>
      <c r="H2819" s="10">
        <f>HOUR(Transform_Data[[#This Row],[Time]])</f>
        <v>12</v>
      </c>
      <c r="I2819" s="10" t="str">
        <f>IF(COUNTIF('Transform Data'!$D:$D,'Transform Data'!D2819)&gt;1,"Repeat","Single")</f>
        <v>Repeat</v>
      </c>
      <c r="J2819" s="10" t="str">
        <f>IF('Transform Data'!D2819="Cash","Cash",IF(COUNTIF('Transform Data'!$D:$D,'Transform Data'!D2819)&gt;1,"Repeat","Single"))</f>
        <v>Repeat</v>
      </c>
      <c r="K2819" s="10" t="str">
        <f t="shared" si="44"/>
        <v>TRANS-2818</v>
      </c>
    </row>
    <row r="2820" spans="1:11" x14ac:dyDescent="0.35">
      <c r="A2820" s="5">
        <v>45677</v>
      </c>
      <c r="B2820" s="3">
        <v>0.57307870370370373</v>
      </c>
      <c r="C2820" t="s">
        <v>8</v>
      </c>
      <c r="D2820" t="s">
        <v>1163</v>
      </c>
      <c r="E2820" s="4">
        <v>30.86</v>
      </c>
      <c r="F2820" t="s">
        <v>36</v>
      </c>
      <c r="G2820" s="10" t="str">
        <f>TEXT(Transform_Data[[#This Row],[Date]],"mmm yyyy")</f>
        <v>Jan 2025</v>
      </c>
      <c r="H2820" s="10">
        <f>HOUR(Transform_Data[[#This Row],[Time]])</f>
        <v>13</v>
      </c>
      <c r="I2820" s="10" t="str">
        <f>IF(COUNTIF('Transform Data'!$D:$D,'Transform Data'!D2820)&gt;1,"Repeat","Single")</f>
        <v>Single</v>
      </c>
      <c r="J2820" s="10" t="str">
        <f>IF('Transform Data'!D2820="Cash","Cash",IF(COUNTIF('Transform Data'!$D:$D,'Transform Data'!D2820)&gt;1,"Repeat","Single"))</f>
        <v>Single</v>
      </c>
      <c r="K2820" s="10" t="str">
        <f t="shared" si="44"/>
        <v>TRANS-2819</v>
      </c>
    </row>
    <row r="2821" spans="1:11" x14ac:dyDescent="0.35">
      <c r="A2821" s="5">
        <v>45677</v>
      </c>
      <c r="B2821" s="3">
        <v>0.83901620370370367</v>
      </c>
      <c r="C2821" t="s">
        <v>8</v>
      </c>
      <c r="D2821" t="s">
        <v>1164</v>
      </c>
      <c r="E2821" s="4">
        <v>35.76</v>
      </c>
      <c r="F2821" t="s">
        <v>15</v>
      </c>
      <c r="G2821" s="10" t="str">
        <f>TEXT(Transform_Data[[#This Row],[Date]],"mmm yyyy")</f>
        <v>Jan 2025</v>
      </c>
      <c r="H2821" s="10">
        <f>HOUR(Transform_Data[[#This Row],[Time]])</f>
        <v>20</v>
      </c>
      <c r="I2821" s="10" t="str">
        <f>IF(COUNTIF('Transform Data'!$D:$D,'Transform Data'!D2821)&gt;1,"Repeat","Single")</f>
        <v>Single</v>
      </c>
      <c r="J2821" s="10" t="str">
        <f>IF('Transform Data'!D2821="Cash","Cash",IF(COUNTIF('Transform Data'!$D:$D,'Transform Data'!D2821)&gt;1,"Repeat","Single"))</f>
        <v>Single</v>
      </c>
      <c r="K2821" s="10" t="str">
        <f t="shared" si="44"/>
        <v>TRANS-2820</v>
      </c>
    </row>
    <row r="2822" spans="1:11" x14ac:dyDescent="0.35">
      <c r="A2822" s="5">
        <v>45677</v>
      </c>
      <c r="B2822" s="3">
        <v>0.85166666666666668</v>
      </c>
      <c r="C2822" t="s">
        <v>8</v>
      </c>
      <c r="D2822" t="s">
        <v>1165</v>
      </c>
      <c r="E2822" s="4">
        <v>35.76</v>
      </c>
      <c r="F2822" t="s">
        <v>24</v>
      </c>
      <c r="G2822" s="10" t="str">
        <f>TEXT(Transform_Data[[#This Row],[Date]],"mmm yyyy")</f>
        <v>Jan 2025</v>
      </c>
      <c r="H2822" s="10">
        <f>HOUR(Transform_Data[[#This Row],[Time]])</f>
        <v>20</v>
      </c>
      <c r="I2822" s="10" t="str">
        <f>IF(COUNTIF('Transform Data'!$D:$D,'Transform Data'!D2822)&gt;1,"Repeat","Single")</f>
        <v>Repeat</v>
      </c>
      <c r="J2822" s="10" t="str">
        <f>IF('Transform Data'!D2822="Cash","Cash",IF(COUNTIF('Transform Data'!$D:$D,'Transform Data'!D2822)&gt;1,"Repeat","Single"))</f>
        <v>Repeat</v>
      </c>
      <c r="K2822" s="10" t="str">
        <f t="shared" si="44"/>
        <v>TRANS-2821</v>
      </c>
    </row>
    <row r="2823" spans="1:11" x14ac:dyDescent="0.35">
      <c r="A2823" s="5">
        <v>45677</v>
      </c>
      <c r="B2823" s="3">
        <v>0.85240740740740739</v>
      </c>
      <c r="C2823" t="s">
        <v>8</v>
      </c>
      <c r="D2823" t="s">
        <v>1165</v>
      </c>
      <c r="E2823" s="4">
        <v>35.76</v>
      </c>
      <c r="F2823" t="s">
        <v>24</v>
      </c>
      <c r="G2823" s="10" t="str">
        <f>TEXT(Transform_Data[[#This Row],[Date]],"mmm yyyy")</f>
        <v>Jan 2025</v>
      </c>
      <c r="H2823" s="10">
        <f>HOUR(Transform_Data[[#This Row],[Time]])</f>
        <v>20</v>
      </c>
      <c r="I2823" s="10" t="str">
        <f>IF(COUNTIF('Transform Data'!$D:$D,'Transform Data'!D2823)&gt;1,"Repeat","Single")</f>
        <v>Repeat</v>
      </c>
      <c r="J2823" s="10" t="str">
        <f>IF('Transform Data'!D2823="Cash","Cash",IF(COUNTIF('Transform Data'!$D:$D,'Transform Data'!D2823)&gt;1,"Repeat","Single"))</f>
        <v>Repeat</v>
      </c>
      <c r="K2823" s="10" t="str">
        <f t="shared" si="44"/>
        <v>TRANS-2822</v>
      </c>
    </row>
    <row r="2824" spans="1:11" x14ac:dyDescent="0.35">
      <c r="A2824" s="5">
        <v>45677</v>
      </c>
      <c r="B2824" s="3">
        <v>0.88454861111111116</v>
      </c>
      <c r="C2824" t="s">
        <v>8</v>
      </c>
      <c r="D2824" t="s">
        <v>1166</v>
      </c>
      <c r="E2824" s="4">
        <v>35.76</v>
      </c>
      <c r="F2824" t="s">
        <v>32</v>
      </c>
      <c r="G2824" s="10" t="str">
        <f>TEXT(Transform_Data[[#This Row],[Date]],"mmm yyyy")</f>
        <v>Jan 2025</v>
      </c>
      <c r="H2824" s="10">
        <f>HOUR(Transform_Data[[#This Row],[Time]])</f>
        <v>21</v>
      </c>
      <c r="I2824" s="10" t="str">
        <f>IF(COUNTIF('Transform Data'!$D:$D,'Transform Data'!D2824)&gt;1,"Repeat","Single")</f>
        <v>Single</v>
      </c>
      <c r="J2824" s="10" t="str">
        <f>IF('Transform Data'!D2824="Cash","Cash",IF(COUNTIF('Transform Data'!$D:$D,'Transform Data'!D2824)&gt;1,"Repeat","Single"))</f>
        <v>Single</v>
      </c>
      <c r="K2824" s="10" t="str">
        <f t="shared" si="44"/>
        <v>TRANS-2823</v>
      </c>
    </row>
    <row r="2825" spans="1:11" x14ac:dyDescent="0.35">
      <c r="A2825" s="5">
        <v>45678</v>
      </c>
      <c r="B2825" s="3">
        <v>0.33685185185185185</v>
      </c>
      <c r="C2825" t="s">
        <v>8</v>
      </c>
      <c r="D2825" t="s">
        <v>1062</v>
      </c>
      <c r="E2825" s="4">
        <v>35.76</v>
      </c>
      <c r="F2825" t="s">
        <v>10</v>
      </c>
      <c r="G2825" s="10" t="str">
        <f>TEXT(Transform_Data[[#This Row],[Date]],"mmm yyyy")</f>
        <v>Jan 2025</v>
      </c>
      <c r="H2825" s="10">
        <f>HOUR(Transform_Data[[#This Row],[Time]])</f>
        <v>8</v>
      </c>
      <c r="I2825" s="10" t="str">
        <f>IF(COUNTIF('Transform Data'!$D:$D,'Transform Data'!D2825)&gt;1,"Repeat","Single")</f>
        <v>Repeat</v>
      </c>
      <c r="J2825" s="10" t="str">
        <f>IF('Transform Data'!D2825="Cash","Cash",IF(COUNTIF('Transform Data'!$D:$D,'Transform Data'!D2825)&gt;1,"Repeat","Single"))</f>
        <v>Repeat</v>
      </c>
      <c r="K2825" s="10" t="str">
        <f t="shared" si="44"/>
        <v>TRANS-2824</v>
      </c>
    </row>
    <row r="2826" spans="1:11" x14ac:dyDescent="0.35">
      <c r="A2826" s="5">
        <v>45678</v>
      </c>
      <c r="B2826" s="3">
        <v>0.34605324074074073</v>
      </c>
      <c r="C2826" t="s">
        <v>8</v>
      </c>
      <c r="D2826" t="s">
        <v>40</v>
      </c>
      <c r="E2826" s="4">
        <v>25.96</v>
      </c>
      <c r="F2826" t="s">
        <v>20</v>
      </c>
      <c r="G2826" s="10" t="str">
        <f>TEXT(Transform_Data[[#This Row],[Date]],"mmm yyyy")</f>
        <v>Jan 2025</v>
      </c>
      <c r="H2826" s="10">
        <f>HOUR(Transform_Data[[#This Row],[Time]])</f>
        <v>8</v>
      </c>
      <c r="I2826" s="10" t="str">
        <f>IF(COUNTIF('Transform Data'!$D:$D,'Transform Data'!D2826)&gt;1,"Repeat","Single")</f>
        <v>Repeat</v>
      </c>
      <c r="J2826" s="10" t="str">
        <f>IF('Transform Data'!D2826="Cash","Cash",IF(COUNTIF('Transform Data'!$D:$D,'Transform Data'!D2826)&gt;1,"Repeat","Single"))</f>
        <v>Repeat</v>
      </c>
      <c r="K2826" s="10" t="str">
        <f t="shared" si="44"/>
        <v>TRANS-2825</v>
      </c>
    </row>
    <row r="2827" spans="1:11" x14ac:dyDescent="0.35">
      <c r="A2827" s="5">
        <v>45678</v>
      </c>
      <c r="B2827" s="3">
        <v>0.34685185185185186</v>
      </c>
      <c r="C2827" t="s">
        <v>8</v>
      </c>
      <c r="D2827" t="s">
        <v>1134</v>
      </c>
      <c r="E2827" s="4">
        <v>30.86</v>
      </c>
      <c r="F2827" t="s">
        <v>36</v>
      </c>
      <c r="G2827" s="10" t="str">
        <f>TEXT(Transform_Data[[#This Row],[Date]],"mmm yyyy")</f>
        <v>Jan 2025</v>
      </c>
      <c r="H2827" s="10">
        <f>HOUR(Transform_Data[[#This Row],[Time]])</f>
        <v>8</v>
      </c>
      <c r="I2827" s="10" t="str">
        <f>IF(COUNTIF('Transform Data'!$D:$D,'Transform Data'!D2827)&gt;1,"Repeat","Single")</f>
        <v>Repeat</v>
      </c>
      <c r="J2827" s="10" t="str">
        <f>IF('Transform Data'!D2827="Cash","Cash",IF(COUNTIF('Transform Data'!$D:$D,'Transform Data'!D2827)&gt;1,"Repeat","Single"))</f>
        <v>Repeat</v>
      </c>
      <c r="K2827" s="10" t="str">
        <f t="shared" si="44"/>
        <v>TRANS-2826</v>
      </c>
    </row>
    <row r="2828" spans="1:11" x14ac:dyDescent="0.35">
      <c r="A2828" s="5">
        <v>45678</v>
      </c>
      <c r="B2828" s="3">
        <v>0.64949074074074076</v>
      </c>
      <c r="C2828" t="s">
        <v>8</v>
      </c>
      <c r="D2828" t="s">
        <v>1167</v>
      </c>
      <c r="E2828" s="4">
        <v>25.96</v>
      </c>
      <c r="F2828" t="s">
        <v>28</v>
      </c>
      <c r="G2828" s="10" t="str">
        <f>TEXT(Transform_Data[[#This Row],[Date]],"mmm yyyy")</f>
        <v>Jan 2025</v>
      </c>
      <c r="H2828" s="10">
        <f>HOUR(Transform_Data[[#This Row],[Time]])</f>
        <v>15</v>
      </c>
      <c r="I2828" s="10" t="str">
        <f>IF(COUNTIF('Transform Data'!$D:$D,'Transform Data'!D2828)&gt;1,"Repeat","Single")</f>
        <v>Single</v>
      </c>
      <c r="J2828" s="10" t="str">
        <f>IF('Transform Data'!D2828="Cash","Cash",IF(COUNTIF('Transform Data'!$D:$D,'Transform Data'!D2828)&gt;1,"Repeat","Single"))</f>
        <v>Single</v>
      </c>
      <c r="K2828" s="10" t="str">
        <f t="shared" si="44"/>
        <v>TRANS-2827</v>
      </c>
    </row>
    <row r="2829" spans="1:11" x14ac:dyDescent="0.35">
      <c r="A2829" s="5">
        <v>45678</v>
      </c>
      <c r="B2829" s="3">
        <v>0.77259259259259261</v>
      </c>
      <c r="C2829" t="s">
        <v>8</v>
      </c>
      <c r="D2829" t="s">
        <v>1168</v>
      </c>
      <c r="E2829" s="4">
        <v>35.76</v>
      </c>
      <c r="F2829" t="s">
        <v>15</v>
      </c>
      <c r="G2829" s="10" t="str">
        <f>TEXT(Transform_Data[[#This Row],[Date]],"mmm yyyy")</f>
        <v>Jan 2025</v>
      </c>
      <c r="H2829" s="10">
        <f>HOUR(Transform_Data[[#This Row],[Time]])</f>
        <v>18</v>
      </c>
      <c r="I2829" s="10" t="str">
        <f>IF(COUNTIF('Transform Data'!$D:$D,'Transform Data'!D2829)&gt;1,"Repeat","Single")</f>
        <v>Single</v>
      </c>
      <c r="J2829" s="10" t="str">
        <f>IF('Transform Data'!D2829="Cash","Cash",IF(COUNTIF('Transform Data'!$D:$D,'Transform Data'!D2829)&gt;1,"Repeat","Single"))</f>
        <v>Single</v>
      </c>
      <c r="K2829" s="10" t="str">
        <f t="shared" si="44"/>
        <v>TRANS-2828</v>
      </c>
    </row>
    <row r="2830" spans="1:11" x14ac:dyDescent="0.35">
      <c r="A2830" s="5">
        <v>45678</v>
      </c>
      <c r="B2830" s="3">
        <v>0.78765046296296293</v>
      </c>
      <c r="C2830" t="s">
        <v>8</v>
      </c>
      <c r="D2830" t="s">
        <v>386</v>
      </c>
      <c r="E2830" s="4">
        <v>35.76</v>
      </c>
      <c r="F2830" t="s">
        <v>32</v>
      </c>
      <c r="G2830" s="10" t="str">
        <f>TEXT(Transform_Data[[#This Row],[Date]],"mmm yyyy")</f>
        <v>Jan 2025</v>
      </c>
      <c r="H2830" s="10">
        <f>HOUR(Transform_Data[[#This Row],[Time]])</f>
        <v>18</v>
      </c>
      <c r="I2830" s="10" t="str">
        <f>IF(COUNTIF('Transform Data'!$D:$D,'Transform Data'!D2830)&gt;1,"Repeat","Single")</f>
        <v>Repeat</v>
      </c>
      <c r="J2830" s="10" t="str">
        <f>IF('Transform Data'!D2830="Cash","Cash",IF(COUNTIF('Transform Data'!$D:$D,'Transform Data'!D2830)&gt;1,"Repeat","Single"))</f>
        <v>Repeat</v>
      </c>
      <c r="K2830" s="10" t="str">
        <f t="shared" si="44"/>
        <v>TRANS-2829</v>
      </c>
    </row>
    <row r="2831" spans="1:11" x14ac:dyDescent="0.35">
      <c r="A2831" s="5">
        <v>45678</v>
      </c>
      <c r="B2831" s="3">
        <v>0.7890625</v>
      </c>
      <c r="C2831" t="s">
        <v>8</v>
      </c>
      <c r="D2831" t="s">
        <v>386</v>
      </c>
      <c r="E2831" s="4">
        <v>35.76</v>
      </c>
      <c r="F2831" t="s">
        <v>32</v>
      </c>
      <c r="G2831" s="10" t="str">
        <f>TEXT(Transform_Data[[#This Row],[Date]],"mmm yyyy")</f>
        <v>Jan 2025</v>
      </c>
      <c r="H2831" s="10">
        <f>HOUR(Transform_Data[[#This Row],[Time]])</f>
        <v>18</v>
      </c>
      <c r="I2831" s="10" t="str">
        <f>IF(COUNTIF('Transform Data'!$D:$D,'Transform Data'!D2831)&gt;1,"Repeat","Single")</f>
        <v>Repeat</v>
      </c>
      <c r="J2831" s="10" t="str">
        <f>IF('Transform Data'!D2831="Cash","Cash",IF(COUNTIF('Transform Data'!$D:$D,'Transform Data'!D2831)&gt;1,"Repeat","Single"))</f>
        <v>Repeat</v>
      </c>
      <c r="K2831" s="10" t="str">
        <f t="shared" si="44"/>
        <v>TRANS-2830</v>
      </c>
    </row>
    <row r="2832" spans="1:11" x14ac:dyDescent="0.35">
      <c r="A2832" s="5">
        <v>45678</v>
      </c>
      <c r="B2832" s="3">
        <v>0.80232638888888885</v>
      </c>
      <c r="C2832" t="s">
        <v>8</v>
      </c>
      <c r="D2832" t="s">
        <v>6</v>
      </c>
      <c r="E2832" s="4">
        <v>25.96</v>
      </c>
      <c r="F2832" t="s">
        <v>28</v>
      </c>
      <c r="G2832" s="10" t="str">
        <f>TEXT(Transform_Data[[#This Row],[Date]],"mmm yyyy")</f>
        <v>Jan 2025</v>
      </c>
      <c r="H2832" s="10">
        <f>HOUR(Transform_Data[[#This Row],[Time]])</f>
        <v>19</v>
      </c>
      <c r="I2832" s="10" t="str">
        <f>IF(COUNTIF('Transform Data'!$D:$D,'Transform Data'!D2832)&gt;1,"Repeat","Single")</f>
        <v>Repeat</v>
      </c>
      <c r="J2832" s="10" t="str">
        <f>IF('Transform Data'!D2832="Cash","Cash",IF(COUNTIF('Transform Data'!$D:$D,'Transform Data'!D2832)&gt;1,"Repeat","Single"))</f>
        <v>Repeat</v>
      </c>
      <c r="K2832" s="10" t="str">
        <f t="shared" si="44"/>
        <v>TRANS-2831</v>
      </c>
    </row>
    <row r="2833" spans="1:11" x14ac:dyDescent="0.35">
      <c r="A2833" s="5">
        <v>45679</v>
      </c>
      <c r="B2833" s="3">
        <v>0.47552083333333334</v>
      </c>
      <c r="C2833" t="s">
        <v>8</v>
      </c>
      <c r="D2833" t="s">
        <v>1169</v>
      </c>
      <c r="E2833" s="4">
        <v>21.06</v>
      </c>
      <c r="F2833" t="s">
        <v>5</v>
      </c>
      <c r="G2833" s="10" t="str">
        <f>TEXT(Transform_Data[[#This Row],[Date]],"mmm yyyy")</f>
        <v>Jan 2025</v>
      </c>
      <c r="H2833" s="10">
        <f>HOUR(Transform_Data[[#This Row],[Time]])</f>
        <v>11</v>
      </c>
      <c r="I2833" s="10" t="str">
        <f>IF(COUNTIF('Transform Data'!$D:$D,'Transform Data'!D2833)&gt;1,"Repeat","Single")</f>
        <v>Single</v>
      </c>
      <c r="J2833" s="10" t="str">
        <f>IF('Transform Data'!D2833="Cash","Cash",IF(COUNTIF('Transform Data'!$D:$D,'Transform Data'!D2833)&gt;1,"Repeat","Single"))</f>
        <v>Single</v>
      </c>
      <c r="K2833" s="10" t="str">
        <f t="shared" si="44"/>
        <v>TRANS-2832</v>
      </c>
    </row>
    <row r="2834" spans="1:11" x14ac:dyDescent="0.35">
      <c r="A2834" s="5">
        <v>45679</v>
      </c>
      <c r="B2834" s="3">
        <v>0.73062499999999997</v>
      </c>
      <c r="C2834" t="s">
        <v>8</v>
      </c>
      <c r="D2834" t="s">
        <v>516</v>
      </c>
      <c r="E2834" s="4">
        <v>30.86</v>
      </c>
      <c r="F2834" t="s">
        <v>36</v>
      </c>
      <c r="G2834" s="10" t="str">
        <f>TEXT(Transform_Data[[#This Row],[Date]],"mmm yyyy")</f>
        <v>Jan 2025</v>
      </c>
      <c r="H2834" s="10">
        <f>HOUR(Transform_Data[[#This Row],[Time]])</f>
        <v>17</v>
      </c>
      <c r="I2834" s="10" t="str">
        <f>IF(COUNTIF('Transform Data'!$D:$D,'Transform Data'!D2834)&gt;1,"Repeat","Single")</f>
        <v>Repeat</v>
      </c>
      <c r="J2834" s="10" t="str">
        <f>IF('Transform Data'!D2834="Cash","Cash",IF(COUNTIF('Transform Data'!$D:$D,'Transform Data'!D2834)&gt;1,"Repeat","Single"))</f>
        <v>Repeat</v>
      </c>
      <c r="K2834" s="10" t="str">
        <f t="shared" si="44"/>
        <v>TRANS-2833</v>
      </c>
    </row>
    <row r="2835" spans="1:11" x14ac:dyDescent="0.35">
      <c r="A2835" s="5">
        <v>45679</v>
      </c>
      <c r="B2835" s="3">
        <v>0.78471064814814817</v>
      </c>
      <c r="C2835" t="s">
        <v>8</v>
      </c>
      <c r="D2835" t="s">
        <v>1170</v>
      </c>
      <c r="E2835" s="4">
        <v>35.76</v>
      </c>
      <c r="F2835" t="s">
        <v>10</v>
      </c>
      <c r="G2835" s="10" t="str">
        <f>TEXT(Transform_Data[[#This Row],[Date]],"mmm yyyy")</f>
        <v>Jan 2025</v>
      </c>
      <c r="H2835" s="10">
        <f>HOUR(Transform_Data[[#This Row],[Time]])</f>
        <v>18</v>
      </c>
      <c r="I2835" s="10" t="str">
        <f>IF(COUNTIF('Transform Data'!$D:$D,'Transform Data'!D2835)&gt;1,"Repeat","Single")</f>
        <v>Single</v>
      </c>
      <c r="J2835" s="10" t="str">
        <f>IF('Transform Data'!D2835="Cash","Cash",IF(COUNTIF('Transform Data'!$D:$D,'Transform Data'!D2835)&gt;1,"Repeat","Single"))</f>
        <v>Single</v>
      </c>
      <c r="K2835" s="10" t="str">
        <f t="shared" si="44"/>
        <v>TRANS-2834</v>
      </c>
    </row>
    <row r="2836" spans="1:11" x14ac:dyDescent="0.35">
      <c r="A2836" s="5">
        <v>45679</v>
      </c>
      <c r="B2836" s="3">
        <v>0.79891203703703706</v>
      </c>
      <c r="C2836" t="s">
        <v>8</v>
      </c>
      <c r="D2836" t="s">
        <v>1103</v>
      </c>
      <c r="E2836" s="4">
        <v>30.86</v>
      </c>
      <c r="F2836" t="s">
        <v>36</v>
      </c>
      <c r="G2836" s="10" t="str">
        <f>TEXT(Transform_Data[[#This Row],[Date]],"mmm yyyy")</f>
        <v>Jan 2025</v>
      </c>
      <c r="H2836" s="10">
        <f>HOUR(Transform_Data[[#This Row],[Time]])</f>
        <v>19</v>
      </c>
      <c r="I2836" s="10" t="str">
        <f>IF(COUNTIF('Transform Data'!$D:$D,'Transform Data'!D2836)&gt;1,"Repeat","Single")</f>
        <v>Repeat</v>
      </c>
      <c r="J2836" s="10" t="str">
        <f>IF('Transform Data'!D2836="Cash","Cash",IF(COUNTIF('Transform Data'!$D:$D,'Transform Data'!D2836)&gt;1,"Repeat","Single"))</f>
        <v>Repeat</v>
      </c>
      <c r="K2836" s="10" t="str">
        <f t="shared" si="44"/>
        <v>TRANS-2835</v>
      </c>
    </row>
    <row r="2837" spans="1:11" x14ac:dyDescent="0.35">
      <c r="A2837" s="5">
        <v>45679</v>
      </c>
      <c r="B2837" s="3">
        <v>0.79957175925925927</v>
      </c>
      <c r="C2837" t="s">
        <v>8</v>
      </c>
      <c r="D2837" t="s">
        <v>1103</v>
      </c>
      <c r="E2837" s="4">
        <v>35.76</v>
      </c>
      <c r="F2837" t="s">
        <v>24</v>
      </c>
      <c r="G2837" s="10" t="str">
        <f>TEXT(Transform_Data[[#This Row],[Date]],"mmm yyyy")</f>
        <v>Jan 2025</v>
      </c>
      <c r="H2837" s="10">
        <f>HOUR(Transform_Data[[#This Row],[Time]])</f>
        <v>19</v>
      </c>
      <c r="I2837" s="10" t="str">
        <f>IF(COUNTIF('Transform Data'!$D:$D,'Transform Data'!D2837)&gt;1,"Repeat","Single")</f>
        <v>Repeat</v>
      </c>
      <c r="J2837" s="10" t="str">
        <f>IF('Transform Data'!D2837="Cash","Cash",IF(COUNTIF('Transform Data'!$D:$D,'Transform Data'!D2837)&gt;1,"Repeat","Single"))</f>
        <v>Repeat</v>
      </c>
      <c r="K2837" s="10" t="str">
        <f t="shared" si="44"/>
        <v>TRANS-2836</v>
      </c>
    </row>
    <row r="2838" spans="1:11" x14ac:dyDescent="0.35">
      <c r="A2838" s="5">
        <v>45679</v>
      </c>
      <c r="B2838" s="3">
        <v>0.8119791666666667</v>
      </c>
      <c r="C2838" t="s">
        <v>8</v>
      </c>
      <c r="D2838" t="s">
        <v>1171</v>
      </c>
      <c r="E2838" s="4">
        <v>35.76</v>
      </c>
      <c r="F2838" t="s">
        <v>32</v>
      </c>
      <c r="G2838" s="10" t="str">
        <f>TEXT(Transform_Data[[#This Row],[Date]],"mmm yyyy")</f>
        <v>Jan 2025</v>
      </c>
      <c r="H2838" s="10">
        <f>HOUR(Transform_Data[[#This Row],[Time]])</f>
        <v>19</v>
      </c>
      <c r="I2838" s="10" t="str">
        <f>IF(COUNTIF('Transform Data'!$D:$D,'Transform Data'!D2838)&gt;1,"Repeat","Single")</f>
        <v>Single</v>
      </c>
      <c r="J2838" s="10" t="str">
        <f>IF('Transform Data'!D2838="Cash","Cash",IF(COUNTIF('Transform Data'!$D:$D,'Transform Data'!D2838)&gt;1,"Repeat","Single"))</f>
        <v>Single</v>
      </c>
      <c r="K2838" s="10" t="str">
        <f t="shared" si="44"/>
        <v>TRANS-2837</v>
      </c>
    </row>
    <row r="2839" spans="1:11" x14ac:dyDescent="0.35">
      <c r="A2839" s="5">
        <v>45679</v>
      </c>
      <c r="B2839" s="3">
        <v>0.84340277777777772</v>
      </c>
      <c r="C2839" t="s">
        <v>8</v>
      </c>
      <c r="D2839" t="s">
        <v>1172</v>
      </c>
      <c r="E2839" s="4">
        <v>30.86</v>
      </c>
      <c r="F2839" t="s">
        <v>36</v>
      </c>
      <c r="G2839" s="10" t="str">
        <f>TEXT(Transform_Data[[#This Row],[Date]],"mmm yyyy")</f>
        <v>Jan 2025</v>
      </c>
      <c r="H2839" s="10">
        <f>HOUR(Transform_Data[[#This Row],[Time]])</f>
        <v>20</v>
      </c>
      <c r="I2839" s="10" t="str">
        <f>IF(COUNTIF('Transform Data'!$D:$D,'Transform Data'!D2839)&gt;1,"Repeat","Single")</f>
        <v>Single</v>
      </c>
      <c r="J2839" s="10" t="str">
        <f>IF('Transform Data'!D2839="Cash","Cash",IF(COUNTIF('Transform Data'!$D:$D,'Transform Data'!D2839)&gt;1,"Repeat","Single"))</f>
        <v>Single</v>
      </c>
      <c r="K2839" s="10" t="str">
        <f t="shared" si="44"/>
        <v>TRANS-2838</v>
      </c>
    </row>
    <row r="2840" spans="1:11" x14ac:dyDescent="0.35">
      <c r="A2840" s="5">
        <v>45681</v>
      </c>
      <c r="B2840" s="3">
        <v>0.57101851851851848</v>
      </c>
      <c r="C2840" t="s">
        <v>8</v>
      </c>
      <c r="D2840" t="s">
        <v>1086</v>
      </c>
      <c r="E2840" s="4">
        <v>35.76</v>
      </c>
      <c r="F2840" t="s">
        <v>24</v>
      </c>
      <c r="G2840" s="10" t="str">
        <f>TEXT(Transform_Data[[#This Row],[Date]],"mmm yyyy")</f>
        <v>Jan 2025</v>
      </c>
      <c r="H2840" s="10">
        <f>HOUR(Transform_Data[[#This Row],[Time]])</f>
        <v>13</v>
      </c>
      <c r="I2840" s="10" t="str">
        <f>IF(COUNTIF('Transform Data'!$D:$D,'Transform Data'!D2840)&gt;1,"Repeat","Single")</f>
        <v>Repeat</v>
      </c>
      <c r="J2840" s="10" t="str">
        <f>IF('Transform Data'!D2840="Cash","Cash",IF(COUNTIF('Transform Data'!$D:$D,'Transform Data'!D2840)&gt;1,"Repeat","Single"))</f>
        <v>Repeat</v>
      </c>
      <c r="K2840" s="10" t="str">
        <f t="shared" si="44"/>
        <v>TRANS-2839</v>
      </c>
    </row>
    <row r="2841" spans="1:11" x14ac:dyDescent="0.35">
      <c r="A2841" s="5">
        <v>45681</v>
      </c>
      <c r="B2841" s="3">
        <v>0.57195601851851852</v>
      </c>
      <c r="C2841" t="s">
        <v>8</v>
      </c>
      <c r="D2841" t="s">
        <v>1086</v>
      </c>
      <c r="E2841" s="4">
        <v>25.96</v>
      </c>
      <c r="F2841" t="s">
        <v>20</v>
      </c>
      <c r="G2841" s="10" t="str">
        <f>TEXT(Transform_Data[[#This Row],[Date]],"mmm yyyy")</f>
        <v>Jan 2025</v>
      </c>
      <c r="H2841" s="10">
        <f>HOUR(Transform_Data[[#This Row],[Time]])</f>
        <v>13</v>
      </c>
      <c r="I2841" s="10" t="str">
        <f>IF(COUNTIF('Transform Data'!$D:$D,'Transform Data'!D2841)&gt;1,"Repeat","Single")</f>
        <v>Repeat</v>
      </c>
      <c r="J2841" s="10" t="str">
        <f>IF('Transform Data'!D2841="Cash","Cash",IF(COUNTIF('Transform Data'!$D:$D,'Transform Data'!D2841)&gt;1,"Repeat","Single"))</f>
        <v>Repeat</v>
      </c>
      <c r="K2841" s="10" t="str">
        <f t="shared" si="44"/>
        <v>TRANS-2840</v>
      </c>
    </row>
    <row r="2842" spans="1:11" x14ac:dyDescent="0.35">
      <c r="A2842" s="5">
        <v>45681</v>
      </c>
      <c r="B2842" s="3">
        <v>0.6448842592592593</v>
      </c>
      <c r="C2842" t="s">
        <v>8</v>
      </c>
      <c r="D2842" t="s">
        <v>1173</v>
      </c>
      <c r="E2842" s="4">
        <v>35.76</v>
      </c>
      <c r="F2842" t="s">
        <v>10</v>
      </c>
      <c r="G2842" s="10" t="str">
        <f>TEXT(Transform_Data[[#This Row],[Date]],"mmm yyyy")</f>
        <v>Jan 2025</v>
      </c>
      <c r="H2842" s="10">
        <f>HOUR(Transform_Data[[#This Row],[Time]])</f>
        <v>15</v>
      </c>
      <c r="I2842" s="10" t="str">
        <f>IF(COUNTIF('Transform Data'!$D:$D,'Transform Data'!D2842)&gt;1,"Repeat","Single")</f>
        <v>Single</v>
      </c>
      <c r="J2842" s="10" t="str">
        <f>IF('Transform Data'!D2842="Cash","Cash",IF(COUNTIF('Transform Data'!$D:$D,'Transform Data'!D2842)&gt;1,"Repeat","Single"))</f>
        <v>Single</v>
      </c>
      <c r="K2842" s="10" t="str">
        <f t="shared" si="44"/>
        <v>TRANS-2841</v>
      </c>
    </row>
    <row r="2843" spans="1:11" x14ac:dyDescent="0.35">
      <c r="A2843" s="5">
        <v>45681</v>
      </c>
      <c r="B2843" s="3">
        <v>0.73737268518518517</v>
      </c>
      <c r="C2843" t="s">
        <v>8</v>
      </c>
      <c r="D2843" t="s">
        <v>1174</v>
      </c>
      <c r="E2843" s="4">
        <v>25.96</v>
      </c>
      <c r="F2843" t="s">
        <v>28</v>
      </c>
      <c r="G2843" s="10" t="str">
        <f>TEXT(Transform_Data[[#This Row],[Date]],"mmm yyyy")</f>
        <v>Jan 2025</v>
      </c>
      <c r="H2843" s="10">
        <f>HOUR(Transform_Data[[#This Row],[Time]])</f>
        <v>17</v>
      </c>
      <c r="I2843" s="10" t="str">
        <f>IF(COUNTIF('Transform Data'!$D:$D,'Transform Data'!D2843)&gt;1,"Repeat","Single")</f>
        <v>Single</v>
      </c>
      <c r="J2843" s="10" t="str">
        <f>IF('Transform Data'!D2843="Cash","Cash",IF(COUNTIF('Transform Data'!$D:$D,'Transform Data'!D2843)&gt;1,"Repeat","Single"))</f>
        <v>Single</v>
      </c>
      <c r="K2843" s="10" t="str">
        <f t="shared" si="44"/>
        <v>TRANS-2842</v>
      </c>
    </row>
    <row r="2844" spans="1:11" x14ac:dyDescent="0.35">
      <c r="A2844" s="5">
        <v>45681</v>
      </c>
      <c r="B2844" s="3">
        <v>0.88641203703703708</v>
      </c>
      <c r="C2844" t="s">
        <v>8</v>
      </c>
      <c r="D2844" t="s">
        <v>1097</v>
      </c>
      <c r="E2844" s="4">
        <v>35.76</v>
      </c>
      <c r="F2844" t="s">
        <v>10</v>
      </c>
      <c r="G2844" s="10" t="str">
        <f>TEXT(Transform_Data[[#This Row],[Date]],"mmm yyyy")</f>
        <v>Jan 2025</v>
      </c>
      <c r="H2844" s="10">
        <f>HOUR(Transform_Data[[#This Row],[Time]])</f>
        <v>21</v>
      </c>
      <c r="I2844" s="10" t="str">
        <f>IF(COUNTIF('Transform Data'!$D:$D,'Transform Data'!D2844)&gt;1,"Repeat","Single")</f>
        <v>Repeat</v>
      </c>
      <c r="J2844" s="10" t="str">
        <f>IF('Transform Data'!D2844="Cash","Cash",IF(COUNTIF('Transform Data'!$D:$D,'Transform Data'!D2844)&gt;1,"Repeat","Single"))</f>
        <v>Repeat</v>
      </c>
      <c r="K2844" s="10" t="str">
        <f t="shared" si="44"/>
        <v>TRANS-2843</v>
      </c>
    </row>
    <row r="2845" spans="1:11" x14ac:dyDescent="0.35">
      <c r="A2845" s="5">
        <v>45681</v>
      </c>
      <c r="B2845" s="3">
        <v>0.93883101851851847</v>
      </c>
      <c r="C2845" t="s">
        <v>8</v>
      </c>
      <c r="D2845" t="s">
        <v>1175</v>
      </c>
      <c r="E2845" s="4">
        <v>35.76</v>
      </c>
      <c r="F2845" t="s">
        <v>15</v>
      </c>
      <c r="G2845" s="10" t="str">
        <f>TEXT(Transform_Data[[#This Row],[Date]],"mmm yyyy")</f>
        <v>Jan 2025</v>
      </c>
      <c r="H2845" s="10">
        <f>HOUR(Transform_Data[[#This Row],[Time]])</f>
        <v>22</v>
      </c>
      <c r="I2845" s="10" t="str">
        <f>IF(COUNTIF('Transform Data'!$D:$D,'Transform Data'!D2845)&gt;1,"Repeat","Single")</f>
        <v>Repeat</v>
      </c>
      <c r="J2845" s="10" t="str">
        <f>IF('Transform Data'!D2845="Cash","Cash",IF(COUNTIF('Transform Data'!$D:$D,'Transform Data'!D2845)&gt;1,"Repeat","Single"))</f>
        <v>Repeat</v>
      </c>
      <c r="K2845" s="10" t="str">
        <f t="shared" si="44"/>
        <v>TRANS-2844</v>
      </c>
    </row>
    <row r="2846" spans="1:11" x14ac:dyDescent="0.35">
      <c r="A2846" s="5">
        <v>45681</v>
      </c>
      <c r="B2846" s="3">
        <v>0.9395486111111111</v>
      </c>
      <c r="C2846" t="s">
        <v>8</v>
      </c>
      <c r="D2846" t="s">
        <v>1175</v>
      </c>
      <c r="E2846" s="4">
        <v>35.76</v>
      </c>
      <c r="F2846" t="s">
        <v>32</v>
      </c>
      <c r="G2846" s="10" t="str">
        <f>TEXT(Transform_Data[[#This Row],[Date]],"mmm yyyy")</f>
        <v>Jan 2025</v>
      </c>
      <c r="H2846" s="10">
        <f>HOUR(Transform_Data[[#This Row],[Time]])</f>
        <v>22</v>
      </c>
      <c r="I2846" s="10" t="str">
        <f>IF(COUNTIF('Transform Data'!$D:$D,'Transform Data'!D2846)&gt;1,"Repeat","Single")</f>
        <v>Repeat</v>
      </c>
      <c r="J2846" s="10" t="str">
        <f>IF('Transform Data'!D2846="Cash","Cash",IF(COUNTIF('Transform Data'!$D:$D,'Transform Data'!D2846)&gt;1,"Repeat","Single"))</f>
        <v>Repeat</v>
      </c>
      <c r="K2846" s="10" t="str">
        <f t="shared" si="44"/>
        <v>TRANS-2845</v>
      </c>
    </row>
    <row r="2847" spans="1:11" x14ac:dyDescent="0.35">
      <c r="A2847" s="5">
        <v>45682</v>
      </c>
      <c r="B2847" s="3">
        <v>0.55629629629629629</v>
      </c>
      <c r="C2847" t="s">
        <v>8</v>
      </c>
      <c r="D2847" t="s">
        <v>1165</v>
      </c>
      <c r="E2847" s="4">
        <v>35.76</v>
      </c>
      <c r="F2847" t="s">
        <v>24</v>
      </c>
      <c r="G2847" s="10" t="str">
        <f>TEXT(Transform_Data[[#This Row],[Date]],"mmm yyyy")</f>
        <v>Jan 2025</v>
      </c>
      <c r="H2847" s="10">
        <f>HOUR(Transform_Data[[#This Row],[Time]])</f>
        <v>13</v>
      </c>
      <c r="I2847" s="10" t="str">
        <f>IF(COUNTIF('Transform Data'!$D:$D,'Transform Data'!D2847)&gt;1,"Repeat","Single")</f>
        <v>Repeat</v>
      </c>
      <c r="J2847" s="10" t="str">
        <f>IF('Transform Data'!D2847="Cash","Cash",IF(COUNTIF('Transform Data'!$D:$D,'Transform Data'!D2847)&gt;1,"Repeat","Single"))</f>
        <v>Repeat</v>
      </c>
      <c r="K2847" s="10" t="str">
        <f t="shared" si="44"/>
        <v>TRANS-2846</v>
      </c>
    </row>
    <row r="2848" spans="1:11" x14ac:dyDescent="0.35">
      <c r="A2848" s="5">
        <v>45682</v>
      </c>
      <c r="B2848" s="3">
        <v>0.61</v>
      </c>
      <c r="C2848" t="s">
        <v>8</v>
      </c>
      <c r="D2848" t="s">
        <v>1176</v>
      </c>
      <c r="E2848" s="4">
        <v>35.76</v>
      </c>
      <c r="F2848" t="s">
        <v>24</v>
      </c>
      <c r="G2848" s="10" t="str">
        <f>TEXT(Transform_Data[[#This Row],[Date]],"mmm yyyy")</f>
        <v>Jan 2025</v>
      </c>
      <c r="H2848" s="10">
        <f>HOUR(Transform_Data[[#This Row],[Time]])</f>
        <v>14</v>
      </c>
      <c r="I2848" s="10" t="str">
        <f>IF(COUNTIF('Transform Data'!$D:$D,'Transform Data'!D2848)&gt;1,"Repeat","Single")</f>
        <v>Single</v>
      </c>
      <c r="J2848" s="10" t="str">
        <f>IF('Transform Data'!D2848="Cash","Cash",IF(COUNTIF('Transform Data'!$D:$D,'Transform Data'!D2848)&gt;1,"Repeat","Single"))</f>
        <v>Single</v>
      </c>
      <c r="K2848" s="10" t="str">
        <f t="shared" si="44"/>
        <v>TRANS-2847</v>
      </c>
    </row>
    <row r="2849" spans="1:11" x14ac:dyDescent="0.35">
      <c r="A2849" s="5">
        <v>45682</v>
      </c>
      <c r="B2849" s="3">
        <v>0.6108217592592593</v>
      </c>
      <c r="C2849" t="s">
        <v>8</v>
      </c>
      <c r="D2849" t="s">
        <v>1177</v>
      </c>
      <c r="E2849" s="4">
        <v>25.96</v>
      </c>
      <c r="F2849" t="s">
        <v>28</v>
      </c>
      <c r="G2849" s="10" t="str">
        <f>TEXT(Transform_Data[[#This Row],[Date]],"mmm yyyy")</f>
        <v>Jan 2025</v>
      </c>
      <c r="H2849" s="10">
        <f>HOUR(Transform_Data[[#This Row],[Time]])</f>
        <v>14</v>
      </c>
      <c r="I2849" s="10" t="str">
        <f>IF(COUNTIF('Transform Data'!$D:$D,'Transform Data'!D2849)&gt;1,"Repeat","Single")</f>
        <v>Single</v>
      </c>
      <c r="J2849" s="10" t="str">
        <f>IF('Transform Data'!D2849="Cash","Cash",IF(COUNTIF('Transform Data'!$D:$D,'Transform Data'!D2849)&gt;1,"Repeat","Single"))</f>
        <v>Single</v>
      </c>
      <c r="K2849" s="10" t="str">
        <f t="shared" si="44"/>
        <v>TRANS-2848</v>
      </c>
    </row>
    <row r="2850" spans="1:11" x14ac:dyDescent="0.35">
      <c r="A2850" s="5">
        <v>45683</v>
      </c>
      <c r="B2850" s="3">
        <v>0.52456018518518521</v>
      </c>
      <c r="C2850" t="s">
        <v>8</v>
      </c>
      <c r="D2850" t="s">
        <v>1178</v>
      </c>
      <c r="E2850" s="4">
        <v>25.96</v>
      </c>
      <c r="F2850" t="s">
        <v>28</v>
      </c>
      <c r="G2850" s="10" t="str">
        <f>TEXT(Transform_Data[[#This Row],[Date]],"mmm yyyy")</f>
        <v>Jan 2025</v>
      </c>
      <c r="H2850" s="10">
        <f>HOUR(Transform_Data[[#This Row],[Time]])</f>
        <v>12</v>
      </c>
      <c r="I2850" s="10" t="str">
        <f>IF(COUNTIF('Transform Data'!$D:$D,'Transform Data'!D2850)&gt;1,"Repeat","Single")</f>
        <v>Repeat</v>
      </c>
      <c r="J2850" s="10" t="str">
        <f>IF('Transform Data'!D2850="Cash","Cash",IF(COUNTIF('Transform Data'!$D:$D,'Transform Data'!D2850)&gt;1,"Repeat","Single"))</f>
        <v>Repeat</v>
      </c>
      <c r="K2850" s="10" t="str">
        <f t="shared" si="44"/>
        <v>TRANS-2849</v>
      </c>
    </row>
    <row r="2851" spans="1:11" x14ac:dyDescent="0.35">
      <c r="A2851" s="5">
        <v>45683</v>
      </c>
      <c r="B2851" s="3">
        <v>0.52539351851851857</v>
      </c>
      <c r="C2851" t="s">
        <v>8</v>
      </c>
      <c r="D2851" t="s">
        <v>1178</v>
      </c>
      <c r="E2851" s="4">
        <v>21.06</v>
      </c>
      <c r="F2851" t="s">
        <v>5</v>
      </c>
      <c r="G2851" s="10" t="str">
        <f>TEXT(Transform_Data[[#This Row],[Date]],"mmm yyyy")</f>
        <v>Jan 2025</v>
      </c>
      <c r="H2851" s="10">
        <f>HOUR(Transform_Data[[#This Row],[Time]])</f>
        <v>12</v>
      </c>
      <c r="I2851" s="10" t="str">
        <f>IF(COUNTIF('Transform Data'!$D:$D,'Transform Data'!D2851)&gt;1,"Repeat","Single")</f>
        <v>Repeat</v>
      </c>
      <c r="J2851" s="10" t="str">
        <f>IF('Transform Data'!D2851="Cash","Cash",IF(COUNTIF('Transform Data'!$D:$D,'Transform Data'!D2851)&gt;1,"Repeat","Single"))</f>
        <v>Repeat</v>
      </c>
      <c r="K2851" s="10" t="str">
        <f t="shared" si="44"/>
        <v>TRANS-2850</v>
      </c>
    </row>
    <row r="2852" spans="1:11" x14ac:dyDescent="0.35">
      <c r="A2852" s="5">
        <v>45684</v>
      </c>
      <c r="B2852" s="3">
        <v>0.33868055555555554</v>
      </c>
      <c r="C2852" t="s">
        <v>8</v>
      </c>
      <c r="D2852" t="s">
        <v>40</v>
      </c>
      <c r="E2852" s="4">
        <v>25.96</v>
      </c>
      <c r="F2852" t="s">
        <v>20</v>
      </c>
      <c r="G2852" s="10" t="str">
        <f>TEXT(Transform_Data[[#This Row],[Date]],"mmm yyyy")</f>
        <v>Jan 2025</v>
      </c>
      <c r="H2852" s="10">
        <f>HOUR(Transform_Data[[#This Row],[Time]])</f>
        <v>8</v>
      </c>
      <c r="I2852" s="10" t="str">
        <f>IF(COUNTIF('Transform Data'!$D:$D,'Transform Data'!D2852)&gt;1,"Repeat","Single")</f>
        <v>Repeat</v>
      </c>
      <c r="J2852" s="10" t="str">
        <f>IF('Transform Data'!D2852="Cash","Cash",IF(COUNTIF('Transform Data'!$D:$D,'Transform Data'!D2852)&gt;1,"Repeat","Single"))</f>
        <v>Repeat</v>
      </c>
      <c r="K2852" s="10" t="str">
        <f t="shared" si="44"/>
        <v>TRANS-2851</v>
      </c>
    </row>
    <row r="2853" spans="1:11" x14ac:dyDescent="0.35">
      <c r="A2853" s="5">
        <v>45684</v>
      </c>
      <c r="B2853" s="3">
        <v>0.35605324074074074</v>
      </c>
      <c r="C2853" t="s">
        <v>8</v>
      </c>
      <c r="D2853" t="s">
        <v>40</v>
      </c>
      <c r="E2853" s="4">
        <v>25.96</v>
      </c>
      <c r="F2853" t="s">
        <v>28</v>
      </c>
      <c r="G2853" s="10" t="str">
        <f>TEXT(Transform_Data[[#This Row],[Date]],"mmm yyyy")</f>
        <v>Jan 2025</v>
      </c>
      <c r="H2853" s="10">
        <f>HOUR(Transform_Data[[#This Row],[Time]])</f>
        <v>8</v>
      </c>
      <c r="I2853" s="10" t="str">
        <f>IF(COUNTIF('Transform Data'!$D:$D,'Transform Data'!D2853)&gt;1,"Repeat","Single")</f>
        <v>Repeat</v>
      </c>
      <c r="J2853" s="10" t="str">
        <f>IF('Transform Data'!D2853="Cash","Cash",IF(COUNTIF('Transform Data'!$D:$D,'Transform Data'!D2853)&gt;1,"Repeat","Single"))</f>
        <v>Repeat</v>
      </c>
      <c r="K2853" s="10" t="str">
        <f t="shared" si="44"/>
        <v>TRANS-2852</v>
      </c>
    </row>
    <row r="2854" spans="1:11" x14ac:dyDescent="0.35">
      <c r="A2854" s="5">
        <v>45684</v>
      </c>
      <c r="B2854" s="3">
        <v>0.5034953703703704</v>
      </c>
      <c r="C2854" t="s">
        <v>8</v>
      </c>
      <c r="D2854" t="s">
        <v>1179</v>
      </c>
      <c r="E2854" s="4">
        <v>35.76</v>
      </c>
      <c r="F2854" t="s">
        <v>24</v>
      </c>
      <c r="G2854" s="10" t="str">
        <f>TEXT(Transform_Data[[#This Row],[Date]],"mmm yyyy")</f>
        <v>Jan 2025</v>
      </c>
      <c r="H2854" s="10">
        <f>HOUR(Transform_Data[[#This Row],[Time]])</f>
        <v>12</v>
      </c>
      <c r="I2854" s="10" t="str">
        <f>IF(COUNTIF('Transform Data'!$D:$D,'Transform Data'!D2854)&gt;1,"Repeat","Single")</f>
        <v>Single</v>
      </c>
      <c r="J2854" s="10" t="str">
        <f>IF('Transform Data'!D2854="Cash","Cash",IF(COUNTIF('Transform Data'!$D:$D,'Transform Data'!D2854)&gt;1,"Repeat","Single"))</f>
        <v>Single</v>
      </c>
      <c r="K2854" s="10" t="str">
        <f t="shared" si="44"/>
        <v>TRANS-2853</v>
      </c>
    </row>
    <row r="2855" spans="1:11" x14ac:dyDescent="0.35">
      <c r="A2855" s="5">
        <v>45684</v>
      </c>
      <c r="B2855" s="3">
        <v>0.57300925925925927</v>
      </c>
      <c r="C2855" t="s">
        <v>8</v>
      </c>
      <c r="D2855" t="s">
        <v>29</v>
      </c>
      <c r="E2855" s="4">
        <v>30.86</v>
      </c>
      <c r="F2855" t="s">
        <v>36</v>
      </c>
      <c r="G2855" s="10" t="str">
        <f>TEXT(Transform_Data[[#This Row],[Date]],"mmm yyyy")</f>
        <v>Jan 2025</v>
      </c>
      <c r="H2855" s="10">
        <f>HOUR(Transform_Data[[#This Row],[Time]])</f>
        <v>13</v>
      </c>
      <c r="I2855" s="10" t="str">
        <f>IF(COUNTIF('Transform Data'!$D:$D,'Transform Data'!D2855)&gt;1,"Repeat","Single")</f>
        <v>Repeat</v>
      </c>
      <c r="J2855" s="10" t="str">
        <f>IF('Transform Data'!D2855="Cash","Cash",IF(COUNTIF('Transform Data'!$D:$D,'Transform Data'!D2855)&gt;1,"Repeat","Single"))</f>
        <v>Repeat</v>
      </c>
      <c r="K2855" s="10" t="str">
        <f t="shared" si="44"/>
        <v>TRANS-2854</v>
      </c>
    </row>
    <row r="2856" spans="1:11" x14ac:dyDescent="0.35">
      <c r="A2856" s="5">
        <v>45684</v>
      </c>
      <c r="B2856" s="3">
        <v>0.64437500000000003</v>
      </c>
      <c r="C2856" t="s">
        <v>8</v>
      </c>
      <c r="D2856" t="s">
        <v>40</v>
      </c>
      <c r="E2856" s="4">
        <v>30.86</v>
      </c>
      <c r="F2856" t="s">
        <v>36</v>
      </c>
      <c r="G2856" s="10" t="str">
        <f>TEXT(Transform_Data[[#This Row],[Date]],"mmm yyyy")</f>
        <v>Jan 2025</v>
      </c>
      <c r="H2856" s="10">
        <f>HOUR(Transform_Data[[#This Row],[Time]])</f>
        <v>15</v>
      </c>
      <c r="I2856" s="10" t="str">
        <f>IF(COUNTIF('Transform Data'!$D:$D,'Transform Data'!D2856)&gt;1,"Repeat","Single")</f>
        <v>Repeat</v>
      </c>
      <c r="J2856" s="10" t="str">
        <f>IF('Transform Data'!D2856="Cash","Cash",IF(COUNTIF('Transform Data'!$D:$D,'Transform Data'!D2856)&gt;1,"Repeat","Single"))</f>
        <v>Repeat</v>
      </c>
      <c r="K2856" s="10" t="str">
        <f t="shared" si="44"/>
        <v>TRANS-2855</v>
      </c>
    </row>
    <row r="2857" spans="1:11" x14ac:dyDescent="0.35">
      <c r="A2857" s="5">
        <v>45684</v>
      </c>
      <c r="B2857" s="3">
        <v>0.64513888888888893</v>
      </c>
      <c r="C2857" t="s">
        <v>8</v>
      </c>
      <c r="D2857" t="s">
        <v>40</v>
      </c>
      <c r="E2857" s="4">
        <v>25.96</v>
      </c>
      <c r="F2857" t="s">
        <v>20</v>
      </c>
      <c r="G2857" s="10" t="str">
        <f>TEXT(Transform_Data[[#This Row],[Date]],"mmm yyyy")</f>
        <v>Jan 2025</v>
      </c>
      <c r="H2857" s="10">
        <f>HOUR(Transform_Data[[#This Row],[Time]])</f>
        <v>15</v>
      </c>
      <c r="I2857" s="10" t="str">
        <f>IF(COUNTIF('Transform Data'!$D:$D,'Transform Data'!D2857)&gt;1,"Repeat","Single")</f>
        <v>Repeat</v>
      </c>
      <c r="J2857" s="10" t="str">
        <f>IF('Transform Data'!D2857="Cash","Cash",IF(COUNTIF('Transform Data'!$D:$D,'Transform Data'!D2857)&gt;1,"Repeat","Single"))</f>
        <v>Repeat</v>
      </c>
      <c r="K2857" s="10" t="str">
        <f t="shared" si="44"/>
        <v>TRANS-2856</v>
      </c>
    </row>
    <row r="2858" spans="1:11" x14ac:dyDescent="0.35">
      <c r="A2858" s="5">
        <v>45684</v>
      </c>
      <c r="B2858" s="3">
        <v>0.64597222222222217</v>
      </c>
      <c r="C2858" t="s">
        <v>8</v>
      </c>
      <c r="D2858" t="s">
        <v>40</v>
      </c>
      <c r="E2858" s="4">
        <v>30.86</v>
      </c>
      <c r="F2858" t="s">
        <v>36</v>
      </c>
      <c r="G2858" s="10" t="str">
        <f>TEXT(Transform_Data[[#This Row],[Date]],"mmm yyyy")</f>
        <v>Jan 2025</v>
      </c>
      <c r="H2858" s="10">
        <f>HOUR(Transform_Data[[#This Row],[Time]])</f>
        <v>15</v>
      </c>
      <c r="I2858" s="10" t="str">
        <f>IF(COUNTIF('Transform Data'!$D:$D,'Transform Data'!D2858)&gt;1,"Repeat","Single")</f>
        <v>Repeat</v>
      </c>
      <c r="J2858" s="10" t="str">
        <f>IF('Transform Data'!D2858="Cash","Cash",IF(COUNTIF('Transform Data'!$D:$D,'Transform Data'!D2858)&gt;1,"Repeat","Single"))</f>
        <v>Repeat</v>
      </c>
      <c r="K2858" s="10" t="str">
        <f t="shared" si="44"/>
        <v>TRANS-2857</v>
      </c>
    </row>
    <row r="2859" spans="1:11" x14ac:dyDescent="0.35">
      <c r="A2859" s="5">
        <v>45684</v>
      </c>
      <c r="B2859" s="3">
        <v>0.78841435185185182</v>
      </c>
      <c r="C2859" t="s">
        <v>8</v>
      </c>
      <c r="D2859" t="s">
        <v>1180</v>
      </c>
      <c r="E2859" s="4">
        <v>35.76</v>
      </c>
      <c r="F2859" t="s">
        <v>32</v>
      </c>
      <c r="G2859" s="10" t="str">
        <f>TEXT(Transform_Data[[#This Row],[Date]],"mmm yyyy")</f>
        <v>Jan 2025</v>
      </c>
      <c r="H2859" s="10">
        <f>HOUR(Transform_Data[[#This Row],[Time]])</f>
        <v>18</v>
      </c>
      <c r="I2859" s="10" t="str">
        <f>IF(COUNTIF('Transform Data'!$D:$D,'Transform Data'!D2859)&gt;1,"Repeat","Single")</f>
        <v>Single</v>
      </c>
      <c r="J2859" s="10" t="str">
        <f>IF('Transform Data'!D2859="Cash","Cash",IF(COUNTIF('Transform Data'!$D:$D,'Transform Data'!D2859)&gt;1,"Repeat","Single"))</f>
        <v>Single</v>
      </c>
      <c r="K2859" s="10" t="str">
        <f t="shared" si="44"/>
        <v>TRANS-2858</v>
      </c>
    </row>
    <row r="2860" spans="1:11" x14ac:dyDescent="0.35">
      <c r="A2860" s="5">
        <v>45684</v>
      </c>
      <c r="B2860" s="3">
        <v>0.79351851851851851</v>
      </c>
      <c r="C2860" t="s">
        <v>8</v>
      </c>
      <c r="D2860" t="s">
        <v>1181</v>
      </c>
      <c r="E2860" s="4">
        <v>35.76</v>
      </c>
      <c r="F2860" t="s">
        <v>32</v>
      </c>
      <c r="G2860" s="10" t="str">
        <f>TEXT(Transform_Data[[#This Row],[Date]],"mmm yyyy")</f>
        <v>Jan 2025</v>
      </c>
      <c r="H2860" s="10">
        <f>HOUR(Transform_Data[[#This Row],[Time]])</f>
        <v>19</v>
      </c>
      <c r="I2860" s="10" t="str">
        <f>IF(COUNTIF('Transform Data'!$D:$D,'Transform Data'!D2860)&gt;1,"Repeat","Single")</f>
        <v>Single</v>
      </c>
      <c r="J2860" s="10" t="str">
        <f>IF('Transform Data'!D2860="Cash","Cash",IF(COUNTIF('Transform Data'!$D:$D,'Transform Data'!D2860)&gt;1,"Repeat","Single"))</f>
        <v>Single</v>
      </c>
      <c r="K2860" s="10" t="str">
        <f t="shared" si="44"/>
        <v>TRANS-2859</v>
      </c>
    </row>
    <row r="2861" spans="1:11" x14ac:dyDescent="0.35">
      <c r="A2861" s="5">
        <v>45684</v>
      </c>
      <c r="B2861" s="3">
        <v>0.79427083333333337</v>
      </c>
      <c r="C2861" t="s">
        <v>8</v>
      </c>
      <c r="D2861" t="s">
        <v>1182</v>
      </c>
      <c r="E2861" s="4">
        <v>35.76</v>
      </c>
      <c r="F2861" t="s">
        <v>32</v>
      </c>
      <c r="G2861" s="10" t="str">
        <f>TEXT(Transform_Data[[#This Row],[Date]],"mmm yyyy")</f>
        <v>Jan 2025</v>
      </c>
      <c r="H2861" s="10">
        <f>HOUR(Transform_Data[[#This Row],[Time]])</f>
        <v>19</v>
      </c>
      <c r="I2861" s="10" t="str">
        <f>IF(COUNTIF('Transform Data'!$D:$D,'Transform Data'!D2861)&gt;1,"Repeat","Single")</f>
        <v>Single</v>
      </c>
      <c r="J2861" s="10" t="str">
        <f>IF('Transform Data'!D2861="Cash","Cash",IF(COUNTIF('Transform Data'!$D:$D,'Transform Data'!D2861)&gt;1,"Repeat","Single"))</f>
        <v>Single</v>
      </c>
      <c r="K2861" s="10" t="str">
        <f t="shared" si="44"/>
        <v>TRANS-2860</v>
      </c>
    </row>
    <row r="2862" spans="1:11" x14ac:dyDescent="0.35">
      <c r="A2862" s="5">
        <v>45685</v>
      </c>
      <c r="B2862" s="3">
        <v>0.35180555555555554</v>
      </c>
      <c r="C2862" t="s">
        <v>8</v>
      </c>
      <c r="D2862" t="s">
        <v>251</v>
      </c>
      <c r="E2862" s="4">
        <v>35.76</v>
      </c>
      <c r="F2862" t="s">
        <v>32</v>
      </c>
      <c r="G2862" s="10" t="str">
        <f>TEXT(Transform_Data[[#This Row],[Date]],"mmm yyyy")</f>
        <v>Jan 2025</v>
      </c>
      <c r="H2862" s="10">
        <f>HOUR(Transform_Data[[#This Row],[Time]])</f>
        <v>8</v>
      </c>
      <c r="I2862" s="10" t="str">
        <f>IF(COUNTIF('Transform Data'!$D:$D,'Transform Data'!D2862)&gt;1,"Repeat","Single")</f>
        <v>Repeat</v>
      </c>
      <c r="J2862" s="10" t="str">
        <f>IF('Transform Data'!D2862="Cash","Cash",IF(COUNTIF('Transform Data'!$D:$D,'Transform Data'!D2862)&gt;1,"Repeat","Single"))</f>
        <v>Repeat</v>
      </c>
      <c r="K2862" s="10" t="str">
        <f t="shared" si="44"/>
        <v>TRANS-2861</v>
      </c>
    </row>
    <row r="2863" spans="1:11" x14ac:dyDescent="0.35">
      <c r="A2863" s="5">
        <v>45685</v>
      </c>
      <c r="B2863" s="3">
        <v>0.39811342592592591</v>
      </c>
      <c r="C2863" t="s">
        <v>8</v>
      </c>
      <c r="D2863" t="s">
        <v>1183</v>
      </c>
      <c r="E2863" s="4">
        <v>25.96</v>
      </c>
      <c r="F2863" t="s">
        <v>28</v>
      </c>
      <c r="G2863" s="10" t="str">
        <f>TEXT(Transform_Data[[#This Row],[Date]],"mmm yyyy")</f>
        <v>Jan 2025</v>
      </c>
      <c r="H2863" s="10">
        <f>HOUR(Transform_Data[[#This Row],[Time]])</f>
        <v>9</v>
      </c>
      <c r="I2863" s="10" t="str">
        <f>IF(COUNTIF('Transform Data'!$D:$D,'Transform Data'!D2863)&gt;1,"Repeat","Single")</f>
        <v>Repeat</v>
      </c>
      <c r="J2863" s="10" t="str">
        <f>IF('Transform Data'!D2863="Cash","Cash",IF(COUNTIF('Transform Data'!$D:$D,'Transform Data'!D2863)&gt;1,"Repeat","Single"))</f>
        <v>Repeat</v>
      </c>
      <c r="K2863" s="10" t="str">
        <f t="shared" si="44"/>
        <v>TRANS-2862</v>
      </c>
    </row>
    <row r="2864" spans="1:11" x14ac:dyDescent="0.35">
      <c r="A2864" s="5">
        <v>45685</v>
      </c>
      <c r="B2864" s="3">
        <v>0.49752314814814813</v>
      </c>
      <c r="C2864" t="s">
        <v>8</v>
      </c>
      <c r="D2864" t="s">
        <v>278</v>
      </c>
      <c r="E2864" s="4">
        <v>30.86</v>
      </c>
      <c r="F2864" t="s">
        <v>36</v>
      </c>
      <c r="G2864" s="10" t="str">
        <f>TEXT(Transform_Data[[#This Row],[Date]],"mmm yyyy")</f>
        <v>Jan 2025</v>
      </c>
      <c r="H2864" s="10">
        <f>HOUR(Transform_Data[[#This Row],[Time]])</f>
        <v>11</v>
      </c>
      <c r="I2864" s="10" t="str">
        <f>IF(COUNTIF('Transform Data'!$D:$D,'Transform Data'!D2864)&gt;1,"Repeat","Single")</f>
        <v>Repeat</v>
      </c>
      <c r="J2864" s="10" t="str">
        <f>IF('Transform Data'!D2864="Cash","Cash",IF(COUNTIF('Transform Data'!$D:$D,'Transform Data'!D2864)&gt;1,"Repeat","Single"))</f>
        <v>Repeat</v>
      </c>
      <c r="K2864" s="10" t="str">
        <f t="shared" si="44"/>
        <v>TRANS-2863</v>
      </c>
    </row>
    <row r="2865" spans="1:11" x14ac:dyDescent="0.35">
      <c r="A2865" s="5">
        <v>45685</v>
      </c>
      <c r="B2865" s="3">
        <v>0.51528935185185187</v>
      </c>
      <c r="C2865" t="s">
        <v>8</v>
      </c>
      <c r="D2865" t="s">
        <v>1184</v>
      </c>
      <c r="E2865" s="4">
        <v>25.96</v>
      </c>
      <c r="F2865" t="s">
        <v>28</v>
      </c>
      <c r="G2865" s="10" t="str">
        <f>TEXT(Transform_Data[[#This Row],[Date]],"mmm yyyy")</f>
        <v>Jan 2025</v>
      </c>
      <c r="H2865" s="10">
        <f>HOUR(Transform_Data[[#This Row],[Time]])</f>
        <v>12</v>
      </c>
      <c r="I2865" s="10" t="str">
        <f>IF(COUNTIF('Transform Data'!$D:$D,'Transform Data'!D2865)&gt;1,"Repeat","Single")</f>
        <v>Repeat</v>
      </c>
      <c r="J2865" s="10" t="str">
        <f>IF('Transform Data'!D2865="Cash","Cash",IF(COUNTIF('Transform Data'!$D:$D,'Transform Data'!D2865)&gt;1,"Repeat","Single"))</f>
        <v>Repeat</v>
      </c>
      <c r="K2865" s="10" t="str">
        <f t="shared" si="44"/>
        <v>TRANS-2864</v>
      </c>
    </row>
    <row r="2866" spans="1:11" x14ac:dyDescent="0.35">
      <c r="A2866" s="5">
        <v>45685</v>
      </c>
      <c r="B2866" s="3">
        <v>0.67994212962962963</v>
      </c>
      <c r="C2866" t="s">
        <v>8</v>
      </c>
      <c r="D2866" t="s">
        <v>1185</v>
      </c>
      <c r="E2866" s="4">
        <v>35.76</v>
      </c>
      <c r="F2866" t="s">
        <v>10</v>
      </c>
      <c r="G2866" s="10" t="str">
        <f>TEXT(Transform_Data[[#This Row],[Date]],"mmm yyyy")</f>
        <v>Jan 2025</v>
      </c>
      <c r="H2866" s="10">
        <f>HOUR(Transform_Data[[#This Row],[Time]])</f>
        <v>16</v>
      </c>
      <c r="I2866" s="10" t="str">
        <f>IF(COUNTIF('Transform Data'!$D:$D,'Transform Data'!D2866)&gt;1,"Repeat","Single")</f>
        <v>Repeat</v>
      </c>
      <c r="J2866" s="10" t="str">
        <f>IF('Transform Data'!D2866="Cash","Cash",IF(COUNTIF('Transform Data'!$D:$D,'Transform Data'!D2866)&gt;1,"Repeat","Single"))</f>
        <v>Repeat</v>
      </c>
      <c r="K2866" s="10" t="str">
        <f t="shared" si="44"/>
        <v>TRANS-2865</v>
      </c>
    </row>
    <row r="2867" spans="1:11" x14ac:dyDescent="0.35">
      <c r="A2867" s="5">
        <v>45685</v>
      </c>
      <c r="B2867" s="3">
        <v>0.68106481481481485</v>
      </c>
      <c r="C2867" t="s">
        <v>8</v>
      </c>
      <c r="D2867" t="s">
        <v>1185</v>
      </c>
      <c r="E2867" s="4">
        <v>25.96</v>
      </c>
      <c r="F2867" t="s">
        <v>20</v>
      </c>
      <c r="G2867" s="10" t="str">
        <f>TEXT(Transform_Data[[#This Row],[Date]],"mmm yyyy")</f>
        <v>Jan 2025</v>
      </c>
      <c r="H2867" s="10">
        <f>HOUR(Transform_Data[[#This Row],[Time]])</f>
        <v>16</v>
      </c>
      <c r="I2867" s="10" t="str">
        <f>IF(COUNTIF('Transform Data'!$D:$D,'Transform Data'!D2867)&gt;1,"Repeat","Single")</f>
        <v>Repeat</v>
      </c>
      <c r="J2867" s="10" t="str">
        <f>IF('Transform Data'!D2867="Cash","Cash",IF(COUNTIF('Transform Data'!$D:$D,'Transform Data'!D2867)&gt;1,"Repeat","Single"))</f>
        <v>Repeat</v>
      </c>
      <c r="K2867" s="10" t="str">
        <f t="shared" si="44"/>
        <v>TRANS-2866</v>
      </c>
    </row>
    <row r="2868" spans="1:11" x14ac:dyDescent="0.35">
      <c r="A2868" s="5">
        <v>45685</v>
      </c>
      <c r="B2868" s="3">
        <v>0.73611111111111116</v>
      </c>
      <c r="C2868" t="s">
        <v>8</v>
      </c>
      <c r="D2868" t="s">
        <v>1186</v>
      </c>
      <c r="E2868" s="4">
        <v>25.96</v>
      </c>
      <c r="F2868" t="s">
        <v>28</v>
      </c>
      <c r="G2868" s="10" t="str">
        <f>TEXT(Transform_Data[[#This Row],[Date]],"mmm yyyy")</f>
        <v>Jan 2025</v>
      </c>
      <c r="H2868" s="10">
        <f>HOUR(Transform_Data[[#This Row],[Time]])</f>
        <v>17</v>
      </c>
      <c r="I2868" s="10" t="str">
        <f>IF(COUNTIF('Transform Data'!$D:$D,'Transform Data'!D2868)&gt;1,"Repeat","Single")</f>
        <v>Single</v>
      </c>
      <c r="J2868" s="10" t="str">
        <f>IF('Transform Data'!D2868="Cash","Cash",IF(COUNTIF('Transform Data'!$D:$D,'Transform Data'!D2868)&gt;1,"Repeat","Single"))</f>
        <v>Single</v>
      </c>
      <c r="K2868" s="10" t="str">
        <f t="shared" si="44"/>
        <v>TRANS-2867</v>
      </c>
    </row>
    <row r="2869" spans="1:11" x14ac:dyDescent="0.35">
      <c r="A2869" s="5">
        <v>45685</v>
      </c>
      <c r="B2869" s="3">
        <v>0.84155092592592595</v>
      </c>
      <c r="C2869" t="s">
        <v>8</v>
      </c>
      <c r="D2869" t="s">
        <v>1187</v>
      </c>
      <c r="E2869" s="4">
        <v>35.76</v>
      </c>
      <c r="F2869" t="s">
        <v>32</v>
      </c>
      <c r="G2869" s="10" t="str">
        <f>TEXT(Transform_Data[[#This Row],[Date]],"mmm yyyy")</f>
        <v>Jan 2025</v>
      </c>
      <c r="H2869" s="10">
        <f>HOUR(Transform_Data[[#This Row],[Time]])</f>
        <v>20</v>
      </c>
      <c r="I2869" s="10" t="str">
        <f>IF(COUNTIF('Transform Data'!$D:$D,'Transform Data'!D2869)&gt;1,"Repeat","Single")</f>
        <v>Single</v>
      </c>
      <c r="J2869" s="10" t="str">
        <f>IF('Transform Data'!D2869="Cash","Cash",IF(COUNTIF('Transform Data'!$D:$D,'Transform Data'!D2869)&gt;1,"Repeat","Single"))</f>
        <v>Single</v>
      </c>
      <c r="K2869" s="10" t="str">
        <f t="shared" si="44"/>
        <v>TRANS-2868</v>
      </c>
    </row>
    <row r="2870" spans="1:11" x14ac:dyDescent="0.35">
      <c r="A2870" s="5">
        <v>45685</v>
      </c>
      <c r="B2870" s="3">
        <v>0.84288194444444442</v>
      </c>
      <c r="C2870" t="s">
        <v>8</v>
      </c>
      <c r="D2870" t="s">
        <v>1188</v>
      </c>
      <c r="E2870" s="4">
        <v>35.76</v>
      </c>
      <c r="F2870" t="s">
        <v>24</v>
      </c>
      <c r="G2870" s="10" t="str">
        <f>TEXT(Transform_Data[[#This Row],[Date]],"mmm yyyy")</f>
        <v>Jan 2025</v>
      </c>
      <c r="H2870" s="10">
        <f>HOUR(Transform_Data[[#This Row],[Time]])</f>
        <v>20</v>
      </c>
      <c r="I2870" s="10" t="str">
        <f>IF(COUNTIF('Transform Data'!$D:$D,'Transform Data'!D2870)&gt;1,"Repeat","Single")</f>
        <v>Single</v>
      </c>
      <c r="J2870" s="10" t="str">
        <f>IF('Transform Data'!D2870="Cash","Cash",IF(COUNTIF('Transform Data'!$D:$D,'Transform Data'!D2870)&gt;1,"Repeat","Single"))</f>
        <v>Single</v>
      </c>
      <c r="K2870" s="10" t="str">
        <f t="shared" si="44"/>
        <v>TRANS-2869</v>
      </c>
    </row>
    <row r="2871" spans="1:11" x14ac:dyDescent="0.35">
      <c r="A2871" s="5">
        <v>45686</v>
      </c>
      <c r="B2871" s="3">
        <v>0.40193287037037034</v>
      </c>
      <c r="C2871" t="s">
        <v>8</v>
      </c>
      <c r="D2871" t="s">
        <v>1121</v>
      </c>
      <c r="E2871" s="4">
        <v>25.96</v>
      </c>
      <c r="F2871" t="s">
        <v>28</v>
      </c>
      <c r="G2871" s="10" t="str">
        <f>TEXT(Transform_Data[[#This Row],[Date]],"mmm yyyy")</f>
        <v>Jan 2025</v>
      </c>
      <c r="H2871" s="10">
        <f>HOUR(Transform_Data[[#This Row],[Time]])</f>
        <v>9</v>
      </c>
      <c r="I2871" s="10" t="str">
        <f>IF(COUNTIF('Transform Data'!$D:$D,'Transform Data'!D2871)&gt;1,"Repeat","Single")</f>
        <v>Repeat</v>
      </c>
      <c r="J2871" s="10" t="str">
        <f>IF('Transform Data'!D2871="Cash","Cash",IF(COUNTIF('Transform Data'!$D:$D,'Transform Data'!D2871)&gt;1,"Repeat","Single"))</f>
        <v>Repeat</v>
      </c>
      <c r="K2871" s="10" t="str">
        <f t="shared" si="44"/>
        <v>TRANS-2870</v>
      </c>
    </row>
    <row r="2872" spans="1:11" x14ac:dyDescent="0.35">
      <c r="A2872" s="5">
        <v>45686</v>
      </c>
      <c r="B2872" s="3">
        <v>0.68444444444444441</v>
      </c>
      <c r="C2872" t="s">
        <v>8</v>
      </c>
      <c r="D2872" t="s">
        <v>1189</v>
      </c>
      <c r="E2872" s="4">
        <v>25.96</v>
      </c>
      <c r="F2872" t="s">
        <v>28</v>
      </c>
      <c r="G2872" s="10" t="str">
        <f>TEXT(Transform_Data[[#This Row],[Date]],"mmm yyyy")</f>
        <v>Jan 2025</v>
      </c>
      <c r="H2872" s="10">
        <f>HOUR(Transform_Data[[#This Row],[Time]])</f>
        <v>16</v>
      </c>
      <c r="I2872" s="10" t="str">
        <f>IF(COUNTIF('Transform Data'!$D:$D,'Transform Data'!D2872)&gt;1,"Repeat","Single")</f>
        <v>Single</v>
      </c>
      <c r="J2872" s="10" t="str">
        <f>IF('Transform Data'!D2872="Cash","Cash",IF(COUNTIF('Transform Data'!$D:$D,'Transform Data'!D2872)&gt;1,"Repeat","Single"))</f>
        <v>Single</v>
      </c>
      <c r="K2872" s="10" t="str">
        <f t="shared" si="44"/>
        <v>TRANS-2871</v>
      </c>
    </row>
    <row r="2873" spans="1:11" x14ac:dyDescent="0.35">
      <c r="A2873" s="5">
        <v>45686</v>
      </c>
      <c r="B2873" s="3">
        <v>0.80495370370370367</v>
      </c>
      <c r="C2873" t="s">
        <v>8</v>
      </c>
      <c r="D2873" t="s">
        <v>1190</v>
      </c>
      <c r="E2873" s="4">
        <v>30.86</v>
      </c>
      <c r="F2873" t="s">
        <v>36</v>
      </c>
      <c r="G2873" s="10" t="str">
        <f>TEXT(Transform_Data[[#This Row],[Date]],"mmm yyyy")</f>
        <v>Jan 2025</v>
      </c>
      <c r="H2873" s="10">
        <f>HOUR(Transform_Data[[#This Row],[Time]])</f>
        <v>19</v>
      </c>
      <c r="I2873" s="10" t="str">
        <f>IF(COUNTIF('Transform Data'!$D:$D,'Transform Data'!D2873)&gt;1,"Repeat","Single")</f>
        <v>Repeat</v>
      </c>
      <c r="J2873" s="10" t="str">
        <f>IF('Transform Data'!D2873="Cash","Cash",IF(COUNTIF('Transform Data'!$D:$D,'Transform Data'!D2873)&gt;1,"Repeat","Single"))</f>
        <v>Repeat</v>
      </c>
      <c r="K2873" s="10" t="str">
        <f t="shared" si="44"/>
        <v>TRANS-2872</v>
      </c>
    </row>
    <row r="2874" spans="1:11" x14ac:dyDescent="0.35">
      <c r="A2874" s="5">
        <v>45686</v>
      </c>
      <c r="B2874" s="3">
        <v>0.80594907407407412</v>
      </c>
      <c r="C2874" t="s">
        <v>8</v>
      </c>
      <c r="D2874" t="s">
        <v>1190</v>
      </c>
      <c r="E2874" s="4">
        <v>21.06</v>
      </c>
      <c r="F2874" t="s">
        <v>5</v>
      </c>
      <c r="G2874" s="10" t="str">
        <f>TEXT(Transform_Data[[#This Row],[Date]],"mmm yyyy")</f>
        <v>Jan 2025</v>
      </c>
      <c r="H2874" s="10">
        <f>HOUR(Transform_Data[[#This Row],[Time]])</f>
        <v>19</v>
      </c>
      <c r="I2874" s="10" t="str">
        <f>IF(COUNTIF('Transform Data'!$D:$D,'Transform Data'!D2874)&gt;1,"Repeat","Single")</f>
        <v>Repeat</v>
      </c>
      <c r="J2874" s="10" t="str">
        <f>IF('Transform Data'!D2874="Cash","Cash",IF(COUNTIF('Transform Data'!$D:$D,'Transform Data'!D2874)&gt;1,"Repeat","Single"))</f>
        <v>Repeat</v>
      </c>
      <c r="K2874" s="10" t="str">
        <f t="shared" si="44"/>
        <v>TRANS-2873</v>
      </c>
    </row>
    <row r="2875" spans="1:11" x14ac:dyDescent="0.35">
      <c r="A2875" s="5">
        <v>45687</v>
      </c>
      <c r="B2875" s="3">
        <v>0.38755787037037037</v>
      </c>
      <c r="C2875" t="s">
        <v>8</v>
      </c>
      <c r="D2875" t="s">
        <v>278</v>
      </c>
      <c r="E2875" s="4">
        <v>30.86</v>
      </c>
      <c r="F2875" t="s">
        <v>36</v>
      </c>
      <c r="G2875" s="10" t="str">
        <f>TEXT(Transform_Data[[#This Row],[Date]],"mmm yyyy")</f>
        <v>Jan 2025</v>
      </c>
      <c r="H2875" s="10">
        <f>HOUR(Transform_Data[[#This Row],[Time]])</f>
        <v>9</v>
      </c>
      <c r="I2875" s="10" t="str">
        <f>IF(COUNTIF('Transform Data'!$D:$D,'Transform Data'!D2875)&gt;1,"Repeat","Single")</f>
        <v>Repeat</v>
      </c>
      <c r="J2875" s="10" t="str">
        <f>IF('Transform Data'!D2875="Cash","Cash",IF(COUNTIF('Transform Data'!$D:$D,'Transform Data'!D2875)&gt;1,"Repeat","Single"))</f>
        <v>Repeat</v>
      </c>
      <c r="K2875" s="10" t="str">
        <f t="shared" si="44"/>
        <v>TRANS-2874</v>
      </c>
    </row>
    <row r="2876" spans="1:11" x14ac:dyDescent="0.35">
      <c r="A2876" s="5">
        <v>45687</v>
      </c>
      <c r="B2876" s="3">
        <v>0.42538194444444444</v>
      </c>
      <c r="C2876" t="s">
        <v>8</v>
      </c>
      <c r="D2876" t="s">
        <v>29</v>
      </c>
      <c r="E2876" s="4">
        <v>30.86</v>
      </c>
      <c r="F2876" t="s">
        <v>36</v>
      </c>
      <c r="G2876" s="10" t="str">
        <f>TEXT(Transform_Data[[#This Row],[Date]],"mmm yyyy")</f>
        <v>Jan 2025</v>
      </c>
      <c r="H2876" s="10">
        <f>HOUR(Transform_Data[[#This Row],[Time]])</f>
        <v>10</v>
      </c>
      <c r="I2876" s="10" t="str">
        <f>IF(COUNTIF('Transform Data'!$D:$D,'Transform Data'!D2876)&gt;1,"Repeat","Single")</f>
        <v>Repeat</v>
      </c>
      <c r="J2876" s="10" t="str">
        <f>IF('Transform Data'!D2876="Cash","Cash",IF(COUNTIF('Transform Data'!$D:$D,'Transform Data'!D2876)&gt;1,"Repeat","Single"))</f>
        <v>Repeat</v>
      </c>
      <c r="K2876" s="10" t="str">
        <f t="shared" si="44"/>
        <v>TRANS-2875</v>
      </c>
    </row>
    <row r="2877" spans="1:11" x14ac:dyDescent="0.35">
      <c r="A2877" s="5">
        <v>45687</v>
      </c>
      <c r="B2877" s="3">
        <v>0.47672453703703704</v>
      </c>
      <c r="C2877" t="s">
        <v>8</v>
      </c>
      <c r="D2877" t="s">
        <v>914</v>
      </c>
      <c r="E2877" s="4">
        <v>25.96</v>
      </c>
      <c r="F2877" t="s">
        <v>20</v>
      </c>
      <c r="G2877" s="10" t="str">
        <f>TEXT(Transform_Data[[#This Row],[Date]],"mmm yyyy")</f>
        <v>Jan 2025</v>
      </c>
      <c r="H2877" s="10">
        <f>HOUR(Transform_Data[[#This Row],[Time]])</f>
        <v>11</v>
      </c>
      <c r="I2877" s="10" t="str">
        <f>IF(COUNTIF('Transform Data'!$D:$D,'Transform Data'!D2877)&gt;1,"Repeat","Single")</f>
        <v>Repeat</v>
      </c>
      <c r="J2877" s="10" t="str">
        <f>IF('Transform Data'!D2877="Cash","Cash",IF(COUNTIF('Transform Data'!$D:$D,'Transform Data'!D2877)&gt;1,"Repeat","Single"))</f>
        <v>Repeat</v>
      </c>
      <c r="K2877" s="10" t="str">
        <f t="shared" si="44"/>
        <v>TRANS-2876</v>
      </c>
    </row>
    <row r="2878" spans="1:11" x14ac:dyDescent="0.35">
      <c r="A2878" s="5">
        <v>45687</v>
      </c>
      <c r="B2878" s="3">
        <v>0.52934027777777781</v>
      </c>
      <c r="C2878" t="s">
        <v>8</v>
      </c>
      <c r="D2878" t="s">
        <v>1191</v>
      </c>
      <c r="E2878" s="4">
        <v>35.76</v>
      </c>
      <c r="F2878" t="s">
        <v>15</v>
      </c>
      <c r="G2878" s="10" t="str">
        <f>TEXT(Transform_Data[[#This Row],[Date]],"mmm yyyy")</f>
        <v>Jan 2025</v>
      </c>
      <c r="H2878" s="10">
        <f>HOUR(Transform_Data[[#This Row],[Time]])</f>
        <v>12</v>
      </c>
      <c r="I2878" s="10" t="str">
        <f>IF(COUNTIF('Transform Data'!$D:$D,'Transform Data'!D2878)&gt;1,"Repeat","Single")</f>
        <v>Single</v>
      </c>
      <c r="J2878" s="10" t="str">
        <f>IF('Transform Data'!D2878="Cash","Cash",IF(COUNTIF('Transform Data'!$D:$D,'Transform Data'!D2878)&gt;1,"Repeat","Single"))</f>
        <v>Single</v>
      </c>
      <c r="K2878" s="10" t="str">
        <f t="shared" si="44"/>
        <v>TRANS-2877</v>
      </c>
    </row>
    <row r="2879" spans="1:11" x14ac:dyDescent="0.35">
      <c r="A2879" s="5">
        <v>45687</v>
      </c>
      <c r="B2879" s="3">
        <v>0.54305555555555551</v>
      </c>
      <c r="C2879" t="s">
        <v>8</v>
      </c>
      <c r="D2879" t="s">
        <v>1192</v>
      </c>
      <c r="E2879" s="4">
        <v>25.96</v>
      </c>
      <c r="F2879" t="s">
        <v>28</v>
      </c>
      <c r="G2879" s="10" t="str">
        <f>TEXT(Transform_Data[[#This Row],[Date]],"mmm yyyy")</f>
        <v>Jan 2025</v>
      </c>
      <c r="H2879" s="10">
        <f>HOUR(Transform_Data[[#This Row],[Time]])</f>
        <v>13</v>
      </c>
      <c r="I2879" s="10" t="str">
        <f>IF(COUNTIF('Transform Data'!$D:$D,'Transform Data'!D2879)&gt;1,"Repeat","Single")</f>
        <v>Single</v>
      </c>
      <c r="J2879" s="10" t="str">
        <f>IF('Transform Data'!D2879="Cash","Cash",IF(COUNTIF('Transform Data'!$D:$D,'Transform Data'!D2879)&gt;1,"Repeat","Single"))</f>
        <v>Single</v>
      </c>
      <c r="K2879" s="10" t="str">
        <f t="shared" si="44"/>
        <v>TRANS-2878</v>
      </c>
    </row>
    <row r="2880" spans="1:11" x14ac:dyDescent="0.35">
      <c r="A2880" s="5">
        <v>45687</v>
      </c>
      <c r="B2880" s="3">
        <v>0.61229166666666668</v>
      </c>
      <c r="C2880" t="s">
        <v>8</v>
      </c>
      <c r="D2880" t="s">
        <v>1193</v>
      </c>
      <c r="E2880" s="4">
        <v>30.86</v>
      </c>
      <c r="F2880" t="s">
        <v>36</v>
      </c>
      <c r="G2880" s="10" t="str">
        <f>TEXT(Transform_Data[[#This Row],[Date]],"mmm yyyy")</f>
        <v>Jan 2025</v>
      </c>
      <c r="H2880" s="10">
        <f>HOUR(Transform_Data[[#This Row],[Time]])</f>
        <v>14</v>
      </c>
      <c r="I2880" s="10" t="str">
        <f>IF(COUNTIF('Transform Data'!$D:$D,'Transform Data'!D2880)&gt;1,"Repeat","Single")</f>
        <v>Single</v>
      </c>
      <c r="J2880" s="10" t="str">
        <f>IF('Transform Data'!D2880="Cash","Cash",IF(COUNTIF('Transform Data'!$D:$D,'Transform Data'!D2880)&gt;1,"Repeat","Single"))</f>
        <v>Single</v>
      </c>
      <c r="K2880" s="10" t="str">
        <f t="shared" si="44"/>
        <v>TRANS-2879</v>
      </c>
    </row>
    <row r="2881" spans="1:11" x14ac:dyDescent="0.35">
      <c r="A2881" s="5">
        <v>45687</v>
      </c>
      <c r="B2881" s="3">
        <v>0.72138888888888886</v>
      </c>
      <c r="C2881" t="s">
        <v>8</v>
      </c>
      <c r="D2881" t="s">
        <v>1194</v>
      </c>
      <c r="E2881" s="4">
        <v>35.76</v>
      </c>
      <c r="F2881" t="s">
        <v>15</v>
      </c>
      <c r="G2881" s="10" t="str">
        <f>TEXT(Transform_Data[[#This Row],[Date]],"mmm yyyy")</f>
        <v>Jan 2025</v>
      </c>
      <c r="H2881" s="10">
        <f>HOUR(Transform_Data[[#This Row],[Time]])</f>
        <v>17</v>
      </c>
      <c r="I2881" s="10" t="str">
        <f>IF(COUNTIF('Transform Data'!$D:$D,'Transform Data'!D2881)&gt;1,"Repeat","Single")</f>
        <v>Single</v>
      </c>
      <c r="J2881" s="10" t="str">
        <f>IF('Transform Data'!D2881="Cash","Cash",IF(COUNTIF('Transform Data'!$D:$D,'Transform Data'!D2881)&gt;1,"Repeat","Single"))</f>
        <v>Single</v>
      </c>
      <c r="K2881" s="10" t="str">
        <f t="shared" si="44"/>
        <v>TRANS-2880</v>
      </c>
    </row>
    <row r="2882" spans="1:11" x14ac:dyDescent="0.35">
      <c r="A2882" s="5">
        <v>45687</v>
      </c>
      <c r="B2882" s="3">
        <v>0.76673611111111106</v>
      </c>
      <c r="C2882" t="s">
        <v>8</v>
      </c>
      <c r="D2882" t="s">
        <v>1121</v>
      </c>
      <c r="E2882" s="4">
        <v>30.86</v>
      </c>
      <c r="F2882" t="s">
        <v>36</v>
      </c>
      <c r="G2882" s="10" t="str">
        <f>TEXT(Transform_Data[[#This Row],[Date]],"mmm yyyy")</f>
        <v>Jan 2025</v>
      </c>
      <c r="H2882" s="10">
        <f>HOUR(Transform_Data[[#This Row],[Time]])</f>
        <v>18</v>
      </c>
      <c r="I2882" s="10" t="str">
        <f>IF(COUNTIF('Transform Data'!$D:$D,'Transform Data'!D2882)&gt;1,"Repeat","Single")</f>
        <v>Repeat</v>
      </c>
      <c r="J2882" s="10" t="str">
        <f>IF('Transform Data'!D2882="Cash","Cash",IF(COUNTIF('Transform Data'!$D:$D,'Transform Data'!D2882)&gt;1,"Repeat","Single"))</f>
        <v>Repeat</v>
      </c>
      <c r="K2882" s="10" t="str">
        <f t="shared" ref="K2882:K2945" si="45">"TRANS-"&amp;TEXT(ROW(A2881),"0000")</f>
        <v>TRANS-2881</v>
      </c>
    </row>
    <row r="2883" spans="1:11" x14ac:dyDescent="0.35">
      <c r="A2883" s="5">
        <v>45687</v>
      </c>
      <c r="B2883" s="3">
        <v>0.7790393518518518</v>
      </c>
      <c r="C2883" t="s">
        <v>8</v>
      </c>
      <c r="D2883" t="s">
        <v>1195</v>
      </c>
      <c r="E2883" s="4">
        <v>25.96</v>
      </c>
      <c r="F2883" t="s">
        <v>20</v>
      </c>
      <c r="G2883" s="10" t="str">
        <f>TEXT(Transform_Data[[#This Row],[Date]],"mmm yyyy")</f>
        <v>Jan 2025</v>
      </c>
      <c r="H2883" s="10">
        <f>HOUR(Transform_Data[[#This Row],[Time]])</f>
        <v>18</v>
      </c>
      <c r="I2883" s="10" t="str">
        <f>IF(COUNTIF('Transform Data'!$D:$D,'Transform Data'!D2883)&gt;1,"Repeat","Single")</f>
        <v>Single</v>
      </c>
      <c r="J2883" s="10" t="str">
        <f>IF('Transform Data'!D2883="Cash","Cash",IF(COUNTIF('Transform Data'!$D:$D,'Transform Data'!D2883)&gt;1,"Repeat","Single"))</f>
        <v>Single</v>
      </c>
      <c r="K2883" s="10" t="str">
        <f t="shared" si="45"/>
        <v>TRANS-2882</v>
      </c>
    </row>
    <row r="2884" spans="1:11" x14ac:dyDescent="0.35">
      <c r="A2884" s="5">
        <v>45688</v>
      </c>
      <c r="B2884" s="3">
        <v>0.36170138888888886</v>
      </c>
      <c r="C2884" t="s">
        <v>8</v>
      </c>
      <c r="D2884" t="s">
        <v>40</v>
      </c>
      <c r="E2884" s="4">
        <v>25.96</v>
      </c>
      <c r="F2884" t="s">
        <v>28</v>
      </c>
      <c r="G2884" s="10" t="str">
        <f>TEXT(Transform_Data[[#This Row],[Date]],"mmm yyyy")</f>
        <v>Jan 2025</v>
      </c>
      <c r="H2884" s="10">
        <f>HOUR(Transform_Data[[#This Row],[Time]])</f>
        <v>8</v>
      </c>
      <c r="I2884" s="10" t="str">
        <f>IF(COUNTIF('Transform Data'!$D:$D,'Transform Data'!D2884)&gt;1,"Repeat","Single")</f>
        <v>Repeat</v>
      </c>
      <c r="J2884" s="10" t="str">
        <f>IF('Transform Data'!D2884="Cash","Cash",IF(COUNTIF('Transform Data'!$D:$D,'Transform Data'!D2884)&gt;1,"Repeat","Single"))</f>
        <v>Repeat</v>
      </c>
      <c r="K2884" s="10" t="str">
        <f t="shared" si="45"/>
        <v>TRANS-2883</v>
      </c>
    </row>
    <row r="2885" spans="1:11" x14ac:dyDescent="0.35">
      <c r="A2885" s="5">
        <v>45688</v>
      </c>
      <c r="B2885" s="3">
        <v>0.36231481481481481</v>
      </c>
      <c r="C2885" t="s">
        <v>8</v>
      </c>
      <c r="D2885" t="s">
        <v>40</v>
      </c>
      <c r="E2885" s="4">
        <v>30.86</v>
      </c>
      <c r="F2885" t="s">
        <v>36</v>
      </c>
      <c r="G2885" s="10" t="str">
        <f>TEXT(Transform_Data[[#This Row],[Date]],"mmm yyyy")</f>
        <v>Jan 2025</v>
      </c>
      <c r="H2885" s="10">
        <f>HOUR(Transform_Data[[#This Row],[Time]])</f>
        <v>8</v>
      </c>
      <c r="I2885" s="10" t="str">
        <f>IF(COUNTIF('Transform Data'!$D:$D,'Transform Data'!D2885)&gt;1,"Repeat","Single")</f>
        <v>Repeat</v>
      </c>
      <c r="J2885" s="10" t="str">
        <f>IF('Transform Data'!D2885="Cash","Cash",IF(COUNTIF('Transform Data'!$D:$D,'Transform Data'!D2885)&gt;1,"Repeat","Single"))</f>
        <v>Repeat</v>
      </c>
      <c r="K2885" s="10" t="str">
        <f t="shared" si="45"/>
        <v>TRANS-2884</v>
      </c>
    </row>
    <row r="2886" spans="1:11" x14ac:dyDescent="0.35">
      <c r="A2886" s="5">
        <v>45688</v>
      </c>
      <c r="B2886" s="3">
        <v>0.38696759259259261</v>
      </c>
      <c r="C2886" t="s">
        <v>8</v>
      </c>
      <c r="D2886" t="s">
        <v>357</v>
      </c>
      <c r="E2886" s="4">
        <v>30.86</v>
      </c>
      <c r="F2886" t="s">
        <v>36</v>
      </c>
      <c r="G2886" s="10" t="str">
        <f>TEXT(Transform_Data[[#This Row],[Date]],"mmm yyyy")</f>
        <v>Jan 2025</v>
      </c>
      <c r="H2886" s="10">
        <f>HOUR(Transform_Data[[#This Row],[Time]])</f>
        <v>9</v>
      </c>
      <c r="I2886" s="10" t="str">
        <f>IF(COUNTIF('Transform Data'!$D:$D,'Transform Data'!D2886)&gt;1,"Repeat","Single")</f>
        <v>Repeat</v>
      </c>
      <c r="J2886" s="10" t="str">
        <f>IF('Transform Data'!D2886="Cash","Cash",IF(COUNTIF('Transform Data'!$D:$D,'Transform Data'!D2886)&gt;1,"Repeat","Single"))</f>
        <v>Repeat</v>
      </c>
      <c r="K2886" s="10" t="str">
        <f t="shared" si="45"/>
        <v>TRANS-2885</v>
      </c>
    </row>
    <row r="2887" spans="1:11" x14ac:dyDescent="0.35">
      <c r="A2887" s="5">
        <v>45688</v>
      </c>
      <c r="B2887" s="3">
        <v>0.38900462962962962</v>
      </c>
      <c r="C2887" t="s">
        <v>8</v>
      </c>
      <c r="D2887" t="s">
        <v>1196</v>
      </c>
      <c r="E2887" s="4">
        <v>35.76</v>
      </c>
      <c r="F2887" t="s">
        <v>10</v>
      </c>
      <c r="G2887" s="10" t="str">
        <f>TEXT(Transform_Data[[#This Row],[Date]],"mmm yyyy")</f>
        <v>Jan 2025</v>
      </c>
      <c r="H2887" s="10">
        <f>HOUR(Transform_Data[[#This Row],[Time]])</f>
        <v>9</v>
      </c>
      <c r="I2887" s="10" t="str">
        <f>IF(COUNTIF('Transform Data'!$D:$D,'Transform Data'!D2887)&gt;1,"Repeat","Single")</f>
        <v>Single</v>
      </c>
      <c r="J2887" s="10" t="str">
        <f>IF('Transform Data'!D2887="Cash","Cash",IF(COUNTIF('Transform Data'!$D:$D,'Transform Data'!D2887)&gt;1,"Repeat","Single"))</f>
        <v>Single</v>
      </c>
      <c r="K2887" s="10" t="str">
        <f t="shared" si="45"/>
        <v>TRANS-2886</v>
      </c>
    </row>
    <row r="2888" spans="1:11" x14ac:dyDescent="0.35">
      <c r="A2888" s="5">
        <v>45688</v>
      </c>
      <c r="B2888" s="3">
        <v>0.39358796296296295</v>
      </c>
      <c r="C2888" t="s">
        <v>8</v>
      </c>
      <c r="D2888" t="s">
        <v>386</v>
      </c>
      <c r="E2888" s="4">
        <v>35.76</v>
      </c>
      <c r="F2888" t="s">
        <v>24</v>
      </c>
      <c r="G2888" s="10" t="str">
        <f>TEXT(Transform_Data[[#This Row],[Date]],"mmm yyyy")</f>
        <v>Jan 2025</v>
      </c>
      <c r="H2888" s="10">
        <f>HOUR(Transform_Data[[#This Row],[Time]])</f>
        <v>9</v>
      </c>
      <c r="I2888" s="10" t="str">
        <f>IF(COUNTIF('Transform Data'!$D:$D,'Transform Data'!D2888)&gt;1,"Repeat","Single")</f>
        <v>Repeat</v>
      </c>
      <c r="J2888" s="10" t="str">
        <f>IF('Transform Data'!D2888="Cash","Cash",IF(COUNTIF('Transform Data'!$D:$D,'Transform Data'!D2888)&gt;1,"Repeat","Single"))</f>
        <v>Repeat</v>
      </c>
      <c r="K2888" s="10" t="str">
        <f t="shared" si="45"/>
        <v>TRANS-2887</v>
      </c>
    </row>
    <row r="2889" spans="1:11" x14ac:dyDescent="0.35">
      <c r="A2889" s="5">
        <v>45688</v>
      </c>
      <c r="B2889" s="3">
        <v>0.39429398148148148</v>
      </c>
      <c r="C2889" t="s">
        <v>8</v>
      </c>
      <c r="D2889" t="s">
        <v>386</v>
      </c>
      <c r="E2889" s="4">
        <v>35.76</v>
      </c>
      <c r="F2889" t="s">
        <v>24</v>
      </c>
      <c r="G2889" s="10" t="str">
        <f>TEXT(Transform_Data[[#This Row],[Date]],"mmm yyyy")</f>
        <v>Jan 2025</v>
      </c>
      <c r="H2889" s="10">
        <f>HOUR(Transform_Data[[#This Row],[Time]])</f>
        <v>9</v>
      </c>
      <c r="I2889" s="10" t="str">
        <f>IF(COUNTIF('Transform Data'!$D:$D,'Transform Data'!D2889)&gt;1,"Repeat","Single")</f>
        <v>Repeat</v>
      </c>
      <c r="J2889" s="10" t="str">
        <f>IF('Transform Data'!D2889="Cash","Cash",IF(COUNTIF('Transform Data'!$D:$D,'Transform Data'!D2889)&gt;1,"Repeat","Single"))</f>
        <v>Repeat</v>
      </c>
      <c r="K2889" s="10" t="str">
        <f t="shared" si="45"/>
        <v>TRANS-2888</v>
      </c>
    </row>
    <row r="2890" spans="1:11" x14ac:dyDescent="0.35">
      <c r="A2890" s="5">
        <v>45688</v>
      </c>
      <c r="B2890" s="3">
        <v>0.52153935185185185</v>
      </c>
      <c r="C2890" t="s">
        <v>8</v>
      </c>
      <c r="D2890" t="s">
        <v>1184</v>
      </c>
      <c r="E2890" s="4">
        <v>35.76</v>
      </c>
      <c r="F2890" t="s">
        <v>32</v>
      </c>
      <c r="G2890" s="10" t="str">
        <f>TEXT(Transform_Data[[#This Row],[Date]],"mmm yyyy")</f>
        <v>Jan 2025</v>
      </c>
      <c r="H2890" s="10">
        <f>HOUR(Transform_Data[[#This Row],[Time]])</f>
        <v>12</v>
      </c>
      <c r="I2890" s="10" t="str">
        <f>IF(COUNTIF('Transform Data'!$D:$D,'Transform Data'!D2890)&gt;1,"Repeat","Single")</f>
        <v>Repeat</v>
      </c>
      <c r="J2890" s="10" t="str">
        <f>IF('Transform Data'!D2890="Cash","Cash",IF(COUNTIF('Transform Data'!$D:$D,'Transform Data'!D2890)&gt;1,"Repeat","Single"))</f>
        <v>Repeat</v>
      </c>
      <c r="K2890" s="10" t="str">
        <f t="shared" si="45"/>
        <v>TRANS-2889</v>
      </c>
    </row>
    <row r="2891" spans="1:11" x14ac:dyDescent="0.35">
      <c r="A2891" s="5">
        <v>45688</v>
      </c>
      <c r="B2891" s="3">
        <v>0.53778935185185184</v>
      </c>
      <c r="C2891" t="s">
        <v>8</v>
      </c>
      <c r="D2891" t="s">
        <v>21</v>
      </c>
      <c r="E2891" s="4">
        <v>35.76</v>
      </c>
      <c r="F2891" t="s">
        <v>32</v>
      </c>
      <c r="G2891" s="10" t="str">
        <f>TEXT(Transform_Data[[#This Row],[Date]],"mmm yyyy")</f>
        <v>Jan 2025</v>
      </c>
      <c r="H2891" s="10">
        <f>HOUR(Transform_Data[[#This Row],[Time]])</f>
        <v>12</v>
      </c>
      <c r="I2891" s="10" t="str">
        <f>IF(COUNTIF('Transform Data'!$D:$D,'Transform Data'!D2891)&gt;1,"Repeat","Single")</f>
        <v>Repeat</v>
      </c>
      <c r="J2891" s="10" t="str">
        <f>IF('Transform Data'!D2891="Cash","Cash",IF(COUNTIF('Transform Data'!$D:$D,'Transform Data'!D2891)&gt;1,"Repeat","Single"))</f>
        <v>Repeat</v>
      </c>
      <c r="K2891" s="10" t="str">
        <f t="shared" si="45"/>
        <v>TRANS-2890</v>
      </c>
    </row>
    <row r="2892" spans="1:11" x14ac:dyDescent="0.35">
      <c r="A2892" s="5">
        <v>45688</v>
      </c>
      <c r="B2892" s="3">
        <v>0.58539351851851851</v>
      </c>
      <c r="C2892" t="s">
        <v>8</v>
      </c>
      <c r="D2892" t="s">
        <v>1197</v>
      </c>
      <c r="E2892" s="4">
        <v>35.76</v>
      </c>
      <c r="F2892" t="s">
        <v>24</v>
      </c>
      <c r="G2892" s="10" t="str">
        <f>TEXT(Transform_Data[[#This Row],[Date]],"mmm yyyy")</f>
        <v>Jan 2025</v>
      </c>
      <c r="H2892" s="10">
        <f>HOUR(Transform_Data[[#This Row],[Time]])</f>
        <v>14</v>
      </c>
      <c r="I2892" s="10" t="str">
        <f>IF(COUNTIF('Transform Data'!$D:$D,'Transform Data'!D2892)&gt;1,"Repeat","Single")</f>
        <v>Single</v>
      </c>
      <c r="J2892" s="10" t="str">
        <f>IF('Transform Data'!D2892="Cash","Cash",IF(COUNTIF('Transform Data'!$D:$D,'Transform Data'!D2892)&gt;1,"Repeat","Single"))</f>
        <v>Single</v>
      </c>
      <c r="K2892" s="10" t="str">
        <f t="shared" si="45"/>
        <v>TRANS-2891</v>
      </c>
    </row>
    <row r="2893" spans="1:11" x14ac:dyDescent="0.35">
      <c r="A2893" s="5">
        <v>45688</v>
      </c>
      <c r="B2893" s="3">
        <v>0.70038194444444446</v>
      </c>
      <c r="C2893" t="s">
        <v>8</v>
      </c>
      <c r="D2893" t="s">
        <v>357</v>
      </c>
      <c r="E2893" s="4">
        <v>30.86</v>
      </c>
      <c r="F2893" t="s">
        <v>36</v>
      </c>
      <c r="G2893" s="10" t="str">
        <f>TEXT(Transform_Data[[#This Row],[Date]],"mmm yyyy")</f>
        <v>Jan 2025</v>
      </c>
      <c r="H2893" s="10">
        <f>HOUR(Transform_Data[[#This Row],[Time]])</f>
        <v>16</v>
      </c>
      <c r="I2893" s="10" t="str">
        <f>IF(COUNTIF('Transform Data'!$D:$D,'Transform Data'!D2893)&gt;1,"Repeat","Single")</f>
        <v>Repeat</v>
      </c>
      <c r="J2893" s="10" t="str">
        <f>IF('Transform Data'!D2893="Cash","Cash",IF(COUNTIF('Transform Data'!$D:$D,'Transform Data'!D2893)&gt;1,"Repeat","Single"))</f>
        <v>Repeat</v>
      </c>
      <c r="K2893" s="10" t="str">
        <f t="shared" si="45"/>
        <v>TRANS-2892</v>
      </c>
    </row>
    <row r="2894" spans="1:11" x14ac:dyDescent="0.35">
      <c r="A2894" s="5">
        <v>45688</v>
      </c>
      <c r="B2894" s="3">
        <v>0.94164351851851846</v>
      </c>
      <c r="C2894" t="s">
        <v>8</v>
      </c>
      <c r="D2894" t="s">
        <v>1198</v>
      </c>
      <c r="E2894" s="4">
        <v>30.86</v>
      </c>
      <c r="F2894" t="s">
        <v>36</v>
      </c>
      <c r="G2894" s="10" t="str">
        <f>TEXT(Transform_Data[[#This Row],[Date]],"mmm yyyy")</f>
        <v>Jan 2025</v>
      </c>
      <c r="H2894" s="10">
        <f>HOUR(Transform_Data[[#This Row],[Time]])</f>
        <v>22</v>
      </c>
      <c r="I2894" s="10" t="str">
        <f>IF(COUNTIF('Transform Data'!$D:$D,'Transform Data'!D2894)&gt;1,"Repeat","Single")</f>
        <v>Single</v>
      </c>
      <c r="J2894" s="10" t="str">
        <f>IF('Transform Data'!D2894="Cash","Cash",IF(COUNTIF('Transform Data'!$D:$D,'Transform Data'!D2894)&gt;1,"Repeat","Single"))</f>
        <v>Single</v>
      </c>
      <c r="K2894" s="10" t="str">
        <f t="shared" si="45"/>
        <v>TRANS-2893</v>
      </c>
    </row>
    <row r="2895" spans="1:11" x14ac:dyDescent="0.35">
      <c r="A2895" s="5">
        <v>45688</v>
      </c>
      <c r="B2895" s="3">
        <v>0.94238425925925928</v>
      </c>
      <c r="C2895" t="s">
        <v>8</v>
      </c>
      <c r="D2895" t="s">
        <v>1199</v>
      </c>
      <c r="E2895" s="4">
        <v>25.96</v>
      </c>
      <c r="F2895" t="s">
        <v>28</v>
      </c>
      <c r="G2895" s="10" t="str">
        <f>TEXT(Transform_Data[[#This Row],[Date]],"mmm yyyy")</f>
        <v>Jan 2025</v>
      </c>
      <c r="H2895" s="10">
        <f>HOUR(Transform_Data[[#This Row],[Time]])</f>
        <v>22</v>
      </c>
      <c r="I2895" s="10" t="str">
        <f>IF(COUNTIF('Transform Data'!$D:$D,'Transform Data'!D2895)&gt;1,"Repeat","Single")</f>
        <v>Single</v>
      </c>
      <c r="J2895" s="10" t="str">
        <f>IF('Transform Data'!D2895="Cash","Cash",IF(COUNTIF('Transform Data'!$D:$D,'Transform Data'!D2895)&gt;1,"Repeat","Single"))</f>
        <v>Single</v>
      </c>
      <c r="K2895" s="10" t="str">
        <f t="shared" si="45"/>
        <v>TRANS-2894</v>
      </c>
    </row>
    <row r="2896" spans="1:11" x14ac:dyDescent="0.35">
      <c r="A2896" s="5">
        <v>45689</v>
      </c>
      <c r="B2896" s="3">
        <v>0.36832175925925925</v>
      </c>
      <c r="C2896" t="s">
        <v>8</v>
      </c>
      <c r="D2896" t="s">
        <v>357</v>
      </c>
      <c r="E2896" s="4">
        <v>30.86</v>
      </c>
      <c r="F2896" t="s">
        <v>36</v>
      </c>
      <c r="G2896" s="10" t="str">
        <f>TEXT(Transform_Data[[#This Row],[Date]],"mmm yyyy")</f>
        <v>Feb 2025</v>
      </c>
      <c r="H2896" s="10">
        <f>HOUR(Transform_Data[[#This Row],[Time]])</f>
        <v>8</v>
      </c>
      <c r="I2896" s="10" t="str">
        <f>IF(COUNTIF('Transform Data'!$D:$D,'Transform Data'!D2896)&gt;1,"Repeat","Single")</f>
        <v>Repeat</v>
      </c>
      <c r="J2896" s="10" t="str">
        <f>IF('Transform Data'!D2896="Cash","Cash",IF(COUNTIF('Transform Data'!$D:$D,'Transform Data'!D2896)&gt;1,"Repeat","Single"))</f>
        <v>Repeat</v>
      </c>
      <c r="K2896" s="10" t="str">
        <f t="shared" si="45"/>
        <v>TRANS-2895</v>
      </c>
    </row>
    <row r="2897" spans="1:11" x14ac:dyDescent="0.35">
      <c r="A2897" s="5">
        <v>45689</v>
      </c>
      <c r="B2897" s="3">
        <v>0.42178240740740741</v>
      </c>
      <c r="C2897" t="s">
        <v>8</v>
      </c>
      <c r="D2897" t="s">
        <v>278</v>
      </c>
      <c r="E2897" s="4">
        <v>30.86</v>
      </c>
      <c r="F2897" t="s">
        <v>36</v>
      </c>
      <c r="G2897" s="10" t="str">
        <f>TEXT(Transform_Data[[#This Row],[Date]],"mmm yyyy")</f>
        <v>Feb 2025</v>
      </c>
      <c r="H2897" s="10">
        <f>HOUR(Transform_Data[[#This Row],[Time]])</f>
        <v>10</v>
      </c>
      <c r="I2897" s="10" t="str">
        <f>IF(COUNTIF('Transform Data'!$D:$D,'Transform Data'!D2897)&gt;1,"Repeat","Single")</f>
        <v>Repeat</v>
      </c>
      <c r="J2897" s="10" t="str">
        <f>IF('Transform Data'!D2897="Cash","Cash",IF(COUNTIF('Transform Data'!$D:$D,'Transform Data'!D2897)&gt;1,"Repeat","Single"))</f>
        <v>Repeat</v>
      </c>
      <c r="K2897" s="10" t="str">
        <f t="shared" si="45"/>
        <v>TRANS-2896</v>
      </c>
    </row>
    <row r="2898" spans="1:11" x14ac:dyDescent="0.35">
      <c r="A2898" s="5">
        <v>45689</v>
      </c>
      <c r="B2898" s="3">
        <v>0.55192129629629627</v>
      </c>
      <c r="C2898" t="s">
        <v>8</v>
      </c>
      <c r="D2898" t="s">
        <v>40</v>
      </c>
      <c r="E2898" s="4">
        <v>25.96</v>
      </c>
      <c r="F2898" t="s">
        <v>20</v>
      </c>
      <c r="G2898" s="10" t="str">
        <f>TEXT(Transform_Data[[#This Row],[Date]],"mmm yyyy")</f>
        <v>Feb 2025</v>
      </c>
      <c r="H2898" s="10">
        <f>HOUR(Transform_Data[[#This Row],[Time]])</f>
        <v>13</v>
      </c>
      <c r="I2898" s="10" t="str">
        <f>IF(COUNTIF('Transform Data'!$D:$D,'Transform Data'!D2898)&gt;1,"Repeat","Single")</f>
        <v>Repeat</v>
      </c>
      <c r="J2898" s="10" t="str">
        <f>IF('Transform Data'!D2898="Cash","Cash",IF(COUNTIF('Transform Data'!$D:$D,'Transform Data'!D2898)&gt;1,"Repeat","Single"))</f>
        <v>Repeat</v>
      </c>
      <c r="K2898" s="10" t="str">
        <f t="shared" si="45"/>
        <v>TRANS-2897</v>
      </c>
    </row>
    <row r="2899" spans="1:11" x14ac:dyDescent="0.35">
      <c r="A2899" s="5">
        <v>45689</v>
      </c>
      <c r="B2899" s="3">
        <v>0.5524189814814815</v>
      </c>
      <c r="C2899" t="s">
        <v>8</v>
      </c>
      <c r="D2899" t="s">
        <v>40</v>
      </c>
      <c r="E2899" s="4">
        <v>25.96</v>
      </c>
      <c r="F2899" t="s">
        <v>20</v>
      </c>
      <c r="G2899" s="10" t="str">
        <f>TEXT(Transform_Data[[#This Row],[Date]],"mmm yyyy")</f>
        <v>Feb 2025</v>
      </c>
      <c r="H2899" s="10">
        <f>HOUR(Transform_Data[[#This Row],[Time]])</f>
        <v>13</v>
      </c>
      <c r="I2899" s="10" t="str">
        <f>IF(COUNTIF('Transform Data'!$D:$D,'Transform Data'!D2899)&gt;1,"Repeat","Single")</f>
        <v>Repeat</v>
      </c>
      <c r="J2899" s="10" t="str">
        <f>IF('Transform Data'!D2899="Cash","Cash",IF(COUNTIF('Transform Data'!$D:$D,'Transform Data'!D2899)&gt;1,"Repeat","Single"))</f>
        <v>Repeat</v>
      </c>
      <c r="K2899" s="10" t="str">
        <f t="shared" si="45"/>
        <v>TRANS-2898</v>
      </c>
    </row>
    <row r="2900" spans="1:11" x14ac:dyDescent="0.35">
      <c r="A2900" s="5">
        <v>45689</v>
      </c>
      <c r="B2900" s="3">
        <v>0.60784722222222221</v>
      </c>
      <c r="C2900" t="s">
        <v>8</v>
      </c>
      <c r="D2900" t="s">
        <v>1200</v>
      </c>
      <c r="E2900" s="4">
        <v>35.76</v>
      </c>
      <c r="F2900" t="s">
        <v>24</v>
      </c>
      <c r="G2900" s="10" t="str">
        <f>TEXT(Transform_Data[[#This Row],[Date]],"mmm yyyy")</f>
        <v>Feb 2025</v>
      </c>
      <c r="H2900" s="10">
        <f>HOUR(Transform_Data[[#This Row],[Time]])</f>
        <v>14</v>
      </c>
      <c r="I2900" s="10" t="str">
        <f>IF(COUNTIF('Transform Data'!$D:$D,'Transform Data'!D2900)&gt;1,"Repeat","Single")</f>
        <v>Repeat</v>
      </c>
      <c r="J2900" s="10" t="str">
        <f>IF('Transform Data'!D2900="Cash","Cash",IF(COUNTIF('Transform Data'!$D:$D,'Transform Data'!D2900)&gt;1,"Repeat","Single"))</f>
        <v>Repeat</v>
      </c>
      <c r="K2900" s="10" t="str">
        <f t="shared" si="45"/>
        <v>TRANS-2899</v>
      </c>
    </row>
    <row r="2901" spans="1:11" x14ac:dyDescent="0.35">
      <c r="A2901" s="5">
        <v>45689</v>
      </c>
      <c r="B2901" s="3">
        <v>0.60851851851851857</v>
      </c>
      <c r="C2901" t="s">
        <v>8</v>
      </c>
      <c r="D2901" t="s">
        <v>1200</v>
      </c>
      <c r="E2901" s="4">
        <v>35.76</v>
      </c>
      <c r="F2901" t="s">
        <v>24</v>
      </c>
      <c r="G2901" s="10" t="str">
        <f>TEXT(Transform_Data[[#This Row],[Date]],"mmm yyyy")</f>
        <v>Feb 2025</v>
      </c>
      <c r="H2901" s="10">
        <f>HOUR(Transform_Data[[#This Row],[Time]])</f>
        <v>14</v>
      </c>
      <c r="I2901" s="10" t="str">
        <f>IF(COUNTIF('Transform Data'!$D:$D,'Transform Data'!D2901)&gt;1,"Repeat","Single")</f>
        <v>Repeat</v>
      </c>
      <c r="J2901" s="10" t="str">
        <f>IF('Transform Data'!D2901="Cash","Cash",IF(COUNTIF('Transform Data'!$D:$D,'Transform Data'!D2901)&gt;1,"Repeat","Single"))</f>
        <v>Repeat</v>
      </c>
      <c r="K2901" s="10" t="str">
        <f t="shared" si="45"/>
        <v>TRANS-2900</v>
      </c>
    </row>
    <row r="2902" spans="1:11" x14ac:dyDescent="0.35">
      <c r="A2902" s="5">
        <v>45689</v>
      </c>
      <c r="B2902" s="3">
        <v>0.65969907407407402</v>
      </c>
      <c r="C2902" t="s">
        <v>8</v>
      </c>
      <c r="D2902" t="s">
        <v>1121</v>
      </c>
      <c r="E2902" s="4">
        <v>35.76</v>
      </c>
      <c r="F2902" t="s">
        <v>32</v>
      </c>
      <c r="G2902" s="10" t="str">
        <f>TEXT(Transform_Data[[#This Row],[Date]],"mmm yyyy")</f>
        <v>Feb 2025</v>
      </c>
      <c r="H2902" s="10">
        <f>HOUR(Transform_Data[[#This Row],[Time]])</f>
        <v>15</v>
      </c>
      <c r="I2902" s="10" t="str">
        <f>IF(COUNTIF('Transform Data'!$D:$D,'Transform Data'!D2902)&gt;1,"Repeat","Single")</f>
        <v>Repeat</v>
      </c>
      <c r="J2902" s="10" t="str">
        <f>IF('Transform Data'!D2902="Cash","Cash",IF(COUNTIF('Transform Data'!$D:$D,'Transform Data'!D2902)&gt;1,"Repeat","Single"))</f>
        <v>Repeat</v>
      </c>
      <c r="K2902" s="10" t="str">
        <f t="shared" si="45"/>
        <v>TRANS-2901</v>
      </c>
    </row>
    <row r="2903" spans="1:11" x14ac:dyDescent="0.35">
      <c r="A2903" s="5">
        <v>45689</v>
      </c>
      <c r="B2903" s="3">
        <v>0.7897453703703704</v>
      </c>
      <c r="C2903" t="s">
        <v>8</v>
      </c>
      <c r="D2903" t="s">
        <v>1165</v>
      </c>
      <c r="E2903" s="4">
        <v>35.76</v>
      </c>
      <c r="F2903" t="s">
        <v>24</v>
      </c>
      <c r="G2903" s="10" t="str">
        <f>TEXT(Transform_Data[[#This Row],[Date]],"mmm yyyy")</f>
        <v>Feb 2025</v>
      </c>
      <c r="H2903" s="10">
        <f>HOUR(Transform_Data[[#This Row],[Time]])</f>
        <v>18</v>
      </c>
      <c r="I2903" s="10" t="str">
        <f>IF(COUNTIF('Transform Data'!$D:$D,'Transform Data'!D2903)&gt;1,"Repeat","Single")</f>
        <v>Repeat</v>
      </c>
      <c r="J2903" s="10" t="str">
        <f>IF('Transform Data'!D2903="Cash","Cash",IF(COUNTIF('Transform Data'!$D:$D,'Transform Data'!D2903)&gt;1,"Repeat","Single"))</f>
        <v>Repeat</v>
      </c>
      <c r="K2903" s="10" t="str">
        <f t="shared" si="45"/>
        <v>TRANS-2902</v>
      </c>
    </row>
    <row r="2904" spans="1:11" x14ac:dyDescent="0.35">
      <c r="A2904" s="5">
        <v>45689</v>
      </c>
      <c r="B2904" s="3">
        <v>0.8286458333333333</v>
      </c>
      <c r="C2904" t="s">
        <v>8</v>
      </c>
      <c r="D2904" t="s">
        <v>278</v>
      </c>
      <c r="E2904" s="4">
        <v>30.86</v>
      </c>
      <c r="F2904" t="s">
        <v>36</v>
      </c>
      <c r="G2904" s="10" t="str">
        <f>TEXT(Transform_Data[[#This Row],[Date]],"mmm yyyy")</f>
        <v>Feb 2025</v>
      </c>
      <c r="H2904" s="10">
        <f>HOUR(Transform_Data[[#This Row],[Time]])</f>
        <v>19</v>
      </c>
      <c r="I2904" s="10" t="str">
        <f>IF(COUNTIF('Transform Data'!$D:$D,'Transform Data'!D2904)&gt;1,"Repeat","Single")</f>
        <v>Repeat</v>
      </c>
      <c r="J2904" s="10" t="str">
        <f>IF('Transform Data'!D2904="Cash","Cash",IF(COUNTIF('Transform Data'!$D:$D,'Transform Data'!D2904)&gt;1,"Repeat","Single"))</f>
        <v>Repeat</v>
      </c>
      <c r="K2904" s="10" t="str">
        <f t="shared" si="45"/>
        <v>TRANS-2903</v>
      </c>
    </row>
    <row r="2905" spans="1:11" x14ac:dyDescent="0.35">
      <c r="A2905" s="5">
        <v>45689</v>
      </c>
      <c r="B2905" s="3">
        <v>0.82944444444444443</v>
      </c>
      <c r="C2905" t="s">
        <v>8</v>
      </c>
      <c r="D2905" t="s">
        <v>278</v>
      </c>
      <c r="E2905" s="4">
        <v>30.86</v>
      </c>
      <c r="F2905" t="s">
        <v>36</v>
      </c>
      <c r="G2905" s="10" t="str">
        <f>TEXT(Transform_Data[[#This Row],[Date]],"mmm yyyy")</f>
        <v>Feb 2025</v>
      </c>
      <c r="H2905" s="10">
        <f>HOUR(Transform_Data[[#This Row],[Time]])</f>
        <v>19</v>
      </c>
      <c r="I2905" s="10" t="str">
        <f>IF(COUNTIF('Transform Data'!$D:$D,'Transform Data'!D2905)&gt;1,"Repeat","Single")</f>
        <v>Repeat</v>
      </c>
      <c r="J2905" s="10" t="str">
        <f>IF('Transform Data'!D2905="Cash","Cash",IF(COUNTIF('Transform Data'!$D:$D,'Transform Data'!D2905)&gt;1,"Repeat","Single"))</f>
        <v>Repeat</v>
      </c>
      <c r="K2905" s="10" t="str">
        <f t="shared" si="45"/>
        <v>TRANS-2904</v>
      </c>
    </row>
    <row r="2906" spans="1:11" x14ac:dyDescent="0.35">
      <c r="A2906" s="5">
        <v>45689</v>
      </c>
      <c r="B2906" s="3">
        <v>0.9007060185185185</v>
      </c>
      <c r="C2906" t="s">
        <v>8</v>
      </c>
      <c r="D2906" t="s">
        <v>480</v>
      </c>
      <c r="E2906" s="4">
        <v>30.86</v>
      </c>
      <c r="F2906" t="s">
        <v>36</v>
      </c>
      <c r="G2906" s="10" t="str">
        <f>TEXT(Transform_Data[[#This Row],[Date]],"mmm yyyy")</f>
        <v>Feb 2025</v>
      </c>
      <c r="H2906" s="10">
        <f>HOUR(Transform_Data[[#This Row],[Time]])</f>
        <v>21</v>
      </c>
      <c r="I2906" s="10" t="str">
        <f>IF(COUNTIF('Transform Data'!$D:$D,'Transform Data'!D2906)&gt;1,"Repeat","Single")</f>
        <v>Repeat</v>
      </c>
      <c r="J2906" s="10" t="str">
        <f>IF('Transform Data'!D2906="Cash","Cash",IF(COUNTIF('Transform Data'!$D:$D,'Transform Data'!D2906)&gt;1,"Repeat","Single"))</f>
        <v>Repeat</v>
      </c>
      <c r="K2906" s="10" t="str">
        <f t="shared" si="45"/>
        <v>TRANS-2905</v>
      </c>
    </row>
    <row r="2907" spans="1:11" x14ac:dyDescent="0.35">
      <c r="A2907" s="5">
        <v>45690</v>
      </c>
      <c r="B2907" s="3">
        <v>0.45579861111111108</v>
      </c>
      <c r="C2907" t="s">
        <v>8</v>
      </c>
      <c r="D2907" t="s">
        <v>1183</v>
      </c>
      <c r="E2907" s="4">
        <v>35.76</v>
      </c>
      <c r="F2907" t="s">
        <v>24</v>
      </c>
      <c r="G2907" s="10" t="str">
        <f>TEXT(Transform_Data[[#This Row],[Date]],"mmm yyyy")</f>
        <v>Feb 2025</v>
      </c>
      <c r="H2907" s="10">
        <f>HOUR(Transform_Data[[#This Row],[Time]])</f>
        <v>10</v>
      </c>
      <c r="I2907" s="10" t="str">
        <f>IF(COUNTIF('Transform Data'!$D:$D,'Transform Data'!D2907)&gt;1,"Repeat","Single")</f>
        <v>Repeat</v>
      </c>
      <c r="J2907" s="10" t="str">
        <f>IF('Transform Data'!D2907="Cash","Cash",IF(COUNTIF('Transform Data'!$D:$D,'Transform Data'!D2907)&gt;1,"Repeat","Single"))</f>
        <v>Repeat</v>
      </c>
      <c r="K2907" s="10" t="str">
        <f t="shared" si="45"/>
        <v>TRANS-2906</v>
      </c>
    </row>
    <row r="2908" spans="1:11" x14ac:dyDescent="0.35">
      <c r="A2908" s="5">
        <v>45690</v>
      </c>
      <c r="B2908" s="3">
        <v>0.45667824074074076</v>
      </c>
      <c r="C2908" t="s">
        <v>8</v>
      </c>
      <c r="D2908" t="s">
        <v>1183</v>
      </c>
      <c r="E2908" s="4">
        <v>35.76</v>
      </c>
      <c r="F2908" t="s">
        <v>24</v>
      </c>
      <c r="G2908" s="10" t="str">
        <f>TEXT(Transform_Data[[#This Row],[Date]],"mmm yyyy")</f>
        <v>Feb 2025</v>
      </c>
      <c r="H2908" s="10">
        <f>HOUR(Transform_Data[[#This Row],[Time]])</f>
        <v>10</v>
      </c>
      <c r="I2908" s="10" t="str">
        <f>IF(COUNTIF('Transform Data'!$D:$D,'Transform Data'!D2908)&gt;1,"Repeat","Single")</f>
        <v>Repeat</v>
      </c>
      <c r="J2908" s="10" t="str">
        <f>IF('Transform Data'!D2908="Cash","Cash",IF(COUNTIF('Transform Data'!$D:$D,'Transform Data'!D2908)&gt;1,"Repeat","Single"))</f>
        <v>Repeat</v>
      </c>
      <c r="K2908" s="10" t="str">
        <f t="shared" si="45"/>
        <v>TRANS-2907</v>
      </c>
    </row>
    <row r="2909" spans="1:11" x14ac:dyDescent="0.35">
      <c r="A2909" s="5">
        <v>45690</v>
      </c>
      <c r="B2909" s="3">
        <v>0.53787037037037033</v>
      </c>
      <c r="C2909" t="s">
        <v>8</v>
      </c>
      <c r="D2909" t="s">
        <v>1201</v>
      </c>
      <c r="E2909" s="4">
        <v>35.76</v>
      </c>
      <c r="F2909" t="s">
        <v>32</v>
      </c>
      <c r="G2909" s="10" t="str">
        <f>TEXT(Transform_Data[[#This Row],[Date]],"mmm yyyy")</f>
        <v>Feb 2025</v>
      </c>
      <c r="H2909" s="10">
        <f>HOUR(Transform_Data[[#This Row],[Time]])</f>
        <v>12</v>
      </c>
      <c r="I2909" s="10" t="str">
        <f>IF(COUNTIF('Transform Data'!$D:$D,'Transform Data'!D2909)&gt;1,"Repeat","Single")</f>
        <v>Single</v>
      </c>
      <c r="J2909" s="10" t="str">
        <f>IF('Transform Data'!D2909="Cash","Cash",IF(COUNTIF('Transform Data'!$D:$D,'Transform Data'!D2909)&gt;1,"Repeat","Single"))</f>
        <v>Single</v>
      </c>
      <c r="K2909" s="10" t="str">
        <f t="shared" si="45"/>
        <v>TRANS-2908</v>
      </c>
    </row>
    <row r="2910" spans="1:11" x14ac:dyDescent="0.35">
      <c r="A2910" s="5">
        <v>45690</v>
      </c>
      <c r="B2910" s="3">
        <v>0.53893518518518524</v>
      </c>
      <c r="C2910" t="s">
        <v>8</v>
      </c>
      <c r="D2910" t="s">
        <v>1202</v>
      </c>
      <c r="E2910" s="4">
        <v>35.76</v>
      </c>
      <c r="F2910" t="s">
        <v>32</v>
      </c>
      <c r="G2910" s="10" t="str">
        <f>TEXT(Transform_Data[[#This Row],[Date]],"mmm yyyy")</f>
        <v>Feb 2025</v>
      </c>
      <c r="H2910" s="10">
        <f>HOUR(Transform_Data[[#This Row],[Time]])</f>
        <v>12</v>
      </c>
      <c r="I2910" s="10" t="str">
        <f>IF(COUNTIF('Transform Data'!$D:$D,'Transform Data'!D2910)&gt;1,"Repeat","Single")</f>
        <v>Single</v>
      </c>
      <c r="J2910" s="10" t="str">
        <f>IF('Transform Data'!D2910="Cash","Cash",IF(COUNTIF('Transform Data'!$D:$D,'Transform Data'!D2910)&gt;1,"Repeat","Single"))</f>
        <v>Single</v>
      </c>
      <c r="K2910" s="10" t="str">
        <f t="shared" si="45"/>
        <v>TRANS-2909</v>
      </c>
    </row>
    <row r="2911" spans="1:11" x14ac:dyDescent="0.35">
      <c r="A2911" s="5">
        <v>45690</v>
      </c>
      <c r="B2911" s="3">
        <v>0.59927083333333331</v>
      </c>
      <c r="C2911" t="s">
        <v>8</v>
      </c>
      <c r="D2911" t="s">
        <v>319</v>
      </c>
      <c r="E2911" s="4">
        <v>30.86</v>
      </c>
      <c r="F2911" t="s">
        <v>36</v>
      </c>
      <c r="G2911" s="10" t="str">
        <f>TEXT(Transform_Data[[#This Row],[Date]],"mmm yyyy")</f>
        <v>Feb 2025</v>
      </c>
      <c r="H2911" s="10">
        <f>HOUR(Transform_Data[[#This Row],[Time]])</f>
        <v>14</v>
      </c>
      <c r="I2911" s="10" t="str">
        <f>IF(COUNTIF('Transform Data'!$D:$D,'Transform Data'!D2911)&gt;1,"Repeat","Single")</f>
        <v>Repeat</v>
      </c>
      <c r="J2911" s="10" t="str">
        <f>IF('Transform Data'!D2911="Cash","Cash",IF(COUNTIF('Transform Data'!$D:$D,'Transform Data'!D2911)&gt;1,"Repeat","Single"))</f>
        <v>Repeat</v>
      </c>
      <c r="K2911" s="10" t="str">
        <f t="shared" si="45"/>
        <v>TRANS-2910</v>
      </c>
    </row>
    <row r="2912" spans="1:11" x14ac:dyDescent="0.35">
      <c r="A2912" s="5">
        <v>45690</v>
      </c>
      <c r="B2912" s="3">
        <v>0.69799768518518523</v>
      </c>
      <c r="C2912" t="s">
        <v>8</v>
      </c>
      <c r="D2912" t="s">
        <v>21</v>
      </c>
      <c r="E2912" s="4">
        <v>35.76</v>
      </c>
      <c r="F2912" t="s">
        <v>32</v>
      </c>
      <c r="G2912" s="10" t="str">
        <f>TEXT(Transform_Data[[#This Row],[Date]],"mmm yyyy")</f>
        <v>Feb 2025</v>
      </c>
      <c r="H2912" s="10">
        <f>HOUR(Transform_Data[[#This Row],[Time]])</f>
        <v>16</v>
      </c>
      <c r="I2912" s="10" t="str">
        <f>IF(COUNTIF('Transform Data'!$D:$D,'Transform Data'!D2912)&gt;1,"Repeat","Single")</f>
        <v>Repeat</v>
      </c>
      <c r="J2912" s="10" t="str">
        <f>IF('Transform Data'!D2912="Cash","Cash",IF(COUNTIF('Transform Data'!$D:$D,'Transform Data'!D2912)&gt;1,"Repeat","Single"))</f>
        <v>Repeat</v>
      </c>
      <c r="K2912" s="10" t="str">
        <f t="shared" si="45"/>
        <v>TRANS-2911</v>
      </c>
    </row>
    <row r="2913" spans="1:11" x14ac:dyDescent="0.35">
      <c r="A2913" s="5">
        <v>45690</v>
      </c>
      <c r="B2913" s="3">
        <v>0.69927083333333329</v>
      </c>
      <c r="C2913" t="s">
        <v>8</v>
      </c>
      <c r="D2913" t="s">
        <v>1203</v>
      </c>
      <c r="E2913" s="4">
        <v>35.76</v>
      </c>
      <c r="F2913" t="s">
        <v>32</v>
      </c>
      <c r="G2913" s="10" t="str">
        <f>TEXT(Transform_Data[[#This Row],[Date]],"mmm yyyy")</f>
        <v>Feb 2025</v>
      </c>
      <c r="H2913" s="10">
        <f>HOUR(Transform_Data[[#This Row],[Time]])</f>
        <v>16</v>
      </c>
      <c r="I2913" s="10" t="str">
        <f>IF(COUNTIF('Transform Data'!$D:$D,'Transform Data'!D2913)&gt;1,"Repeat","Single")</f>
        <v>Repeat</v>
      </c>
      <c r="J2913" s="10" t="str">
        <f>IF('Transform Data'!D2913="Cash","Cash",IF(COUNTIF('Transform Data'!$D:$D,'Transform Data'!D2913)&gt;1,"Repeat","Single"))</f>
        <v>Repeat</v>
      </c>
      <c r="K2913" s="10" t="str">
        <f t="shared" si="45"/>
        <v>TRANS-2912</v>
      </c>
    </row>
    <row r="2914" spans="1:11" x14ac:dyDescent="0.35">
      <c r="A2914" s="5">
        <v>45691</v>
      </c>
      <c r="B2914" s="3">
        <v>0.29402777777777778</v>
      </c>
      <c r="C2914" t="s">
        <v>8</v>
      </c>
      <c r="D2914" t="s">
        <v>1203</v>
      </c>
      <c r="E2914" s="4">
        <v>35.76</v>
      </c>
      <c r="F2914" t="s">
        <v>24</v>
      </c>
      <c r="G2914" s="10" t="str">
        <f>TEXT(Transform_Data[[#This Row],[Date]],"mmm yyyy")</f>
        <v>Feb 2025</v>
      </c>
      <c r="H2914" s="10">
        <f>HOUR(Transform_Data[[#This Row],[Time]])</f>
        <v>7</v>
      </c>
      <c r="I2914" s="10" t="str">
        <f>IF(COUNTIF('Transform Data'!$D:$D,'Transform Data'!D2914)&gt;1,"Repeat","Single")</f>
        <v>Repeat</v>
      </c>
      <c r="J2914" s="10" t="str">
        <f>IF('Transform Data'!D2914="Cash","Cash",IF(COUNTIF('Transform Data'!$D:$D,'Transform Data'!D2914)&gt;1,"Repeat","Single"))</f>
        <v>Repeat</v>
      </c>
      <c r="K2914" s="10" t="str">
        <f t="shared" si="45"/>
        <v>TRANS-2913</v>
      </c>
    </row>
    <row r="2915" spans="1:11" x14ac:dyDescent="0.35">
      <c r="A2915" s="5">
        <v>45691</v>
      </c>
      <c r="B2915" s="3">
        <v>0.29509259259259257</v>
      </c>
      <c r="C2915" t="s">
        <v>8</v>
      </c>
      <c r="D2915" t="s">
        <v>1203</v>
      </c>
      <c r="E2915" s="4">
        <v>30.86</v>
      </c>
      <c r="F2915" t="s">
        <v>36</v>
      </c>
      <c r="G2915" s="10" t="str">
        <f>TEXT(Transform_Data[[#This Row],[Date]],"mmm yyyy")</f>
        <v>Feb 2025</v>
      </c>
      <c r="H2915" s="10">
        <f>HOUR(Transform_Data[[#This Row],[Time]])</f>
        <v>7</v>
      </c>
      <c r="I2915" s="10" t="str">
        <f>IF(COUNTIF('Transform Data'!$D:$D,'Transform Data'!D2915)&gt;1,"Repeat","Single")</f>
        <v>Repeat</v>
      </c>
      <c r="J2915" s="10" t="str">
        <f>IF('Transform Data'!D2915="Cash","Cash",IF(COUNTIF('Transform Data'!$D:$D,'Transform Data'!D2915)&gt;1,"Repeat","Single"))</f>
        <v>Repeat</v>
      </c>
      <c r="K2915" s="10" t="str">
        <f t="shared" si="45"/>
        <v>TRANS-2914</v>
      </c>
    </row>
    <row r="2916" spans="1:11" x14ac:dyDescent="0.35">
      <c r="A2916" s="5">
        <v>45691</v>
      </c>
      <c r="B2916" s="3">
        <v>0.33614583333333331</v>
      </c>
      <c r="C2916" t="s">
        <v>8</v>
      </c>
      <c r="D2916" t="s">
        <v>1203</v>
      </c>
      <c r="E2916" s="4">
        <v>21.06</v>
      </c>
      <c r="F2916" t="s">
        <v>5</v>
      </c>
      <c r="G2916" s="10" t="str">
        <f>TEXT(Transform_Data[[#This Row],[Date]],"mmm yyyy")</f>
        <v>Feb 2025</v>
      </c>
      <c r="H2916" s="10">
        <f>HOUR(Transform_Data[[#This Row],[Time]])</f>
        <v>8</v>
      </c>
      <c r="I2916" s="10" t="str">
        <f>IF(COUNTIF('Transform Data'!$D:$D,'Transform Data'!D2916)&gt;1,"Repeat","Single")</f>
        <v>Repeat</v>
      </c>
      <c r="J2916" s="10" t="str">
        <f>IF('Transform Data'!D2916="Cash","Cash",IF(COUNTIF('Transform Data'!$D:$D,'Transform Data'!D2916)&gt;1,"Repeat","Single"))</f>
        <v>Repeat</v>
      </c>
      <c r="K2916" s="10" t="str">
        <f t="shared" si="45"/>
        <v>TRANS-2915</v>
      </c>
    </row>
    <row r="2917" spans="1:11" x14ac:dyDescent="0.35">
      <c r="A2917" s="5">
        <v>45691</v>
      </c>
      <c r="B2917" s="3">
        <v>0.33967592592592594</v>
      </c>
      <c r="C2917" t="s">
        <v>8</v>
      </c>
      <c r="D2917" t="s">
        <v>1204</v>
      </c>
      <c r="E2917" s="4">
        <v>30.86</v>
      </c>
      <c r="F2917" t="s">
        <v>36</v>
      </c>
      <c r="G2917" s="10" t="str">
        <f>TEXT(Transform_Data[[#This Row],[Date]],"mmm yyyy")</f>
        <v>Feb 2025</v>
      </c>
      <c r="H2917" s="10">
        <f>HOUR(Transform_Data[[#This Row],[Time]])</f>
        <v>8</v>
      </c>
      <c r="I2917" s="10" t="str">
        <f>IF(COUNTIF('Transform Data'!$D:$D,'Transform Data'!D2917)&gt;1,"Repeat","Single")</f>
        <v>Repeat</v>
      </c>
      <c r="J2917" s="10" t="str">
        <f>IF('Transform Data'!D2917="Cash","Cash",IF(COUNTIF('Transform Data'!$D:$D,'Transform Data'!D2917)&gt;1,"Repeat","Single"))</f>
        <v>Repeat</v>
      </c>
      <c r="K2917" s="10" t="str">
        <f t="shared" si="45"/>
        <v>TRANS-2916</v>
      </c>
    </row>
    <row r="2918" spans="1:11" x14ac:dyDescent="0.35">
      <c r="A2918" s="5">
        <v>45691</v>
      </c>
      <c r="B2918" s="3">
        <v>0.42752314814814812</v>
      </c>
      <c r="C2918" t="s">
        <v>8</v>
      </c>
      <c r="D2918" t="s">
        <v>1205</v>
      </c>
      <c r="E2918" s="4">
        <v>25.96</v>
      </c>
      <c r="F2918" t="s">
        <v>28</v>
      </c>
      <c r="G2918" s="10" t="str">
        <f>TEXT(Transform_Data[[#This Row],[Date]],"mmm yyyy")</f>
        <v>Feb 2025</v>
      </c>
      <c r="H2918" s="10">
        <f>HOUR(Transform_Data[[#This Row],[Time]])</f>
        <v>10</v>
      </c>
      <c r="I2918" s="10" t="str">
        <f>IF(COUNTIF('Transform Data'!$D:$D,'Transform Data'!D2918)&gt;1,"Repeat","Single")</f>
        <v>Single</v>
      </c>
      <c r="J2918" s="10" t="str">
        <f>IF('Transform Data'!D2918="Cash","Cash",IF(COUNTIF('Transform Data'!$D:$D,'Transform Data'!D2918)&gt;1,"Repeat","Single"))</f>
        <v>Single</v>
      </c>
      <c r="K2918" s="10" t="str">
        <f t="shared" si="45"/>
        <v>TRANS-2917</v>
      </c>
    </row>
    <row r="2919" spans="1:11" x14ac:dyDescent="0.35">
      <c r="A2919" s="5">
        <v>45691</v>
      </c>
      <c r="B2919" s="3">
        <v>0.43215277777777777</v>
      </c>
      <c r="C2919" t="s">
        <v>8</v>
      </c>
      <c r="D2919" t="s">
        <v>1206</v>
      </c>
      <c r="E2919" s="4">
        <v>35.76</v>
      </c>
      <c r="F2919" t="s">
        <v>24</v>
      </c>
      <c r="G2919" s="10" t="str">
        <f>TEXT(Transform_Data[[#This Row],[Date]],"mmm yyyy")</f>
        <v>Feb 2025</v>
      </c>
      <c r="H2919" s="10">
        <f>HOUR(Transform_Data[[#This Row],[Time]])</f>
        <v>10</v>
      </c>
      <c r="I2919" s="10" t="str">
        <f>IF(COUNTIF('Transform Data'!$D:$D,'Transform Data'!D2919)&gt;1,"Repeat","Single")</f>
        <v>Repeat</v>
      </c>
      <c r="J2919" s="10" t="str">
        <f>IF('Transform Data'!D2919="Cash","Cash",IF(COUNTIF('Transform Data'!$D:$D,'Transform Data'!D2919)&gt;1,"Repeat","Single"))</f>
        <v>Repeat</v>
      </c>
      <c r="K2919" s="10" t="str">
        <f t="shared" si="45"/>
        <v>TRANS-2918</v>
      </c>
    </row>
    <row r="2920" spans="1:11" x14ac:dyDescent="0.35">
      <c r="A2920" s="5">
        <v>45691</v>
      </c>
      <c r="B2920" s="3">
        <v>0.45136574074074076</v>
      </c>
      <c r="C2920" t="s">
        <v>8</v>
      </c>
      <c r="D2920" t="s">
        <v>1207</v>
      </c>
      <c r="E2920" s="4">
        <v>30.86</v>
      </c>
      <c r="F2920" t="s">
        <v>36</v>
      </c>
      <c r="G2920" s="10" t="str">
        <f>TEXT(Transform_Data[[#This Row],[Date]],"mmm yyyy")</f>
        <v>Feb 2025</v>
      </c>
      <c r="H2920" s="10">
        <f>HOUR(Transform_Data[[#This Row],[Time]])</f>
        <v>10</v>
      </c>
      <c r="I2920" s="10" t="str">
        <f>IF(COUNTIF('Transform Data'!$D:$D,'Transform Data'!D2920)&gt;1,"Repeat","Single")</f>
        <v>Repeat</v>
      </c>
      <c r="J2920" s="10" t="str">
        <f>IF('Transform Data'!D2920="Cash","Cash",IF(COUNTIF('Transform Data'!$D:$D,'Transform Data'!D2920)&gt;1,"Repeat","Single"))</f>
        <v>Repeat</v>
      </c>
      <c r="K2920" s="10" t="str">
        <f t="shared" si="45"/>
        <v>TRANS-2919</v>
      </c>
    </row>
    <row r="2921" spans="1:11" x14ac:dyDescent="0.35">
      <c r="A2921" s="5">
        <v>45691</v>
      </c>
      <c r="B2921" s="3">
        <v>0.55905092592592598</v>
      </c>
      <c r="C2921" t="s">
        <v>8</v>
      </c>
      <c r="D2921" t="s">
        <v>1208</v>
      </c>
      <c r="E2921" s="4">
        <v>35.76</v>
      </c>
      <c r="F2921" t="s">
        <v>24</v>
      </c>
      <c r="G2921" s="10" t="str">
        <f>TEXT(Transform_Data[[#This Row],[Date]],"mmm yyyy")</f>
        <v>Feb 2025</v>
      </c>
      <c r="H2921" s="10">
        <f>HOUR(Transform_Data[[#This Row],[Time]])</f>
        <v>13</v>
      </c>
      <c r="I2921" s="10" t="str">
        <f>IF(COUNTIF('Transform Data'!$D:$D,'Transform Data'!D2921)&gt;1,"Repeat","Single")</f>
        <v>Repeat</v>
      </c>
      <c r="J2921" s="10" t="str">
        <f>IF('Transform Data'!D2921="Cash","Cash",IF(COUNTIF('Transform Data'!$D:$D,'Transform Data'!D2921)&gt;1,"Repeat","Single"))</f>
        <v>Repeat</v>
      </c>
      <c r="K2921" s="10" t="str">
        <f t="shared" si="45"/>
        <v>TRANS-2920</v>
      </c>
    </row>
    <row r="2922" spans="1:11" x14ac:dyDescent="0.35">
      <c r="A2922" s="5">
        <v>45691</v>
      </c>
      <c r="B2922" s="3">
        <v>0.56450231481481483</v>
      </c>
      <c r="C2922" t="s">
        <v>8</v>
      </c>
      <c r="D2922" t="s">
        <v>1209</v>
      </c>
      <c r="E2922" s="4">
        <v>35.76</v>
      </c>
      <c r="F2922" t="s">
        <v>24</v>
      </c>
      <c r="G2922" s="10" t="str">
        <f>TEXT(Transform_Data[[#This Row],[Date]],"mmm yyyy")</f>
        <v>Feb 2025</v>
      </c>
      <c r="H2922" s="10">
        <f>HOUR(Transform_Data[[#This Row],[Time]])</f>
        <v>13</v>
      </c>
      <c r="I2922" s="10" t="str">
        <f>IF(COUNTIF('Transform Data'!$D:$D,'Transform Data'!D2922)&gt;1,"Repeat","Single")</f>
        <v>Repeat</v>
      </c>
      <c r="J2922" s="10" t="str">
        <f>IF('Transform Data'!D2922="Cash","Cash",IF(COUNTIF('Transform Data'!$D:$D,'Transform Data'!D2922)&gt;1,"Repeat","Single"))</f>
        <v>Repeat</v>
      </c>
      <c r="K2922" s="10" t="str">
        <f t="shared" si="45"/>
        <v>TRANS-2921</v>
      </c>
    </row>
    <row r="2923" spans="1:11" x14ac:dyDescent="0.35">
      <c r="A2923" s="5">
        <v>45691</v>
      </c>
      <c r="B2923" s="3">
        <v>0.57711805555555551</v>
      </c>
      <c r="C2923" t="s">
        <v>8</v>
      </c>
      <c r="D2923" t="s">
        <v>1210</v>
      </c>
      <c r="E2923" s="4">
        <v>25.96</v>
      </c>
      <c r="F2923" t="s">
        <v>28</v>
      </c>
      <c r="G2923" s="10" t="str">
        <f>TEXT(Transform_Data[[#This Row],[Date]],"mmm yyyy")</f>
        <v>Feb 2025</v>
      </c>
      <c r="H2923" s="10">
        <f>HOUR(Transform_Data[[#This Row],[Time]])</f>
        <v>13</v>
      </c>
      <c r="I2923" s="10" t="str">
        <f>IF(COUNTIF('Transform Data'!$D:$D,'Transform Data'!D2923)&gt;1,"Repeat","Single")</f>
        <v>Single</v>
      </c>
      <c r="J2923" s="10" t="str">
        <f>IF('Transform Data'!D2923="Cash","Cash",IF(COUNTIF('Transform Data'!$D:$D,'Transform Data'!D2923)&gt;1,"Repeat","Single"))</f>
        <v>Single</v>
      </c>
      <c r="K2923" s="10" t="str">
        <f t="shared" si="45"/>
        <v>TRANS-2922</v>
      </c>
    </row>
    <row r="2924" spans="1:11" x14ac:dyDescent="0.35">
      <c r="A2924" s="5">
        <v>45691</v>
      </c>
      <c r="B2924" s="3">
        <v>0.58791666666666664</v>
      </c>
      <c r="C2924" t="s">
        <v>8</v>
      </c>
      <c r="D2924" t="s">
        <v>1211</v>
      </c>
      <c r="E2924" s="4">
        <v>25.96</v>
      </c>
      <c r="F2924" t="s">
        <v>28</v>
      </c>
      <c r="G2924" s="10" t="str">
        <f>TEXT(Transform_Data[[#This Row],[Date]],"mmm yyyy")</f>
        <v>Feb 2025</v>
      </c>
      <c r="H2924" s="10">
        <f>HOUR(Transform_Data[[#This Row],[Time]])</f>
        <v>14</v>
      </c>
      <c r="I2924" s="10" t="str">
        <f>IF(COUNTIF('Transform Data'!$D:$D,'Transform Data'!D2924)&gt;1,"Repeat","Single")</f>
        <v>Repeat</v>
      </c>
      <c r="J2924" s="10" t="str">
        <f>IF('Transform Data'!D2924="Cash","Cash",IF(COUNTIF('Transform Data'!$D:$D,'Transform Data'!D2924)&gt;1,"Repeat","Single"))</f>
        <v>Repeat</v>
      </c>
      <c r="K2924" s="10" t="str">
        <f t="shared" si="45"/>
        <v>TRANS-2923</v>
      </c>
    </row>
    <row r="2925" spans="1:11" x14ac:dyDescent="0.35">
      <c r="A2925" s="5">
        <v>45691</v>
      </c>
      <c r="B2925" s="3">
        <v>0.61599537037037033</v>
      </c>
      <c r="C2925" t="s">
        <v>8</v>
      </c>
      <c r="D2925" t="s">
        <v>76</v>
      </c>
      <c r="E2925" s="4">
        <v>35.76</v>
      </c>
      <c r="F2925" t="s">
        <v>32</v>
      </c>
      <c r="G2925" s="10" t="str">
        <f>TEXT(Transform_Data[[#This Row],[Date]],"mmm yyyy")</f>
        <v>Feb 2025</v>
      </c>
      <c r="H2925" s="10">
        <f>HOUR(Transform_Data[[#This Row],[Time]])</f>
        <v>14</v>
      </c>
      <c r="I2925" s="10" t="str">
        <f>IF(COUNTIF('Transform Data'!$D:$D,'Transform Data'!D2925)&gt;1,"Repeat","Single")</f>
        <v>Repeat</v>
      </c>
      <c r="J2925" s="10" t="str">
        <f>IF('Transform Data'!D2925="Cash","Cash",IF(COUNTIF('Transform Data'!$D:$D,'Transform Data'!D2925)&gt;1,"Repeat","Single"))</f>
        <v>Repeat</v>
      </c>
      <c r="K2925" s="10" t="str">
        <f t="shared" si="45"/>
        <v>TRANS-2924</v>
      </c>
    </row>
    <row r="2926" spans="1:11" x14ac:dyDescent="0.35">
      <c r="A2926" s="5">
        <v>45691</v>
      </c>
      <c r="B2926" s="3">
        <v>0.61828703703703702</v>
      </c>
      <c r="C2926" t="s">
        <v>8</v>
      </c>
      <c r="D2926" t="s">
        <v>21</v>
      </c>
      <c r="E2926" s="4">
        <v>35.76</v>
      </c>
      <c r="F2926" t="s">
        <v>32</v>
      </c>
      <c r="G2926" s="10" t="str">
        <f>TEXT(Transform_Data[[#This Row],[Date]],"mmm yyyy")</f>
        <v>Feb 2025</v>
      </c>
      <c r="H2926" s="10">
        <f>HOUR(Transform_Data[[#This Row],[Time]])</f>
        <v>14</v>
      </c>
      <c r="I2926" s="10" t="str">
        <f>IF(COUNTIF('Transform Data'!$D:$D,'Transform Data'!D2926)&gt;1,"Repeat","Single")</f>
        <v>Repeat</v>
      </c>
      <c r="J2926" s="10" t="str">
        <f>IF('Transform Data'!D2926="Cash","Cash",IF(COUNTIF('Transform Data'!$D:$D,'Transform Data'!D2926)&gt;1,"Repeat","Single"))</f>
        <v>Repeat</v>
      </c>
      <c r="K2926" s="10" t="str">
        <f t="shared" si="45"/>
        <v>TRANS-2925</v>
      </c>
    </row>
    <row r="2927" spans="1:11" x14ac:dyDescent="0.35">
      <c r="A2927" s="5">
        <v>45691</v>
      </c>
      <c r="B2927" s="3">
        <v>0.62620370370370371</v>
      </c>
      <c r="C2927" t="s">
        <v>8</v>
      </c>
      <c r="D2927" t="s">
        <v>1212</v>
      </c>
      <c r="E2927" s="4">
        <v>35.76</v>
      </c>
      <c r="F2927" t="s">
        <v>32</v>
      </c>
      <c r="G2927" s="10" t="str">
        <f>TEXT(Transform_Data[[#This Row],[Date]],"mmm yyyy")</f>
        <v>Feb 2025</v>
      </c>
      <c r="H2927" s="10">
        <f>HOUR(Transform_Data[[#This Row],[Time]])</f>
        <v>15</v>
      </c>
      <c r="I2927" s="10" t="str">
        <f>IF(COUNTIF('Transform Data'!$D:$D,'Transform Data'!D2927)&gt;1,"Repeat","Single")</f>
        <v>Repeat</v>
      </c>
      <c r="J2927" s="10" t="str">
        <f>IF('Transform Data'!D2927="Cash","Cash",IF(COUNTIF('Transform Data'!$D:$D,'Transform Data'!D2927)&gt;1,"Repeat","Single"))</f>
        <v>Repeat</v>
      </c>
      <c r="K2927" s="10" t="str">
        <f t="shared" si="45"/>
        <v>TRANS-2926</v>
      </c>
    </row>
    <row r="2928" spans="1:11" x14ac:dyDescent="0.35">
      <c r="A2928" s="5">
        <v>45691</v>
      </c>
      <c r="B2928" s="3">
        <v>0.65378472222222217</v>
      </c>
      <c r="C2928" t="s">
        <v>8</v>
      </c>
      <c r="D2928" t="s">
        <v>6</v>
      </c>
      <c r="E2928" s="4">
        <v>25.96</v>
      </c>
      <c r="F2928" t="s">
        <v>28</v>
      </c>
      <c r="G2928" s="10" t="str">
        <f>TEXT(Transform_Data[[#This Row],[Date]],"mmm yyyy")</f>
        <v>Feb 2025</v>
      </c>
      <c r="H2928" s="10">
        <f>HOUR(Transform_Data[[#This Row],[Time]])</f>
        <v>15</v>
      </c>
      <c r="I2928" s="10" t="str">
        <f>IF(COUNTIF('Transform Data'!$D:$D,'Transform Data'!D2928)&gt;1,"Repeat","Single")</f>
        <v>Repeat</v>
      </c>
      <c r="J2928" s="10" t="str">
        <f>IF('Transform Data'!D2928="Cash","Cash",IF(COUNTIF('Transform Data'!$D:$D,'Transform Data'!D2928)&gt;1,"Repeat","Single"))</f>
        <v>Repeat</v>
      </c>
      <c r="K2928" s="10" t="str">
        <f t="shared" si="45"/>
        <v>TRANS-2927</v>
      </c>
    </row>
    <row r="2929" spans="1:11" x14ac:dyDescent="0.35">
      <c r="A2929" s="5">
        <v>45691</v>
      </c>
      <c r="B2929" s="3">
        <v>0.70932870370370371</v>
      </c>
      <c r="C2929" t="s">
        <v>8</v>
      </c>
      <c r="D2929" t="s">
        <v>1211</v>
      </c>
      <c r="E2929" s="4">
        <v>35.76</v>
      </c>
      <c r="F2929" t="s">
        <v>10</v>
      </c>
      <c r="G2929" s="10" t="str">
        <f>TEXT(Transform_Data[[#This Row],[Date]],"mmm yyyy")</f>
        <v>Feb 2025</v>
      </c>
      <c r="H2929" s="10">
        <f>HOUR(Transform_Data[[#This Row],[Time]])</f>
        <v>17</v>
      </c>
      <c r="I2929" s="10" t="str">
        <f>IF(COUNTIF('Transform Data'!$D:$D,'Transform Data'!D2929)&gt;1,"Repeat","Single")</f>
        <v>Repeat</v>
      </c>
      <c r="J2929" s="10" t="str">
        <f>IF('Transform Data'!D2929="Cash","Cash",IF(COUNTIF('Transform Data'!$D:$D,'Transform Data'!D2929)&gt;1,"Repeat","Single"))</f>
        <v>Repeat</v>
      </c>
      <c r="K2929" s="10" t="str">
        <f t="shared" si="45"/>
        <v>TRANS-2928</v>
      </c>
    </row>
    <row r="2930" spans="1:11" x14ac:dyDescent="0.35">
      <c r="A2930" s="5">
        <v>45691</v>
      </c>
      <c r="B2930" s="3">
        <v>0.71521990740740737</v>
      </c>
      <c r="C2930" t="s">
        <v>8</v>
      </c>
      <c r="D2930" t="s">
        <v>1213</v>
      </c>
      <c r="E2930" s="4">
        <v>30.86</v>
      </c>
      <c r="F2930" t="s">
        <v>36</v>
      </c>
      <c r="G2930" s="10" t="str">
        <f>TEXT(Transform_Data[[#This Row],[Date]],"mmm yyyy")</f>
        <v>Feb 2025</v>
      </c>
      <c r="H2930" s="10">
        <f>HOUR(Transform_Data[[#This Row],[Time]])</f>
        <v>17</v>
      </c>
      <c r="I2930" s="10" t="str">
        <f>IF(COUNTIF('Transform Data'!$D:$D,'Transform Data'!D2930)&gt;1,"Repeat","Single")</f>
        <v>Repeat</v>
      </c>
      <c r="J2930" s="10" t="str">
        <f>IF('Transform Data'!D2930="Cash","Cash",IF(COUNTIF('Transform Data'!$D:$D,'Transform Data'!D2930)&gt;1,"Repeat","Single"))</f>
        <v>Repeat</v>
      </c>
      <c r="K2930" s="10" t="str">
        <f t="shared" si="45"/>
        <v>TRANS-2929</v>
      </c>
    </row>
    <row r="2931" spans="1:11" x14ac:dyDescent="0.35">
      <c r="A2931" s="5">
        <v>45691</v>
      </c>
      <c r="B2931" s="3">
        <v>0.71605324074074073</v>
      </c>
      <c r="C2931" t="s">
        <v>8</v>
      </c>
      <c r="D2931" t="s">
        <v>33</v>
      </c>
      <c r="E2931" s="4">
        <v>30.86</v>
      </c>
      <c r="F2931" t="s">
        <v>36</v>
      </c>
      <c r="G2931" s="10" t="str">
        <f>TEXT(Transform_Data[[#This Row],[Date]],"mmm yyyy")</f>
        <v>Feb 2025</v>
      </c>
      <c r="H2931" s="10">
        <f>HOUR(Transform_Data[[#This Row],[Time]])</f>
        <v>17</v>
      </c>
      <c r="I2931" s="10" t="str">
        <f>IF(COUNTIF('Transform Data'!$D:$D,'Transform Data'!D2931)&gt;1,"Repeat","Single")</f>
        <v>Repeat</v>
      </c>
      <c r="J2931" s="10" t="str">
        <f>IF('Transform Data'!D2931="Cash","Cash",IF(COUNTIF('Transform Data'!$D:$D,'Transform Data'!D2931)&gt;1,"Repeat","Single"))</f>
        <v>Repeat</v>
      </c>
      <c r="K2931" s="10" t="str">
        <f t="shared" si="45"/>
        <v>TRANS-2930</v>
      </c>
    </row>
    <row r="2932" spans="1:11" x14ac:dyDescent="0.35">
      <c r="A2932" s="5">
        <v>45691</v>
      </c>
      <c r="B2932" s="3">
        <v>0.71672453703703709</v>
      </c>
      <c r="C2932" t="s">
        <v>8</v>
      </c>
      <c r="D2932" t="s">
        <v>33</v>
      </c>
      <c r="E2932" s="4">
        <v>30.86</v>
      </c>
      <c r="F2932" t="s">
        <v>36</v>
      </c>
      <c r="G2932" s="10" t="str">
        <f>TEXT(Transform_Data[[#This Row],[Date]],"mmm yyyy")</f>
        <v>Feb 2025</v>
      </c>
      <c r="H2932" s="10">
        <f>HOUR(Transform_Data[[#This Row],[Time]])</f>
        <v>17</v>
      </c>
      <c r="I2932" s="10" t="str">
        <f>IF(COUNTIF('Transform Data'!$D:$D,'Transform Data'!D2932)&gt;1,"Repeat","Single")</f>
        <v>Repeat</v>
      </c>
      <c r="J2932" s="10" t="str">
        <f>IF('Transform Data'!D2932="Cash","Cash",IF(COUNTIF('Transform Data'!$D:$D,'Transform Data'!D2932)&gt;1,"Repeat","Single"))</f>
        <v>Repeat</v>
      </c>
      <c r="K2932" s="10" t="str">
        <f t="shared" si="45"/>
        <v>TRANS-2931</v>
      </c>
    </row>
    <row r="2933" spans="1:11" x14ac:dyDescent="0.35">
      <c r="A2933" s="5">
        <v>45691</v>
      </c>
      <c r="B2933" s="3">
        <v>0.71760416666666671</v>
      </c>
      <c r="C2933" t="s">
        <v>8</v>
      </c>
      <c r="D2933" t="s">
        <v>1214</v>
      </c>
      <c r="E2933" s="4">
        <v>35.76</v>
      </c>
      <c r="F2933" t="s">
        <v>15</v>
      </c>
      <c r="G2933" s="10" t="str">
        <f>TEXT(Transform_Data[[#This Row],[Date]],"mmm yyyy")</f>
        <v>Feb 2025</v>
      </c>
      <c r="H2933" s="10">
        <f>HOUR(Transform_Data[[#This Row],[Time]])</f>
        <v>17</v>
      </c>
      <c r="I2933" s="10" t="str">
        <f>IF(COUNTIF('Transform Data'!$D:$D,'Transform Data'!D2933)&gt;1,"Repeat","Single")</f>
        <v>Repeat</v>
      </c>
      <c r="J2933" s="10" t="str">
        <f>IF('Transform Data'!D2933="Cash","Cash",IF(COUNTIF('Transform Data'!$D:$D,'Transform Data'!D2933)&gt;1,"Repeat","Single"))</f>
        <v>Repeat</v>
      </c>
      <c r="K2933" s="10" t="str">
        <f t="shared" si="45"/>
        <v>TRANS-2932</v>
      </c>
    </row>
    <row r="2934" spans="1:11" x14ac:dyDescent="0.35">
      <c r="A2934" s="5">
        <v>45691</v>
      </c>
      <c r="B2934" s="3">
        <v>0.71826388888888892</v>
      </c>
      <c r="C2934" t="s">
        <v>8</v>
      </c>
      <c r="D2934" t="s">
        <v>1214</v>
      </c>
      <c r="E2934" s="4">
        <v>35.76</v>
      </c>
      <c r="F2934" t="s">
        <v>32</v>
      </c>
      <c r="G2934" s="10" t="str">
        <f>TEXT(Transform_Data[[#This Row],[Date]],"mmm yyyy")</f>
        <v>Feb 2025</v>
      </c>
      <c r="H2934" s="10">
        <f>HOUR(Transform_Data[[#This Row],[Time]])</f>
        <v>17</v>
      </c>
      <c r="I2934" s="10" t="str">
        <f>IF(COUNTIF('Transform Data'!$D:$D,'Transform Data'!D2934)&gt;1,"Repeat","Single")</f>
        <v>Repeat</v>
      </c>
      <c r="J2934" s="10" t="str">
        <f>IF('Transform Data'!D2934="Cash","Cash",IF(COUNTIF('Transform Data'!$D:$D,'Transform Data'!D2934)&gt;1,"Repeat","Single"))</f>
        <v>Repeat</v>
      </c>
      <c r="K2934" s="10" t="str">
        <f t="shared" si="45"/>
        <v>TRANS-2933</v>
      </c>
    </row>
    <row r="2935" spans="1:11" x14ac:dyDescent="0.35">
      <c r="A2935" s="5">
        <v>45691</v>
      </c>
      <c r="B2935" s="3">
        <v>0.719212962962963</v>
      </c>
      <c r="C2935" t="s">
        <v>8</v>
      </c>
      <c r="D2935" t="s">
        <v>1215</v>
      </c>
      <c r="E2935" s="4">
        <v>35.76</v>
      </c>
      <c r="F2935" t="s">
        <v>15</v>
      </c>
      <c r="G2935" s="10" t="str">
        <f>TEXT(Transform_Data[[#This Row],[Date]],"mmm yyyy")</f>
        <v>Feb 2025</v>
      </c>
      <c r="H2935" s="10">
        <f>HOUR(Transform_Data[[#This Row],[Time]])</f>
        <v>17</v>
      </c>
      <c r="I2935" s="10" t="str">
        <f>IF(COUNTIF('Transform Data'!$D:$D,'Transform Data'!D2935)&gt;1,"Repeat","Single")</f>
        <v>Repeat</v>
      </c>
      <c r="J2935" s="10" t="str">
        <f>IF('Transform Data'!D2935="Cash","Cash",IF(COUNTIF('Transform Data'!$D:$D,'Transform Data'!D2935)&gt;1,"Repeat","Single"))</f>
        <v>Repeat</v>
      </c>
      <c r="K2935" s="10" t="str">
        <f t="shared" si="45"/>
        <v>TRANS-2934</v>
      </c>
    </row>
    <row r="2936" spans="1:11" x14ac:dyDescent="0.35">
      <c r="A2936" s="5">
        <v>45691</v>
      </c>
      <c r="B2936" s="3">
        <v>0.73908564814814814</v>
      </c>
      <c r="C2936" t="s">
        <v>8</v>
      </c>
      <c r="D2936" t="s">
        <v>1216</v>
      </c>
      <c r="E2936" s="4">
        <v>30.86</v>
      </c>
      <c r="F2936" t="s">
        <v>36</v>
      </c>
      <c r="G2936" s="10" t="str">
        <f>TEXT(Transform_Data[[#This Row],[Date]],"mmm yyyy")</f>
        <v>Feb 2025</v>
      </c>
      <c r="H2936" s="10">
        <f>HOUR(Transform_Data[[#This Row],[Time]])</f>
        <v>17</v>
      </c>
      <c r="I2936" s="10" t="str">
        <f>IF(COUNTIF('Transform Data'!$D:$D,'Transform Data'!D2936)&gt;1,"Repeat","Single")</f>
        <v>Repeat</v>
      </c>
      <c r="J2936" s="10" t="str">
        <f>IF('Transform Data'!D2936="Cash","Cash",IF(COUNTIF('Transform Data'!$D:$D,'Transform Data'!D2936)&gt;1,"Repeat","Single"))</f>
        <v>Repeat</v>
      </c>
      <c r="K2936" s="10" t="str">
        <f t="shared" si="45"/>
        <v>TRANS-2935</v>
      </c>
    </row>
    <row r="2937" spans="1:11" x14ac:dyDescent="0.35">
      <c r="A2937" s="5">
        <v>45691</v>
      </c>
      <c r="B2937" s="3">
        <v>0.75624999999999998</v>
      </c>
      <c r="C2937" t="s">
        <v>8</v>
      </c>
      <c r="D2937" t="s">
        <v>1217</v>
      </c>
      <c r="E2937" s="4">
        <v>25.96</v>
      </c>
      <c r="F2937" t="s">
        <v>28</v>
      </c>
      <c r="G2937" s="10" t="str">
        <f>TEXT(Transform_Data[[#This Row],[Date]],"mmm yyyy")</f>
        <v>Feb 2025</v>
      </c>
      <c r="H2937" s="10">
        <f>HOUR(Transform_Data[[#This Row],[Time]])</f>
        <v>18</v>
      </c>
      <c r="I2937" s="10" t="str">
        <f>IF(COUNTIF('Transform Data'!$D:$D,'Transform Data'!D2937)&gt;1,"Repeat","Single")</f>
        <v>Repeat</v>
      </c>
      <c r="J2937" s="10" t="str">
        <f>IF('Transform Data'!D2937="Cash","Cash",IF(COUNTIF('Transform Data'!$D:$D,'Transform Data'!D2937)&gt;1,"Repeat","Single"))</f>
        <v>Repeat</v>
      </c>
      <c r="K2937" s="10" t="str">
        <f t="shared" si="45"/>
        <v>TRANS-2936</v>
      </c>
    </row>
    <row r="2938" spans="1:11" x14ac:dyDescent="0.35">
      <c r="A2938" s="5">
        <v>45691</v>
      </c>
      <c r="B2938" s="3">
        <v>0.86405092592592592</v>
      </c>
      <c r="C2938" t="s">
        <v>8</v>
      </c>
      <c r="D2938" t="s">
        <v>1218</v>
      </c>
      <c r="E2938" s="4">
        <v>35.76</v>
      </c>
      <c r="F2938" t="s">
        <v>10</v>
      </c>
      <c r="G2938" s="10" t="str">
        <f>TEXT(Transform_Data[[#This Row],[Date]],"mmm yyyy")</f>
        <v>Feb 2025</v>
      </c>
      <c r="H2938" s="10">
        <f>HOUR(Transform_Data[[#This Row],[Time]])</f>
        <v>20</v>
      </c>
      <c r="I2938" s="10" t="str">
        <f>IF(COUNTIF('Transform Data'!$D:$D,'Transform Data'!D2938)&gt;1,"Repeat","Single")</f>
        <v>Repeat</v>
      </c>
      <c r="J2938" s="10" t="str">
        <f>IF('Transform Data'!D2938="Cash","Cash",IF(COUNTIF('Transform Data'!$D:$D,'Transform Data'!D2938)&gt;1,"Repeat","Single"))</f>
        <v>Repeat</v>
      </c>
      <c r="K2938" s="10" t="str">
        <f t="shared" si="45"/>
        <v>TRANS-2937</v>
      </c>
    </row>
    <row r="2939" spans="1:11" x14ac:dyDescent="0.35">
      <c r="A2939" s="5">
        <v>45692</v>
      </c>
      <c r="B2939" s="3">
        <v>0.42009259259259257</v>
      </c>
      <c r="C2939" t="s">
        <v>8</v>
      </c>
      <c r="D2939" t="s">
        <v>33</v>
      </c>
      <c r="E2939" s="4">
        <v>30.86</v>
      </c>
      <c r="F2939" t="s">
        <v>36</v>
      </c>
      <c r="G2939" s="10" t="str">
        <f>TEXT(Transform_Data[[#This Row],[Date]],"mmm yyyy")</f>
        <v>Feb 2025</v>
      </c>
      <c r="H2939" s="10">
        <f>HOUR(Transform_Data[[#This Row],[Time]])</f>
        <v>10</v>
      </c>
      <c r="I2939" s="10" t="str">
        <f>IF(COUNTIF('Transform Data'!$D:$D,'Transform Data'!D2939)&gt;1,"Repeat","Single")</f>
        <v>Repeat</v>
      </c>
      <c r="J2939" s="10" t="str">
        <f>IF('Transform Data'!D2939="Cash","Cash",IF(COUNTIF('Transform Data'!$D:$D,'Transform Data'!D2939)&gt;1,"Repeat","Single"))</f>
        <v>Repeat</v>
      </c>
      <c r="K2939" s="10" t="str">
        <f t="shared" si="45"/>
        <v>TRANS-2938</v>
      </c>
    </row>
    <row r="2940" spans="1:11" x14ac:dyDescent="0.35">
      <c r="A2940" s="5">
        <v>45692</v>
      </c>
      <c r="B2940" s="3">
        <v>0.42466435185185186</v>
      </c>
      <c r="C2940" t="s">
        <v>8</v>
      </c>
      <c r="D2940" t="s">
        <v>6</v>
      </c>
      <c r="E2940" s="4">
        <v>25.96</v>
      </c>
      <c r="F2940" t="s">
        <v>28</v>
      </c>
      <c r="G2940" s="10" t="str">
        <f>TEXT(Transform_Data[[#This Row],[Date]],"mmm yyyy")</f>
        <v>Feb 2025</v>
      </c>
      <c r="H2940" s="10">
        <f>HOUR(Transform_Data[[#This Row],[Time]])</f>
        <v>10</v>
      </c>
      <c r="I2940" s="10" t="str">
        <f>IF(COUNTIF('Transform Data'!$D:$D,'Transform Data'!D2940)&gt;1,"Repeat","Single")</f>
        <v>Repeat</v>
      </c>
      <c r="J2940" s="10" t="str">
        <f>IF('Transform Data'!D2940="Cash","Cash",IF(COUNTIF('Transform Data'!$D:$D,'Transform Data'!D2940)&gt;1,"Repeat","Single"))</f>
        <v>Repeat</v>
      </c>
      <c r="K2940" s="10" t="str">
        <f t="shared" si="45"/>
        <v>TRANS-2939</v>
      </c>
    </row>
    <row r="2941" spans="1:11" x14ac:dyDescent="0.35">
      <c r="A2941" s="5">
        <v>45692</v>
      </c>
      <c r="B2941" s="3">
        <v>0.52497685185185183</v>
      </c>
      <c r="C2941" t="s">
        <v>8</v>
      </c>
      <c r="D2941" t="s">
        <v>1219</v>
      </c>
      <c r="E2941" s="4">
        <v>30.86</v>
      </c>
      <c r="F2941" t="s">
        <v>36</v>
      </c>
      <c r="G2941" s="10" t="str">
        <f>TEXT(Transform_Data[[#This Row],[Date]],"mmm yyyy")</f>
        <v>Feb 2025</v>
      </c>
      <c r="H2941" s="10">
        <f>HOUR(Transform_Data[[#This Row],[Time]])</f>
        <v>12</v>
      </c>
      <c r="I2941" s="10" t="str">
        <f>IF(COUNTIF('Transform Data'!$D:$D,'Transform Data'!D2941)&gt;1,"Repeat","Single")</f>
        <v>Repeat</v>
      </c>
      <c r="J2941" s="10" t="str">
        <f>IF('Transform Data'!D2941="Cash","Cash",IF(COUNTIF('Transform Data'!$D:$D,'Transform Data'!D2941)&gt;1,"Repeat","Single"))</f>
        <v>Repeat</v>
      </c>
      <c r="K2941" s="10" t="str">
        <f t="shared" si="45"/>
        <v>TRANS-2940</v>
      </c>
    </row>
    <row r="2942" spans="1:11" x14ac:dyDescent="0.35">
      <c r="A2942" s="5">
        <v>45692</v>
      </c>
      <c r="B2942" s="3">
        <v>0.54697916666666668</v>
      </c>
      <c r="C2942" t="s">
        <v>8</v>
      </c>
      <c r="D2942" t="s">
        <v>1211</v>
      </c>
      <c r="E2942" s="4">
        <v>25.96</v>
      </c>
      <c r="F2942" t="s">
        <v>20</v>
      </c>
      <c r="G2942" s="10" t="str">
        <f>TEXT(Transform_Data[[#This Row],[Date]],"mmm yyyy")</f>
        <v>Feb 2025</v>
      </c>
      <c r="H2942" s="10">
        <f>HOUR(Transform_Data[[#This Row],[Time]])</f>
        <v>13</v>
      </c>
      <c r="I2942" s="10" t="str">
        <f>IF(COUNTIF('Transform Data'!$D:$D,'Transform Data'!D2942)&gt;1,"Repeat","Single")</f>
        <v>Repeat</v>
      </c>
      <c r="J2942" s="10" t="str">
        <f>IF('Transform Data'!D2942="Cash","Cash",IF(COUNTIF('Transform Data'!$D:$D,'Transform Data'!D2942)&gt;1,"Repeat","Single"))</f>
        <v>Repeat</v>
      </c>
      <c r="K2942" s="10" t="str">
        <f t="shared" si="45"/>
        <v>TRANS-2941</v>
      </c>
    </row>
    <row r="2943" spans="1:11" x14ac:dyDescent="0.35">
      <c r="A2943" s="5">
        <v>45692</v>
      </c>
      <c r="B2943" s="3">
        <v>0.59391203703703699</v>
      </c>
      <c r="C2943" t="s">
        <v>8</v>
      </c>
      <c r="D2943" t="s">
        <v>1220</v>
      </c>
      <c r="E2943" s="4">
        <v>25.96</v>
      </c>
      <c r="F2943" t="s">
        <v>28</v>
      </c>
      <c r="G2943" s="10" t="str">
        <f>TEXT(Transform_Data[[#This Row],[Date]],"mmm yyyy")</f>
        <v>Feb 2025</v>
      </c>
      <c r="H2943" s="10">
        <f>HOUR(Transform_Data[[#This Row],[Time]])</f>
        <v>14</v>
      </c>
      <c r="I2943" s="10" t="str">
        <f>IF(COUNTIF('Transform Data'!$D:$D,'Transform Data'!D2943)&gt;1,"Repeat","Single")</f>
        <v>Repeat</v>
      </c>
      <c r="J2943" s="10" t="str">
        <f>IF('Transform Data'!D2943="Cash","Cash",IF(COUNTIF('Transform Data'!$D:$D,'Transform Data'!D2943)&gt;1,"Repeat","Single"))</f>
        <v>Repeat</v>
      </c>
      <c r="K2943" s="10" t="str">
        <f t="shared" si="45"/>
        <v>TRANS-2942</v>
      </c>
    </row>
    <row r="2944" spans="1:11" x14ac:dyDescent="0.35">
      <c r="A2944" s="5">
        <v>45692</v>
      </c>
      <c r="B2944" s="3">
        <v>0.5955555555555555</v>
      </c>
      <c r="C2944" t="s">
        <v>8</v>
      </c>
      <c r="D2944" t="s">
        <v>33</v>
      </c>
      <c r="E2944" s="4">
        <v>30.86</v>
      </c>
      <c r="F2944" t="s">
        <v>36</v>
      </c>
      <c r="G2944" s="10" t="str">
        <f>TEXT(Transform_Data[[#This Row],[Date]],"mmm yyyy")</f>
        <v>Feb 2025</v>
      </c>
      <c r="H2944" s="10">
        <f>HOUR(Transform_Data[[#This Row],[Time]])</f>
        <v>14</v>
      </c>
      <c r="I2944" s="10" t="str">
        <f>IF(COUNTIF('Transform Data'!$D:$D,'Transform Data'!D2944)&gt;1,"Repeat","Single")</f>
        <v>Repeat</v>
      </c>
      <c r="J2944" s="10" t="str">
        <f>IF('Transform Data'!D2944="Cash","Cash",IF(COUNTIF('Transform Data'!$D:$D,'Transform Data'!D2944)&gt;1,"Repeat","Single"))</f>
        <v>Repeat</v>
      </c>
      <c r="K2944" s="10" t="str">
        <f t="shared" si="45"/>
        <v>TRANS-2943</v>
      </c>
    </row>
    <row r="2945" spans="1:11" x14ac:dyDescent="0.35">
      <c r="A2945" s="5">
        <v>45692</v>
      </c>
      <c r="B2945" s="3">
        <v>0.5970833333333333</v>
      </c>
      <c r="C2945" t="s">
        <v>8</v>
      </c>
      <c r="D2945" t="s">
        <v>1221</v>
      </c>
      <c r="E2945" s="4">
        <v>25.96</v>
      </c>
      <c r="F2945" t="s">
        <v>28</v>
      </c>
      <c r="G2945" s="10" t="str">
        <f>TEXT(Transform_Data[[#This Row],[Date]],"mmm yyyy")</f>
        <v>Feb 2025</v>
      </c>
      <c r="H2945" s="10">
        <f>HOUR(Transform_Data[[#This Row],[Time]])</f>
        <v>14</v>
      </c>
      <c r="I2945" s="10" t="str">
        <f>IF(COUNTIF('Transform Data'!$D:$D,'Transform Data'!D2945)&gt;1,"Repeat","Single")</f>
        <v>Repeat</v>
      </c>
      <c r="J2945" s="10" t="str">
        <f>IF('Transform Data'!D2945="Cash","Cash",IF(COUNTIF('Transform Data'!$D:$D,'Transform Data'!D2945)&gt;1,"Repeat","Single"))</f>
        <v>Repeat</v>
      </c>
      <c r="K2945" s="10" t="str">
        <f t="shared" si="45"/>
        <v>TRANS-2944</v>
      </c>
    </row>
    <row r="2946" spans="1:11" x14ac:dyDescent="0.35">
      <c r="A2946" s="5">
        <v>45692</v>
      </c>
      <c r="B2946" s="3">
        <v>0.75950231481481478</v>
      </c>
      <c r="C2946" t="s">
        <v>8</v>
      </c>
      <c r="D2946" t="s">
        <v>1208</v>
      </c>
      <c r="E2946" s="4">
        <v>30.86</v>
      </c>
      <c r="F2946" t="s">
        <v>36</v>
      </c>
      <c r="G2946" s="10" t="str">
        <f>TEXT(Transform_Data[[#This Row],[Date]],"mmm yyyy")</f>
        <v>Feb 2025</v>
      </c>
      <c r="H2946" s="10">
        <f>HOUR(Transform_Data[[#This Row],[Time]])</f>
        <v>18</v>
      </c>
      <c r="I2946" s="10" t="str">
        <f>IF(COUNTIF('Transform Data'!$D:$D,'Transform Data'!D2946)&gt;1,"Repeat","Single")</f>
        <v>Repeat</v>
      </c>
      <c r="J2946" s="10" t="str">
        <f>IF('Transform Data'!D2946="Cash","Cash",IF(COUNTIF('Transform Data'!$D:$D,'Transform Data'!D2946)&gt;1,"Repeat","Single"))</f>
        <v>Repeat</v>
      </c>
      <c r="K2946" s="10" t="str">
        <f t="shared" ref="K2946:K3009" si="46">"TRANS-"&amp;TEXT(ROW(A2945),"0000")</f>
        <v>TRANS-2945</v>
      </c>
    </row>
    <row r="2947" spans="1:11" x14ac:dyDescent="0.35">
      <c r="A2947" s="5">
        <v>45692</v>
      </c>
      <c r="B2947" s="3">
        <v>0.79538194444444443</v>
      </c>
      <c r="C2947" t="s">
        <v>8</v>
      </c>
      <c r="D2947" t="s">
        <v>1222</v>
      </c>
      <c r="E2947" s="4">
        <v>35.76</v>
      </c>
      <c r="F2947" t="s">
        <v>10</v>
      </c>
      <c r="G2947" s="10" t="str">
        <f>TEXT(Transform_Data[[#This Row],[Date]],"mmm yyyy")</f>
        <v>Feb 2025</v>
      </c>
      <c r="H2947" s="10">
        <f>HOUR(Transform_Data[[#This Row],[Time]])</f>
        <v>19</v>
      </c>
      <c r="I2947" s="10" t="str">
        <f>IF(COUNTIF('Transform Data'!$D:$D,'Transform Data'!D2947)&gt;1,"Repeat","Single")</f>
        <v>Single</v>
      </c>
      <c r="J2947" s="10" t="str">
        <f>IF('Transform Data'!D2947="Cash","Cash",IF(COUNTIF('Transform Data'!$D:$D,'Transform Data'!D2947)&gt;1,"Repeat","Single"))</f>
        <v>Single</v>
      </c>
      <c r="K2947" s="10" t="str">
        <f t="shared" si="46"/>
        <v>TRANS-2946</v>
      </c>
    </row>
    <row r="2948" spans="1:11" x14ac:dyDescent="0.35">
      <c r="A2948" s="5">
        <v>45692</v>
      </c>
      <c r="B2948" s="3">
        <v>0.79833333333333334</v>
      </c>
      <c r="C2948" t="s">
        <v>8</v>
      </c>
      <c r="D2948" t="s">
        <v>1223</v>
      </c>
      <c r="E2948" s="4">
        <v>35.76</v>
      </c>
      <c r="F2948" t="s">
        <v>10</v>
      </c>
      <c r="G2948" s="10" t="str">
        <f>TEXT(Transform_Data[[#This Row],[Date]],"mmm yyyy")</f>
        <v>Feb 2025</v>
      </c>
      <c r="H2948" s="10">
        <f>HOUR(Transform_Data[[#This Row],[Time]])</f>
        <v>19</v>
      </c>
      <c r="I2948" s="10" t="str">
        <f>IF(COUNTIF('Transform Data'!$D:$D,'Transform Data'!D2948)&gt;1,"Repeat","Single")</f>
        <v>Repeat</v>
      </c>
      <c r="J2948" s="10" t="str">
        <f>IF('Transform Data'!D2948="Cash","Cash",IF(COUNTIF('Transform Data'!$D:$D,'Transform Data'!D2948)&gt;1,"Repeat","Single"))</f>
        <v>Repeat</v>
      </c>
      <c r="K2948" s="10" t="str">
        <f t="shared" si="46"/>
        <v>TRANS-2947</v>
      </c>
    </row>
    <row r="2949" spans="1:11" x14ac:dyDescent="0.35">
      <c r="A2949" s="5">
        <v>45692</v>
      </c>
      <c r="B2949" s="3">
        <v>0.7989236111111111</v>
      </c>
      <c r="C2949" t="s">
        <v>8</v>
      </c>
      <c r="D2949" t="s">
        <v>1223</v>
      </c>
      <c r="E2949" s="4">
        <v>35.76</v>
      </c>
      <c r="F2949" t="s">
        <v>10</v>
      </c>
      <c r="G2949" s="10" t="str">
        <f>TEXT(Transform_Data[[#This Row],[Date]],"mmm yyyy")</f>
        <v>Feb 2025</v>
      </c>
      <c r="H2949" s="10">
        <f>HOUR(Transform_Data[[#This Row],[Time]])</f>
        <v>19</v>
      </c>
      <c r="I2949" s="10" t="str">
        <f>IF(COUNTIF('Transform Data'!$D:$D,'Transform Data'!D2949)&gt;1,"Repeat","Single")</f>
        <v>Repeat</v>
      </c>
      <c r="J2949" s="10" t="str">
        <f>IF('Transform Data'!D2949="Cash","Cash",IF(COUNTIF('Transform Data'!$D:$D,'Transform Data'!D2949)&gt;1,"Repeat","Single"))</f>
        <v>Repeat</v>
      </c>
      <c r="K2949" s="10" t="str">
        <f t="shared" si="46"/>
        <v>TRANS-2948</v>
      </c>
    </row>
    <row r="2950" spans="1:11" x14ac:dyDescent="0.35">
      <c r="A2950" s="5">
        <v>45692</v>
      </c>
      <c r="B2950" s="3">
        <v>0.81072916666666661</v>
      </c>
      <c r="C2950" t="s">
        <v>8</v>
      </c>
      <c r="D2950" t="s">
        <v>1224</v>
      </c>
      <c r="E2950" s="4">
        <v>25.96</v>
      </c>
      <c r="F2950" t="s">
        <v>20</v>
      </c>
      <c r="G2950" s="10" t="str">
        <f>TEXT(Transform_Data[[#This Row],[Date]],"mmm yyyy")</f>
        <v>Feb 2025</v>
      </c>
      <c r="H2950" s="10">
        <f>HOUR(Transform_Data[[#This Row],[Time]])</f>
        <v>19</v>
      </c>
      <c r="I2950" s="10" t="str">
        <f>IF(COUNTIF('Transform Data'!$D:$D,'Transform Data'!D2950)&gt;1,"Repeat","Single")</f>
        <v>Repeat</v>
      </c>
      <c r="J2950" s="10" t="str">
        <f>IF('Transform Data'!D2950="Cash","Cash",IF(COUNTIF('Transform Data'!$D:$D,'Transform Data'!D2950)&gt;1,"Repeat","Single"))</f>
        <v>Repeat</v>
      </c>
      <c r="K2950" s="10" t="str">
        <f t="shared" si="46"/>
        <v>TRANS-2949</v>
      </c>
    </row>
    <row r="2951" spans="1:11" x14ac:dyDescent="0.35">
      <c r="A2951" s="5">
        <v>45693</v>
      </c>
      <c r="B2951" s="3">
        <v>0.36261574074074077</v>
      </c>
      <c r="C2951" t="s">
        <v>8</v>
      </c>
      <c r="D2951" t="s">
        <v>1207</v>
      </c>
      <c r="E2951" s="4">
        <v>30.86</v>
      </c>
      <c r="F2951" t="s">
        <v>36</v>
      </c>
      <c r="G2951" s="10" t="str">
        <f>TEXT(Transform_Data[[#This Row],[Date]],"mmm yyyy")</f>
        <v>Feb 2025</v>
      </c>
      <c r="H2951" s="10">
        <f>HOUR(Transform_Data[[#This Row],[Time]])</f>
        <v>8</v>
      </c>
      <c r="I2951" s="10" t="str">
        <f>IF(COUNTIF('Transform Data'!$D:$D,'Transform Data'!D2951)&gt;1,"Repeat","Single")</f>
        <v>Repeat</v>
      </c>
      <c r="J2951" s="10" t="str">
        <f>IF('Transform Data'!D2951="Cash","Cash",IF(COUNTIF('Transform Data'!$D:$D,'Transform Data'!D2951)&gt;1,"Repeat","Single"))</f>
        <v>Repeat</v>
      </c>
      <c r="K2951" s="10" t="str">
        <f t="shared" si="46"/>
        <v>TRANS-2950</v>
      </c>
    </row>
    <row r="2952" spans="1:11" x14ac:dyDescent="0.35">
      <c r="A2952" s="5">
        <v>45693</v>
      </c>
      <c r="B2952" s="3">
        <v>0.38244212962962965</v>
      </c>
      <c r="C2952" t="s">
        <v>8</v>
      </c>
      <c r="D2952" t="s">
        <v>33</v>
      </c>
      <c r="E2952" s="4">
        <v>30.86</v>
      </c>
      <c r="F2952" t="s">
        <v>36</v>
      </c>
      <c r="G2952" s="10" t="str">
        <f>TEXT(Transform_Data[[#This Row],[Date]],"mmm yyyy")</f>
        <v>Feb 2025</v>
      </c>
      <c r="H2952" s="10">
        <f>HOUR(Transform_Data[[#This Row],[Time]])</f>
        <v>9</v>
      </c>
      <c r="I2952" s="10" t="str">
        <f>IF(COUNTIF('Transform Data'!$D:$D,'Transform Data'!D2952)&gt;1,"Repeat","Single")</f>
        <v>Repeat</v>
      </c>
      <c r="J2952" s="10" t="str">
        <f>IF('Transform Data'!D2952="Cash","Cash",IF(COUNTIF('Transform Data'!$D:$D,'Transform Data'!D2952)&gt;1,"Repeat","Single"))</f>
        <v>Repeat</v>
      </c>
      <c r="K2952" s="10" t="str">
        <f t="shared" si="46"/>
        <v>TRANS-2951</v>
      </c>
    </row>
    <row r="2953" spans="1:11" x14ac:dyDescent="0.35">
      <c r="A2953" s="5">
        <v>45693</v>
      </c>
      <c r="B2953" s="3">
        <v>0.49276620370370372</v>
      </c>
      <c r="C2953" t="s">
        <v>8</v>
      </c>
      <c r="D2953" t="s">
        <v>33</v>
      </c>
      <c r="E2953" s="4">
        <v>25.96</v>
      </c>
      <c r="F2953" t="s">
        <v>28</v>
      </c>
      <c r="G2953" s="10" t="str">
        <f>TEXT(Transform_Data[[#This Row],[Date]],"mmm yyyy")</f>
        <v>Feb 2025</v>
      </c>
      <c r="H2953" s="10">
        <f>HOUR(Transform_Data[[#This Row],[Time]])</f>
        <v>11</v>
      </c>
      <c r="I2953" s="10" t="str">
        <f>IF(COUNTIF('Transform Data'!$D:$D,'Transform Data'!D2953)&gt;1,"Repeat","Single")</f>
        <v>Repeat</v>
      </c>
      <c r="J2953" s="10" t="str">
        <f>IF('Transform Data'!D2953="Cash","Cash",IF(COUNTIF('Transform Data'!$D:$D,'Transform Data'!D2953)&gt;1,"Repeat","Single"))</f>
        <v>Repeat</v>
      </c>
      <c r="K2953" s="10" t="str">
        <f t="shared" si="46"/>
        <v>TRANS-2952</v>
      </c>
    </row>
    <row r="2954" spans="1:11" x14ac:dyDescent="0.35">
      <c r="A2954" s="5">
        <v>45693</v>
      </c>
      <c r="B2954" s="3">
        <v>0.49353009259259262</v>
      </c>
      <c r="C2954" t="s">
        <v>8</v>
      </c>
      <c r="D2954" t="s">
        <v>33</v>
      </c>
      <c r="E2954" s="4">
        <v>25.96</v>
      </c>
      <c r="F2954" t="s">
        <v>28</v>
      </c>
      <c r="G2954" s="10" t="str">
        <f>TEXT(Transform_Data[[#This Row],[Date]],"mmm yyyy")</f>
        <v>Feb 2025</v>
      </c>
      <c r="H2954" s="10">
        <f>HOUR(Transform_Data[[#This Row],[Time]])</f>
        <v>11</v>
      </c>
      <c r="I2954" s="10" t="str">
        <f>IF(COUNTIF('Transform Data'!$D:$D,'Transform Data'!D2954)&gt;1,"Repeat","Single")</f>
        <v>Repeat</v>
      </c>
      <c r="J2954" s="10" t="str">
        <f>IF('Transform Data'!D2954="Cash","Cash",IF(COUNTIF('Transform Data'!$D:$D,'Transform Data'!D2954)&gt;1,"Repeat","Single"))</f>
        <v>Repeat</v>
      </c>
      <c r="K2954" s="10" t="str">
        <f t="shared" si="46"/>
        <v>TRANS-2953</v>
      </c>
    </row>
    <row r="2955" spans="1:11" x14ac:dyDescent="0.35">
      <c r="A2955" s="5">
        <v>45693</v>
      </c>
      <c r="B2955" s="3">
        <v>0.49427083333333333</v>
      </c>
      <c r="C2955" t="s">
        <v>8</v>
      </c>
      <c r="D2955" t="s">
        <v>33</v>
      </c>
      <c r="E2955" s="4">
        <v>25.96</v>
      </c>
      <c r="F2955" t="s">
        <v>28</v>
      </c>
      <c r="G2955" s="10" t="str">
        <f>TEXT(Transform_Data[[#This Row],[Date]],"mmm yyyy")</f>
        <v>Feb 2025</v>
      </c>
      <c r="H2955" s="10">
        <f>HOUR(Transform_Data[[#This Row],[Time]])</f>
        <v>11</v>
      </c>
      <c r="I2955" s="10" t="str">
        <f>IF(COUNTIF('Transform Data'!$D:$D,'Transform Data'!D2955)&gt;1,"Repeat","Single")</f>
        <v>Repeat</v>
      </c>
      <c r="J2955" s="10" t="str">
        <f>IF('Transform Data'!D2955="Cash","Cash",IF(COUNTIF('Transform Data'!$D:$D,'Transform Data'!D2955)&gt;1,"Repeat","Single"))</f>
        <v>Repeat</v>
      </c>
      <c r="K2955" s="10" t="str">
        <f t="shared" si="46"/>
        <v>TRANS-2954</v>
      </c>
    </row>
    <row r="2956" spans="1:11" x14ac:dyDescent="0.35">
      <c r="A2956" s="5">
        <v>45693</v>
      </c>
      <c r="B2956" s="3">
        <v>0.49902777777777779</v>
      </c>
      <c r="C2956" t="s">
        <v>8</v>
      </c>
      <c r="D2956" t="s">
        <v>33</v>
      </c>
      <c r="E2956" s="4">
        <v>30.86</v>
      </c>
      <c r="F2956" t="s">
        <v>36</v>
      </c>
      <c r="G2956" s="10" t="str">
        <f>TEXT(Transform_Data[[#This Row],[Date]],"mmm yyyy")</f>
        <v>Feb 2025</v>
      </c>
      <c r="H2956" s="10">
        <f>HOUR(Transform_Data[[#This Row],[Time]])</f>
        <v>11</v>
      </c>
      <c r="I2956" s="10" t="str">
        <f>IF(COUNTIF('Transform Data'!$D:$D,'Transform Data'!D2956)&gt;1,"Repeat","Single")</f>
        <v>Repeat</v>
      </c>
      <c r="J2956" s="10" t="str">
        <f>IF('Transform Data'!D2956="Cash","Cash",IF(COUNTIF('Transform Data'!$D:$D,'Transform Data'!D2956)&gt;1,"Repeat","Single"))</f>
        <v>Repeat</v>
      </c>
      <c r="K2956" s="10" t="str">
        <f t="shared" si="46"/>
        <v>TRANS-2955</v>
      </c>
    </row>
    <row r="2957" spans="1:11" x14ac:dyDescent="0.35">
      <c r="A2957" s="5">
        <v>45693</v>
      </c>
      <c r="B2957" s="3">
        <v>0.50747685185185187</v>
      </c>
      <c r="C2957" t="s">
        <v>8</v>
      </c>
      <c r="D2957" t="s">
        <v>1225</v>
      </c>
      <c r="E2957" s="4">
        <v>25.96</v>
      </c>
      <c r="F2957" t="s">
        <v>28</v>
      </c>
      <c r="G2957" s="10" t="str">
        <f>TEXT(Transform_Data[[#This Row],[Date]],"mmm yyyy")</f>
        <v>Feb 2025</v>
      </c>
      <c r="H2957" s="10">
        <f>HOUR(Transform_Data[[#This Row],[Time]])</f>
        <v>12</v>
      </c>
      <c r="I2957" s="10" t="str">
        <f>IF(COUNTIF('Transform Data'!$D:$D,'Transform Data'!D2957)&gt;1,"Repeat","Single")</f>
        <v>Single</v>
      </c>
      <c r="J2957" s="10" t="str">
        <f>IF('Transform Data'!D2957="Cash","Cash",IF(COUNTIF('Transform Data'!$D:$D,'Transform Data'!D2957)&gt;1,"Repeat","Single"))</f>
        <v>Single</v>
      </c>
      <c r="K2957" s="10" t="str">
        <f t="shared" si="46"/>
        <v>TRANS-2956</v>
      </c>
    </row>
    <row r="2958" spans="1:11" x14ac:dyDescent="0.35">
      <c r="A2958" s="5">
        <v>45693</v>
      </c>
      <c r="B2958" s="3">
        <v>0.55608796296296292</v>
      </c>
      <c r="C2958" t="s">
        <v>8</v>
      </c>
      <c r="D2958" t="s">
        <v>1226</v>
      </c>
      <c r="E2958" s="4">
        <v>25.96</v>
      </c>
      <c r="F2958" t="s">
        <v>28</v>
      </c>
      <c r="G2958" s="10" t="str">
        <f>TEXT(Transform_Data[[#This Row],[Date]],"mmm yyyy")</f>
        <v>Feb 2025</v>
      </c>
      <c r="H2958" s="10">
        <f>HOUR(Transform_Data[[#This Row],[Time]])</f>
        <v>13</v>
      </c>
      <c r="I2958" s="10" t="str">
        <f>IF(COUNTIF('Transform Data'!$D:$D,'Transform Data'!D2958)&gt;1,"Repeat","Single")</f>
        <v>Repeat</v>
      </c>
      <c r="J2958" s="10" t="str">
        <f>IF('Transform Data'!D2958="Cash","Cash",IF(COUNTIF('Transform Data'!$D:$D,'Transform Data'!D2958)&gt;1,"Repeat","Single"))</f>
        <v>Repeat</v>
      </c>
      <c r="K2958" s="10" t="str">
        <f t="shared" si="46"/>
        <v>TRANS-2957</v>
      </c>
    </row>
    <row r="2959" spans="1:11" x14ac:dyDescent="0.35">
      <c r="A2959" s="5">
        <v>45693</v>
      </c>
      <c r="B2959" s="3">
        <v>0.57201388888888893</v>
      </c>
      <c r="C2959" t="s">
        <v>8</v>
      </c>
      <c r="D2959" t="s">
        <v>1221</v>
      </c>
      <c r="E2959" s="4">
        <v>21.06</v>
      </c>
      <c r="F2959" t="s">
        <v>5</v>
      </c>
      <c r="G2959" s="10" t="str">
        <f>TEXT(Transform_Data[[#This Row],[Date]],"mmm yyyy")</f>
        <v>Feb 2025</v>
      </c>
      <c r="H2959" s="10">
        <f>HOUR(Transform_Data[[#This Row],[Time]])</f>
        <v>13</v>
      </c>
      <c r="I2959" s="10" t="str">
        <f>IF(COUNTIF('Transform Data'!$D:$D,'Transform Data'!D2959)&gt;1,"Repeat","Single")</f>
        <v>Repeat</v>
      </c>
      <c r="J2959" s="10" t="str">
        <f>IF('Transform Data'!D2959="Cash","Cash",IF(COUNTIF('Transform Data'!$D:$D,'Transform Data'!D2959)&gt;1,"Repeat","Single"))</f>
        <v>Repeat</v>
      </c>
      <c r="K2959" s="10" t="str">
        <f t="shared" si="46"/>
        <v>TRANS-2958</v>
      </c>
    </row>
    <row r="2960" spans="1:11" x14ac:dyDescent="0.35">
      <c r="A2960" s="5">
        <v>45693</v>
      </c>
      <c r="B2960" s="3">
        <v>0.57255787037037043</v>
      </c>
      <c r="C2960" t="s">
        <v>8</v>
      </c>
      <c r="D2960" t="s">
        <v>1221</v>
      </c>
      <c r="E2960" s="4">
        <v>21.06</v>
      </c>
      <c r="F2960" t="s">
        <v>5</v>
      </c>
      <c r="G2960" s="10" t="str">
        <f>TEXT(Transform_Data[[#This Row],[Date]],"mmm yyyy")</f>
        <v>Feb 2025</v>
      </c>
      <c r="H2960" s="10">
        <f>HOUR(Transform_Data[[#This Row],[Time]])</f>
        <v>13</v>
      </c>
      <c r="I2960" s="10" t="str">
        <f>IF(COUNTIF('Transform Data'!$D:$D,'Transform Data'!D2960)&gt;1,"Repeat","Single")</f>
        <v>Repeat</v>
      </c>
      <c r="J2960" s="10" t="str">
        <f>IF('Transform Data'!D2960="Cash","Cash",IF(COUNTIF('Transform Data'!$D:$D,'Transform Data'!D2960)&gt;1,"Repeat","Single"))</f>
        <v>Repeat</v>
      </c>
      <c r="K2960" s="10" t="str">
        <f t="shared" si="46"/>
        <v>TRANS-2959</v>
      </c>
    </row>
    <row r="2961" spans="1:11" x14ac:dyDescent="0.35">
      <c r="A2961" s="5">
        <v>45693</v>
      </c>
      <c r="B2961" s="3">
        <v>0.62351851851851847</v>
      </c>
      <c r="C2961" t="s">
        <v>8</v>
      </c>
      <c r="D2961" t="s">
        <v>1212</v>
      </c>
      <c r="E2961" s="4">
        <v>35.76</v>
      </c>
      <c r="F2961" t="s">
        <v>24</v>
      </c>
      <c r="G2961" s="10" t="str">
        <f>TEXT(Transform_Data[[#This Row],[Date]],"mmm yyyy")</f>
        <v>Feb 2025</v>
      </c>
      <c r="H2961" s="10">
        <f>HOUR(Transform_Data[[#This Row],[Time]])</f>
        <v>14</v>
      </c>
      <c r="I2961" s="10" t="str">
        <f>IF(COUNTIF('Transform Data'!$D:$D,'Transform Data'!D2961)&gt;1,"Repeat","Single")</f>
        <v>Repeat</v>
      </c>
      <c r="J2961" s="10" t="str">
        <f>IF('Transform Data'!D2961="Cash","Cash",IF(COUNTIF('Transform Data'!$D:$D,'Transform Data'!D2961)&gt;1,"Repeat","Single"))</f>
        <v>Repeat</v>
      </c>
      <c r="K2961" s="10" t="str">
        <f t="shared" si="46"/>
        <v>TRANS-2960</v>
      </c>
    </row>
    <row r="2962" spans="1:11" x14ac:dyDescent="0.35">
      <c r="A2962" s="5">
        <v>45693</v>
      </c>
      <c r="B2962" s="3">
        <v>0.66039351851851846</v>
      </c>
      <c r="C2962" t="s">
        <v>8</v>
      </c>
      <c r="D2962" t="s">
        <v>1227</v>
      </c>
      <c r="E2962" s="4">
        <v>35.76</v>
      </c>
      <c r="F2962" t="s">
        <v>24</v>
      </c>
      <c r="G2962" s="10" t="str">
        <f>TEXT(Transform_Data[[#This Row],[Date]],"mmm yyyy")</f>
        <v>Feb 2025</v>
      </c>
      <c r="H2962" s="10">
        <f>HOUR(Transform_Data[[#This Row],[Time]])</f>
        <v>15</v>
      </c>
      <c r="I2962" s="10" t="str">
        <f>IF(COUNTIF('Transform Data'!$D:$D,'Transform Data'!D2962)&gt;1,"Repeat","Single")</f>
        <v>Repeat</v>
      </c>
      <c r="J2962" s="10" t="str">
        <f>IF('Transform Data'!D2962="Cash","Cash",IF(COUNTIF('Transform Data'!$D:$D,'Transform Data'!D2962)&gt;1,"Repeat","Single"))</f>
        <v>Repeat</v>
      </c>
      <c r="K2962" s="10" t="str">
        <f t="shared" si="46"/>
        <v>TRANS-2961</v>
      </c>
    </row>
    <row r="2963" spans="1:11" x14ac:dyDescent="0.35">
      <c r="A2963" s="5">
        <v>45693</v>
      </c>
      <c r="B2963" s="3">
        <v>0.69050925925925921</v>
      </c>
      <c r="C2963" t="s">
        <v>8</v>
      </c>
      <c r="D2963" t="s">
        <v>1215</v>
      </c>
      <c r="E2963" s="4">
        <v>35.76</v>
      </c>
      <c r="F2963" t="s">
        <v>15</v>
      </c>
      <c r="G2963" s="10" t="str">
        <f>TEXT(Transform_Data[[#This Row],[Date]],"mmm yyyy")</f>
        <v>Feb 2025</v>
      </c>
      <c r="H2963" s="10">
        <f>HOUR(Transform_Data[[#This Row],[Time]])</f>
        <v>16</v>
      </c>
      <c r="I2963" s="10" t="str">
        <f>IF(COUNTIF('Transform Data'!$D:$D,'Transform Data'!D2963)&gt;1,"Repeat","Single")</f>
        <v>Repeat</v>
      </c>
      <c r="J2963" s="10" t="str">
        <f>IF('Transform Data'!D2963="Cash","Cash",IF(COUNTIF('Transform Data'!$D:$D,'Transform Data'!D2963)&gt;1,"Repeat","Single"))</f>
        <v>Repeat</v>
      </c>
      <c r="K2963" s="10" t="str">
        <f t="shared" si="46"/>
        <v>TRANS-2962</v>
      </c>
    </row>
    <row r="2964" spans="1:11" x14ac:dyDescent="0.35">
      <c r="A2964" s="5">
        <v>45693</v>
      </c>
      <c r="B2964" s="3">
        <v>0.69135416666666671</v>
      </c>
      <c r="C2964" t="s">
        <v>8</v>
      </c>
      <c r="D2964" t="s">
        <v>1214</v>
      </c>
      <c r="E2964" s="4">
        <v>35.76</v>
      </c>
      <c r="F2964" t="s">
        <v>32</v>
      </c>
      <c r="G2964" s="10" t="str">
        <f>TEXT(Transform_Data[[#This Row],[Date]],"mmm yyyy")</f>
        <v>Feb 2025</v>
      </c>
      <c r="H2964" s="10">
        <f>HOUR(Transform_Data[[#This Row],[Time]])</f>
        <v>16</v>
      </c>
      <c r="I2964" s="10" t="str">
        <f>IF(COUNTIF('Transform Data'!$D:$D,'Transform Data'!D2964)&gt;1,"Repeat","Single")</f>
        <v>Repeat</v>
      </c>
      <c r="J2964" s="10" t="str">
        <f>IF('Transform Data'!D2964="Cash","Cash",IF(COUNTIF('Transform Data'!$D:$D,'Transform Data'!D2964)&gt;1,"Repeat","Single"))</f>
        <v>Repeat</v>
      </c>
      <c r="K2964" s="10" t="str">
        <f t="shared" si="46"/>
        <v>TRANS-2963</v>
      </c>
    </row>
    <row r="2965" spans="1:11" x14ac:dyDescent="0.35">
      <c r="A2965" s="5">
        <v>45693</v>
      </c>
      <c r="B2965" s="3">
        <v>0.69206018518518519</v>
      </c>
      <c r="C2965" t="s">
        <v>8</v>
      </c>
      <c r="D2965" t="s">
        <v>1214</v>
      </c>
      <c r="E2965" s="4">
        <v>35.76</v>
      </c>
      <c r="F2965" t="s">
        <v>32</v>
      </c>
      <c r="G2965" s="10" t="str">
        <f>TEXT(Transform_Data[[#This Row],[Date]],"mmm yyyy")</f>
        <v>Feb 2025</v>
      </c>
      <c r="H2965" s="10">
        <f>HOUR(Transform_Data[[#This Row],[Time]])</f>
        <v>16</v>
      </c>
      <c r="I2965" s="10" t="str">
        <f>IF(COUNTIF('Transform Data'!$D:$D,'Transform Data'!D2965)&gt;1,"Repeat","Single")</f>
        <v>Repeat</v>
      </c>
      <c r="J2965" s="10" t="str">
        <f>IF('Transform Data'!D2965="Cash","Cash",IF(COUNTIF('Transform Data'!$D:$D,'Transform Data'!D2965)&gt;1,"Repeat","Single"))</f>
        <v>Repeat</v>
      </c>
      <c r="K2965" s="10" t="str">
        <f t="shared" si="46"/>
        <v>TRANS-2964</v>
      </c>
    </row>
    <row r="2966" spans="1:11" x14ac:dyDescent="0.35">
      <c r="A2966" s="5">
        <v>45693</v>
      </c>
      <c r="B2966" s="3">
        <v>0.69376157407407413</v>
      </c>
      <c r="C2966" t="s">
        <v>8</v>
      </c>
      <c r="D2966" t="s">
        <v>1203</v>
      </c>
      <c r="E2966" s="4">
        <v>35.76</v>
      </c>
      <c r="F2966" t="s">
        <v>10</v>
      </c>
      <c r="G2966" s="10" t="str">
        <f>TEXT(Transform_Data[[#This Row],[Date]],"mmm yyyy")</f>
        <v>Feb 2025</v>
      </c>
      <c r="H2966" s="10">
        <f>HOUR(Transform_Data[[#This Row],[Time]])</f>
        <v>16</v>
      </c>
      <c r="I2966" s="10" t="str">
        <f>IF(COUNTIF('Transform Data'!$D:$D,'Transform Data'!D2966)&gt;1,"Repeat","Single")</f>
        <v>Repeat</v>
      </c>
      <c r="J2966" s="10" t="str">
        <f>IF('Transform Data'!D2966="Cash","Cash",IF(COUNTIF('Transform Data'!$D:$D,'Transform Data'!D2966)&gt;1,"Repeat","Single"))</f>
        <v>Repeat</v>
      </c>
      <c r="K2966" s="10" t="str">
        <f t="shared" si="46"/>
        <v>TRANS-2965</v>
      </c>
    </row>
    <row r="2967" spans="1:11" x14ac:dyDescent="0.35">
      <c r="A2967" s="5">
        <v>45693</v>
      </c>
      <c r="B2967" s="3">
        <v>0.69524305555555554</v>
      </c>
      <c r="C2967" t="s">
        <v>8</v>
      </c>
      <c r="D2967" t="s">
        <v>1215</v>
      </c>
      <c r="E2967" s="4">
        <v>35.76</v>
      </c>
      <c r="F2967" t="s">
        <v>15</v>
      </c>
      <c r="G2967" s="10" t="str">
        <f>TEXT(Transform_Data[[#This Row],[Date]],"mmm yyyy")</f>
        <v>Feb 2025</v>
      </c>
      <c r="H2967" s="10">
        <f>HOUR(Transform_Data[[#This Row],[Time]])</f>
        <v>16</v>
      </c>
      <c r="I2967" s="10" t="str">
        <f>IF(COUNTIF('Transform Data'!$D:$D,'Transform Data'!D2967)&gt;1,"Repeat","Single")</f>
        <v>Repeat</v>
      </c>
      <c r="J2967" s="10" t="str">
        <f>IF('Transform Data'!D2967="Cash","Cash",IF(COUNTIF('Transform Data'!$D:$D,'Transform Data'!D2967)&gt;1,"Repeat","Single"))</f>
        <v>Repeat</v>
      </c>
      <c r="K2967" s="10" t="str">
        <f t="shared" si="46"/>
        <v>TRANS-2966</v>
      </c>
    </row>
    <row r="2968" spans="1:11" x14ac:dyDescent="0.35">
      <c r="A2968" s="5">
        <v>45693</v>
      </c>
      <c r="B2968" s="3">
        <v>0.7628935185185185</v>
      </c>
      <c r="C2968" t="s">
        <v>8</v>
      </c>
      <c r="D2968" t="s">
        <v>1228</v>
      </c>
      <c r="E2968" s="4">
        <v>35.76</v>
      </c>
      <c r="F2968" t="s">
        <v>24</v>
      </c>
      <c r="G2968" s="10" t="str">
        <f>TEXT(Transform_Data[[#This Row],[Date]],"mmm yyyy")</f>
        <v>Feb 2025</v>
      </c>
      <c r="H2968" s="10">
        <f>HOUR(Transform_Data[[#This Row],[Time]])</f>
        <v>18</v>
      </c>
      <c r="I2968" s="10" t="str">
        <f>IF(COUNTIF('Transform Data'!$D:$D,'Transform Data'!D2968)&gt;1,"Repeat","Single")</f>
        <v>Repeat</v>
      </c>
      <c r="J2968" s="10" t="str">
        <f>IF('Transform Data'!D2968="Cash","Cash",IF(COUNTIF('Transform Data'!$D:$D,'Transform Data'!D2968)&gt;1,"Repeat","Single"))</f>
        <v>Repeat</v>
      </c>
      <c r="K2968" s="10" t="str">
        <f t="shared" si="46"/>
        <v>TRANS-2967</v>
      </c>
    </row>
    <row r="2969" spans="1:11" x14ac:dyDescent="0.35">
      <c r="A2969" s="5">
        <v>45693</v>
      </c>
      <c r="B2969" s="3">
        <v>0.76376157407407408</v>
      </c>
      <c r="C2969" t="s">
        <v>8</v>
      </c>
      <c r="D2969" t="s">
        <v>1229</v>
      </c>
      <c r="E2969" s="4">
        <v>35.76</v>
      </c>
      <c r="F2969" t="s">
        <v>24</v>
      </c>
      <c r="G2969" s="10" t="str">
        <f>TEXT(Transform_Data[[#This Row],[Date]],"mmm yyyy")</f>
        <v>Feb 2025</v>
      </c>
      <c r="H2969" s="10">
        <f>HOUR(Transform_Data[[#This Row],[Time]])</f>
        <v>18</v>
      </c>
      <c r="I2969" s="10" t="str">
        <f>IF(COUNTIF('Transform Data'!$D:$D,'Transform Data'!D2969)&gt;1,"Repeat","Single")</f>
        <v>Repeat</v>
      </c>
      <c r="J2969" s="10" t="str">
        <f>IF('Transform Data'!D2969="Cash","Cash",IF(COUNTIF('Transform Data'!$D:$D,'Transform Data'!D2969)&gt;1,"Repeat","Single"))</f>
        <v>Repeat</v>
      </c>
      <c r="K2969" s="10" t="str">
        <f t="shared" si="46"/>
        <v>TRANS-2968</v>
      </c>
    </row>
    <row r="2970" spans="1:11" x14ac:dyDescent="0.35">
      <c r="A2970" s="5">
        <v>45693</v>
      </c>
      <c r="B2970" s="3">
        <v>0.76447916666666671</v>
      </c>
      <c r="C2970" t="s">
        <v>8</v>
      </c>
      <c r="D2970" t="s">
        <v>1230</v>
      </c>
      <c r="E2970" s="4">
        <v>35.76</v>
      </c>
      <c r="F2970" t="s">
        <v>10</v>
      </c>
      <c r="G2970" s="10" t="str">
        <f>TEXT(Transform_Data[[#This Row],[Date]],"mmm yyyy")</f>
        <v>Feb 2025</v>
      </c>
      <c r="H2970" s="10">
        <f>HOUR(Transform_Data[[#This Row],[Time]])</f>
        <v>18</v>
      </c>
      <c r="I2970" s="10" t="str">
        <f>IF(COUNTIF('Transform Data'!$D:$D,'Transform Data'!D2970)&gt;1,"Repeat","Single")</f>
        <v>Single</v>
      </c>
      <c r="J2970" s="10" t="str">
        <f>IF('Transform Data'!D2970="Cash","Cash",IF(COUNTIF('Transform Data'!$D:$D,'Transform Data'!D2970)&gt;1,"Repeat","Single"))</f>
        <v>Single</v>
      </c>
      <c r="K2970" s="10" t="str">
        <f t="shared" si="46"/>
        <v>TRANS-2969</v>
      </c>
    </row>
    <row r="2971" spans="1:11" x14ac:dyDescent="0.35">
      <c r="A2971" s="5">
        <v>45693</v>
      </c>
      <c r="B2971" s="3">
        <v>0.76769675925925929</v>
      </c>
      <c r="C2971" t="s">
        <v>8</v>
      </c>
      <c r="D2971" t="s">
        <v>1208</v>
      </c>
      <c r="E2971" s="4">
        <v>30.86</v>
      </c>
      <c r="F2971" t="s">
        <v>36</v>
      </c>
      <c r="G2971" s="10" t="str">
        <f>TEXT(Transform_Data[[#This Row],[Date]],"mmm yyyy")</f>
        <v>Feb 2025</v>
      </c>
      <c r="H2971" s="10">
        <f>HOUR(Transform_Data[[#This Row],[Time]])</f>
        <v>18</v>
      </c>
      <c r="I2971" s="10" t="str">
        <f>IF(COUNTIF('Transform Data'!$D:$D,'Transform Data'!D2971)&gt;1,"Repeat","Single")</f>
        <v>Repeat</v>
      </c>
      <c r="J2971" s="10" t="str">
        <f>IF('Transform Data'!D2971="Cash","Cash",IF(COUNTIF('Transform Data'!$D:$D,'Transform Data'!D2971)&gt;1,"Repeat","Single"))</f>
        <v>Repeat</v>
      </c>
      <c r="K2971" s="10" t="str">
        <f t="shared" si="46"/>
        <v>TRANS-2970</v>
      </c>
    </row>
    <row r="2972" spans="1:11" x14ac:dyDescent="0.35">
      <c r="A2972" s="5">
        <v>45693</v>
      </c>
      <c r="B2972" s="3">
        <v>0.78173611111111108</v>
      </c>
      <c r="C2972" t="s">
        <v>8</v>
      </c>
      <c r="D2972" t="s">
        <v>1231</v>
      </c>
      <c r="E2972" s="4">
        <v>35.76</v>
      </c>
      <c r="F2972" t="s">
        <v>24</v>
      </c>
      <c r="G2972" s="10" t="str">
        <f>TEXT(Transform_Data[[#This Row],[Date]],"mmm yyyy")</f>
        <v>Feb 2025</v>
      </c>
      <c r="H2972" s="10">
        <f>HOUR(Transform_Data[[#This Row],[Time]])</f>
        <v>18</v>
      </c>
      <c r="I2972" s="10" t="str">
        <f>IF(COUNTIF('Transform Data'!$D:$D,'Transform Data'!D2972)&gt;1,"Repeat","Single")</f>
        <v>Single</v>
      </c>
      <c r="J2972" s="10" t="str">
        <f>IF('Transform Data'!D2972="Cash","Cash",IF(COUNTIF('Transform Data'!$D:$D,'Transform Data'!D2972)&gt;1,"Repeat","Single"))</f>
        <v>Single</v>
      </c>
      <c r="K2972" s="10" t="str">
        <f t="shared" si="46"/>
        <v>TRANS-2971</v>
      </c>
    </row>
    <row r="2973" spans="1:11" x14ac:dyDescent="0.35">
      <c r="A2973" s="5">
        <v>45693</v>
      </c>
      <c r="B2973" s="3">
        <v>0.79636574074074074</v>
      </c>
      <c r="C2973" t="s">
        <v>8</v>
      </c>
      <c r="D2973" t="s">
        <v>21</v>
      </c>
      <c r="E2973" s="4">
        <v>35.76</v>
      </c>
      <c r="F2973" t="s">
        <v>15</v>
      </c>
      <c r="G2973" s="10" t="str">
        <f>TEXT(Transform_Data[[#This Row],[Date]],"mmm yyyy")</f>
        <v>Feb 2025</v>
      </c>
      <c r="H2973" s="10">
        <f>HOUR(Transform_Data[[#This Row],[Time]])</f>
        <v>19</v>
      </c>
      <c r="I2973" s="10" t="str">
        <f>IF(COUNTIF('Transform Data'!$D:$D,'Transform Data'!D2973)&gt;1,"Repeat","Single")</f>
        <v>Repeat</v>
      </c>
      <c r="J2973" s="10" t="str">
        <f>IF('Transform Data'!D2973="Cash","Cash",IF(COUNTIF('Transform Data'!$D:$D,'Transform Data'!D2973)&gt;1,"Repeat","Single"))</f>
        <v>Repeat</v>
      </c>
      <c r="K2973" s="10" t="str">
        <f t="shared" si="46"/>
        <v>TRANS-2972</v>
      </c>
    </row>
    <row r="2974" spans="1:11" x14ac:dyDescent="0.35">
      <c r="A2974" s="5">
        <v>45693</v>
      </c>
      <c r="B2974" s="3">
        <v>0.83564814814814814</v>
      </c>
      <c r="C2974" t="s">
        <v>8</v>
      </c>
      <c r="D2974" t="s">
        <v>1232</v>
      </c>
      <c r="E2974" s="4">
        <v>35.76</v>
      </c>
      <c r="F2974" t="s">
        <v>10</v>
      </c>
      <c r="G2974" s="10" t="str">
        <f>TEXT(Transform_Data[[#This Row],[Date]],"mmm yyyy")</f>
        <v>Feb 2025</v>
      </c>
      <c r="H2974" s="10">
        <f>HOUR(Transform_Data[[#This Row],[Time]])</f>
        <v>20</v>
      </c>
      <c r="I2974" s="10" t="str">
        <f>IF(COUNTIF('Transform Data'!$D:$D,'Transform Data'!D2974)&gt;1,"Repeat","Single")</f>
        <v>Repeat</v>
      </c>
      <c r="J2974" s="10" t="str">
        <f>IF('Transform Data'!D2974="Cash","Cash",IF(COUNTIF('Transform Data'!$D:$D,'Transform Data'!D2974)&gt;1,"Repeat","Single"))</f>
        <v>Repeat</v>
      </c>
      <c r="K2974" s="10" t="str">
        <f t="shared" si="46"/>
        <v>TRANS-2973</v>
      </c>
    </row>
    <row r="2975" spans="1:11" x14ac:dyDescent="0.35">
      <c r="A2975" s="5">
        <v>45694</v>
      </c>
      <c r="B2975" s="3">
        <v>0.30333333333333334</v>
      </c>
      <c r="C2975" t="s">
        <v>8</v>
      </c>
      <c r="D2975" t="s">
        <v>33</v>
      </c>
      <c r="E2975" s="4">
        <v>30.86</v>
      </c>
      <c r="F2975" t="s">
        <v>36</v>
      </c>
      <c r="G2975" s="10" t="str">
        <f>TEXT(Transform_Data[[#This Row],[Date]],"mmm yyyy")</f>
        <v>Feb 2025</v>
      </c>
      <c r="H2975" s="10">
        <f>HOUR(Transform_Data[[#This Row],[Time]])</f>
        <v>7</v>
      </c>
      <c r="I2975" s="10" t="str">
        <f>IF(COUNTIF('Transform Data'!$D:$D,'Transform Data'!D2975)&gt;1,"Repeat","Single")</f>
        <v>Repeat</v>
      </c>
      <c r="J2975" s="10" t="str">
        <f>IF('Transform Data'!D2975="Cash","Cash",IF(COUNTIF('Transform Data'!$D:$D,'Transform Data'!D2975)&gt;1,"Repeat","Single"))</f>
        <v>Repeat</v>
      </c>
      <c r="K2975" s="10" t="str">
        <f t="shared" si="46"/>
        <v>TRANS-2974</v>
      </c>
    </row>
    <row r="2976" spans="1:11" x14ac:dyDescent="0.35">
      <c r="A2976" s="5">
        <v>45694</v>
      </c>
      <c r="B2976" s="3">
        <v>0.58288194444444441</v>
      </c>
      <c r="C2976" t="s">
        <v>8</v>
      </c>
      <c r="D2976" t="s">
        <v>1221</v>
      </c>
      <c r="E2976" s="4">
        <v>25.96</v>
      </c>
      <c r="F2976" t="s">
        <v>28</v>
      </c>
      <c r="G2976" s="10" t="str">
        <f>TEXT(Transform_Data[[#This Row],[Date]],"mmm yyyy")</f>
        <v>Feb 2025</v>
      </c>
      <c r="H2976" s="10">
        <f>HOUR(Transform_Data[[#This Row],[Time]])</f>
        <v>13</v>
      </c>
      <c r="I2976" s="10" t="str">
        <f>IF(COUNTIF('Transform Data'!$D:$D,'Transform Data'!D2976)&gt;1,"Repeat","Single")</f>
        <v>Repeat</v>
      </c>
      <c r="J2976" s="10" t="str">
        <f>IF('Transform Data'!D2976="Cash","Cash",IF(COUNTIF('Transform Data'!$D:$D,'Transform Data'!D2976)&gt;1,"Repeat","Single"))</f>
        <v>Repeat</v>
      </c>
      <c r="K2976" s="10" t="str">
        <f t="shared" si="46"/>
        <v>TRANS-2975</v>
      </c>
    </row>
    <row r="2977" spans="1:11" x14ac:dyDescent="0.35">
      <c r="A2977" s="5">
        <v>45694</v>
      </c>
      <c r="B2977" s="3">
        <v>0.62188657407407411</v>
      </c>
      <c r="C2977" t="s">
        <v>8</v>
      </c>
      <c r="D2977" t="s">
        <v>1213</v>
      </c>
      <c r="E2977" s="4">
        <v>30.86</v>
      </c>
      <c r="F2977" t="s">
        <v>36</v>
      </c>
      <c r="G2977" s="10" t="str">
        <f>TEXT(Transform_Data[[#This Row],[Date]],"mmm yyyy")</f>
        <v>Feb 2025</v>
      </c>
      <c r="H2977" s="10">
        <f>HOUR(Transform_Data[[#This Row],[Time]])</f>
        <v>14</v>
      </c>
      <c r="I2977" s="10" t="str">
        <f>IF(COUNTIF('Transform Data'!$D:$D,'Transform Data'!D2977)&gt;1,"Repeat","Single")</f>
        <v>Repeat</v>
      </c>
      <c r="J2977" s="10" t="str">
        <f>IF('Transform Data'!D2977="Cash","Cash",IF(COUNTIF('Transform Data'!$D:$D,'Transform Data'!D2977)&gt;1,"Repeat","Single"))</f>
        <v>Repeat</v>
      </c>
      <c r="K2977" s="10" t="str">
        <f t="shared" si="46"/>
        <v>TRANS-2976</v>
      </c>
    </row>
    <row r="2978" spans="1:11" x14ac:dyDescent="0.35">
      <c r="A2978" s="5">
        <v>45694</v>
      </c>
      <c r="B2978" s="3">
        <v>0.62456018518518519</v>
      </c>
      <c r="C2978" t="s">
        <v>8</v>
      </c>
      <c r="D2978" t="s">
        <v>1209</v>
      </c>
      <c r="E2978" s="4">
        <v>35.76</v>
      </c>
      <c r="F2978" t="s">
        <v>24</v>
      </c>
      <c r="G2978" s="10" t="str">
        <f>TEXT(Transform_Data[[#This Row],[Date]],"mmm yyyy")</f>
        <v>Feb 2025</v>
      </c>
      <c r="H2978" s="10">
        <f>HOUR(Transform_Data[[#This Row],[Time]])</f>
        <v>14</v>
      </c>
      <c r="I2978" s="10" t="str">
        <f>IF(COUNTIF('Transform Data'!$D:$D,'Transform Data'!D2978)&gt;1,"Repeat","Single")</f>
        <v>Repeat</v>
      </c>
      <c r="J2978" s="10" t="str">
        <f>IF('Transform Data'!D2978="Cash","Cash",IF(COUNTIF('Transform Data'!$D:$D,'Transform Data'!D2978)&gt;1,"Repeat","Single"))</f>
        <v>Repeat</v>
      </c>
      <c r="K2978" s="10" t="str">
        <f t="shared" si="46"/>
        <v>TRANS-2977</v>
      </c>
    </row>
    <row r="2979" spans="1:11" x14ac:dyDescent="0.35">
      <c r="A2979" s="5">
        <v>45694</v>
      </c>
      <c r="B2979" s="3">
        <v>0.6769560185185185</v>
      </c>
      <c r="C2979" t="s">
        <v>8</v>
      </c>
      <c r="D2979" t="s">
        <v>33</v>
      </c>
      <c r="E2979" s="4">
        <v>35.76</v>
      </c>
      <c r="F2979" t="s">
        <v>10</v>
      </c>
      <c r="G2979" s="10" t="str">
        <f>TEXT(Transform_Data[[#This Row],[Date]],"mmm yyyy")</f>
        <v>Feb 2025</v>
      </c>
      <c r="H2979" s="10">
        <f>HOUR(Transform_Data[[#This Row],[Time]])</f>
        <v>16</v>
      </c>
      <c r="I2979" s="10" t="str">
        <f>IF(COUNTIF('Transform Data'!$D:$D,'Transform Data'!D2979)&gt;1,"Repeat","Single")</f>
        <v>Repeat</v>
      </c>
      <c r="J2979" s="10" t="str">
        <f>IF('Transform Data'!D2979="Cash","Cash",IF(COUNTIF('Transform Data'!$D:$D,'Transform Data'!D2979)&gt;1,"Repeat","Single"))</f>
        <v>Repeat</v>
      </c>
      <c r="K2979" s="10" t="str">
        <f t="shared" si="46"/>
        <v>TRANS-2978</v>
      </c>
    </row>
    <row r="2980" spans="1:11" x14ac:dyDescent="0.35">
      <c r="A2980" s="5">
        <v>45694</v>
      </c>
      <c r="B2980" s="3">
        <v>0.71510416666666665</v>
      </c>
      <c r="C2980" t="s">
        <v>8</v>
      </c>
      <c r="D2980" t="s">
        <v>1220</v>
      </c>
      <c r="E2980" s="4">
        <v>35.76</v>
      </c>
      <c r="F2980" t="s">
        <v>10</v>
      </c>
      <c r="G2980" s="10" t="str">
        <f>TEXT(Transform_Data[[#This Row],[Date]],"mmm yyyy")</f>
        <v>Feb 2025</v>
      </c>
      <c r="H2980" s="10">
        <f>HOUR(Transform_Data[[#This Row],[Time]])</f>
        <v>17</v>
      </c>
      <c r="I2980" s="10" t="str">
        <f>IF(COUNTIF('Transform Data'!$D:$D,'Transform Data'!D2980)&gt;1,"Repeat","Single")</f>
        <v>Repeat</v>
      </c>
      <c r="J2980" s="10" t="str">
        <f>IF('Transform Data'!D2980="Cash","Cash",IF(COUNTIF('Transform Data'!$D:$D,'Transform Data'!D2980)&gt;1,"Repeat","Single"))</f>
        <v>Repeat</v>
      </c>
      <c r="K2980" s="10" t="str">
        <f t="shared" si="46"/>
        <v>TRANS-2979</v>
      </c>
    </row>
    <row r="2981" spans="1:11" x14ac:dyDescent="0.35">
      <c r="A2981" s="5">
        <v>45694</v>
      </c>
      <c r="B2981" s="3">
        <v>0.74612268518518521</v>
      </c>
      <c r="C2981" t="s">
        <v>8</v>
      </c>
      <c r="D2981" t="s">
        <v>1233</v>
      </c>
      <c r="E2981" s="4">
        <v>35.76</v>
      </c>
      <c r="F2981" t="s">
        <v>10</v>
      </c>
      <c r="G2981" s="10" t="str">
        <f>TEXT(Transform_Data[[#This Row],[Date]],"mmm yyyy")</f>
        <v>Feb 2025</v>
      </c>
      <c r="H2981" s="10">
        <f>HOUR(Transform_Data[[#This Row],[Time]])</f>
        <v>17</v>
      </c>
      <c r="I2981" s="10" t="str">
        <f>IF(COUNTIF('Transform Data'!$D:$D,'Transform Data'!D2981)&gt;1,"Repeat","Single")</f>
        <v>Single</v>
      </c>
      <c r="J2981" s="10" t="str">
        <f>IF('Transform Data'!D2981="Cash","Cash",IF(COUNTIF('Transform Data'!$D:$D,'Transform Data'!D2981)&gt;1,"Repeat","Single"))</f>
        <v>Single</v>
      </c>
      <c r="K2981" s="10" t="str">
        <f t="shared" si="46"/>
        <v>TRANS-2980</v>
      </c>
    </row>
    <row r="2982" spans="1:11" x14ac:dyDescent="0.35">
      <c r="A2982" s="5">
        <v>45694</v>
      </c>
      <c r="B2982" s="3">
        <v>0.82861111111111108</v>
      </c>
      <c r="C2982" t="s">
        <v>8</v>
      </c>
      <c r="D2982" t="s">
        <v>1209</v>
      </c>
      <c r="E2982" s="4">
        <v>35.76</v>
      </c>
      <c r="F2982" t="s">
        <v>24</v>
      </c>
      <c r="G2982" s="10" t="str">
        <f>TEXT(Transform_Data[[#This Row],[Date]],"mmm yyyy")</f>
        <v>Feb 2025</v>
      </c>
      <c r="H2982" s="10">
        <f>HOUR(Transform_Data[[#This Row],[Time]])</f>
        <v>19</v>
      </c>
      <c r="I2982" s="10" t="str">
        <f>IF(COUNTIF('Transform Data'!$D:$D,'Transform Data'!D2982)&gt;1,"Repeat","Single")</f>
        <v>Repeat</v>
      </c>
      <c r="J2982" s="10" t="str">
        <f>IF('Transform Data'!D2982="Cash","Cash",IF(COUNTIF('Transform Data'!$D:$D,'Transform Data'!D2982)&gt;1,"Repeat","Single"))</f>
        <v>Repeat</v>
      </c>
      <c r="K2982" s="10" t="str">
        <f t="shared" si="46"/>
        <v>TRANS-2981</v>
      </c>
    </row>
    <row r="2983" spans="1:11" x14ac:dyDescent="0.35">
      <c r="A2983" s="5">
        <v>45694</v>
      </c>
      <c r="B2983" s="3">
        <v>0.8299305555555555</v>
      </c>
      <c r="C2983" t="s">
        <v>8</v>
      </c>
      <c r="D2983" t="s">
        <v>1234</v>
      </c>
      <c r="E2983" s="4">
        <v>21.06</v>
      </c>
      <c r="F2983" t="s">
        <v>5</v>
      </c>
      <c r="G2983" s="10" t="str">
        <f>TEXT(Transform_Data[[#This Row],[Date]],"mmm yyyy")</f>
        <v>Feb 2025</v>
      </c>
      <c r="H2983" s="10">
        <f>HOUR(Transform_Data[[#This Row],[Time]])</f>
        <v>19</v>
      </c>
      <c r="I2983" s="10" t="str">
        <f>IF(COUNTIF('Transform Data'!$D:$D,'Transform Data'!D2983)&gt;1,"Repeat","Single")</f>
        <v>Repeat</v>
      </c>
      <c r="J2983" s="10" t="str">
        <f>IF('Transform Data'!D2983="Cash","Cash",IF(COUNTIF('Transform Data'!$D:$D,'Transform Data'!D2983)&gt;1,"Repeat","Single"))</f>
        <v>Repeat</v>
      </c>
      <c r="K2983" s="10" t="str">
        <f t="shared" si="46"/>
        <v>TRANS-2982</v>
      </c>
    </row>
    <row r="2984" spans="1:11" x14ac:dyDescent="0.35">
      <c r="A2984" s="5">
        <v>45694</v>
      </c>
      <c r="B2984" s="3">
        <v>0.83818287037037043</v>
      </c>
      <c r="C2984" t="s">
        <v>8</v>
      </c>
      <c r="D2984" t="s">
        <v>1235</v>
      </c>
      <c r="E2984" s="4">
        <v>35.76</v>
      </c>
      <c r="F2984" t="s">
        <v>10</v>
      </c>
      <c r="G2984" s="10" t="str">
        <f>TEXT(Transform_Data[[#This Row],[Date]],"mmm yyyy")</f>
        <v>Feb 2025</v>
      </c>
      <c r="H2984" s="10">
        <f>HOUR(Transform_Data[[#This Row],[Time]])</f>
        <v>20</v>
      </c>
      <c r="I2984" s="10" t="str">
        <f>IF(COUNTIF('Transform Data'!$D:$D,'Transform Data'!D2984)&gt;1,"Repeat","Single")</f>
        <v>Repeat</v>
      </c>
      <c r="J2984" s="10" t="str">
        <f>IF('Transform Data'!D2984="Cash","Cash",IF(COUNTIF('Transform Data'!$D:$D,'Transform Data'!D2984)&gt;1,"Repeat","Single"))</f>
        <v>Repeat</v>
      </c>
      <c r="K2984" s="10" t="str">
        <f t="shared" si="46"/>
        <v>TRANS-2983</v>
      </c>
    </row>
    <row r="2985" spans="1:11" x14ac:dyDescent="0.35">
      <c r="A2985" s="5">
        <v>45694</v>
      </c>
      <c r="B2985" s="3">
        <v>0.83873842592592596</v>
      </c>
      <c r="C2985" t="s">
        <v>8</v>
      </c>
      <c r="D2985" t="s">
        <v>1236</v>
      </c>
      <c r="E2985" s="4">
        <v>35.76</v>
      </c>
      <c r="F2985" t="s">
        <v>10</v>
      </c>
      <c r="G2985" s="10" t="str">
        <f>TEXT(Transform_Data[[#This Row],[Date]],"mmm yyyy")</f>
        <v>Feb 2025</v>
      </c>
      <c r="H2985" s="10">
        <f>HOUR(Transform_Data[[#This Row],[Time]])</f>
        <v>20</v>
      </c>
      <c r="I2985" s="10" t="str">
        <f>IF(COUNTIF('Transform Data'!$D:$D,'Transform Data'!D2985)&gt;1,"Repeat","Single")</f>
        <v>Single</v>
      </c>
      <c r="J2985" s="10" t="str">
        <f>IF('Transform Data'!D2985="Cash","Cash",IF(COUNTIF('Transform Data'!$D:$D,'Transform Data'!D2985)&gt;1,"Repeat","Single"))</f>
        <v>Single</v>
      </c>
      <c r="K2985" s="10" t="str">
        <f t="shared" si="46"/>
        <v>TRANS-2984</v>
      </c>
    </row>
    <row r="2986" spans="1:11" x14ac:dyDescent="0.35">
      <c r="A2986" s="5">
        <v>45694</v>
      </c>
      <c r="B2986" s="3">
        <v>0.84945601851851849</v>
      </c>
      <c r="C2986" t="s">
        <v>8</v>
      </c>
      <c r="D2986" t="s">
        <v>33</v>
      </c>
      <c r="E2986" s="4">
        <v>35.76</v>
      </c>
      <c r="F2986" t="s">
        <v>32</v>
      </c>
      <c r="G2986" s="10" t="str">
        <f>TEXT(Transform_Data[[#This Row],[Date]],"mmm yyyy")</f>
        <v>Feb 2025</v>
      </c>
      <c r="H2986" s="10">
        <f>HOUR(Transform_Data[[#This Row],[Time]])</f>
        <v>20</v>
      </c>
      <c r="I2986" s="10" t="str">
        <f>IF(COUNTIF('Transform Data'!$D:$D,'Transform Data'!D2986)&gt;1,"Repeat","Single")</f>
        <v>Repeat</v>
      </c>
      <c r="J2986" s="10" t="str">
        <f>IF('Transform Data'!D2986="Cash","Cash",IF(COUNTIF('Transform Data'!$D:$D,'Transform Data'!D2986)&gt;1,"Repeat","Single"))</f>
        <v>Repeat</v>
      </c>
      <c r="K2986" s="10" t="str">
        <f t="shared" si="46"/>
        <v>TRANS-2985</v>
      </c>
    </row>
    <row r="2987" spans="1:11" x14ac:dyDescent="0.35">
      <c r="A2987" s="5">
        <v>45695</v>
      </c>
      <c r="B2987" s="3">
        <v>0.3644560185185185</v>
      </c>
      <c r="C2987" t="s">
        <v>8</v>
      </c>
      <c r="D2987" t="s">
        <v>1203</v>
      </c>
      <c r="E2987" s="4">
        <v>30.86</v>
      </c>
      <c r="F2987" t="s">
        <v>36</v>
      </c>
      <c r="G2987" s="10" t="str">
        <f>TEXT(Transform_Data[[#This Row],[Date]],"mmm yyyy")</f>
        <v>Feb 2025</v>
      </c>
      <c r="H2987" s="10">
        <f>HOUR(Transform_Data[[#This Row],[Time]])</f>
        <v>8</v>
      </c>
      <c r="I2987" s="10" t="str">
        <f>IF(COUNTIF('Transform Data'!$D:$D,'Transform Data'!D2987)&gt;1,"Repeat","Single")</f>
        <v>Repeat</v>
      </c>
      <c r="J2987" s="10" t="str">
        <f>IF('Transform Data'!D2987="Cash","Cash",IF(COUNTIF('Transform Data'!$D:$D,'Transform Data'!D2987)&gt;1,"Repeat","Single"))</f>
        <v>Repeat</v>
      </c>
      <c r="K2987" s="10" t="str">
        <f t="shared" si="46"/>
        <v>TRANS-2986</v>
      </c>
    </row>
    <row r="2988" spans="1:11" x14ac:dyDescent="0.35">
      <c r="A2988" s="5">
        <v>45695</v>
      </c>
      <c r="B2988" s="3">
        <v>0.37990740740740742</v>
      </c>
      <c r="C2988" t="s">
        <v>8</v>
      </c>
      <c r="D2988" t="s">
        <v>1237</v>
      </c>
      <c r="E2988" s="4">
        <v>30.86</v>
      </c>
      <c r="F2988" t="s">
        <v>36</v>
      </c>
      <c r="G2988" s="10" t="str">
        <f>TEXT(Transform_Data[[#This Row],[Date]],"mmm yyyy")</f>
        <v>Feb 2025</v>
      </c>
      <c r="H2988" s="10">
        <f>HOUR(Transform_Data[[#This Row],[Time]])</f>
        <v>9</v>
      </c>
      <c r="I2988" s="10" t="str">
        <f>IF(COUNTIF('Transform Data'!$D:$D,'Transform Data'!D2988)&gt;1,"Repeat","Single")</f>
        <v>Repeat</v>
      </c>
      <c r="J2988" s="10" t="str">
        <f>IF('Transform Data'!D2988="Cash","Cash",IF(COUNTIF('Transform Data'!$D:$D,'Transform Data'!D2988)&gt;1,"Repeat","Single"))</f>
        <v>Repeat</v>
      </c>
      <c r="K2988" s="10" t="str">
        <f t="shared" si="46"/>
        <v>TRANS-2987</v>
      </c>
    </row>
    <row r="2989" spans="1:11" x14ac:dyDescent="0.35">
      <c r="A2989" s="5">
        <v>45695</v>
      </c>
      <c r="B2989" s="3">
        <v>0.45096064814814812</v>
      </c>
      <c r="C2989" t="s">
        <v>8</v>
      </c>
      <c r="D2989" t="s">
        <v>1238</v>
      </c>
      <c r="E2989" s="4">
        <v>25.96</v>
      </c>
      <c r="F2989" t="s">
        <v>28</v>
      </c>
      <c r="G2989" s="10" t="str">
        <f>TEXT(Transform_Data[[#This Row],[Date]],"mmm yyyy")</f>
        <v>Feb 2025</v>
      </c>
      <c r="H2989" s="10">
        <f>HOUR(Transform_Data[[#This Row],[Time]])</f>
        <v>10</v>
      </c>
      <c r="I2989" s="10" t="str">
        <f>IF(COUNTIF('Transform Data'!$D:$D,'Transform Data'!D2989)&gt;1,"Repeat","Single")</f>
        <v>Repeat</v>
      </c>
      <c r="J2989" s="10" t="str">
        <f>IF('Transform Data'!D2989="Cash","Cash",IF(COUNTIF('Transform Data'!$D:$D,'Transform Data'!D2989)&gt;1,"Repeat","Single"))</f>
        <v>Repeat</v>
      </c>
      <c r="K2989" s="10" t="str">
        <f t="shared" si="46"/>
        <v>TRANS-2988</v>
      </c>
    </row>
    <row r="2990" spans="1:11" x14ac:dyDescent="0.35">
      <c r="A2990" s="5">
        <v>45695</v>
      </c>
      <c r="B2990" s="3">
        <v>0.50668981481481479</v>
      </c>
      <c r="C2990" t="s">
        <v>8</v>
      </c>
      <c r="D2990" t="s">
        <v>1239</v>
      </c>
      <c r="E2990" s="4">
        <v>35.76</v>
      </c>
      <c r="F2990" t="s">
        <v>10</v>
      </c>
      <c r="G2990" s="10" t="str">
        <f>TEXT(Transform_Data[[#This Row],[Date]],"mmm yyyy")</f>
        <v>Feb 2025</v>
      </c>
      <c r="H2990" s="10">
        <f>HOUR(Transform_Data[[#This Row],[Time]])</f>
        <v>12</v>
      </c>
      <c r="I2990" s="10" t="str">
        <f>IF(COUNTIF('Transform Data'!$D:$D,'Transform Data'!D2990)&gt;1,"Repeat","Single")</f>
        <v>Repeat</v>
      </c>
      <c r="J2990" s="10" t="str">
        <f>IF('Transform Data'!D2990="Cash","Cash",IF(COUNTIF('Transform Data'!$D:$D,'Transform Data'!D2990)&gt;1,"Repeat","Single"))</f>
        <v>Repeat</v>
      </c>
      <c r="K2990" s="10" t="str">
        <f t="shared" si="46"/>
        <v>TRANS-2989</v>
      </c>
    </row>
    <row r="2991" spans="1:11" x14ac:dyDescent="0.35">
      <c r="A2991" s="5">
        <v>45695</v>
      </c>
      <c r="B2991" s="3">
        <v>0.53567129629629628</v>
      </c>
      <c r="C2991" t="s">
        <v>8</v>
      </c>
      <c r="D2991" t="s">
        <v>33</v>
      </c>
      <c r="E2991" s="4">
        <v>30.86</v>
      </c>
      <c r="F2991" t="s">
        <v>36</v>
      </c>
      <c r="G2991" s="10" t="str">
        <f>TEXT(Transform_Data[[#This Row],[Date]],"mmm yyyy")</f>
        <v>Feb 2025</v>
      </c>
      <c r="H2991" s="10">
        <f>HOUR(Transform_Data[[#This Row],[Time]])</f>
        <v>12</v>
      </c>
      <c r="I2991" s="10" t="str">
        <f>IF(COUNTIF('Transform Data'!$D:$D,'Transform Data'!D2991)&gt;1,"Repeat","Single")</f>
        <v>Repeat</v>
      </c>
      <c r="J2991" s="10" t="str">
        <f>IF('Transform Data'!D2991="Cash","Cash",IF(COUNTIF('Transform Data'!$D:$D,'Transform Data'!D2991)&gt;1,"Repeat","Single"))</f>
        <v>Repeat</v>
      </c>
      <c r="K2991" s="10" t="str">
        <f t="shared" si="46"/>
        <v>TRANS-2990</v>
      </c>
    </row>
    <row r="2992" spans="1:11" x14ac:dyDescent="0.35">
      <c r="A2992" s="5">
        <v>45695</v>
      </c>
      <c r="B2992" s="3">
        <v>0.5408680555555555</v>
      </c>
      <c r="C2992" t="s">
        <v>8</v>
      </c>
      <c r="D2992" t="s">
        <v>1240</v>
      </c>
      <c r="E2992" s="4">
        <v>25.96</v>
      </c>
      <c r="F2992" t="s">
        <v>28</v>
      </c>
      <c r="G2992" s="10" t="str">
        <f>TEXT(Transform_Data[[#This Row],[Date]],"mmm yyyy")</f>
        <v>Feb 2025</v>
      </c>
      <c r="H2992" s="10">
        <f>HOUR(Transform_Data[[#This Row],[Time]])</f>
        <v>12</v>
      </c>
      <c r="I2992" s="10" t="str">
        <f>IF(COUNTIF('Transform Data'!$D:$D,'Transform Data'!D2992)&gt;1,"Repeat","Single")</f>
        <v>Repeat</v>
      </c>
      <c r="J2992" s="10" t="str">
        <f>IF('Transform Data'!D2992="Cash","Cash",IF(COUNTIF('Transform Data'!$D:$D,'Transform Data'!D2992)&gt;1,"Repeat","Single"))</f>
        <v>Repeat</v>
      </c>
      <c r="K2992" s="10" t="str">
        <f t="shared" si="46"/>
        <v>TRANS-2991</v>
      </c>
    </row>
    <row r="2993" spans="1:11" x14ac:dyDescent="0.35">
      <c r="A2993" s="5">
        <v>45695</v>
      </c>
      <c r="B2993" s="3">
        <v>0.66956018518518523</v>
      </c>
      <c r="C2993" t="s">
        <v>8</v>
      </c>
      <c r="D2993" t="s">
        <v>1220</v>
      </c>
      <c r="E2993" s="4">
        <v>25.96</v>
      </c>
      <c r="F2993" t="s">
        <v>20</v>
      </c>
      <c r="G2993" s="10" t="str">
        <f>TEXT(Transform_Data[[#This Row],[Date]],"mmm yyyy")</f>
        <v>Feb 2025</v>
      </c>
      <c r="H2993" s="10">
        <f>HOUR(Transform_Data[[#This Row],[Time]])</f>
        <v>16</v>
      </c>
      <c r="I2993" s="10" t="str">
        <f>IF(COUNTIF('Transform Data'!$D:$D,'Transform Data'!D2993)&gt;1,"Repeat","Single")</f>
        <v>Repeat</v>
      </c>
      <c r="J2993" s="10" t="str">
        <f>IF('Transform Data'!D2993="Cash","Cash",IF(COUNTIF('Transform Data'!$D:$D,'Transform Data'!D2993)&gt;1,"Repeat","Single"))</f>
        <v>Repeat</v>
      </c>
      <c r="K2993" s="10" t="str">
        <f t="shared" si="46"/>
        <v>TRANS-2992</v>
      </c>
    </row>
    <row r="2994" spans="1:11" x14ac:dyDescent="0.35">
      <c r="A2994" s="5">
        <v>45695</v>
      </c>
      <c r="B2994" s="3">
        <v>0.68209490740740741</v>
      </c>
      <c r="C2994" t="s">
        <v>8</v>
      </c>
      <c r="D2994" t="s">
        <v>1241</v>
      </c>
      <c r="E2994" s="4">
        <v>35.76</v>
      </c>
      <c r="F2994" t="s">
        <v>32</v>
      </c>
      <c r="G2994" s="10" t="str">
        <f>TEXT(Transform_Data[[#This Row],[Date]],"mmm yyyy")</f>
        <v>Feb 2025</v>
      </c>
      <c r="H2994" s="10">
        <f>HOUR(Transform_Data[[#This Row],[Time]])</f>
        <v>16</v>
      </c>
      <c r="I2994" s="10" t="str">
        <f>IF(COUNTIF('Transform Data'!$D:$D,'Transform Data'!D2994)&gt;1,"Repeat","Single")</f>
        <v>Repeat</v>
      </c>
      <c r="J2994" s="10" t="str">
        <f>IF('Transform Data'!D2994="Cash","Cash",IF(COUNTIF('Transform Data'!$D:$D,'Transform Data'!D2994)&gt;1,"Repeat","Single"))</f>
        <v>Repeat</v>
      </c>
      <c r="K2994" s="10" t="str">
        <f t="shared" si="46"/>
        <v>TRANS-2993</v>
      </c>
    </row>
    <row r="2995" spans="1:11" x14ac:dyDescent="0.35">
      <c r="A2995" s="5">
        <v>45695</v>
      </c>
      <c r="B2995" s="3">
        <v>0.68280092592592589</v>
      </c>
      <c r="C2995" t="s">
        <v>8</v>
      </c>
      <c r="D2995" t="s">
        <v>1215</v>
      </c>
      <c r="E2995" s="4">
        <v>35.76</v>
      </c>
      <c r="F2995" t="s">
        <v>15</v>
      </c>
      <c r="G2995" s="10" t="str">
        <f>TEXT(Transform_Data[[#This Row],[Date]],"mmm yyyy")</f>
        <v>Feb 2025</v>
      </c>
      <c r="H2995" s="10">
        <f>HOUR(Transform_Data[[#This Row],[Time]])</f>
        <v>16</v>
      </c>
      <c r="I2995" s="10" t="str">
        <f>IF(COUNTIF('Transform Data'!$D:$D,'Transform Data'!D2995)&gt;1,"Repeat","Single")</f>
        <v>Repeat</v>
      </c>
      <c r="J2995" s="10" t="str">
        <f>IF('Transform Data'!D2995="Cash","Cash",IF(COUNTIF('Transform Data'!$D:$D,'Transform Data'!D2995)&gt;1,"Repeat","Single"))</f>
        <v>Repeat</v>
      </c>
      <c r="K2995" s="10" t="str">
        <f t="shared" si="46"/>
        <v>TRANS-2994</v>
      </c>
    </row>
    <row r="2996" spans="1:11" x14ac:dyDescent="0.35">
      <c r="A2996" s="5">
        <v>45695</v>
      </c>
      <c r="B2996" s="3">
        <v>0.68373842592592593</v>
      </c>
      <c r="C2996" t="s">
        <v>8</v>
      </c>
      <c r="D2996" t="s">
        <v>1215</v>
      </c>
      <c r="E2996" s="4">
        <v>35.76</v>
      </c>
      <c r="F2996" t="s">
        <v>32</v>
      </c>
      <c r="G2996" s="10" t="str">
        <f>TEXT(Transform_Data[[#This Row],[Date]],"mmm yyyy")</f>
        <v>Feb 2025</v>
      </c>
      <c r="H2996" s="10">
        <f>HOUR(Transform_Data[[#This Row],[Time]])</f>
        <v>16</v>
      </c>
      <c r="I2996" s="10" t="str">
        <f>IF(COUNTIF('Transform Data'!$D:$D,'Transform Data'!D2996)&gt;1,"Repeat","Single")</f>
        <v>Repeat</v>
      </c>
      <c r="J2996" s="10" t="str">
        <f>IF('Transform Data'!D2996="Cash","Cash",IF(COUNTIF('Transform Data'!$D:$D,'Transform Data'!D2996)&gt;1,"Repeat","Single"))</f>
        <v>Repeat</v>
      </c>
      <c r="K2996" s="10" t="str">
        <f t="shared" si="46"/>
        <v>TRANS-2995</v>
      </c>
    </row>
    <row r="2997" spans="1:11" x14ac:dyDescent="0.35">
      <c r="A2997" s="5">
        <v>45695</v>
      </c>
      <c r="B2997" s="3">
        <v>0.77958333333333329</v>
      </c>
      <c r="C2997" t="s">
        <v>8</v>
      </c>
      <c r="D2997" t="s">
        <v>1228</v>
      </c>
      <c r="E2997" s="4">
        <v>35.76</v>
      </c>
      <c r="F2997" t="s">
        <v>10</v>
      </c>
      <c r="G2997" s="10" t="str">
        <f>TEXT(Transform_Data[[#This Row],[Date]],"mmm yyyy")</f>
        <v>Feb 2025</v>
      </c>
      <c r="H2997" s="10">
        <f>HOUR(Transform_Data[[#This Row],[Time]])</f>
        <v>18</v>
      </c>
      <c r="I2997" s="10" t="str">
        <f>IF(COUNTIF('Transform Data'!$D:$D,'Transform Data'!D2997)&gt;1,"Repeat","Single")</f>
        <v>Repeat</v>
      </c>
      <c r="J2997" s="10" t="str">
        <f>IF('Transform Data'!D2997="Cash","Cash",IF(COUNTIF('Transform Data'!$D:$D,'Transform Data'!D2997)&gt;1,"Repeat","Single"))</f>
        <v>Repeat</v>
      </c>
      <c r="K2997" s="10" t="str">
        <f t="shared" si="46"/>
        <v>TRANS-2996</v>
      </c>
    </row>
    <row r="2998" spans="1:11" x14ac:dyDescent="0.35">
      <c r="A2998" s="5">
        <v>45695</v>
      </c>
      <c r="B2998" s="3">
        <v>0.78027777777777774</v>
      </c>
      <c r="C2998" t="s">
        <v>8</v>
      </c>
      <c r="D2998" t="s">
        <v>1229</v>
      </c>
      <c r="E2998" s="4">
        <v>35.76</v>
      </c>
      <c r="F2998" t="s">
        <v>10</v>
      </c>
      <c r="G2998" s="10" t="str">
        <f>TEXT(Transform_Data[[#This Row],[Date]],"mmm yyyy")</f>
        <v>Feb 2025</v>
      </c>
      <c r="H2998" s="10">
        <f>HOUR(Transform_Data[[#This Row],[Time]])</f>
        <v>18</v>
      </c>
      <c r="I2998" s="10" t="str">
        <f>IF(COUNTIF('Transform Data'!$D:$D,'Transform Data'!D2998)&gt;1,"Repeat","Single")</f>
        <v>Repeat</v>
      </c>
      <c r="J2998" s="10" t="str">
        <f>IF('Transform Data'!D2998="Cash","Cash",IF(COUNTIF('Transform Data'!$D:$D,'Transform Data'!D2998)&gt;1,"Repeat","Single"))</f>
        <v>Repeat</v>
      </c>
      <c r="K2998" s="10" t="str">
        <f t="shared" si="46"/>
        <v>TRANS-2997</v>
      </c>
    </row>
    <row r="2999" spans="1:11" x14ac:dyDescent="0.35">
      <c r="A2999" s="5">
        <v>45695</v>
      </c>
      <c r="B2999" s="3">
        <v>0.78090277777777772</v>
      </c>
      <c r="C2999" t="s">
        <v>8</v>
      </c>
      <c r="D2999" t="s">
        <v>1242</v>
      </c>
      <c r="E2999" s="4">
        <v>25.96</v>
      </c>
      <c r="F2999" t="s">
        <v>20</v>
      </c>
      <c r="G2999" s="10" t="str">
        <f>TEXT(Transform_Data[[#This Row],[Date]],"mmm yyyy")</f>
        <v>Feb 2025</v>
      </c>
      <c r="H2999" s="10">
        <f>HOUR(Transform_Data[[#This Row],[Time]])</f>
        <v>18</v>
      </c>
      <c r="I2999" s="10" t="str">
        <f>IF(COUNTIF('Transform Data'!$D:$D,'Transform Data'!D2999)&gt;1,"Repeat","Single")</f>
        <v>Repeat</v>
      </c>
      <c r="J2999" s="10" t="str">
        <f>IF('Transform Data'!D2999="Cash","Cash",IF(COUNTIF('Transform Data'!$D:$D,'Transform Data'!D2999)&gt;1,"Repeat","Single"))</f>
        <v>Repeat</v>
      </c>
      <c r="K2999" s="10" t="str">
        <f t="shared" si="46"/>
        <v>TRANS-2998</v>
      </c>
    </row>
    <row r="3000" spans="1:11" x14ac:dyDescent="0.35">
      <c r="A3000" s="5">
        <v>45695</v>
      </c>
      <c r="B3000" s="3">
        <v>0.78151620370370367</v>
      </c>
      <c r="C3000" t="s">
        <v>8</v>
      </c>
      <c r="D3000" t="s">
        <v>1242</v>
      </c>
      <c r="E3000" s="4">
        <v>35.76</v>
      </c>
      <c r="F3000" t="s">
        <v>10</v>
      </c>
      <c r="G3000" s="10" t="str">
        <f>TEXT(Transform_Data[[#This Row],[Date]],"mmm yyyy")</f>
        <v>Feb 2025</v>
      </c>
      <c r="H3000" s="10">
        <f>HOUR(Transform_Data[[#This Row],[Time]])</f>
        <v>18</v>
      </c>
      <c r="I3000" s="10" t="str">
        <f>IF(COUNTIF('Transform Data'!$D:$D,'Transform Data'!D3000)&gt;1,"Repeat","Single")</f>
        <v>Repeat</v>
      </c>
      <c r="J3000" s="10" t="str">
        <f>IF('Transform Data'!D3000="Cash","Cash",IF(COUNTIF('Transform Data'!$D:$D,'Transform Data'!D3000)&gt;1,"Repeat","Single"))</f>
        <v>Repeat</v>
      </c>
      <c r="K3000" s="10" t="str">
        <f t="shared" si="46"/>
        <v>TRANS-2999</v>
      </c>
    </row>
    <row r="3001" spans="1:11" x14ac:dyDescent="0.35">
      <c r="A3001" s="5">
        <v>45695</v>
      </c>
      <c r="B3001" s="3">
        <v>0.84096064814814819</v>
      </c>
      <c r="C3001" t="s">
        <v>8</v>
      </c>
      <c r="D3001" t="s">
        <v>1243</v>
      </c>
      <c r="E3001" s="4">
        <v>35.76</v>
      </c>
      <c r="F3001" t="s">
        <v>10</v>
      </c>
      <c r="G3001" s="10" t="str">
        <f>TEXT(Transform_Data[[#This Row],[Date]],"mmm yyyy")</f>
        <v>Feb 2025</v>
      </c>
      <c r="H3001" s="10">
        <f>HOUR(Transform_Data[[#This Row],[Time]])</f>
        <v>20</v>
      </c>
      <c r="I3001" s="10" t="str">
        <f>IF(COUNTIF('Transform Data'!$D:$D,'Transform Data'!D3001)&gt;1,"Repeat","Single")</f>
        <v>Single</v>
      </c>
      <c r="J3001" s="10" t="str">
        <f>IF('Transform Data'!D3001="Cash","Cash",IF(COUNTIF('Transform Data'!$D:$D,'Transform Data'!D3001)&gt;1,"Repeat","Single"))</f>
        <v>Single</v>
      </c>
      <c r="K3001" s="10" t="str">
        <f t="shared" si="46"/>
        <v>TRANS-3000</v>
      </c>
    </row>
    <row r="3002" spans="1:11" x14ac:dyDescent="0.35">
      <c r="A3002" s="5">
        <v>45695</v>
      </c>
      <c r="B3002" s="3">
        <v>0.85481481481481481</v>
      </c>
      <c r="C3002" t="s">
        <v>8</v>
      </c>
      <c r="D3002" t="s">
        <v>1212</v>
      </c>
      <c r="E3002" s="4">
        <v>25.96</v>
      </c>
      <c r="F3002" t="s">
        <v>20</v>
      </c>
      <c r="G3002" s="10" t="str">
        <f>TEXT(Transform_Data[[#This Row],[Date]],"mmm yyyy")</f>
        <v>Feb 2025</v>
      </c>
      <c r="H3002" s="10">
        <f>HOUR(Transform_Data[[#This Row],[Time]])</f>
        <v>20</v>
      </c>
      <c r="I3002" s="10" t="str">
        <f>IF(COUNTIF('Transform Data'!$D:$D,'Transform Data'!D3002)&gt;1,"Repeat","Single")</f>
        <v>Repeat</v>
      </c>
      <c r="J3002" s="10" t="str">
        <f>IF('Transform Data'!D3002="Cash","Cash",IF(COUNTIF('Transform Data'!$D:$D,'Transform Data'!D3002)&gt;1,"Repeat","Single"))</f>
        <v>Repeat</v>
      </c>
      <c r="K3002" s="10" t="str">
        <f t="shared" si="46"/>
        <v>TRANS-3001</v>
      </c>
    </row>
    <row r="3003" spans="1:11" x14ac:dyDescent="0.35">
      <c r="A3003" s="5">
        <v>45696</v>
      </c>
      <c r="B3003" s="3">
        <v>0.37618055555555557</v>
      </c>
      <c r="C3003" t="s">
        <v>8</v>
      </c>
      <c r="D3003" t="s">
        <v>33</v>
      </c>
      <c r="E3003" s="4">
        <v>25.96</v>
      </c>
      <c r="F3003" t="s">
        <v>28</v>
      </c>
      <c r="G3003" s="10" t="str">
        <f>TEXT(Transform_Data[[#This Row],[Date]],"mmm yyyy")</f>
        <v>Feb 2025</v>
      </c>
      <c r="H3003" s="10">
        <f>HOUR(Transform_Data[[#This Row],[Time]])</f>
        <v>9</v>
      </c>
      <c r="I3003" s="10" t="str">
        <f>IF(COUNTIF('Transform Data'!$D:$D,'Transform Data'!D3003)&gt;1,"Repeat","Single")</f>
        <v>Repeat</v>
      </c>
      <c r="J3003" s="10" t="str">
        <f>IF('Transform Data'!D3003="Cash","Cash",IF(COUNTIF('Transform Data'!$D:$D,'Transform Data'!D3003)&gt;1,"Repeat","Single"))</f>
        <v>Repeat</v>
      </c>
      <c r="K3003" s="10" t="str">
        <f t="shared" si="46"/>
        <v>TRANS-3002</v>
      </c>
    </row>
    <row r="3004" spans="1:11" x14ac:dyDescent="0.35">
      <c r="A3004" s="5">
        <v>45696</v>
      </c>
      <c r="B3004" s="3">
        <v>0.45575231481481482</v>
      </c>
      <c r="C3004" t="s">
        <v>8</v>
      </c>
      <c r="D3004" t="s">
        <v>1204</v>
      </c>
      <c r="E3004" s="4">
        <v>30.86</v>
      </c>
      <c r="F3004" t="s">
        <v>36</v>
      </c>
      <c r="G3004" s="10" t="str">
        <f>TEXT(Transform_Data[[#This Row],[Date]],"mmm yyyy")</f>
        <v>Feb 2025</v>
      </c>
      <c r="H3004" s="10">
        <f>HOUR(Transform_Data[[#This Row],[Time]])</f>
        <v>10</v>
      </c>
      <c r="I3004" s="10" t="str">
        <f>IF(COUNTIF('Transform Data'!$D:$D,'Transform Data'!D3004)&gt;1,"Repeat","Single")</f>
        <v>Repeat</v>
      </c>
      <c r="J3004" s="10" t="str">
        <f>IF('Transform Data'!D3004="Cash","Cash",IF(COUNTIF('Transform Data'!$D:$D,'Transform Data'!D3004)&gt;1,"Repeat","Single"))</f>
        <v>Repeat</v>
      </c>
      <c r="K3004" s="10" t="str">
        <f t="shared" si="46"/>
        <v>TRANS-3003</v>
      </c>
    </row>
    <row r="3005" spans="1:11" x14ac:dyDescent="0.35">
      <c r="A3005" s="5">
        <v>45696</v>
      </c>
      <c r="B3005" s="3">
        <v>0.46019675925925924</v>
      </c>
      <c r="C3005" t="s">
        <v>8</v>
      </c>
      <c r="D3005" t="s">
        <v>1244</v>
      </c>
      <c r="E3005" s="4">
        <v>25.96</v>
      </c>
      <c r="F3005" t="s">
        <v>20</v>
      </c>
      <c r="G3005" s="10" t="str">
        <f>TEXT(Transform_Data[[#This Row],[Date]],"mmm yyyy")</f>
        <v>Feb 2025</v>
      </c>
      <c r="H3005" s="10">
        <f>HOUR(Transform_Data[[#This Row],[Time]])</f>
        <v>11</v>
      </c>
      <c r="I3005" s="10" t="str">
        <f>IF(COUNTIF('Transform Data'!$D:$D,'Transform Data'!D3005)&gt;1,"Repeat","Single")</f>
        <v>Repeat</v>
      </c>
      <c r="J3005" s="10" t="str">
        <f>IF('Transform Data'!D3005="Cash","Cash",IF(COUNTIF('Transform Data'!$D:$D,'Transform Data'!D3005)&gt;1,"Repeat","Single"))</f>
        <v>Repeat</v>
      </c>
      <c r="K3005" s="10" t="str">
        <f t="shared" si="46"/>
        <v>TRANS-3004</v>
      </c>
    </row>
    <row r="3006" spans="1:11" x14ac:dyDescent="0.35">
      <c r="A3006" s="5">
        <v>45696</v>
      </c>
      <c r="B3006" s="3">
        <v>0.48579861111111111</v>
      </c>
      <c r="C3006" t="s">
        <v>8</v>
      </c>
      <c r="D3006" t="s">
        <v>1245</v>
      </c>
      <c r="E3006" s="4">
        <v>25.96</v>
      </c>
      <c r="F3006" t="s">
        <v>28</v>
      </c>
      <c r="G3006" s="10" t="str">
        <f>TEXT(Transform_Data[[#This Row],[Date]],"mmm yyyy")</f>
        <v>Feb 2025</v>
      </c>
      <c r="H3006" s="10">
        <f>HOUR(Transform_Data[[#This Row],[Time]])</f>
        <v>11</v>
      </c>
      <c r="I3006" s="10" t="str">
        <f>IF(COUNTIF('Transform Data'!$D:$D,'Transform Data'!D3006)&gt;1,"Repeat","Single")</f>
        <v>Single</v>
      </c>
      <c r="J3006" s="10" t="str">
        <f>IF('Transform Data'!D3006="Cash","Cash",IF(COUNTIF('Transform Data'!$D:$D,'Transform Data'!D3006)&gt;1,"Repeat","Single"))</f>
        <v>Single</v>
      </c>
      <c r="K3006" s="10" t="str">
        <f t="shared" si="46"/>
        <v>TRANS-3005</v>
      </c>
    </row>
    <row r="3007" spans="1:11" x14ac:dyDescent="0.35">
      <c r="A3007" s="5">
        <v>45696</v>
      </c>
      <c r="B3007" s="3">
        <v>0.53208333333333335</v>
      </c>
      <c r="C3007" t="s">
        <v>8</v>
      </c>
      <c r="D3007" t="s">
        <v>1217</v>
      </c>
      <c r="E3007" s="4">
        <v>25.96</v>
      </c>
      <c r="F3007" t="s">
        <v>28</v>
      </c>
      <c r="G3007" s="10" t="str">
        <f>TEXT(Transform_Data[[#This Row],[Date]],"mmm yyyy")</f>
        <v>Feb 2025</v>
      </c>
      <c r="H3007" s="10">
        <f>HOUR(Transform_Data[[#This Row],[Time]])</f>
        <v>12</v>
      </c>
      <c r="I3007" s="10" t="str">
        <f>IF(COUNTIF('Transform Data'!$D:$D,'Transform Data'!D3007)&gt;1,"Repeat","Single")</f>
        <v>Repeat</v>
      </c>
      <c r="J3007" s="10" t="str">
        <f>IF('Transform Data'!D3007="Cash","Cash",IF(COUNTIF('Transform Data'!$D:$D,'Transform Data'!D3007)&gt;1,"Repeat","Single"))</f>
        <v>Repeat</v>
      </c>
      <c r="K3007" s="10" t="str">
        <f t="shared" si="46"/>
        <v>TRANS-3006</v>
      </c>
    </row>
    <row r="3008" spans="1:11" x14ac:dyDescent="0.35">
      <c r="A3008" s="5">
        <v>45696</v>
      </c>
      <c r="B3008" s="3">
        <v>0.56026620370370372</v>
      </c>
      <c r="C3008" t="s">
        <v>8</v>
      </c>
      <c r="D3008" t="s">
        <v>1220</v>
      </c>
      <c r="E3008" s="4">
        <v>25.96</v>
      </c>
      <c r="F3008" t="s">
        <v>28</v>
      </c>
      <c r="G3008" s="10" t="str">
        <f>TEXT(Transform_Data[[#This Row],[Date]],"mmm yyyy")</f>
        <v>Feb 2025</v>
      </c>
      <c r="H3008" s="10">
        <f>HOUR(Transform_Data[[#This Row],[Time]])</f>
        <v>13</v>
      </c>
      <c r="I3008" s="10" t="str">
        <f>IF(COUNTIF('Transform Data'!$D:$D,'Transform Data'!D3008)&gt;1,"Repeat","Single")</f>
        <v>Repeat</v>
      </c>
      <c r="J3008" s="10" t="str">
        <f>IF('Transform Data'!D3008="Cash","Cash",IF(COUNTIF('Transform Data'!$D:$D,'Transform Data'!D3008)&gt;1,"Repeat","Single"))</f>
        <v>Repeat</v>
      </c>
      <c r="K3008" s="10" t="str">
        <f t="shared" si="46"/>
        <v>TRANS-3007</v>
      </c>
    </row>
    <row r="3009" spans="1:11" x14ac:dyDescent="0.35">
      <c r="A3009" s="5">
        <v>45696</v>
      </c>
      <c r="B3009" s="3">
        <v>0.62990740740740736</v>
      </c>
      <c r="C3009" t="s">
        <v>8</v>
      </c>
      <c r="D3009" t="s">
        <v>6</v>
      </c>
      <c r="E3009" s="4">
        <v>25.96</v>
      </c>
      <c r="F3009" t="s">
        <v>28</v>
      </c>
      <c r="G3009" s="10" t="str">
        <f>TEXT(Transform_Data[[#This Row],[Date]],"mmm yyyy")</f>
        <v>Feb 2025</v>
      </c>
      <c r="H3009" s="10">
        <f>HOUR(Transform_Data[[#This Row],[Time]])</f>
        <v>15</v>
      </c>
      <c r="I3009" s="10" t="str">
        <f>IF(COUNTIF('Transform Data'!$D:$D,'Transform Data'!D3009)&gt;1,"Repeat","Single")</f>
        <v>Repeat</v>
      </c>
      <c r="J3009" s="10" t="str">
        <f>IF('Transform Data'!D3009="Cash","Cash",IF(COUNTIF('Transform Data'!$D:$D,'Transform Data'!D3009)&gt;1,"Repeat","Single"))</f>
        <v>Repeat</v>
      </c>
      <c r="K3009" s="10" t="str">
        <f t="shared" si="46"/>
        <v>TRANS-3008</v>
      </c>
    </row>
    <row r="3010" spans="1:11" x14ac:dyDescent="0.35">
      <c r="A3010" s="5">
        <v>45696</v>
      </c>
      <c r="B3010" s="3">
        <v>0.63065972222222222</v>
      </c>
      <c r="C3010" t="s">
        <v>8</v>
      </c>
      <c r="D3010" t="s">
        <v>6</v>
      </c>
      <c r="E3010" s="4">
        <v>25.96</v>
      </c>
      <c r="F3010" t="s">
        <v>28</v>
      </c>
      <c r="G3010" s="10" t="str">
        <f>TEXT(Transform_Data[[#This Row],[Date]],"mmm yyyy")</f>
        <v>Feb 2025</v>
      </c>
      <c r="H3010" s="10">
        <f>HOUR(Transform_Data[[#This Row],[Time]])</f>
        <v>15</v>
      </c>
      <c r="I3010" s="10" t="str">
        <f>IF(COUNTIF('Transform Data'!$D:$D,'Transform Data'!D3010)&gt;1,"Repeat","Single")</f>
        <v>Repeat</v>
      </c>
      <c r="J3010" s="10" t="str">
        <f>IF('Transform Data'!D3010="Cash","Cash",IF(COUNTIF('Transform Data'!$D:$D,'Transform Data'!D3010)&gt;1,"Repeat","Single"))</f>
        <v>Repeat</v>
      </c>
      <c r="K3010" s="10" t="str">
        <f t="shared" ref="K3010:K3073" si="47">"TRANS-"&amp;TEXT(ROW(A3009),"0000")</f>
        <v>TRANS-3009</v>
      </c>
    </row>
    <row r="3011" spans="1:11" x14ac:dyDescent="0.35">
      <c r="A3011" s="5">
        <v>45697</v>
      </c>
      <c r="B3011" s="3">
        <v>0.3676388888888889</v>
      </c>
      <c r="C3011" t="s">
        <v>8</v>
      </c>
      <c r="D3011" t="s">
        <v>1212</v>
      </c>
      <c r="E3011" s="4">
        <v>35.76</v>
      </c>
      <c r="F3011" t="s">
        <v>10</v>
      </c>
      <c r="G3011" s="10" t="str">
        <f>TEXT(Transform_Data[[#This Row],[Date]],"mmm yyyy")</f>
        <v>Feb 2025</v>
      </c>
      <c r="H3011" s="10">
        <f>HOUR(Transform_Data[[#This Row],[Time]])</f>
        <v>8</v>
      </c>
      <c r="I3011" s="10" t="str">
        <f>IF(COUNTIF('Transform Data'!$D:$D,'Transform Data'!D3011)&gt;1,"Repeat","Single")</f>
        <v>Repeat</v>
      </c>
      <c r="J3011" s="10" t="str">
        <f>IF('Transform Data'!D3011="Cash","Cash",IF(COUNTIF('Transform Data'!$D:$D,'Transform Data'!D3011)&gt;1,"Repeat","Single"))</f>
        <v>Repeat</v>
      </c>
      <c r="K3011" s="10" t="str">
        <f t="shared" si="47"/>
        <v>TRANS-3010</v>
      </c>
    </row>
    <row r="3012" spans="1:11" x14ac:dyDescent="0.35">
      <c r="A3012" s="5">
        <v>45697</v>
      </c>
      <c r="B3012" s="3">
        <v>0.43829861111111112</v>
      </c>
      <c r="C3012" t="s">
        <v>8</v>
      </c>
      <c r="D3012" t="s">
        <v>1208</v>
      </c>
      <c r="E3012" s="4">
        <v>30.86</v>
      </c>
      <c r="F3012" t="s">
        <v>36</v>
      </c>
      <c r="G3012" s="10" t="str">
        <f>TEXT(Transform_Data[[#This Row],[Date]],"mmm yyyy")</f>
        <v>Feb 2025</v>
      </c>
      <c r="H3012" s="10">
        <f>HOUR(Transform_Data[[#This Row],[Time]])</f>
        <v>10</v>
      </c>
      <c r="I3012" s="10" t="str">
        <f>IF(COUNTIF('Transform Data'!$D:$D,'Transform Data'!D3012)&gt;1,"Repeat","Single")</f>
        <v>Repeat</v>
      </c>
      <c r="J3012" s="10" t="str">
        <f>IF('Transform Data'!D3012="Cash","Cash",IF(COUNTIF('Transform Data'!$D:$D,'Transform Data'!D3012)&gt;1,"Repeat","Single"))</f>
        <v>Repeat</v>
      </c>
      <c r="K3012" s="10" t="str">
        <f t="shared" si="47"/>
        <v>TRANS-3011</v>
      </c>
    </row>
    <row r="3013" spans="1:11" x14ac:dyDescent="0.35">
      <c r="A3013" s="5">
        <v>45697</v>
      </c>
      <c r="B3013" s="3">
        <v>0.45240740740740742</v>
      </c>
      <c r="C3013" t="s">
        <v>8</v>
      </c>
      <c r="D3013" t="s">
        <v>33</v>
      </c>
      <c r="E3013" s="4">
        <v>25.96</v>
      </c>
      <c r="F3013" t="s">
        <v>28</v>
      </c>
      <c r="G3013" s="10" t="str">
        <f>TEXT(Transform_Data[[#This Row],[Date]],"mmm yyyy")</f>
        <v>Feb 2025</v>
      </c>
      <c r="H3013" s="10">
        <f>HOUR(Transform_Data[[#This Row],[Time]])</f>
        <v>10</v>
      </c>
      <c r="I3013" s="10" t="str">
        <f>IF(COUNTIF('Transform Data'!$D:$D,'Transform Data'!D3013)&gt;1,"Repeat","Single")</f>
        <v>Repeat</v>
      </c>
      <c r="J3013" s="10" t="str">
        <f>IF('Transform Data'!D3013="Cash","Cash",IF(COUNTIF('Transform Data'!$D:$D,'Transform Data'!D3013)&gt;1,"Repeat","Single"))</f>
        <v>Repeat</v>
      </c>
      <c r="K3013" s="10" t="str">
        <f t="shared" si="47"/>
        <v>TRANS-3012</v>
      </c>
    </row>
    <row r="3014" spans="1:11" x14ac:dyDescent="0.35">
      <c r="A3014" s="5">
        <v>45697</v>
      </c>
      <c r="B3014" s="3">
        <v>0.50353009259259263</v>
      </c>
      <c r="C3014" t="s">
        <v>8</v>
      </c>
      <c r="D3014" t="s">
        <v>1246</v>
      </c>
      <c r="E3014" s="4">
        <v>35.76</v>
      </c>
      <c r="F3014" t="s">
        <v>32</v>
      </c>
      <c r="G3014" s="10" t="str">
        <f>TEXT(Transform_Data[[#This Row],[Date]],"mmm yyyy")</f>
        <v>Feb 2025</v>
      </c>
      <c r="H3014" s="10">
        <f>HOUR(Transform_Data[[#This Row],[Time]])</f>
        <v>12</v>
      </c>
      <c r="I3014" s="10" t="str">
        <f>IF(COUNTIF('Transform Data'!$D:$D,'Transform Data'!D3014)&gt;1,"Repeat","Single")</f>
        <v>Repeat</v>
      </c>
      <c r="J3014" s="10" t="str">
        <f>IF('Transform Data'!D3014="Cash","Cash",IF(COUNTIF('Transform Data'!$D:$D,'Transform Data'!D3014)&gt;1,"Repeat","Single"))</f>
        <v>Repeat</v>
      </c>
      <c r="K3014" s="10" t="str">
        <f t="shared" si="47"/>
        <v>TRANS-3013</v>
      </c>
    </row>
    <row r="3015" spans="1:11" x14ac:dyDescent="0.35">
      <c r="A3015" s="5">
        <v>45697</v>
      </c>
      <c r="B3015" s="3">
        <v>0.63413194444444443</v>
      </c>
      <c r="C3015" t="s">
        <v>8</v>
      </c>
      <c r="D3015" t="s">
        <v>1239</v>
      </c>
      <c r="E3015" s="4">
        <v>35.76</v>
      </c>
      <c r="F3015" t="s">
        <v>10</v>
      </c>
      <c r="G3015" s="10" t="str">
        <f>TEXT(Transform_Data[[#This Row],[Date]],"mmm yyyy")</f>
        <v>Feb 2025</v>
      </c>
      <c r="H3015" s="10">
        <f>HOUR(Transform_Data[[#This Row],[Time]])</f>
        <v>15</v>
      </c>
      <c r="I3015" s="10" t="str">
        <f>IF(COUNTIF('Transform Data'!$D:$D,'Transform Data'!D3015)&gt;1,"Repeat","Single")</f>
        <v>Repeat</v>
      </c>
      <c r="J3015" s="10" t="str">
        <f>IF('Transform Data'!D3015="Cash","Cash",IF(COUNTIF('Transform Data'!$D:$D,'Transform Data'!D3015)&gt;1,"Repeat","Single"))</f>
        <v>Repeat</v>
      </c>
      <c r="K3015" s="10" t="str">
        <f t="shared" si="47"/>
        <v>TRANS-3014</v>
      </c>
    </row>
    <row r="3016" spans="1:11" x14ac:dyDescent="0.35">
      <c r="A3016" s="5">
        <v>45697</v>
      </c>
      <c r="B3016" s="3">
        <v>0.63474537037037038</v>
      </c>
      <c r="C3016" t="s">
        <v>8</v>
      </c>
      <c r="D3016" t="s">
        <v>1239</v>
      </c>
      <c r="E3016" s="4">
        <v>35.76</v>
      </c>
      <c r="F3016" t="s">
        <v>32</v>
      </c>
      <c r="G3016" s="10" t="str">
        <f>TEXT(Transform_Data[[#This Row],[Date]],"mmm yyyy")</f>
        <v>Feb 2025</v>
      </c>
      <c r="H3016" s="10">
        <f>HOUR(Transform_Data[[#This Row],[Time]])</f>
        <v>15</v>
      </c>
      <c r="I3016" s="10" t="str">
        <f>IF(COUNTIF('Transform Data'!$D:$D,'Transform Data'!D3016)&gt;1,"Repeat","Single")</f>
        <v>Repeat</v>
      </c>
      <c r="J3016" s="10" t="str">
        <f>IF('Transform Data'!D3016="Cash","Cash",IF(COUNTIF('Transform Data'!$D:$D,'Transform Data'!D3016)&gt;1,"Repeat","Single"))</f>
        <v>Repeat</v>
      </c>
      <c r="K3016" s="10" t="str">
        <f t="shared" si="47"/>
        <v>TRANS-3015</v>
      </c>
    </row>
    <row r="3017" spans="1:11" x14ac:dyDescent="0.35">
      <c r="A3017" s="5">
        <v>45697</v>
      </c>
      <c r="B3017" s="3">
        <v>0.63607638888888884</v>
      </c>
      <c r="C3017" t="s">
        <v>8</v>
      </c>
      <c r="D3017" t="s">
        <v>1228</v>
      </c>
      <c r="E3017" s="4">
        <v>35.76</v>
      </c>
      <c r="F3017" t="s">
        <v>15</v>
      </c>
      <c r="G3017" s="10" t="str">
        <f>TEXT(Transform_Data[[#This Row],[Date]],"mmm yyyy")</f>
        <v>Feb 2025</v>
      </c>
      <c r="H3017" s="10">
        <f>HOUR(Transform_Data[[#This Row],[Time]])</f>
        <v>15</v>
      </c>
      <c r="I3017" s="10" t="str">
        <f>IF(COUNTIF('Transform Data'!$D:$D,'Transform Data'!D3017)&gt;1,"Repeat","Single")</f>
        <v>Repeat</v>
      </c>
      <c r="J3017" s="10" t="str">
        <f>IF('Transform Data'!D3017="Cash","Cash",IF(COUNTIF('Transform Data'!$D:$D,'Transform Data'!D3017)&gt;1,"Repeat","Single"))</f>
        <v>Repeat</v>
      </c>
      <c r="K3017" s="10" t="str">
        <f t="shared" si="47"/>
        <v>TRANS-3016</v>
      </c>
    </row>
    <row r="3018" spans="1:11" x14ac:dyDescent="0.35">
      <c r="A3018" s="5">
        <v>45697</v>
      </c>
      <c r="B3018" s="3">
        <v>0.63671296296296298</v>
      </c>
      <c r="C3018" t="s">
        <v>8</v>
      </c>
      <c r="D3018" t="s">
        <v>1229</v>
      </c>
      <c r="E3018" s="4">
        <v>35.76</v>
      </c>
      <c r="F3018" t="s">
        <v>10</v>
      </c>
      <c r="G3018" s="10" t="str">
        <f>TEXT(Transform_Data[[#This Row],[Date]],"mmm yyyy")</f>
        <v>Feb 2025</v>
      </c>
      <c r="H3018" s="10">
        <f>HOUR(Transform_Data[[#This Row],[Time]])</f>
        <v>15</v>
      </c>
      <c r="I3018" s="10" t="str">
        <f>IF(COUNTIF('Transform Data'!$D:$D,'Transform Data'!D3018)&gt;1,"Repeat","Single")</f>
        <v>Repeat</v>
      </c>
      <c r="J3018" s="10" t="str">
        <f>IF('Transform Data'!D3018="Cash","Cash",IF(COUNTIF('Transform Data'!$D:$D,'Transform Data'!D3018)&gt;1,"Repeat","Single"))</f>
        <v>Repeat</v>
      </c>
      <c r="K3018" s="10" t="str">
        <f t="shared" si="47"/>
        <v>TRANS-3017</v>
      </c>
    </row>
    <row r="3019" spans="1:11" x14ac:dyDescent="0.35">
      <c r="A3019" s="5">
        <v>45697</v>
      </c>
      <c r="B3019" s="3">
        <v>0.68076388888888884</v>
      </c>
      <c r="C3019" t="s">
        <v>8</v>
      </c>
      <c r="D3019" t="s">
        <v>1212</v>
      </c>
      <c r="E3019" s="4">
        <v>25.96</v>
      </c>
      <c r="F3019" t="s">
        <v>20</v>
      </c>
      <c r="G3019" s="10" t="str">
        <f>TEXT(Transform_Data[[#This Row],[Date]],"mmm yyyy")</f>
        <v>Feb 2025</v>
      </c>
      <c r="H3019" s="10">
        <f>HOUR(Transform_Data[[#This Row],[Time]])</f>
        <v>16</v>
      </c>
      <c r="I3019" s="10" t="str">
        <f>IF(COUNTIF('Transform Data'!$D:$D,'Transform Data'!D3019)&gt;1,"Repeat","Single")</f>
        <v>Repeat</v>
      </c>
      <c r="J3019" s="10" t="str">
        <f>IF('Transform Data'!D3019="Cash","Cash",IF(COUNTIF('Transform Data'!$D:$D,'Transform Data'!D3019)&gt;1,"Repeat","Single"))</f>
        <v>Repeat</v>
      </c>
      <c r="K3019" s="10" t="str">
        <f t="shared" si="47"/>
        <v>TRANS-3018</v>
      </c>
    </row>
    <row r="3020" spans="1:11" x14ac:dyDescent="0.35">
      <c r="A3020" s="5">
        <v>45698</v>
      </c>
      <c r="B3020" s="3">
        <v>0.29289351851851853</v>
      </c>
      <c r="C3020" t="s">
        <v>8</v>
      </c>
      <c r="D3020" t="s">
        <v>1203</v>
      </c>
      <c r="E3020" s="4">
        <v>25.96</v>
      </c>
      <c r="F3020" t="s">
        <v>28</v>
      </c>
      <c r="G3020" s="10" t="str">
        <f>TEXT(Transform_Data[[#This Row],[Date]],"mmm yyyy")</f>
        <v>Feb 2025</v>
      </c>
      <c r="H3020" s="10">
        <f>HOUR(Transform_Data[[#This Row],[Time]])</f>
        <v>7</v>
      </c>
      <c r="I3020" s="10" t="str">
        <f>IF(COUNTIF('Transform Data'!$D:$D,'Transform Data'!D3020)&gt;1,"Repeat","Single")</f>
        <v>Repeat</v>
      </c>
      <c r="J3020" s="10" t="str">
        <f>IF('Transform Data'!D3020="Cash","Cash",IF(COUNTIF('Transform Data'!$D:$D,'Transform Data'!D3020)&gt;1,"Repeat","Single"))</f>
        <v>Repeat</v>
      </c>
      <c r="K3020" s="10" t="str">
        <f t="shared" si="47"/>
        <v>TRANS-3019</v>
      </c>
    </row>
    <row r="3021" spans="1:11" x14ac:dyDescent="0.35">
      <c r="A3021" s="5">
        <v>45698</v>
      </c>
      <c r="B3021" s="3">
        <v>0.3448148148148148</v>
      </c>
      <c r="C3021" t="s">
        <v>8</v>
      </c>
      <c r="D3021" t="s">
        <v>6</v>
      </c>
      <c r="E3021" s="4">
        <v>25.96</v>
      </c>
      <c r="F3021" t="s">
        <v>28</v>
      </c>
      <c r="G3021" s="10" t="str">
        <f>TEXT(Transform_Data[[#This Row],[Date]],"mmm yyyy")</f>
        <v>Feb 2025</v>
      </c>
      <c r="H3021" s="10">
        <f>HOUR(Transform_Data[[#This Row],[Time]])</f>
        <v>8</v>
      </c>
      <c r="I3021" s="10" t="str">
        <f>IF(COUNTIF('Transform Data'!$D:$D,'Transform Data'!D3021)&gt;1,"Repeat","Single")</f>
        <v>Repeat</v>
      </c>
      <c r="J3021" s="10" t="str">
        <f>IF('Transform Data'!D3021="Cash","Cash",IF(COUNTIF('Transform Data'!$D:$D,'Transform Data'!D3021)&gt;1,"Repeat","Single"))</f>
        <v>Repeat</v>
      </c>
      <c r="K3021" s="10" t="str">
        <f t="shared" si="47"/>
        <v>TRANS-3020</v>
      </c>
    </row>
    <row r="3022" spans="1:11" x14ac:dyDescent="0.35">
      <c r="A3022" s="5">
        <v>45698</v>
      </c>
      <c r="B3022" s="3">
        <v>0.35064814814814815</v>
      </c>
      <c r="C3022" t="s">
        <v>8</v>
      </c>
      <c r="D3022" t="s">
        <v>1203</v>
      </c>
      <c r="E3022" s="4">
        <v>25.96</v>
      </c>
      <c r="F3022" t="s">
        <v>28</v>
      </c>
      <c r="G3022" s="10" t="str">
        <f>TEXT(Transform_Data[[#This Row],[Date]],"mmm yyyy")</f>
        <v>Feb 2025</v>
      </c>
      <c r="H3022" s="10">
        <f>HOUR(Transform_Data[[#This Row],[Time]])</f>
        <v>8</v>
      </c>
      <c r="I3022" s="10" t="str">
        <f>IF(COUNTIF('Transform Data'!$D:$D,'Transform Data'!D3022)&gt;1,"Repeat","Single")</f>
        <v>Repeat</v>
      </c>
      <c r="J3022" s="10" t="str">
        <f>IF('Transform Data'!D3022="Cash","Cash",IF(COUNTIF('Transform Data'!$D:$D,'Transform Data'!D3022)&gt;1,"Repeat","Single"))</f>
        <v>Repeat</v>
      </c>
      <c r="K3022" s="10" t="str">
        <f t="shared" si="47"/>
        <v>TRANS-3021</v>
      </c>
    </row>
    <row r="3023" spans="1:11" x14ac:dyDescent="0.35">
      <c r="A3023" s="5">
        <v>45698</v>
      </c>
      <c r="B3023" s="3">
        <v>0.4664699074074074</v>
      </c>
      <c r="C3023" t="s">
        <v>8</v>
      </c>
      <c r="D3023" t="s">
        <v>1204</v>
      </c>
      <c r="E3023" s="4">
        <v>30.86</v>
      </c>
      <c r="F3023" t="s">
        <v>36</v>
      </c>
      <c r="G3023" s="10" t="str">
        <f>TEXT(Transform_Data[[#This Row],[Date]],"mmm yyyy")</f>
        <v>Feb 2025</v>
      </c>
      <c r="H3023" s="10">
        <f>HOUR(Transform_Data[[#This Row],[Time]])</f>
        <v>11</v>
      </c>
      <c r="I3023" s="10" t="str">
        <f>IF(COUNTIF('Transform Data'!$D:$D,'Transform Data'!D3023)&gt;1,"Repeat","Single")</f>
        <v>Repeat</v>
      </c>
      <c r="J3023" s="10" t="str">
        <f>IF('Transform Data'!D3023="Cash","Cash",IF(COUNTIF('Transform Data'!$D:$D,'Transform Data'!D3023)&gt;1,"Repeat","Single"))</f>
        <v>Repeat</v>
      </c>
      <c r="K3023" s="10" t="str">
        <f t="shared" si="47"/>
        <v>TRANS-3022</v>
      </c>
    </row>
    <row r="3024" spans="1:11" x14ac:dyDescent="0.35">
      <c r="A3024" s="5">
        <v>45698</v>
      </c>
      <c r="B3024" s="3">
        <v>0.54780092592592589</v>
      </c>
      <c r="C3024" t="s">
        <v>8</v>
      </c>
      <c r="D3024" t="s">
        <v>1217</v>
      </c>
      <c r="E3024" s="4">
        <v>25.96</v>
      </c>
      <c r="F3024" t="s">
        <v>28</v>
      </c>
      <c r="G3024" s="10" t="str">
        <f>TEXT(Transform_Data[[#This Row],[Date]],"mmm yyyy")</f>
        <v>Feb 2025</v>
      </c>
      <c r="H3024" s="10">
        <f>HOUR(Transform_Data[[#This Row],[Time]])</f>
        <v>13</v>
      </c>
      <c r="I3024" s="10" t="str">
        <f>IF(COUNTIF('Transform Data'!$D:$D,'Transform Data'!D3024)&gt;1,"Repeat","Single")</f>
        <v>Repeat</v>
      </c>
      <c r="J3024" s="10" t="str">
        <f>IF('Transform Data'!D3024="Cash","Cash",IF(COUNTIF('Transform Data'!$D:$D,'Transform Data'!D3024)&gt;1,"Repeat","Single"))</f>
        <v>Repeat</v>
      </c>
      <c r="K3024" s="10" t="str">
        <f t="shared" si="47"/>
        <v>TRANS-3023</v>
      </c>
    </row>
    <row r="3025" spans="1:11" x14ac:dyDescent="0.35">
      <c r="A3025" s="5">
        <v>45698</v>
      </c>
      <c r="B3025" s="3">
        <v>0.54936342592592591</v>
      </c>
      <c r="C3025" t="s">
        <v>8</v>
      </c>
      <c r="D3025" t="s">
        <v>1218</v>
      </c>
      <c r="E3025" s="4">
        <v>35.76</v>
      </c>
      <c r="F3025" t="s">
        <v>10</v>
      </c>
      <c r="G3025" s="10" t="str">
        <f>TEXT(Transform_Data[[#This Row],[Date]],"mmm yyyy")</f>
        <v>Feb 2025</v>
      </c>
      <c r="H3025" s="10">
        <f>HOUR(Transform_Data[[#This Row],[Time]])</f>
        <v>13</v>
      </c>
      <c r="I3025" s="10" t="str">
        <f>IF(COUNTIF('Transform Data'!$D:$D,'Transform Data'!D3025)&gt;1,"Repeat","Single")</f>
        <v>Repeat</v>
      </c>
      <c r="J3025" s="10" t="str">
        <f>IF('Transform Data'!D3025="Cash","Cash",IF(COUNTIF('Transform Data'!$D:$D,'Transform Data'!D3025)&gt;1,"Repeat","Single"))</f>
        <v>Repeat</v>
      </c>
      <c r="K3025" s="10" t="str">
        <f t="shared" si="47"/>
        <v>TRANS-3024</v>
      </c>
    </row>
    <row r="3026" spans="1:11" x14ac:dyDescent="0.35">
      <c r="A3026" s="5">
        <v>45698</v>
      </c>
      <c r="B3026" s="3">
        <v>0.56034722222222222</v>
      </c>
      <c r="C3026" t="s">
        <v>8</v>
      </c>
      <c r="D3026" t="s">
        <v>1247</v>
      </c>
      <c r="E3026" s="4">
        <v>30.86</v>
      </c>
      <c r="F3026" t="s">
        <v>36</v>
      </c>
      <c r="G3026" s="10" t="str">
        <f>TEXT(Transform_Data[[#This Row],[Date]],"mmm yyyy")</f>
        <v>Feb 2025</v>
      </c>
      <c r="H3026" s="10">
        <f>HOUR(Transform_Data[[#This Row],[Time]])</f>
        <v>13</v>
      </c>
      <c r="I3026" s="10" t="str">
        <f>IF(COUNTIF('Transform Data'!$D:$D,'Transform Data'!D3026)&gt;1,"Repeat","Single")</f>
        <v>Single</v>
      </c>
      <c r="J3026" s="10" t="str">
        <f>IF('Transform Data'!D3026="Cash","Cash",IF(COUNTIF('Transform Data'!$D:$D,'Transform Data'!D3026)&gt;1,"Repeat","Single"))</f>
        <v>Single</v>
      </c>
      <c r="K3026" s="10" t="str">
        <f t="shared" si="47"/>
        <v>TRANS-3025</v>
      </c>
    </row>
    <row r="3027" spans="1:11" x14ac:dyDescent="0.35">
      <c r="A3027" s="5">
        <v>45698</v>
      </c>
      <c r="B3027" s="3">
        <v>0.56959490740740737</v>
      </c>
      <c r="C3027" t="s">
        <v>8</v>
      </c>
      <c r="D3027" t="s">
        <v>1248</v>
      </c>
      <c r="E3027" s="4">
        <v>25.96</v>
      </c>
      <c r="F3027" t="s">
        <v>28</v>
      </c>
      <c r="G3027" s="10" t="str">
        <f>TEXT(Transform_Data[[#This Row],[Date]],"mmm yyyy")</f>
        <v>Feb 2025</v>
      </c>
      <c r="H3027" s="10">
        <f>HOUR(Transform_Data[[#This Row],[Time]])</f>
        <v>13</v>
      </c>
      <c r="I3027" s="10" t="str">
        <f>IF(COUNTIF('Transform Data'!$D:$D,'Transform Data'!D3027)&gt;1,"Repeat","Single")</f>
        <v>Repeat</v>
      </c>
      <c r="J3027" s="10" t="str">
        <f>IF('Transform Data'!D3027="Cash","Cash",IF(COUNTIF('Transform Data'!$D:$D,'Transform Data'!D3027)&gt;1,"Repeat","Single"))</f>
        <v>Repeat</v>
      </c>
      <c r="K3027" s="10" t="str">
        <f t="shared" si="47"/>
        <v>TRANS-3026</v>
      </c>
    </row>
    <row r="3028" spans="1:11" x14ac:dyDescent="0.35">
      <c r="A3028" s="5">
        <v>45698</v>
      </c>
      <c r="B3028" s="3">
        <v>0.58462962962962961</v>
      </c>
      <c r="C3028" t="s">
        <v>8</v>
      </c>
      <c r="D3028" t="s">
        <v>1249</v>
      </c>
      <c r="E3028" s="4">
        <v>35.76</v>
      </c>
      <c r="F3028" t="s">
        <v>32</v>
      </c>
      <c r="G3028" s="10" t="str">
        <f>TEXT(Transform_Data[[#This Row],[Date]],"mmm yyyy")</f>
        <v>Feb 2025</v>
      </c>
      <c r="H3028" s="10">
        <f>HOUR(Transform_Data[[#This Row],[Time]])</f>
        <v>14</v>
      </c>
      <c r="I3028" s="10" t="str">
        <f>IF(COUNTIF('Transform Data'!$D:$D,'Transform Data'!D3028)&gt;1,"Repeat","Single")</f>
        <v>Repeat</v>
      </c>
      <c r="J3028" s="10" t="str">
        <f>IF('Transform Data'!D3028="Cash","Cash",IF(COUNTIF('Transform Data'!$D:$D,'Transform Data'!D3028)&gt;1,"Repeat","Single"))</f>
        <v>Repeat</v>
      </c>
      <c r="K3028" s="10" t="str">
        <f t="shared" si="47"/>
        <v>TRANS-3027</v>
      </c>
    </row>
    <row r="3029" spans="1:11" x14ac:dyDescent="0.35">
      <c r="A3029" s="5">
        <v>45698</v>
      </c>
      <c r="B3029" s="3">
        <v>0.5886689814814815</v>
      </c>
      <c r="C3029" t="s">
        <v>8</v>
      </c>
      <c r="D3029" t="s">
        <v>33</v>
      </c>
      <c r="E3029" s="4">
        <v>25.96</v>
      </c>
      <c r="F3029" t="s">
        <v>28</v>
      </c>
      <c r="G3029" s="10" t="str">
        <f>TEXT(Transform_Data[[#This Row],[Date]],"mmm yyyy")</f>
        <v>Feb 2025</v>
      </c>
      <c r="H3029" s="10">
        <f>HOUR(Transform_Data[[#This Row],[Time]])</f>
        <v>14</v>
      </c>
      <c r="I3029" s="10" t="str">
        <f>IF(COUNTIF('Transform Data'!$D:$D,'Transform Data'!D3029)&gt;1,"Repeat","Single")</f>
        <v>Repeat</v>
      </c>
      <c r="J3029" s="10" t="str">
        <f>IF('Transform Data'!D3029="Cash","Cash",IF(COUNTIF('Transform Data'!$D:$D,'Transform Data'!D3029)&gt;1,"Repeat","Single"))</f>
        <v>Repeat</v>
      </c>
      <c r="K3029" s="10" t="str">
        <f t="shared" si="47"/>
        <v>TRANS-3028</v>
      </c>
    </row>
    <row r="3030" spans="1:11" x14ac:dyDescent="0.35">
      <c r="A3030" s="5">
        <v>45698</v>
      </c>
      <c r="B3030" s="3">
        <v>0.59150462962962957</v>
      </c>
      <c r="C3030" t="s">
        <v>8</v>
      </c>
      <c r="D3030" t="s">
        <v>33</v>
      </c>
      <c r="E3030" s="4">
        <v>35.76</v>
      </c>
      <c r="F3030" t="s">
        <v>10</v>
      </c>
      <c r="G3030" s="10" t="str">
        <f>TEXT(Transform_Data[[#This Row],[Date]],"mmm yyyy")</f>
        <v>Feb 2025</v>
      </c>
      <c r="H3030" s="10">
        <f>HOUR(Transform_Data[[#This Row],[Time]])</f>
        <v>14</v>
      </c>
      <c r="I3030" s="10" t="str">
        <f>IF(COUNTIF('Transform Data'!$D:$D,'Transform Data'!D3030)&gt;1,"Repeat","Single")</f>
        <v>Repeat</v>
      </c>
      <c r="J3030" s="10" t="str">
        <f>IF('Transform Data'!D3030="Cash","Cash",IF(COUNTIF('Transform Data'!$D:$D,'Transform Data'!D3030)&gt;1,"Repeat","Single"))</f>
        <v>Repeat</v>
      </c>
      <c r="K3030" s="10" t="str">
        <f t="shared" si="47"/>
        <v>TRANS-3029</v>
      </c>
    </row>
    <row r="3031" spans="1:11" x14ac:dyDescent="0.35">
      <c r="A3031" s="5">
        <v>45698</v>
      </c>
      <c r="B3031" s="3">
        <v>0.59425925925925926</v>
      </c>
      <c r="C3031" t="s">
        <v>8</v>
      </c>
      <c r="D3031" t="s">
        <v>33</v>
      </c>
      <c r="E3031" s="4">
        <v>35.76</v>
      </c>
      <c r="F3031" t="s">
        <v>10</v>
      </c>
      <c r="G3031" s="10" t="str">
        <f>TEXT(Transform_Data[[#This Row],[Date]],"mmm yyyy")</f>
        <v>Feb 2025</v>
      </c>
      <c r="H3031" s="10">
        <f>HOUR(Transform_Data[[#This Row],[Time]])</f>
        <v>14</v>
      </c>
      <c r="I3031" s="10" t="str">
        <f>IF(COUNTIF('Transform Data'!$D:$D,'Transform Data'!D3031)&gt;1,"Repeat","Single")</f>
        <v>Repeat</v>
      </c>
      <c r="J3031" s="10" t="str">
        <f>IF('Transform Data'!D3031="Cash","Cash",IF(COUNTIF('Transform Data'!$D:$D,'Transform Data'!D3031)&gt;1,"Repeat","Single"))</f>
        <v>Repeat</v>
      </c>
      <c r="K3031" s="10" t="str">
        <f t="shared" si="47"/>
        <v>TRANS-3030</v>
      </c>
    </row>
    <row r="3032" spans="1:11" x14ac:dyDescent="0.35">
      <c r="A3032" s="5">
        <v>45698</v>
      </c>
      <c r="B3032" s="3">
        <v>0.62631944444444443</v>
      </c>
      <c r="C3032" t="s">
        <v>8</v>
      </c>
      <c r="D3032" t="s">
        <v>1250</v>
      </c>
      <c r="E3032" s="4">
        <v>35.76</v>
      </c>
      <c r="F3032" t="s">
        <v>24</v>
      </c>
      <c r="G3032" s="10" t="str">
        <f>TEXT(Transform_Data[[#This Row],[Date]],"mmm yyyy")</f>
        <v>Feb 2025</v>
      </c>
      <c r="H3032" s="10">
        <f>HOUR(Transform_Data[[#This Row],[Time]])</f>
        <v>15</v>
      </c>
      <c r="I3032" s="10" t="str">
        <f>IF(COUNTIF('Transform Data'!$D:$D,'Transform Data'!D3032)&gt;1,"Repeat","Single")</f>
        <v>Repeat</v>
      </c>
      <c r="J3032" s="10" t="str">
        <f>IF('Transform Data'!D3032="Cash","Cash",IF(COUNTIF('Transform Data'!$D:$D,'Transform Data'!D3032)&gt;1,"Repeat","Single"))</f>
        <v>Repeat</v>
      </c>
      <c r="K3032" s="10" t="str">
        <f t="shared" si="47"/>
        <v>TRANS-3031</v>
      </c>
    </row>
    <row r="3033" spans="1:11" x14ac:dyDescent="0.35">
      <c r="A3033" s="5">
        <v>45698</v>
      </c>
      <c r="B3033" s="3">
        <v>0.63473379629629634</v>
      </c>
      <c r="C3033" t="s">
        <v>8</v>
      </c>
      <c r="D3033" t="s">
        <v>1216</v>
      </c>
      <c r="E3033" s="4">
        <v>30.86</v>
      </c>
      <c r="F3033" t="s">
        <v>36</v>
      </c>
      <c r="G3033" s="10" t="str">
        <f>TEXT(Transform_Data[[#This Row],[Date]],"mmm yyyy")</f>
        <v>Feb 2025</v>
      </c>
      <c r="H3033" s="10">
        <f>HOUR(Transform_Data[[#This Row],[Time]])</f>
        <v>15</v>
      </c>
      <c r="I3033" s="10" t="str">
        <f>IF(COUNTIF('Transform Data'!$D:$D,'Transform Data'!D3033)&gt;1,"Repeat","Single")</f>
        <v>Repeat</v>
      </c>
      <c r="J3033" s="10" t="str">
        <f>IF('Transform Data'!D3033="Cash","Cash",IF(COUNTIF('Transform Data'!$D:$D,'Transform Data'!D3033)&gt;1,"Repeat","Single"))</f>
        <v>Repeat</v>
      </c>
      <c r="K3033" s="10" t="str">
        <f t="shared" si="47"/>
        <v>TRANS-3032</v>
      </c>
    </row>
    <row r="3034" spans="1:11" x14ac:dyDescent="0.35">
      <c r="A3034" s="5">
        <v>45698</v>
      </c>
      <c r="B3034" s="3">
        <v>0.65696759259259263</v>
      </c>
      <c r="C3034" t="s">
        <v>8</v>
      </c>
      <c r="D3034" t="s">
        <v>1241</v>
      </c>
      <c r="E3034" s="4">
        <v>35.76</v>
      </c>
      <c r="F3034" t="s">
        <v>32</v>
      </c>
      <c r="G3034" s="10" t="str">
        <f>TEXT(Transform_Data[[#This Row],[Date]],"mmm yyyy")</f>
        <v>Feb 2025</v>
      </c>
      <c r="H3034" s="10">
        <f>HOUR(Transform_Data[[#This Row],[Time]])</f>
        <v>15</v>
      </c>
      <c r="I3034" s="10" t="str">
        <f>IF(COUNTIF('Transform Data'!$D:$D,'Transform Data'!D3034)&gt;1,"Repeat","Single")</f>
        <v>Repeat</v>
      </c>
      <c r="J3034" s="10" t="str">
        <f>IF('Transform Data'!D3034="Cash","Cash",IF(COUNTIF('Transform Data'!$D:$D,'Transform Data'!D3034)&gt;1,"Repeat","Single"))</f>
        <v>Repeat</v>
      </c>
      <c r="K3034" s="10" t="str">
        <f t="shared" si="47"/>
        <v>TRANS-3033</v>
      </c>
    </row>
    <row r="3035" spans="1:11" x14ac:dyDescent="0.35">
      <c r="A3035" s="5">
        <v>45698</v>
      </c>
      <c r="B3035" s="3">
        <v>0.65814814814814815</v>
      </c>
      <c r="C3035" t="s">
        <v>8</v>
      </c>
      <c r="D3035" t="s">
        <v>1215</v>
      </c>
      <c r="E3035" s="4">
        <v>35.76</v>
      </c>
      <c r="F3035" t="s">
        <v>15</v>
      </c>
      <c r="G3035" s="10" t="str">
        <f>TEXT(Transform_Data[[#This Row],[Date]],"mmm yyyy")</f>
        <v>Feb 2025</v>
      </c>
      <c r="H3035" s="10">
        <f>HOUR(Transform_Data[[#This Row],[Time]])</f>
        <v>15</v>
      </c>
      <c r="I3035" s="10" t="str">
        <f>IF(COUNTIF('Transform Data'!$D:$D,'Transform Data'!D3035)&gt;1,"Repeat","Single")</f>
        <v>Repeat</v>
      </c>
      <c r="J3035" s="10" t="str">
        <f>IF('Transform Data'!D3035="Cash","Cash",IF(COUNTIF('Transform Data'!$D:$D,'Transform Data'!D3035)&gt;1,"Repeat","Single"))</f>
        <v>Repeat</v>
      </c>
      <c r="K3035" s="10" t="str">
        <f t="shared" si="47"/>
        <v>TRANS-3034</v>
      </c>
    </row>
    <row r="3036" spans="1:11" x14ac:dyDescent="0.35">
      <c r="A3036" s="5">
        <v>45698</v>
      </c>
      <c r="B3036" s="3">
        <v>0.68119212962962961</v>
      </c>
      <c r="C3036" t="s">
        <v>8</v>
      </c>
      <c r="D3036" t="s">
        <v>1220</v>
      </c>
      <c r="E3036" s="4">
        <v>35.76</v>
      </c>
      <c r="F3036" t="s">
        <v>10</v>
      </c>
      <c r="G3036" s="10" t="str">
        <f>TEXT(Transform_Data[[#This Row],[Date]],"mmm yyyy")</f>
        <v>Feb 2025</v>
      </c>
      <c r="H3036" s="10">
        <f>HOUR(Transform_Data[[#This Row],[Time]])</f>
        <v>16</v>
      </c>
      <c r="I3036" s="10" t="str">
        <f>IF(COUNTIF('Transform Data'!$D:$D,'Transform Data'!D3036)&gt;1,"Repeat","Single")</f>
        <v>Repeat</v>
      </c>
      <c r="J3036" s="10" t="str">
        <f>IF('Transform Data'!D3036="Cash","Cash",IF(COUNTIF('Transform Data'!$D:$D,'Transform Data'!D3036)&gt;1,"Repeat","Single"))</f>
        <v>Repeat</v>
      </c>
      <c r="K3036" s="10" t="str">
        <f t="shared" si="47"/>
        <v>TRANS-3035</v>
      </c>
    </row>
    <row r="3037" spans="1:11" x14ac:dyDescent="0.35">
      <c r="A3037" s="5">
        <v>45698</v>
      </c>
      <c r="B3037" s="3">
        <v>0.71668981481481486</v>
      </c>
      <c r="C3037" t="s">
        <v>8</v>
      </c>
      <c r="D3037" t="s">
        <v>930</v>
      </c>
      <c r="E3037" s="4">
        <v>25.96</v>
      </c>
      <c r="F3037" t="s">
        <v>28</v>
      </c>
      <c r="G3037" s="10" t="str">
        <f>TEXT(Transform_Data[[#This Row],[Date]],"mmm yyyy")</f>
        <v>Feb 2025</v>
      </c>
      <c r="H3037" s="10">
        <f>HOUR(Transform_Data[[#This Row],[Time]])</f>
        <v>17</v>
      </c>
      <c r="I3037" s="10" t="str">
        <f>IF(COUNTIF('Transform Data'!$D:$D,'Transform Data'!D3037)&gt;1,"Repeat","Single")</f>
        <v>Repeat</v>
      </c>
      <c r="J3037" s="10" t="str">
        <f>IF('Transform Data'!D3037="Cash","Cash",IF(COUNTIF('Transform Data'!$D:$D,'Transform Data'!D3037)&gt;1,"Repeat","Single"))</f>
        <v>Repeat</v>
      </c>
      <c r="K3037" s="10" t="str">
        <f t="shared" si="47"/>
        <v>TRANS-3036</v>
      </c>
    </row>
    <row r="3038" spans="1:11" x14ac:dyDescent="0.35">
      <c r="A3038" s="5">
        <v>45698</v>
      </c>
      <c r="B3038" s="3">
        <v>0.76891203703703703</v>
      </c>
      <c r="C3038" t="s">
        <v>8</v>
      </c>
      <c r="D3038" t="s">
        <v>1208</v>
      </c>
      <c r="E3038" s="4">
        <v>30.86</v>
      </c>
      <c r="F3038" t="s">
        <v>36</v>
      </c>
      <c r="G3038" s="10" t="str">
        <f>TEXT(Transform_Data[[#This Row],[Date]],"mmm yyyy")</f>
        <v>Feb 2025</v>
      </c>
      <c r="H3038" s="10">
        <f>HOUR(Transform_Data[[#This Row],[Time]])</f>
        <v>18</v>
      </c>
      <c r="I3038" s="10" t="str">
        <f>IF(COUNTIF('Transform Data'!$D:$D,'Transform Data'!D3038)&gt;1,"Repeat","Single")</f>
        <v>Repeat</v>
      </c>
      <c r="J3038" s="10" t="str">
        <f>IF('Transform Data'!D3038="Cash","Cash",IF(COUNTIF('Transform Data'!$D:$D,'Transform Data'!D3038)&gt;1,"Repeat","Single"))</f>
        <v>Repeat</v>
      </c>
      <c r="K3038" s="10" t="str">
        <f t="shared" si="47"/>
        <v>TRANS-3037</v>
      </c>
    </row>
    <row r="3039" spans="1:11" x14ac:dyDescent="0.35">
      <c r="A3039" s="5">
        <v>45698</v>
      </c>
      <c r="B3039" s="3">
        <v>0.80140046296296297</v>
      </c>
      <c r="C3039" t="s">
        <v>8</v>
      </c>
      <c r="D3039" t="s">
        <v>1228</v>
      </c>
      <c r="E3039" s="4">
        <v>35.76</v>
      </c>
      <c r="F3039" t="s">
        <v>32</v>
      </c>
      <c r="G3039" s="10" t="str">
        <f>TEXT(Transform_Data[[#This Row],[Date]],"mmm yyyy")</f>
        <v>Feb 2025</v>
      </c>
      <c r="H3039" s="10">
        <f>HOUR(Transform_Data[[#This Row],[Time]])</f>
        <v>19</v>
      </c>
      <c r="I3039" s="10" t="str">
        <f>IF(COUNTIF('Transform Data'!$D:$D,'Transform Data'!D3039)&gt;1,"Repeat","Single")</f>
        <v>Repeat</v>
      </c>
      <c r="J3039" s="10" t="str">
        <f>IF('Transform Data'!D3039="Cash","Cash",IF(COUNTIF('Transform Data'!$D:$D,'Transform Data'!D3039)&gt;1,"Repeat","Single"))</f>
        <v>Repeat</v>
      </c>
      <c r="K3039" s="10" t="str">
        <f t="shared" si="47"/>
        <v>TRANS-3038</v>
      </c>
    </row>
    <row r="3040" spans="1:11" x14ac:dyDescent="0.35">
      <c r="A3040" s="5">
        <v>45698</v>
      </c>
      <c r="B3040" s="3">
        <v>0.80200231481481477</v>
      </c>
      <c r="C3040" t="s">
        <v>8</v>
      </c>
      <c r="D3040" t="s">
        <v>1251</v>
      </c>
      <c r="E3040" s="4">
        <v>35.76</v>
      </c>
      <c r="F3040" t="s">
        <v>32</v>
      </c>
      <c r="G3040" s="10" t="str">
        <f>TEXT(Transform_Data[[#This Row],[Date]],"mmm yyyy")</f>
        <v>Feb 2025</v>
      </c>
      <c r="H3040" s="10">
        <f>HOUR(Transform_Data[[#This Row],[Time]])</f>
        <v>19</v>
      </c>
      <c r="I3040" s="10" t="str">
        <f>IF(COUNTIF('Transform Data'!$D:$D,'Transform Data'!D3040)&gt;1,"Repeat","Single")</f>
        <v>Repeat</v>
      </c>
      <c r="J3040" s="10" t="str">
        <f>IF('Transform Data'!D3040="Cash","Cash",IF(COUNTIF('Transform Data'!$D:$D,'Transform Data'!D3040)&gt;1,"Repeat","Single"))</f>
        <v>Repeat</v>
      </c>
      <c r="K3040" s="10" t="str">
        <f t="shared" si="47"/>
        <v>TRANS-3039</v>
      </c>
    </row>
    <row r="3041" spans="1:11" x14ac:dyDescent="0.35">
      <c r="A3041" s="5">
        <v>45699</v>
      </c>
      <c r="B3041" s="3">
        <v>0.44335648148148149</v>
      </c>
      <c r="C3041" t="s">
        <v>8</v>
      </c>
      <c r="D3041" t="s">
        <v>33</v>
      </c>
      <c r="E3041" s="4">
        <v>25.96</v>
      </c>
      <c r="F3041" t="s">
        <v>28</v>
      </c>
      <c r="G3041" s="10" t="str">
        <f>TEXT(Transform_Data[[#This Row],[Date]],"mmm yyyy")</f>
        <v>Feb 2025</v>
      </c>
      <c r="H3041" s="10">
        <f>HOUR(Transform_Data[[#This Row],[Time]])</f>
        <v>10</v>
      </c>
      <c r="I3041" s="10" t="str">
        <f>IF(COUNTIF('Transform Data'!$D:$D,'Transform Data'!D3041)&gt;1,"Repeat","Single")</f>
        <v>Repeat</v>
      </c>
      <c r="J3041" s="10" t="str">
        <f>IF('Transform Data'!D3041="Cash","Cash",IF(COUNTIF('Transform Data'!$D:$D,'Transform Data'!D3041)&gt;1,"Repeat","Single"))</f>
        <v>Repeat</v>
      </c>
      <c r="K3041" s="10" t="str">
        <f t="shared" si="47"/>
        <v>TRANS-3040</v>
      </c>
    </row>
    <row r="3042" spans="1:11" x14ac:dyDescent="0.35">
      <c r="A3042" s="5">
        <v>45699</v>
      </c>
      <c r="B3042" s="3">
        <v>0.47170138888888891</v>
      </c>
      <c r="C3042" t="s">
        <v>8</v>
      </c>
      <c r="D3042" t="s">
        <v>1226</v>
      </c>
      <c r="E3042" s="4">
        <v>25.96</v>
      </c>
      <c r="F3042" t="s">
        <v>28</v>
      </c>
      <c r="G3042" s="10" t="str">
        <f>TEXT(Transform_Data[[#This Row],[Date]],"mmm yyyy")</f>
        <v>Feb 2025</v>
      </c>
      <c r="H3042" s="10">
        <f>HOUR(Transform_Data[[#This Row],[Time]])</f>
        <v>11</v>
      </c>
      <c r="I3042" s="10" t="str">
        <f>IF(COUNTIF('Transform Data'!$D:$D,'Transform Data'!D3042)&gt;1,"Repeat","Single")</f>
        <v>Repeat</v>
      </c>
      <c r="J3042" s="10" t="str">
        <f>IF('Transform Data'!D3042="Cash","Cash",IF(COUNTIF('Transform Data'!$D:$D,'Transform Data'!D3042)&gt;1,"Repeat","Single"))</f>
        <v>Repeat</v>
      </c>
      <c r="K3042" s="10" t="str">
        <f t="shared" si="47"/>
        <v>TRANS-3041</v>
      </c>
    </row>
    <row r="3043" spans="1:11" x14ac:dyDescent="0.35">
      <c r="A3043" s="5">
        <v>45699</v>
      </c>
      <c r="B3043" s="3">
        <v>0.47236111111111112</v>
      </c>
      <c r="C3043" t="s">
        <v>8</v>
      </c>
      <c r="D3043" t="s">
        <v>1216</v>
      </c>
      <c r="E3043" s="4">
        <v>30.86</v>
      </c>
      <c r="F3043" t="s">
        <v>36</v>
      </c>
      <c r="G3043" s="10" t="str">
        <f>TEXT(Transform_Data[[#This Row],[Date]],"mmm yyyy")</f>
        <v>Feb 2025</v>
      </c>
      <c r="H3043" s="10">
        <f>HOUR(Transform_Data[[#This Row],[Time]])</f>
        <v>11</v>
      </c>
      <c r="I3043" s="10" t="str">
        <f>IF(COUNTIF('Transform Data'!$D:$D,'Transform Data'!D3043)&gt;1,"Repeat","Single")</f>
        <v>Repeat</v>
      </c>
      <c r="J3043" s="10" t="str">
        <f>IF('Transform Data'!D3043="Cash","Cash",IF(COUNTIF('Transform Data'!$D:$D,'Transform Data'!D3043)&gt;1,"Repeat","Single"))</f>
        <v>Repeat</v>
      </c>
      <c r="K3043" s="10" t="str">
        <f t="shared" si="47"/>
        <v>TRANS-3042</v>
      </c>
    </row>
    <row r="3044" spans="1:11" x14ac:dyDescent="0.35">
      <c r="A3044" s="5">
        <v>45699</v>
      </c>
      <c r="B3044" s="3">
        <v>0.47300925925925924</v>
      </c>
      <c r="C3044" t="s">
        <v>8</v>
      </c>
      <c r="D3044" t="s">
        <v>1239</v>
      </c>
      <c r="E3044" s="4">
        <v>35.76</v>
      </c>
      <c r="F3044" t="s">
        <v>10</v>
      </c>
      <c r="G3044" s="10" t="str">
        <f>TEXT(Transform_Data[[#This Row],[Date]],"mmm yyyy")</f>
        <v>Feb 2025</v>
      </c>
      <c r="H3044" s="10">
        <f>HOUR(Transform_Data[[#This Row],[Time]])</f>
        <v>11</v>
      </c>
      <c r="I3044" s="10" t="str">
        <f>IF(COUNTIF('Transform Data'!$D:$D,'Transform Data'!D3044)&gt;1,"Repeat","Single")</f>
        <v>Repeat</v>
      </c>
      <c r="J3044" s="10" t="str">
        <f>IF('Transform Data'!D3044="Cash","Cash",IF(COUNTIF('Transform Data'!$D:$D,'Transform Data'!D3044)&gt;1,"Repeat","Single"))</f>
        <v>Repeat</v>
      </c>
      <c r="K3044" s="10" t="str">
        <f t="shared" si="47"/>
        <v>TRANS-3043</v>
      </c>
    </row>
    <row r="3045" spans="1:11" x14ac:dyDescent="0.35">
      <c r="A3045" s="5">
        <v>45699</v>
      </c>
      <c r="B3045" s="3">
        <v>0.66445601851851854</v>
      </c>
      <c r="C3045" t="s">
        <v>8</v>
      </c>
      <c r="D3045" t="s">
        <v>1207</v>
      </c>
      <c r="E3045" s="4">
        <v>35.76</v>
      </c>
      <c r="F3045" t="s">
        <v>15</v>
      </c>
      <c r="G3045" s="10" t="str">
        <f>TEXT(Transform_Data[[#This Row],[Date]],"mmm yyyy")</f>
        <v>Feb 2025</v>
      </c>
      <c r="H3045" s="10">
        <f>HOUR(Transform_Data[[#This Row],[Time]])</f>
        <v>15</v>
      </c>
      <c r="I3045" s="10" t="str">
        <f>IF(COUNTIF('Transform Data'!$D:$D,'Transform Data'!D3045)&gt;1,"Repeat","Single")</f>
        <v>Repeat</v>
      </c>
      <c r="J3045" s="10" t="str">
        <f>IF('Transform Data'!D3045="Cash","Cash",IF(COUNTIF('Transform Data'!$D:$D,'Transform Data'!D3045)&gt;1,"Repeat","Single"))</f>
        <v>Repeat</v>
      </c>
      <c r="K3045" s="10" t="str">
        <f t="shared" si="47"/>
        <v>TRANS-3044</v>
      </c>
    </row>
    <row r="3046" spans="1:11" x14ac:dyDescent="0.35">
      <c r="A3046" s="5">
        <v>45699</v>
      </c>
      <c r="B3046" s="3">
        <v>0.67300925925925925</v>
      </c>
      <c r="C3046" t="s">
        <v>8</v>
      </c>
      <c r="D3046" t="s">
        <v>1244</v>
      </c>
      <c r="E3046" s="4">
        <v>30.86</v>
      </c>
      <c r="F3046" t="s">
        <v>36</v>
      </c>
      <c r="G3046" s="10" t="str">
        <f>TEXT(Transform_Data[[#This Row],[Date]],"mmm yyyy")</f>
        <v>Feb 2025</v>
      </c>
      <c r="H3046" s="10">
        <f>HOUR(Transform_Data[[#This Row],[Time]])</f>
        <v>16</v>
      </c>
      <c r="I3046" s="10" t="str">
        <f>IF(COUNTIF('Transform Data'!$D:$D,'Transform Data'!D3046)&gt;1,"Repeat","Single")</f>
        <v>Repeat</v>
      </c>
      <c r="J3046" s="10" t="str">
        <f>IF('Transform Data'!D3046="Cash","Cash",IF(COUNTIF('Transform Data'!$D:$D,'Transform Data'!D3046)&gt;1,"Repeat","Single"))</f>
        <v>Repeat</v>
      </c>
      <c r="K3046" s="10" t="str">
        <f t="shared" si="47"/>
        <v>TRANS-3045</v>
      </c>
    </row>
    <row r="3047" spans="1:11" x14ac:dyDescent="0.35">
      <c r="A3047" s="5">
        <v>45699</v>
      </c>
      <c r="B3047" s="3">
        <v>0.7011574074074074</v>
      </c>
      <c r="C3047" t="s">
        <v>8</v>
      </c>
      <c r="D3047" t="s">
        <v>1252</v>
      </c>
      <c r="E3047" s="4">
        <v>21.06</v>
      </c>
      <c r="F3047" t="s">
        <v>5</v>
      </c>
      <c r="G3047" s="10" t="str">
        <f>TEXT(Transform_Data[[#This Row],[Date]],"mmm yyyy")</f>
        <v>Feb 2025</v>
      </c>
      <c r="H3047" s="10">
        <f>HOUR(Transform_Data[[#This Row],[Time]])</f>
        <v>16</v>
      </c>
      <c r="I3047" s="10" t="str">
        <f>IF(COUNTIF('Transform Data'!$D:$D,'Transform Data'!D3047)&gt;1,"Repeat","Single")</f>
        <v>Repeat</v>
      </c>
      <c r="J3047" s="10" t="str">
        <f>IF('Transform Data'!D3047="Cash","Cash",IF(COUNTIF('Transform Data'!$D:$D,'Transform Data'!D3047)&gt;1,"Repeat","Single"))</f>
        <v>Repeat</v>
      </c>
      <c r="K3047" s="10" t="str">
        <f t="shared" si="47"/>
        <v>TRANS-3046</v>
      </c>
    </row>
    <row r="3048" spans="1:11" x14ac:dyDescent="0.35">
      <c r="A3048" s="5">
        <v>45699</v>
      </c>
      <c r="B3048" s="3">
        <v>0.73303240740740738</v>
      </c>
      <c r="C3048" t="s">
        <v>8</v>
      </c>
      <c r="D3048" t="s">
        <v>33</v>
      </c>
      <c r="E3048" s="4">
        <v>35.76</v>
      </c>
      <c r="F3048" t="s">
        <v>32</v>
      </c>
      <c r="G3048" s="10" t="str">
        <f>TEXT(Transform_Data[[#This Row],[Date]],"mmm yyyy")</f>
        <v>Feb 2025</v>
      </c>
      <c r="H3048" s="10">
        <f>HOUR(Transform_Data[[#This Row],[Time]])</f>
        <v>17</v>
      </c>
      <c r="I3048" s="10" t="str">
        <f>IF(COUNTIF('Transform Data'!$D:$D,'Transform Data'!D3048)&gt;1,"Repeat","Single")</f>
        <v>Repeat</v>
      </c>
      <c r="J3048" s="10" t="str">
        <f>IF('Transform Data'!D3048="Cash","Cash",IF(COUNTIF('Transform Data'!$D:$D,'Transform Data'!D3048)&gt;1,"Repeat","Single"))</f>
        <v>Repeat</v>
      </c>
      <c r="K3048" s="10" t="str">
        <f t="shared" si="47"/>
        <v>TRANS-3047</v>
      </c>
    </row>
    <row r="3049" spans="1:11" x14ac:dyDescent="0.35">
      <c r="A3049" s="5">
        <v>45699</v>
      </c>
      <c r="B3049" s="3">
        <v>0.73381944444444447</v>
      </c>
      <c r="C3049" t="s">
        <v>8</v>
      </c>
      <c r="D3049" t="s">
        <v>33</v>
      </c>
      <c r="E3049" s="4">
        <v>30.86</v>
      </c>
      <c r="F3049" t="s">
        <v>36</v>
      </c>
      <c r="G3049" s="10" t="str">
        <f>TEXT(Transform_Data[[#This Row],[Date]],"mmm yyyy")</f>
        <v>Feb 2025</v>
      </c>
      <c r="H3049" s="10">
        <f>HOUR(Transform_Data[[#This Row],[Time]])</f>
        <v>17</v>
      </c>
      <c r="I3049" s="10" t="str">
        <f>IF(COUNTIF('Transform Data'!$D:$D,'Transform Data'!D3049)&gt;1,"Repeat","Single")</f>
        <v>Repeat</v>
      </c>
      <c r="J3049" s="10" t="str">
        <f>IF('Transform Data'!D3049="Cash","Cash",IF(COUNTIF('Transform Data'!$D:$D,'Transform Data'!D3049)&gt;1,"Repeat","Single"))</f>
        <v>Repeat</v>
      </c>
      <c r="K3049" s="10" t="str">
        <f t="shared" si="47"/>
        <v>TRANS-3048</v>
      </c>
    </row>
    <row r="3050" spans="1:11" x14ac:dyDescent="0.35">
      <c r="A3050" s="5">
        <v>45699</v>
      </c>
      <c r="B3050" s="3">
        <v>0.73902777777777773</v>
      </c>
      <c r="C3050" t="s">
        <v>8</v>
      </c>
      <c r="D3050" t="s">
        <v>1253</v>
      </c>
      <c r="E3050" s="4">
        <v>30.86</v>
      </c>
      <c r="F3050" t="s">
        <v>36</v>
      </c>
      <c r="G3050" s="10" t="str">
        <f>TEXT(Transform_Data[[#This Row],[Date]],"mmm yyyy")</f>
        <v>Feb 2025</v>
      </c>
      <c r="H3050" s="10">
        <f>HOUR(Transform_Data[[#This Row],[Time]])</f>
        <v>17</v>
      </c>
      <c r="I3050" s="10" t="str">
        <f>IF(COUNTIF('Transform Data'!$D:$D,'Transform Data'!D3050)&gt;1,"Repeat","Single")</f>
        <v>Repeat</v>
      </c>
      <c r="J3050" s="10" t="str">
        <f>IF('Transform Data'!D3050="Cash","Cash",IF(COUNTIF('Transform Data'!$D:$D,'Transform Data'!D3050)&gt;1,"Repeat","Single"))</f>
        <v>Repeat</v>
      </c>
      <c r="K3050" s="10" t="str">
        <f t="shared" si="47"/>
        <v>TRANS-3049</v>
      </c>
    </row>
    <row r="3051" spans="1:11" x14ac:dyDescent="0.35">
      <c r="A3051" s="5">
        <v>45699</v>
      </c>
      <c r="B3051" s="3">
        <v>0.74351851851851847</v>
      </c>
      <c r="C3051" t="s">
        <v>8</v>
      </c>
      <c r="D3051" t="s">
        <v>6</v>
      </c>
      <c r="E3051" s="4">
        <v>25.96</v>
      </c>
      <c r="F3051" t="s">
        <v>28</v>
      </c>
      <c r="G3051" s="10" t="str">
        <f>TEXT(Transform_Data[[#This Row],[Date]],"mmm yyyy")</f>
        <v>Feb 2025</v>
      </c>
      <c r="H3051" s="10">
        <f>HOUR(Transform_Data[[#This Row],[Time]])</f>
        <v>17</v>
      </c>
      <c r="I3051" s="10" t="str">
        <f>IF(COUNTIF('Transform Data'!$D:$D,'Transform Data'!D3051)&gt;1,"Repeat","Single")</f>
        <v>Repeat</v>
      </c>
      <c r="J3051" s="10" t="str">
        <f>IF('Transform Data'!D3051="Cash","Cash",IF(COUNTIF('Transform Data'!$D:$D,'Transform Data'!D3051)&gt;1,"Repeat","Single"))</f>
        <v>Repeat</v>
      </c>
      <c r="K3051" s="10" t="str">
        <f t="shared" si="47"/>
        <v>TRANS-3050</v>
      </c>
    </row>
    <row r="3052" spans="1:11" x14ac:dyDescent="0.35">
      <c r="A3052" s="5">
        <v>45699</v>
      </c>
      <c r="B3052" s="3">
        <v>0.74626157407407412</v>
      </c>
      <c r="C3052" t="s">
        <v>8</v>
      </c>
      <c r="D3052" t="s">
        <v>1253</v>
      </c>
      <c r="E3052" s="4">
        <v>30.86</v>
      </c>
      <c r="F3052" t="s">
        <v>36</v>
      </c>
      <c r="G3052" s="10" t="str">
        <f>TEXT(Transform_Data[[#This Row],[Date]],"mmm yyyy")</f>
        <v>Feb 2025</v>
      </c>
      <c r="H3052" s="10">
        <f>HOUR(Transform_Data[[#This Row],[Time]])</f>
        <v>17</v>
      </c>
      <c r="I3052" s="10" t="str">
        <f>IF(COUNTIF('Transform Data'!$D:$D,'Transform Data'!D3052)&gt;1,"Repeat","Single")</f>
        <v>Repeat</v>
      </c>
      <c r="J3052" s="10" t="str">
        <f>IF('Transform Data'!D3052="Cash","Cash",IF(COUNTIF('Transform Data'!$D:$D,'Transform Data'!D3052)&gt;1,"Repeat","Single"))</f>
        <v>Repeat</v>
      </c>
      <c r="K3052" s="10" t="str">
        <f t="shared" si="47"/>
        <v>TRANS-3051</v>
      </c>
    </row>
    <row r="3053" spans="1:11" x14ac:dyDescent="0.35">
      <c r="A3053" s="5">
        <v>45699</v>
      </c>
      <c r="B3053" s="3">
        <v>0.79457175925925927</v>
      </c>
      <c r="C3053" t="s">
        <v>8</v>
      </c>
      <c r="D3053" t="s">
        <v>1254</v>
      </c>
      <c r="E3053" s="4">
        <v>35.76</v>
      </c>
      <c r="F3053" t="s">
        <v>32</v>
      </c>
      <c r="G3053" s="10" t="str">
        <f>TEXT(Transform_Data[[#This Row],[Date]],"mmm yyyy")</f>
        <v>Feb 2025</v>
      </c>
      <c r="H3053" s="10">
        <f>HOUR(Transform_Data[[#This Row],[Time]])</f>
        <v>19</v>
      </c>
      <c r="I3053" s="10" t="str">
        <f>IF(COUNTIF('Transform Data'!$D:$D,'Transform Data'!D3053)&gt;1,"Repeat","Single")</f>
        <v>Repeat</v>
      </c>
      <c r="J3053" s="10" t="str">
        <f>IF('Transform Data'!D3053="Cash","Cash",IF(COUNTIF('Transform Data'!$D:$D,'Transform Data'!D3053)&gt;1,"Repeat","Single"))</f>
        <v>Repeat</v>
      </c>
      <c r="K3053" s="10" t="str">
        <f t="shared" si="47"/>
        <v>TRANS-3052</v>
      </c>
    </row>
    <row r="3054" spans="1:11" x14ac:dyDescent="0.35">
      <c r="A3054" s="5">
        <v>45699</v>
      </c>
      <c r="B3054" s="3">
        <v>0.79517361111111107</v>
      </c>
      <c r="C3054" t="s">
        <v>8</v>
      </c>
      <c r="D3054" t="s">
        <v>1254</v>
      </c>
      <c r="E3054" s="4">
        <v>35.76</v>
      </c>
      <c r="F3054" t="s">
        <v>10</v>
      </c>
      <c r="G3054" s="10" t="str">
        <f>TEXT(Transform_Data[[#This Row],[Date]],"mmm yyyy")</f>
        <v>Feb 2025</v>
      </c>
      <c r="H3054" s="10">
        <f>HOUR(Transform_Data[[#This Row],[Time]])</f>
        <v>19</v>
      </c>
      <c r="I3054" s="10" t="str">
        <f>IF(COUNTIF('Transform Data'!$D:$D,'Transform Data'!D3054)&gt;1,"Repeat","Single")</f>
        <v>Repeat</v>
      </c>
      <c r="J3054" s="10" t="str">
        <f>IF('Transform Data'!D3054="Cash","Cash",IF(COUNTIF('Transform Data'!$D:$D,'Transform Data'!D3054)&gt;1,"Repeat","Single"))</f>
        <v>Repeat</v>
      </c>
      <c r="K3054" s="10" t="str">
        <f t="shared" si="47"/>
        <v>TRANS-3053</v>
      </c>
    </row>
    <row r="3055" spans="1:11" x14ac:dyDescent="0.35">
      <c r="A3055" s="5">
        <v>45700</v>
      </c>
      <c r="B3055" s="3">
        <v>0.30343750000000003</v>
      </c>
      <c r="C3055" t="s">
        <v>8</v>
      </c>
      <c r="D3055" t="s">
        <v>1250</v>
      </c>
      <c r="E3055" s="4">
        <v>35.76</v>
      </c>
      <c r="F3055" t="s">
        <v>24</v>
      </c>
      <c r="G3055" s="10" t="str">
        <f>TEXT(Transform_Data[[#This Row],[Date]],"mmm yyyy")</f>
        <v>Feb 2025</v>
      </c>
      <c r="H3055" s="10">
        <f>HOUR(Transform_Data[[#This Row],[Time]])</f>
        <v>7</v>
      </c>
      <c r="I3055" s="10" t="str">
        <f>IF(COUNTIF('Transform Data'!$D:$D,'Transform Data'!D3055)&gt;1,"Repeat","Single")</f>
        <v>Repeat</v>
      </c>
      <c r="J3055" s="10" t="str">
        <f>IF('Transform Data'!D3055="Cash","Cash",IF(COUNTIF('Transform Data'!$D:$D,'Transform Data'!D3055)&gt;1,"Repeat","Single"))</f>
        <v>Repeat</v>
      </c>
      <c r="K3055" s="10" t="str">
        <f t="shared" si="47"/>
        <v>TRANS-3054</v>
      </c>
    </row>
    <row r="3056" spans="1:11" x14ac:dyDescent="0.35">
      <c r="A3056" s="5">
        <v>45700</v>
      </c>
      <c r="B3056" s="3">
        <v>0.31640046296296298</v>
      </c>
      <c r="C3056" t="s">
        <v>8</v>
      </c>
      <c r="D3056" t="s">
        <v>33</v>
      </c>
      <c r="E3056" s="4">
        <v>25.96</v>
      </c>
      <c r="F3056" t="s">
        <v>28</v>
      </c>
      <c r="G3056" s="10" t="str">
        <f>TEXT(Transform_Data[[#This Row],[Date]],"mmm yyyy")</f>
        <v>Feb 2025</v>
      </c>
      <c r="H3056" s="10">
        <f>HOUR(Transform_Data[[#This Row],[Time]])</f>
        <v>7</v>
      </c>
      <c r="I3056" s="10" t="str">
        <f>IF(COUNTIF('Transform Data'!$D:$D,'Transform Data'!D3056)&gt;1,"Repeat","Single")</f>
        <v>Repeat</v>
      </c>
      <c r="J3056" s="10" t="str">
        <f>IF('Transform Data'!D3056="Cash","Cash",IF(COUNTIF('Transform Data'!$D:$D,'Transform Data'!D3056)&gt;1,"Repeat","Single"))</f>
        <v>Repeat</v>
      </c>
      <c r="K3056" s="10" t="str">
        <f t="shared" si="47"/>
        <v>TRANS-3055</v>
      </c>
    </row>
    <row r="3057" spans="1:11" x14ac:dyDescent="0.35">
      <c r="A3057" s="5">
        <v>45700</v>
      </c>
      <c r="B3057" s="3">
        <v>0.37123842592592593</v>
      </c>
      <c r="C3057" t="s">
        <v>8</v>
      </c>
      <c r="D3057" t="s">
        <v>33</v>
      </c>
      <c r="E3057" s="4">
        <v>35.76</v>
      </c>
      <c r="F3057" t="s">
        <v>10</v>
      </c>
      <c r="G3057" s="10" t="str">
        <f>TEXT(Transform_Data[[#This Row],[Date]],"mmm yyyy")</f>
        <v>Feb 2025</v>
      </c>
      <c r="H3057" s="10">
        <f>HOUR(Transform_Data[[#This Row],[Time]])</f>
        <v>8</v>
      </c>
      <c r="I3057" s="10" t="str">
        <f>IF(COUNTIF('Transform Data'!$D:$D,'Transform Data'!D3057)&gt;1,"Repeat","Single")</f>
        <v>Repeat</v>
      </c>
      <c r="J3057" s="10" t="str">
        <f>IF('Transform Data'!D3057="Cash","Cash",IF(COUNTIF('Transform Data'!$D:$D,'Transform Data'!D3057)&gt;1,"Repeat","Single"))</f>
        <v>Repeat</v>
      </c>
      <c r="K3057" s="10" t="str">
        <f t="shared" si="47"/>
        <v>TRANS-3056</v>
      </c>
    </row>
    <row r="3058" spans="1:11" x14ac:dyDescent="0.35">
      <c r="A3058" s="5">
        <v>45700</v>
      </c>
      <c r="B3058" s="3">
        <v>0.38871527777777776</v>
      </c>
      <c r="C3058" t="s">
        <v>8</v>
      </c>
      <c r="D3058" t="s">
        <v>1204</v>
      </c>
      <c r="E3058" s="4">
        <v>30.86</v>
      </c>
      <c r="F3058" t="s">
        <v>36</v>
      </c>
      <c r="G3058" s="10" t="str">
        <f>TEXT(Transform_Data[[#This Row],[Date]],"mmm yyyy")</f>
        <v>Feb 2025</v>
      </c>
      <c r="H3058" s="10">
        <f>HOUR(Transform_Data[[#This Row],[Time]])</f>
        <v>9</v>
      </c>
      <c r="I3058" s="10" t="str">
        <f>IF(COUNTIF('Transform Data'!$D:$D,'Transform Data'!D3058)&gt;1,"Repeat","Single")</f>
        <v>Repeat</v>
      </c>
      <c r="J3058" s="10" t="str">
        <f>IF('Transform Data'!D3058="Cash","Cash",IF(COUNTIF('Transform Data'!$D:$D,'Transform Data'!D3058)&gt;1,"Repeat","Single"))</f>
        <v>Repeat</v>
      </c>
      <c r="K3058" s="10" t="str">
        <f t="shared" si="47"/>
        <v>TRANS-3057</v>
      </c>
    </row>
    <row r="3059" spans="1:11" x14ac:dyDescent="0.35">
      <c r="A3059" s="5">
        <v>45700</v>
      </c>
      <c r="B3059" s="3">
        <v>0.44667824074074075</v>
      </c>
      <c r="C3059" t="s">
        <v>8</v>
      </c>
      <c r="D3059" t="s">
        <v>1238</v>
      </c>
      <c r="E3059" s="4">
        <v>25.96</v>
      </c>
      <c r="F3059" t="s">
        <v>28</v>
      </c>
      <c r="G3059" s="10" t="str">
        <f>TEXT(Transform_Data[[#This Row],[Date]],"mmm yyyy")</f>
        <v>Feb 2025</v>
      </c>
      <c r="H3059" s="10">
        <f>HOUR(Transform_Data[[#This Row],[Time]])</f>
        <v>10</v>
      </c>
      <c r="I3059" s="10" t="str">
        <f>IF(COUNTIF('Transform Data'!$D:$D,'Transform Data'!D3059)&gt;1,"Repeat","Single")</f>
        <v>Repeat</v>
      </c>
      <c r="J3059" s="10" t="str">
        <f>IF('Transform Data'!D3059="Cash","Cash",IF(COUNTIF('Transform Data'!$D:$D,'Transform Data'!D3059)&gt;1,"Repeat","Single"))</f>
        <v>Repeat</v>
      </c>
      <c r="K3059" s="10" t="str">
        <f t="shared" si="47"/>
        <v>TRANS-3058</v>
      </c>
    </row>
    <row r="3060" spans="1:11" x14ac:dyDescent="0.35">
      <c r="A3060" s="5">
        <v>45700</v>
      </c>
      <c r="B3060" s="3">
        <v>0.53019675925925924</v>
      </c>
      <c r="C3060" t="s">
        <v>8</v>
      </c>
      <c r="D3060" t="s">
        <v>1255</v>
      </c>
      <c r="E3060" s="4">
        <v>25.96</v>
      </c>
      <c r="F3060" t="s">
        <v>28</v>
      </c>
      <c r="G3060" s="10" t="str">
        <f>TEXT(Transform_Data[[#This Row],[Date]],"mmm yyyy")</f>
        <v>Feb 2025</v>
      </c>
      <c r="H3060" s="10">
        <f>HOUR(Transform_Data[[#This Row],[Time]])</f>
        <v>12</v>
      </c>
      <c r="I3060" s="10" t="str">
        <f>IF(COUNTIF('Transform Data'!$D:$D,'Transform Data'!D3060)&gt;1,"Repeat","Single")</f>
        <v>Single</v>
      </c>
      <c r="J3060" s="10" t="str">
        <f>IF('Transform Data'!D3060="Cash","Cash",IF(COUNTIF('Transform Data'!$D:$D,'Transform Data'!D3060)&gt;1,"Repeat","Single"))</f>
        <v>Single</v>
      </c>
      <c r="K3060" s="10" t="str">
        <f t="shared" si="47"/>
        <v>TRANS-3059</v>
      </c>
    </row>
    <row r="3061" spans="1:11" x14ac:dyDescent="0.35">
      <c r="A3061" s="5">
        <v>45700</v>
      </c>
      <c r="B3061" s="3">
        <v>0.54732638888888885</v>
      </c>
      <c r="C3061" t="s">
        <v>8</v>
      </c>
      <c r="D3061" t="s">
        <v>1256</v>
      </c>
      <c r="E3061" s="4">
        <v>25.96</v>
      </c>
      <c r="F3061" t="s">
        <v>28</v>
      </c>
      <c r="G3061" s="10" t="str">
        <f>TEXT(Transform_Data[[#This Row],[Date]],"mmm yyyy")</f>
        <v>Feb 2025</v>
      </c>
      <c r="H3061" s="10">
        <f>HOUR(Transform_Data[[#This Row],[Time]])</f>
        <v>13</v>
      </c>
      <c r="I3061" s="10" t="str">
        <f>IF(COUNTIF('Transform Data'!$D:$D,'Transform Data'!D3061)&gt;1,"Repeat","Single")</f>
        <v>Repeat</v>
      </c>
      <c r="J3061" s="10" t="str">
        <f>IF('Transform Data'!D3061="Cash","Cash",IF(COUNTIF('Transform Data'!$D:$D,'Transform Data'!D3061)&gt;1,"Repeat","Single"))</f>
        <v>Repeat</v>
      </c>
      <c r="K3061" s="10" t="str">
        <f t="shared" si="47"/>
        <v>TRANS-3060</v>
      </c>
    </row>
    <row r="3062" spans="1:11" x14ac:dyDescent="0.35">
      <c r="A3062" s="5">
        <v>45700</v>
      </c>
      <c r="B3062" s="3">
        <v>0.57059027777777782</v>
      </c>
      <c r="C3062" t="s">
        <v>8</v>
      </c>
      <c r="D3062" t="s">
        <v>1211</v>
      </c>
      <c r="E3062" s="4">
        <v>35.76</v>
      </c>
      <c r="F3062" t="s">
        <v>15</v>
      </c>
      <c r="G3062" s="10" t="str">
        <f>TEXT(Transform_Data[[#This Row],[Date]],"mmm yyyy")</f>
        <v>Feb 2025</v>
      </c>
      <c r="H3062" s="10">
        <f>HOUR(Transform_Data[[#This Row],[Time]])</f>
        <v>13</v>
      </c>
      <c r="I3062" s="10" t="str">
        <f>IF(COUNTIF('Transform Data'!$D:$D,'Transform Data'!D3062)&gt;1,"Repeat","Single")</f>
        <v>Repeat</v>
      </c>
      <c r="J3062" s="10" t="str">
        <f>IF('Transform Data'!D3062="Cash","Cash",IF(COUNTIF('Transform Data'!$D:$D,'Transform Data'!D3062)&gt;1,"Repeat","Single"))</f>
        <v>Repeat</v>
      </c>
      <c r="K3062" s="10" t="str">
        <f t="shared" si="47"/>
        <v>TRANS-3061</v>
      </c>
    </row>
    <row r="3063" spans="1:11" x14ac:dyDescent="0.35">
      <c r="A3063" s="5">
        <v>45700</v>
      </c>
      <c r="B3063" s="3">
        <v>0.65375000000000005</v>
      </c>
      <c r="C3063" t="s">
        <v>8</v>
      </c>
      <c r="D3063" t="s">
        <v>1214</v>
      </c>
      <c r="E3063" s="4">
        <v>35.76</v>
      </c>
      <c r="F3063" t="s">
        <v>15</v>
      </c>
      <c r="G3063" s="10" t="str">
        <f>TEXT(Transform_Data[[#This Row],[Date]],"mmm yyyy")</f>
        <v>Feb 2025</v>
      </c>
      <c r="H3063" s="10">
        <f>HOUR(Transform_Data[[#This Row],[Time]])</f>
        <v>15</v>
      </c>
      <c r="I3063" s="10" t="str">
        <f>IF(COUNTIF('Transform Data'!$D:$D,'Transform Data'!D3063)&gt;1,"Repeat","Single")</f>
        <v>Repeat</v>
      </c>
      <c r="J3063" s="10" t="str">
        <f>IF('Transform Data'!D3063="Cash","Cash",IF(COUNTIF('Transform Data'!$D:$D,'Transform Data'!D3063)&gt;1,"Repeat","Single"))</f>
        <v>Repeat</v>
      </c>
      <c r="K3063" s="10" t="str">
        <f t="shared" si="47"/>
        <v>TRANS-3062</v>
      </c>
    </row>
    <row r="3064" spans="1:11" x14ac:dyDescent="0.35">
      <c r="A3064" s="5">
        <v>45700</v>
      </c>
      <c r="B3064" s="3">
        <v>0.65435185185185185</v>
      </c>
      <c r="C3064" t="s">
        <v>8</v>
      </c>
      <c r="D3064" t="s">
        <v>1241</v>
      </c>
      <c r="E3064" s="4">
        <v>35.76</v>
      </c>
      <c r="F3064" t="s">
        <v>32</v>
      </c>
      <c r="G3064" s="10" t="str">
        <f>TEXT(Transform_Data[[#This Row],[Date]],"mmm yyyy")</f>
        <v>Feb 2025</v>
      </c>
      <c r="H3064" s="10">
        <f>HOUR(Transform_Data[[#This Row],[Time]])</f>
        <v>15</v>
      </c>
      <c r="I3064" s="10" t="str">
        <f>IF(COUNTIF('Transform Data'!$D:$D,'Transform Data'!D3064)&gt;1,"Repeat","Single")</f>
        <v>Repeat</v>
      </c>
      <c r="J3064" s="10" t="str">
        <f>IF('Transform Data'!D3064="Cash","Cash",IF(COUNTIF('Transform Data'!$D:$D,'Transform Data'!D3064)&gt;1,"Repeat","Single"))</f>
        <v>Repeat</v>
      </c>
      <c r="K3064" s="10" t="str">
        <f t="shared" si="47"/>
        <v>TRANS-3063</v>
      </c>
    </row>
    <row r="3065" spans="1:11" x14ac:dyDescent="0.35">
      <c r="A3065" s="5">
        <v>45700</v>
      </c>
      <c r="B3065" s="3">
        <v>0.65525462962962966</v>
      </c>
      <c r="C3065" t="s">
        <v>8</v>
      </c>
      <c r="D3065" t="s">
        <v>1215</v>
      </c>
      <c r="E3065" s="4">
        <v>35.76</v>
      </c>
      <c r="F3065" t="s">
        <v>15</v>
      </c>
      <c r="G3065" s="10" t="str">
        <f>TEXT(Transform_Data[[#This Row],[Date]],"mmm yyyy")</f>
        <v>Feb 2025</v>
      </c>
      <c r="H3065" s="10">
        <f>HOUR(Transform_Data[[#This Row],[Time]])</f>
        <v>15</v>
      </c>
      <c r="I3065" s="10" t="str">
        <f>IF(COUNTIF('Transform Data'!$D:$D,'Transform Data'!D3065)&gt;1,"Repeat","Single")</f>
        <v>Repeat</v>
      </c>
      <c r="J3065" s="10" t="str">
        <f>IF('Transform Data'!D3065="Cash","Cash",IF(COUNTIF('Transform Data'!$D:$D,'Transform Data'!D3065)&gt;1,"Repeat","Single"))</f>
        <v>Repeat</v>
      </c>
      <c r="K3065" s="10" t="str">
        <f t="shared" si="47"/>
        <v>TRANS-3064</v>
      </c>
    </row>
    <row r="3066" spans="1:11" x14ac:dyDescent="0.35">
      <c r="A3066" s="5">
        <v>45700</v>
      </c>
      <c r="B3066" s="3">
        <v>0.6756712962962963</v>
      </c>
      <c r="C3066" t="s">
        <v>8</v>
      </c>
      <c r="D3066" t="s">
        <v>1211</v>
      </c>
      <c r="E3066" s="4">
        <v>25.96</v>
      </c>
      <c r="F3066" t="s">
        <v>28</v>
      </c>
      <c r="G3066" s="10" t="str">
        <f>TEXT(Transform_Data[[#This Row],[Date]],"mmm yyyy")</f>
        <v>Feb 2025</v>
      </c>
      <c r="H3066" s="10">
        <f>HOUR(Transform_Data[[#This Row],[Time]])</f>
        <v>16</v>
      </c>
      <c r="I3066" s="10" t="str">
        <f>IF(COUNTIF('Transform Data'!$D:$D,'Transform Data'!D3066)&gt;1,"Repeat","Single")</f>
        <v>Repeat</v>
      </c>
      <c r="J3066" s="10" t="str">
        <f>IF('Transform Data'!D3066="Cash","Cash",IF(COUNTIF('Transform Data'!$D:$D,'Transform Data'!D3066)&gt;1,"Repeat","Single"))</f>
        <v>Repeat</v>
      </c>
      <c r="K3066" s="10" t="str">
        <f t="shared" si="47"/>
        <v>TRANS-3065</v>
      </c>
    </row>
    <row r="3067" spans="1:11" x14ac:dyDescent="0.35">
      <c r="A3067" s="5">
        <v>45700</v>
      </c>
      <c r="B3067" s="3">
        <v>0.68481481481481477</v>
      </c>
      <c r="C3067" t="s">
        <v>8</v>
      </c>
      <c r="D3067" t="s">
        <v>1211</v>
      </c>
      <c r="E3067" s="4">
        <v>25.96</v>
      </c>
      <c r="F3067" t="s">
        <v>28</v>
      </c>
      <c r="G3067" s="10" t="str">
        <f>TEXT(Transform_Data[[#This Row],[Date]],"mmm yyyy")</f>
        <v>Feb 2025</v>
      </c>
      <c r="H3067" s="10">
        <f>HOUR(Transform_Data[[#This Row],[Time]])</f>
        <v>16</v>
      </c>
      <c r="I3067" s="10" t="str">
        <f>IF(COUNTIF('Transform Data'!$D:$D,'Transform Data'!D3067)&gt;1,"Repeat","Single")</f>
        <v>Repeat</v>
      </c>
      <c r="J3067" s="10" t="str">
        <f>IF('Transform Data'!D3067="Cash","Cash",IF(COUNTIF('Transform Data'!$D:$D,'Transform Data'!D3067)&gt;1,"Repeat","Single"))</f>
        <v>Repeat</v>
      </c>
      <c r="K3067" s="10" t="str">
        <f t="shared" si="47"/>
        <v>TRANS-3066</v>
      </c>
    </row>
    <row r="3068" spans="1:11" x14ac:dyDescent="0.35">
      <c r="A3068" s="5">
        <v>45700</v>
      </c>
      <c r="B3068" s="3">
        <v>0.7121643518518519</v>
      </c>
      <c r="C3068" t="s">
        <v>8</v>
      </c>
      <c r="D3068" t="s">
        <v>1250</v>
      </c>
      <c r="E3068" s="4">
        <v>35.76</v>
      </c>
      <c r="F3068" t="s">
        <v>24</v>
      </c>
      <c r="G3068" s="10" t="str">
        <f>TEXT(Transform_Data[[#This Row],[Date]],"mmm yyyy")</f>
        <v>Feb 2025</v>
      </c>
      <c r="H3068" s="10">
        <f>HOUR(Transform_Data[[#This Row],[Time]])</f>
        <v>17</v>
      </c>
      <c r="I3068" s="10" t="str">
        <f>IF(COUNTIF('Transform Data'!$D:$D,'Transform Data'!D3068)&gt;1,"Repeat","Single")</f>
        <v>Repeat</v>
      </c>
      <c r="J3068" s="10" t="str">
        <f>IF('Transform Data'!D3068="Cash","Cash",IF(COUNTIF('Transform Data'!$D:$D,'Transform Data'!D3068)&gt;1,"Repeat","Single"))</f>
        <v>Repeat</v>
      </c>
      <c r="K3068" s="10" t="str">
        <f t="shared" si="47"/>
        <v>TRANS-3067</v>
      </c>
    </row>
    <row r="3069" spans="1:11" x14ac:dyDescent="0.35">
      <c r="A3069" s="5">
        <v>45700</v>
      </c>
      <c r="B3069" s="3">
        <v>0.7380902777777778</v>
      </c>
      <c r="C3069" t="s">
        <v>8</v>
      </c>
      <c r="D3069" t="s">
        <v>6</v>
      </c>
      <c r="E3069" s="4">
        <v>25.96</v>
      </c>
      <c r="F3069" t="s">
        <v>28</v>
      </c>
      <c r="G3069" s="10" t="str">
        <f>TEXT(Transform_Data[[#This Row],[Date]],"mmm yyyy")</f>
        <v>Feb 2025</v>
      </c>
      <c r="H3069" s="10">
        <f>HOUR(Transform_Data[[#This Row],[Time]])</f>
        <v>17</v>
      </c>
      <c r="I3069" s="10" t="str">
        <f>IF(COUNTIF('Transform Data'!$D:$D,'Transform Data'!D3069)&gt;1,"Repeat","Single")</f>
        <v>Repeat</v>
      </c>
      <c r="J3069" s="10" t="str">
        <f>IF('Transform Data'!D3069="Cash","Cash",IF(COUNTIF('Transform Data'!$D:$D,'Transform Data'!D3069)&gt;1,"Repeat","Single"))</f>
        <v>Repeat</v>
      </c>
      <c r="K3069" s="10" t="str">
        <f t="shared" si="47"/>
        <v>TRANS-3068</v>
      </c>
    </row>
    <row r="3070" spans="1:11" x14ac:dyDescent="0.35">
      <c r="A3070" s="5">
        <v>45700</v>
      </c>
      <c r="B3070" s="3">
        <v>0.83726851851851847</v>
      </c>
      <c r="C3070" t="s">
        <v>8</v>
      </c>
      <c r="D3070" t="s">
        <v>21</v>
      </c>
      <c r="E3070" s="4">
        <v>35.76</v>
      </c>
      <c r="F3070" t="s">
        <v>32</v>
      </c>
      <c r="G3070" s="10" t="str">
        <f>TEXT(Transform_Data[[#This Row],[Date]],"mmm yyyy")</f>
        <v>Feb 2025</v>
      </c>
      <c r="H3070" s="10">
        <f>HOUR(Transform_Data[[#This Row],[Time]])</f>
        <v>20</v>
      </c>
      <c r="I3070" s="10" t="str">
        <f>IF(COUNTIF('Transform Data'!$D:$D,'Transform Data'!D3070)&gt;1,"Repeat","Single")</f>
        <v>Repeat</v>
      </c>
      <c r="J3070" s="10" t="str">
        <f>IF('Transform Data'!D3070="Cash","Cash",IF(COUNTIF('Transform Data'!$D:$D,'Transform Data'!D3070)&gt;1,"Repeat","Single"))</f>
        <v>Repeat</v>
      </c>
      <c r="K3070" s="10" t="str">
        <f t="shared" si="47"/>
        <v>TRANS-3069</v>
      </c>
    </row>
    <row r="3071" spans="1:11" x14ac:dyDescent="0.35">
      <c r="A3071" s="5">
        <v>45700</v>
      </c>
      <c r="B3071" s="3">
        <v>0.84945601851851849</v>
      </c>
      <c r="C3071" t="s">
        <v>8</v>
      </c>
      <c r="D3071" t="s">
        <v>1228</v>
      </c>
      <c r="E3071" s="4">
        <v>35.76</v>
      </c>
      <c r="F3071" t="s">
        <v>10</v>
      </c>
      <c r="G3071" s="10" t="str">
        <f>TEXT(Transform_Data[[#This Row],[Date]],"mmm yyyy")</f>
        <v>Feb 2025</v>
      </c>
      <c r="H3071" s="10">
        <f>HOUR(Transform_Data[[#This Row],[Time]])</f>
        <v>20</v>
      </c>
      <c r="I3071" s="10" t="str">
        <f>IF(COUNTIF('Transform Data'!$D:$D,'Transform Data'!D3071)&gt;1,"Repeat","Single")</f>
        <v>Repeat</v>
      </c>
      <c r="J3071" s="10" t="str">
        <f>IF('Transform Data'!D3071="Cash","Cash",IF(COUNTIF('Transform Data'!$D:$D,'Transform Data'!D3071)&gt;1,"Repeat","Single"))</f>
        <v>Repeat</v>
      </c>
      <c r="K3071" s="10" t="str">
        <f t="shared" si="47"/>
        <v>TRANS-3070</v>
      </c>
    </row>
    <row r="3072" spans="1:11" x14ac:dyDescent="0.35">
      <c r="A3072" s="5">
        <v>45700</v>
      </c>
      <c r="B3072" s="3">
        <v>0.88685185185185189</v>
      </c>
      <c r="C3072" t="s">
        <v>8</v>
      </c>
      <c r="D3072" t="s">
        <v>1209</v>
      </c>
      <c r="E3072" s="4">
        <v>35.76</v>
      </c>
      <c r="F3072" t="s">
        <v>24</v>
      </c>
      <c r="G3072" s="10" t="str">
        <f>TEXT(Transform_Data[[#This Row],[Date]],"mmm yyyy")</f>
        <v>Feb 2025</v>
      </c>
      <c r="H3072" s="10">
        <f>HOUR(Transform_Data[[#This Row],[Time]])</f>
        <v>21</v>
      </c>
      <c r="I3072" s="10" t="str">
        <f>IF(COUNTIF('Transform Data'!$D:$D,'Transform Data'!D3072)&gt;1,"Repeat","Single")</f>
        <v>Repeat</v>
      </c>
      <c r="J3072" s="10" t="str">
        <f>IF('Transform Data'!D3072="Cash","Cash",IF(COUNTIF('Transform Data'!$D:$D,'Transform Data'!D3072)&gt;1,"Repeat","Single"))</f>
        <v>Repeat</v>
      </c>
      <c r="K3072" s="10" t="str">
        <f t="shared" si="47"/>
        <v>TRANS-3071</v>
      </c>
    </row>
    <row r="3073" spans="1:11" x14ac:dyDescent="0.35">
      <c r="A3073" s="5">
        <v>45701</v>
      </c>
      <c r="B3073" s="3">
        <v>0.31859953703703703</v>
      </c>
      <c r="C3073" t="s">
        <v>8</v>
      </c>
      <c r="D3073" t="s">
        <v>1204</v>
      </c>
      <c r="E3073" s="4">
        <v>30.86</v>
      </c>
      <c r="F3073" t="s">
        <v>36</v>
      </c>
      <c r="G3073" s="10" t="str">
        <f>TEXT(Transform_Data[[#This Row],[Date]],"mmm yyyy")</f>
        <v>Feb 2025</v>
      </c>
      <c r="H3073" s="10">
        <f>HOUR(Transform_Data[[#This Row],[Time]])</f>
        <v>7</v>
      </c>
      <c r="I3073" s="10" t="str">
        <f>IF(COUNTIF('Transform Data'!$D:$D,'Transform Data'!D3073)&gt;1,"Repeat","Single")</f>
        <v>Repeat</v>
      </c>
      <c r="J3073" s="10" t="str">
        <f>IF('Transform Data'!D3073="Cash","Cash",IF(COUNTIF('Transform Data'!$D:$D,'Transform Data'!D3073)&gt;1,"Repeat","Single"))</f>
        <v>Repeat</v>
      </c>
      <c r="K3073" s="10" t="str">
        <f t="shared" si="47"/>
        <v>TRANS-3072</v>
      </c>
    </row>
    <row r="3074" spans="1:11" x14ac:dyDescent="0.35">
      <c r="A3074" s="5">
        <v>45701</v>
      </c>
      <c r="B3074" s="3">
        <v>0.36524305555555553</v>
      </c>
      <c r="C3074" t="s">
        <v>8</v>
      </c>
      <c r="D3074" t="s">
        <v>1203</v>
      </c>
      <c r="E3074" s="4">
        <v>25.96</v>
      </c>
      <c r="F3074" t="s">
        <v>28</v>
      </c>
      <c r="G3074" s="10" t="str">
        <f>TEXT(Transform_Data[[#This Row],[Date]],"mmm yyyy")</f>
        <v>Feb 2025</v>
      </c>
      <c r="H3074" s="10">
        <f>HOUR(Transform_Data[[#This Row],[Time]])</f>
        <v>8</v>
      </c>
      <c r="I3074" s="10" t="str">
        <f>IF(COUNTIF('Transform Data'!$D:$D,'Transform Data'!D3074)&gt;1,"Repeat","Single")</f>
        <v>Repeat</v>
      </c>
      <c r="J3074" s="10" t="str">
        <f>IF('Transform Data'!D3074="Cash","Cash",IF(COUNTIF('Transform Data'!$D:$D,'Transform Data'!D3074)&gt;1,"Repeat","Single"))</f>
        <v>Repeat</v>
      </c>
      <c r="K3074" s="10" t="str">
        <f t="shared" ref="K3074:K3137" si="48">"TRANS-"&amp;TEXT(ROW(A3073),"0000")</f>
        <v>TRANS-3073</v>
      </c>
    </row>
    <row r="3075" spans="1:11" x14ac:dyDescent="0.35">
      <c r="A3075" s="5">
        <v>45701</v>
      </c>
      <c r="B3075" s="3">
        <v>0.38704861111111111</v>
      </c>
      <c r="C3075" t="s">
        <v>8</v>
      </c>
      <c r="D3075" t="s">
        <v>1257</v>
      </c>
      <c r="E3075" s="4">
        <v>21.06</v>
      </c>
      <c r="F3075" t="s">
        <v>5</v>
      </c>
      <c r="G3075" s="10" t="str">
        <f>TEXT(Transform_Data[[#This Row],[Date]],"mmm yyyy")</f>
        <v>Feb 2025</v>
      </c>
      <c r="H3075" s="10">
        <f>HOUR(Transform_Data[[#This Row],[Time]])</f>
        <v>9</v>
      </c>
      <c r="I3075" s="10" t="str">
        <f>IF(COUNTIF('Transform Data'!$D:$D,'Transform Data'!D3075)&gt;1,"Repeat","Single")</f>
        <v>Repeat</v>
      </c>
      <c r="J3075" s="10" t="str">
        <f>IF('Transform Data'!D3075="Cash","Cash",IF(COUNTIF('Transform Data'!$D:$D,'Transform Data'!D3075)&gt;1,"Repeat","Single"))</f>
        <v>Repeat</v>
      </c>
      <c r="K3075" s="10" t="str">
        <f t="shared" si="48"/>
        <v>TRANS-3074</v>
      </c>
    </row>
    <row r="3076" spans="1:11" x14ac:dyDescent="0.35">
      <c r="A3076" s="5">
        <v>45701</v>
      </c>
      <c r="B3076" s="3">
        <v>0.40005787037037038</v>
      </c>
      <c r="C3076" t="s">
        <v>8</v>
      </c>
      <c r="D3076" t="s">
        <v>1218</v>
      </c>
      <c r="E3076" s="4">
        <v>35.76</v>
      </c>
      <c r="F3076" t="s">
        <v>10</v>
      </c>
      <c r="G3076" s="10" t="str">
        <f>TEXT(Transform_Data[[#This Row],[Date]],"mmm yyyy")</f>
        <v>Feb 2025</v>
      </c>
      <c r="H3076" s="10">
        <f>HOUR(Transform_Data[[#This Row],[Time]])</f>
        <v>9</v>
      </c>
      <c r="I3076" s="10" t="str">
        <f>IF(COUNTIF('Transform Data'!$D:$D,'Transform Data'!D3076)&gt;1,"Repeat","Single")</f>
        <v>Repeat</v>
      </c>
      <c r="J3076" s="10" t="str">
        <f>IF('Transform Data'!D3076="Cash","Cash",IF(COUNTIF('Transform Data'!$D:$D,'Transform Data'!D3076)&gt;1,"Repeat","Single"))</f>
        <v>Repeat</v>
      </c>
      <c r="K3076" s="10" t="str">
        <f t="shared" si="48"/>
        <v>TRANS-3075</v>
      </c>
    </row>
    <row r="3077" spans="1:11" x14ac:dyDescent="0.35">
      <c r="A3077" s="5">
        <v>45701</v>
      </c>
      <c r="B3077" s="3">
        <v>0.43717592592592591</v>
      </c>
      <c r="C3077" t="s">
        <v>8</v>
      </c>
      <c r="D3077" t="s">
        <v>1207</v>
      </c>
      <c r="E3077" s="4">
        <v>30.86</v>
      </c>
      <c r="F3077" t="s">
        <v>36</v>
      </c>
      <c r="G3077" s="10" t="str">
        <f>TEXT(Transform_Data[[#This Row],[Date]],"mmm yyyy")</f>
        <v>Feb 2025</v>
      </c>
      <c r="H3077" s="10">
        <f>HOUR(Transform_Data[[#This Row],[Time]])</f>
        <v>10</v>
      </c>
      <c r="I3077" s="10" t="str">
        <f>IF(COUNTIF('Transform Data'!$D:$D,'Transform Data'!D3077)&gt;1,"Repeat","Single")</f>
        <v>Repeat</v>
      </c>
      <c r="J3077" s="10" t="str">
        <f>IF('Transform Data'!D3077="Cash","Cash",IF(COUNTIF('Transform Data'!$D:$D,'Transform Data'!D3077)&gt;1,"Repeat","Single"))</f>
        <v>Repeat</v>
      </c>
      <c r="K3077" s="10" t="str">
        <f t="shared" si="48"/>
        <v>TRANS-3076</v>
      </c>
    </row>
    <row r="3078" spans="1:11" x14ac:dyDescent="0.35">
      <c r="A3078" s="5">
        <v>45701</v>
      </c>
      <c r="B3078" s="3">
        <v>0.45795138888888887</v>
      </c>
      <c r="C3078" t="s">
        <v>8</v>
      </c>
      <c r="D3078" t="s">
        <v>1208</v>
      </c>
      <c r="E3078" s="4">
        <v>30.86</v>
      </c>
      <c r="F3078" t="s">
        <v>36</v>
      </c>
      <c r="G3078" s="10" t="str">
        <f>TEXT(Transform_Data[[#This Row],[Date]],"mmm yyyy")</f>
        <v>Feb 2025</v>
      </c>
      <c r="H3078" s="10">
        <f>HOUR(Transform_Data[[#This Row],[Time]])</f>
        <v>10</v>
      </c>
      <c r="I3078" s="10" t="str">
        <f>IF(COUNTIF('Transform Data'!$D:$D,'Transform Data'!D3078)&gt;1,"Repeat","Single")</f>
        <v>Repeat</v>
      </c>
      <c r="J3078" s="10" t="str">
        <f>IF('Transform Data'!D3078="Cash","Cash",IF(COUNTIF('Transform Data'!$D:$D,'Transform Data'!D3078)&gt;1,"Repeat","Single"))</f>
        <v>Repeat</v>
      </c>
      <c r="K3078" s="10" t="str">
        <f t="shared" si="48"/>
        <v>TRANS-3077</v>
      </c>
    </row>
    <row r="3079" spans="1:11" x14ac:dyDescent="0.35">
      <c r="A3079" s="5">
        <v>45701</v>
      </c>
      <c r="B3079" s="3">
        <v>0.68795138888888885</v>
      </c>
      <c r="C3079" t="s">
        <v>8</v>
      </c>
      <c r="D3079" t="s">
        <v>33</v>
      </c>
      <c r="E3079" s="4">
        <v>25.96</v>
      </c>
      <c r="F3079" t="s">
        <v>28</v>
      </c>
      <c r="G3079" s="10" t="str">
        <f>TEXT(Transform_Data[[#This Row],[Date]],"mmm yyyy")</f>
        <v>Feb 2025</v>
      </c>
      <c r="H3079" s="10">
        <f>HOUR(Transform_Data[[#This Row],[Time]])</f>
        <v>16</v>
      </c>
      <c r="I3079" s="10" t="str">
        <f>IF(COUNTIF('Transform Data'!$D:$D,'Transform Data'!D3079)&gt;1,"Repeat","Single")</f>
        <v>Repeat</v>
      </c>
      <c r="J3079" s="10" t="str">
        <f>IF('Transform Data'!D3079="Cash","Cash",IF(COUNTIF('Transform Data'!$D:$D,'Transform Data'!D3079)&gt;1,"Repeat","Single"))</f>
        <v>Repeat</v>
      </c>
      <c r="K3079" s="10" t="str">
        <f t="shared" si="48"/>
        <v>TRANS-3078</v>
      </c>
    </row>
    <row r="3080" spans="1:11" x14ac:dyDescent="0.35">
      <c r="A3080" s="5">
        <v>45701</v>
      </c>
      <c r="B3080" s="3">
        <v>0.68857638888888884</v>
      </c>
      <c r="C3080" t="s">
        <v>8</v>
      </c>
      <c r="D3080" t="s">
        <v>33</v>
      </c>
      <c r="E3080" s="4">
        <v>25.96</v>
      </c>
      <c r="F3080" t="s">
        <v>28</v>
      </c>
      <c r="G3080" s="10" t="str">
        <f>TEXT(Transform_Data[[#This Row],[Date]],"mmm yyyy")</f>
        <v>Feb 2025</v>
      </c>
      <c r="H3080" s="10">
        <f>HOUR(Transform_Data[[#This Row],[Time]])</f>
        <v>16</v>
      </c>
      <c r="I3080" s="10" t="str">
        <f>IF(COUNTIF('Transform Data'!$D:$D,'Transform Data'!D3080)&gt;1,"Repeat","Single")</f>
        <v>Repeat</v>
      </c>
      <c r="J3080" s="10" t="str">
        <f>IF('Transform Data'!D3080="Cash","Cash",IF(COUNTIF('Transform Data'!$D:$D,'Transform Data'!D3080)&gt;1,"Repeat","Single"))</f>
        <v>Repeat</v>
      </c>
      <c r="K3080" s="10" t="str">
        <f t="shared" si="48"/>
        <v>TRANS-3079</v>
      </c>
    </row>
    <row r="3081" spans="1:11" x14ac:dyDescent="0.35">
      <c r="A3081" s="5">
        <v>45701</v>
      </c>
      <c r="B3081" s="3">
        <v>0.71957175925925931</v>
      </c>
      <c r="C3081" t="s">
        <v>8</v>
      </c>
      <c r="D3081" t="s">
        <v>1228</v>
      </c>
      <c r="E3081" s="4">
        <v>30.86</v>
      </c>
      <c r="F3081" t="s">
        <v>36</v>
      </c>
      <c r="G3081" s="10" t="str">
        <f>TEXT(Transform_Data[[#This Row],[Date]],"mmm yyyy")</f>
        <v>Feb 2025</v>
      </c>
      <c r="H3081" s="10">
        <f>HOUR(Transform_Data[[#This Row],[Time]])</f>
        <v>17</v>
      </c>
      <c r="I3081" s="10" t="str">
        <f>IF(COUNTIF('Transform Data'!$D:$D,'Transform Data'!D3081)&gt;1,"Repeat","Single")</f>
        <v>Repeat</v>
      </c>
      <c r="J3081" s="10" t="str">
        <f>IF('Transform Data'!D3081="Cash","Cash",IF(COUNTIF('Transform Data'!$D:$D,'Transform Data'!D3081)&gt;1,"Repeat","Single"))</f>
        <v>Repeat</v>
      </c>
      <c r="K3081" s="10" t="str">
        <f t="shared" si="48"/>
        <v>TRANS-3080</v>
      </c>
    </row>
    <row r="3082" spans="1:11" x14ac:dyDescent="0.35">
      <c r="A3082" s="5">
        <v>45701</v>
      </c>
      <c r="B3082" s="3">
        <v>0.72037037037037033</v>
      </c>
      <c r="C3082" t="s">
        <v>8</v>
      </c>
      <c r="D3082" t="s">
        <v>1229</v>
      </c>
      <c r="E3082" s="4">
        <v>30.86</v>
      </c>
      <c r="F3082" t="s">
        <v>36</v>
      </c>
      <c r="G3082" s="10" t="str">
        <f>TEXT(Transform_Data[[#This Row],[Date]],"mmm yyyy")</f>
        <v>Feb 2025</v>
      </c>
      <c r="H3082" s="10">
        <f>HOUR(Transform_Data[[#This Row],[Time]])</f>
        <v>17</v>
      </c>
      <c r="I3082" s="10" t="str">
        <f>IF(COUNTIF('Transform Data'!$D:$D,'Transform Data'!D3082)&gt;1,"Repeat","Single")</f>
        <v>Repeat</v>
      </c>
      <c r="J3082" s="10" t="str">
        <f>IF('Transform Data'!D3082="Cash","Cash",IF(COUNTIF('Transform Data'!$D:$D,'Transform Data'!D3082)&gt;1,"Repeat","Single"))</f>
        <v>Repeat</v>
      </c>
      <c r="K3082" s="10" t="str">
        <f t="shared" si="48"/>
        <v>TRANS-3081</v>
      </c>
    </row>
    <row r="3083" spans="1:11" x14ac:dyDescent="0.35">
      <c r="A3083" s="5">
        <v>45701</v>
      </c>
      <c r="B3083" s="3">
        <v>0.75109953703703702</v>
      </c>
      <c r="C3083" t="s">
        <v>8</v>
      </c>
      <c r="D3083" t="s">
        <v>1258</v>
      </c>
      <c r="E3083" s="4">
        <v>35.76</v>
      </c>
      <c r="F3083" t="s">
        <v>32</v>
      </c>
      <c r="G3083" s="10" t="str">
        <f>TEXT(Transform_Data[[#This Row],[Date]],"mmm yyyy")</f>
        <v>Feb 2025</v>
      </c>
      <c r="H3083" s="10">
        <f>HOUR(Transform_Data[[#This Row],[Time]])</f>
        <v>18</v>
      </c>
      <c r="I3083" s="10" t="str">
        <f>IF(COUNTIF('Transform Data'!$D:$D,'Transform Data'!D3083)&gt;1,"Repeat","Single")</f>
        <v>Repeat</v>
      </c>
      <c r="J3083" s="10" t="str">
        <f>IF('Transform Data'!D3083="Cash","Cash",IF(COUNTIF('Transform Data'!$D:$D,'Transform Data'!D3083)&gt;1,"Repeat","Single"))</f>
        <v>Repeat</v>
      </c>
      <c r="K3083" s="10" t="str">
        <f t="shared" si="48"/>
        <v>TRANS-3082</v>
      </c>
    </row>
    <row r="3084" spans="1:11" x14ac:dyDescent="0.35">
      <c r="A3084" s="5">
        <v>45701</v>
      </c>
      <c r="B3084" s="3">
        <v>0.76050925925925927</v>
      </c>
      <c r="C3084" t="s">
        <v>8</v>
      </c>
      <c r="D3084" t="s">
        <v>102</v>
      </c>
      <c r="E3084" s="4">
        <v>35.76</v>
      </c>
      <c r="F3084" t="s">
        <v>24</v>
      </c>
      <c r="G3084" s="10" t="str">
        <f>TEXT(Transform_Data[[#This Row],[Date]],"mmm yyyy")</f>
        <v>Feb 2025</v>
      </c>
      <c r="H3084" s="10">
        <f>HOUR(Transform_Data[[#This Row],[Time]])</f>
        <v>18</v>
      </c>
      <c r="I3084" s="10" t="str">
        <f>IF(COUNTIF('Transform Data'!$D:$D,'Transform Data'!D3084)&gt;1,"Repeat","Single")</f>
        <v>Repeat</v>
      </c>
      <c r="J3084" s="10" t="str">
        <f>IF('Transform Data'!D3084="Cash","Cash",IF(COUNTIF('Transform Data'!$D:$D,'Transform Data'!D3084)&gt;1,"Repeat","Single"))</f>
        <v>Repeat</v>
      </c>
      <c r="K3084" s="10" t="str">
        <f t="shared" si="48"/>
        <v>TRANS-3083</v>
      </c>
    </row>
    <row r="3085" spans="1:11" x14ac:dyDescent="0.35">
      <c r="A3085" s="5">
        <v>45701</v>
      </c>
      <c r="B3085" s="3">
        <v>0.79618055555555556</v>
      </c>
      <c r="C3085" t="s">
        <v>8</v>
      </c>
      <c r="D3085" t="s">
        <v>1259</v>
      </c>
      <c r="E3085" s="4">
        <v>35.76</v>
      </c>
      <c r="F3085" t="s">
        <v>32</v>
      </c>
      <c r="G3085" s="10" t="str">
        <f>TEXT(Transform_Data[[#This Row],[Date]],"mmm yyyy")</f>
        <v>Feb 2025</v>
      </c>
      <c r="H3085" s="10">
        <f>HOUR(Transform_Data[[#This Row],[Time]])</f>
        <v>19</v>
      </c>
      <c r="I3085" s="10" t="str">
        <f>IF(COUNTIF('Transform Data'!$D:$D,'Transform Data'!D3085)&gt;1,"Repeat","Single")</f>
        <v>Repeat</v>
      </c>
      <c r="J3085" s="10" t="str">
        <f>IF('Transform Data'!D3085="Cash","Cash",IF(COUNTIF('Transform Data'!$D:$D,'Transform Data'!D3085)&gt;1,"Repeat","Single"))</f>
        <v>Repeat</v>
      </c>
      <c r="K3085" s="10" t="str">
        <f t="shared" si="48"/>
        <v>TRANS-3084</v>
      </c>
    </row>
    <row r="3086" spans="1:11" x14ac:dyDescent="0.35">
      <c r="A3086" s="5">
        <v>45702</v>
      </c>
      <c r="B3086" s="3">
        <v>0.4853587962962963</v>
      </c>
      <c r="C3086" t="s">
        <v>8</v>
      </c>
      <c r="D3086" t="s">
        <v>33</v>
      </c>
      <c r="E3086" s="4">
        <v>25.96</v>
      </c>
      <c r="F3086" t="s">
        <v>28</v>
      </c>
      <c r="G3086" s="10" t="str">
        <f>TEXT(Transform_Data[[#This Row],[Date]],"mmm yyyy")</f>
        <v>Feb 2025</v>
      </c>
      <c r="H3086" s="10">
        <f>HOUR(Transform_Data[[#This Row],[Time]])</f>
        <v>11</v>
      </c>
      <c r="I3086" s="10" t="str">
        <f>IF(COUNTIF('Transform Data'!$D:$D,'Transform Data'!D3086)&gt;1,"Repeat","Single")</f>
        <v>Repeat</v>
      </c>
      <c r="J3086" s="10" t="str">
        <f>IF('Transform Data'!D3086="Cash","Cash",IF(COUNTIF('Transform Data'!$D:$D,'Transform Data'!D3086)&gt;1,"Repeat","Single"))</f>
        <v>Repeat</v>
      </c>
      <c r="K3086" s="10" t="str">
        <f t="shared" si="48"/>
        <v>TRANS-3085</v>
      </c>
    </row>
    <row r="3087" spans="1:11" x14ac:dyDescent="0.35">
      <c r="A3087" s="5">
        <v>45702</v>
      </c>
      <c r="B3087" s="3">
        <v>0.58829861111111115</v>
      </c>
      <c r="C3087" t="s">
        <v>8</v>
      </c>
      <c r="D3087" t="s">
        <v>1260</v>
      </c>
      <c r="E3087" s="4">
        <v>35.76</v>
      </c>
      <c r="F3087" t="s">
        <v>15</v>
      </c>
      <c r="G3087" s="10" t="str">
        <f>TEXT(Transform_Data[[#This Row],[Date]],"mmm yyyy")</f>
        <v>Feb 2025</v>
      </c>
      <c r="H3087" s="10">
        <f>HOUR(Transform_Data[[#This Row],[Time]])</f>
        <v>14</v>
      </c>
      <c r="I3087" s="10" t="str">
        <f>IF(COUNTIF('Transform Data'!$D:$D,'Transform Data'!D3087)&gt;1,"Repeat","Single")</f>
        <v>Repeat</v>
      </c>
      <c r="J3087" s="10" t="str">
        <f>IF('Transform Data'!D3087="Cash","Cash",IF(COUNTIF('Transform Data'!$D:$D,'Transform Data'!D3087)&gt;1,"Repeat","Single"))</f>
        <v>Repeat</v>
      </c>
      <c r="K3087" s="10" t="str">
        <f t="shared" si="48"/>
        <v>TRANS-3086</v>
      </c>
    </row>
    <row r="3088" spans="1:11" x14ac:dyDescent="0.35">
      <c r="A3088" s="5">
        <v>45702</v>
      </c>
      <c r="B3088" s="3">
        <v>0.61526620370370366</v>
      </c>
      <c r="C3088" t="s">
        <v>8</v>
      </c>
      <c r="D3088" t="s">
        <v>1248</v>
      </c>
      <c r="E3088" s="4">
        <v>25.96</v>
      </c>
      <c r="F3088" t="s">
        <v>28</v>
      </c>
      <c r="G3088" s="10" t="str">
        <f>TEXT(Transform_Data[[#This Row],[Date]],"mmm yyyy")</f>
        <v>Feb 2025</v>
      </c>
      <c r="H3088" s="10">
        <f>HOUR(Transform_Data[[#This Row],[Time]])</f>
        <v>14</v>
      </c>
      <c r="I3088" s="10" t="str">
        <f>IF(COUNTIF('Transform Data'!$D:$D,'Transform Data'!D3088)&gt;1,"Repeat","Single")</f>
        <v>Repeat</v>
      </c>
      <c r="J3088" s="10" t="str">
        <f>IF('Transform Data'!D3088="Cash","Cash",IF(COUNTIF('Transform Data'!$D:$D,'Transform Data'!D3088)&gt;1,"Repeat","Single"))</f>
        <v>Repeat</v>
      </c>
      <c r="K3088" s="10" t="str">
        <f t="shared" si="48"/>
        <v>TRANS-3087</v>
      </c>
    </row>
    <row r="3089" spans="1:11" x14ac:dyDescent="0.35">
      <c r="A3089" s="5">
        <v>45702</v>
      </c>
      <c r="B3089" s="3">
        <v>0.61579861111111112</v>
      </c>
      <c r="C3089" t="s">
        <v>8</v>
      </c>
      <c r="D3089" t="s">
        <v>1248</v>
      </c>
      <c r="E3089" s="4">
        <v>21.06</v>
      </c>
      <c r="F3089" t="s">
        <v>5</v>
      </c>
      <c r="G3089" s="10" t="str">
        <f>TEXT(Transform_Data[[#This Row],[Date]],"mmm yyyy")</f>
        <v>Feb 2025</v>
      </c>
      <c r="H3089" s="10">
        <f>HOUR(Transform_Data[[#This Row],[Time]])</f>
        <v>14</v>
      </c>
      <c r="I3089" s="10" t="str">
        <f>IF(COUNTIF('Transform Data'!$D:$D,'Transform Data'!D3089)&gt;1,"Repeat","Single")</f>
        <v>Repeat</v>
      </c>
      <c r="J3089" s="10" t="str">
        <f>IF('Transform Data'!D3089="Cash","Cash",IF(COUNTIF('Transform Data'!$D:$D,'Transform Data'!D3089)&gt;1,"Repeat","Single"))</f>
        <v>Repeat</v>
      </c>
      <c r="K3089" s="10" t="str">
        <f t="shared" si="48"/>
        <v>TRANS-3088</v>
      </c>
    </row>
    <row r="3090" spans="1:11" x14ac:dyDescent="0.35">
      <c r="A3090" s="5">
        <v>45702</v>
      </c>
      <c r="B3090" s="3">
        <v>0.62375000000000003</v>
      </c>
      <c r="C3090" t="s">
        <v>8</v>
      </c>
      <c r="D3090" t="s">
        <v>1261</v>
      </c>
      <c r="E3090" s="4">
        <v>30.86</v>
      </c>
      <c r="F3090" t="s">
        <v>36</v>
      </c>
      <c r="G3090" s="10" t="str">
        <f>TEXT(Transform_Data[[#This Row],[Date]],"mmm yyyy")</f>
        <v>Feb 2025</v>
      </c>
      <c r="H3090" s="10">
        <f>HOUR(Transform_Data[[#This Row],[Time]])</f>
        <v>14</v>
      </c>
      <c r="I3090" s="10" t="str">
        <f>IF(COUNTIF('Transform Data'!$D:$D,'Transform Data'!D3090)&gt;1,"Repeat","Single")</f>
        <v>Single</v>
      </c>
      <c r="J3090" s="10" t="str">
        <f>IF('Transform Data'!D3090="Cash","Cash",IF(COUNTIF('Transform Data'!$D:$D,'Transform Data'!D3090)&gt;1,"Repeat","Single"))</f>
        <v>Single</v>
      </c>
      <c r="K3090" s="10" t="str">
        <f t="shared" si="48"/>
        <v>TRANS-3089</v>
      </c>
    </row>
    <row r="3091" spans="1:11" x14ac:dyDescent="0.35">
      <c r="A3091" s="5">
        <v>45702</v>
      </c>
      <c r="B3091" s="3">
        <v>0.62518518518518518</v>
      </c>
      <c r="C3091" t="s">
        <v>8</v>
      </c>
      <c r="D3091" t="s">
        <v>1250</v>
      </c>
      <c r="E3091" s="4">
        <v>35.76</v>
      </c>
      <c r="F3091" t="s">
        <v>24</v>
      </c>
      <c r="G3091" s="10" t="str">
        <f>TEXT(Transform_Data[[#This Row],[Date]],"mmm yyyy")</f>
        <v>Feb 2025</v>
      </c>
      <c r="H3091" s="10">
        <f>HOUR(Transform_Data[[#This Row],[Time]])</f>
        <v>15</v>
      </c>
      <c r="I3091" s="10" t="str">
        <f>IF(COUNTIF('Transform Data'!$D:$D,'Transform Data'!D3091)&gt;1,"Repeat","Single")</f>
        <v>Repeat</v>
      </c>
      <c r="J3091" s="10" t="str">
        <f>IF('Transform Data'!D3091="Cash","Cash",IF(COUNTIF('Transform Data'!$D:$D,'Transform Data'!D3091)&gt;1,"Repeat","Single"))</f>
        <v>Repeat</v>
      </c>
      <c r="K3091" s="10" t="str">
        <f t="shared" si="48"/>
        <v>TRANS-3090</v>
      </c>
    </row>
    <row r="3092" spans="1:11" x14ac:dyDescent="0.35">
      <c r="A3092" s="5">
        <v>45702</v>
      </c>
      <c r="B3092" s="3">
        <v>0.65046296296296291</v>
      </c>
      <c r="C3092" t="s">
        <v>8</v>
      </c>
      <c r="D3092" t="s">
        <v>21</v>
      </c>
      <c r="E3092" s="4">
        <v>35.76</v>
      </c>
      <c r="F3092" t="s">
        <v>24</v>
      </c>
      <c r="G3092" s="10" t="str">
        <f>TEXT(Transform_Data[[#This Row],[Date]],"mmm yyyy")</f>
        <v>Feb 2025</v>
      </c>
      <c r="H3092" s="10">
        <f>HOUR(Transform_Data[[#This Row],[Time]])</f>
        <v>15</v>
      </c>
      <c r="I3092" s="10" t="str">
        <f>IF(COUNTIF('Transform Data'!$D:$D,'Transform Data'!D3092)&gt;1,"Repeat","Single")</f>
        <v>Repeat</v>
      </c>
      <c r="J3092" s="10" t="str">
        <f>IF('Transform Data'!D3092="Cash","Cash",IF(COUNTIF('Transform Data'!$D:$D,'Transform Data'!D3092)&gt;1,"Repeat","Single"))</f>
        <v>Repeat</v>
      </c>
      <c r="K3092" s="10" t="str">
        <f t="shared" si="48"/>
        <v>TRANS-3091</v>
      </c>
    </row>
    <row r="3093" spans="1:11" x14ac:dyDescent="0.35">
      <c r="A3093" s="5">
        <v>45702</v>
      </c>
      <c r="B3093" s="3">
        <v>0.6519328703703704</v>
      </c>
      <c r="C3093" t="s">
        <v>8</v>
      </c>
      <c r="D3093" t="s">
        <v>21</v>
      </c>
      <c r="E3093" s="4">
        <v>35.76</v>
      </c>
      <c r="F3093" t="s">
        <v>32</v>
      </c>
      <c r="G3093" s="10" t="str">
        <f>TEXT(Transform_Data[[#This Row],[Date]],"mmm yyyy")</f>
        <v>Feb 2025</v>
      </c>
      <c r="H3093" s="10">
        <f>HOUR(Transform_Data[[#This Row],[Time]])</f>
        <v>15</v>
      </c>
      <c r="I3093" s="10" t="str">
        <f>IF(COUNTIF('Transform Data'!$D:$D,'Transform Data'!D3093)&gt;1,"Repeat","Single")</f>
        <v>Repeat</v>
      </c>
      <c r="J3093" s="10" t="str">
        <f>IF('Transform Data'!D3093="Cash","Cash",IF(COUNTIF('Transform Data'!$D:$D,'Transform Data'!D3093)&gt;1,"Repeat","Single"))</f>
        <v>Repeat</v>
      </c>
      <c r="K3093" s="10" t="str">
        <f t="shared" si="48"/>
        <v>TRANS-3092</v>
      </c>
    </row>
    <row r="3094" spans="1:11" x14ac:dyDescent="0.35">
      <c r="A3094" s="5">
        <v>45702</v>
      </c>
      <c r="B3094" s="3">
        <v>0.66245370370370371</v>
      </c>
      <c r="C3094" t="s">
        <v>8</v>
      </c>
      <c r="D3094" t="s">
        <v>1262</v>
      </c>
      <c r="E3094" s="4">
        <v>35.76</v>
      </c>
      <c r="F3094" t="s">
        <v>15</v>
      </c>
      <c r="G3094" s="10" t="str">
        <f>TEXT(Transform_Data[[#This Row],[Date]],"mmm yyyy")</f>
        <v>Feb 2025</v>
      </c>
      <c r="H3094" s="10">
        <f>HOUR(Transform_Data[[#This Row],[Time]])</f>
        <v>15</v>
      </c>
      <c r="I3094" s="10" t="str">
        <f>IF(COUNTIF('Transform Data'!$D:$D,'Transform Data'!D3094)&gt;1,"Repeat","Single")</f>
        <v>Repeat</v>
      </c>
      <c r="J3094" s="10" t="str">
        <f>IF('Transform Data'!D3094="Cash","Cash",IF(COUNTIF('Transform Data'!$D:$D,'Transform Data'!D3094)&gt;1,"Repeat","Single"))</f>
        <v>Repeat</v>
      </c>
      <c r="K3094" s="10" t="str">
        <f t="shared" si="48"/>
        <v>TRANS-3093</v>
      </c>
    </row>
    <row r="3095" spans="1:11" x14ac:dyDescent="0.35">
      <c r="A3095" s="5">
        <v>45702</v>
      </c>
      <c r="B3095" s="3">
        <v>0.66315972222222219</v>
      </c>
      <c r="C3095" t="s">
        <v>8</v>
      </c>
      <c r="D3095" t="s">
        <v>1262</v>
      </c>
      <c r="E3095" s="4">
        <v>35.76</v>
      </c>
      <c r="F3095" t="s">
        <v>24</v>
      </c>
      <c r="G3095" s="10" t="str">
        <f>TEXT(Transform_Data[[#This Row],[Date]],"mmm yyyy")</f>
        <v>Feb 2025</v>
      </c>
      <c r="H3095" s="10">
        <f>HOUR(Transform_Data[[#This Row],[Time]])</f>
        <v>15</v>
      </c>
      <c r="I3095" s="10" t="str">
        <f>IF(COUNTIF('Transform Data'!$D:$D,'Transform Data'!D3095)&gt;1,"Repeat","Single")</f>
        <v>Repeat</v>
      </c>
      <c r="J3095" s="10" t="str">
        <f>IF('Transform Data'!D3095="Cash","Cash",IF(COUNTIF('Transform Data'!$D:$D,'Transform Data'!D3095)&gt;1,"Repeat","Single"))</f>
        <v>Repeat</v>
      </c>
      <c r="K3095" s="10" t="str">
        <f t="shared" si="48"/>
        <v>TRANS-3094</v>
      </c>
    </row>
    <row r="3096" spans="1:11" x14ac:dyDescent="0.35">
      <c r="A3096" s="5">
        <v>45702</v>
      </c>
      <c r="B3096" s="3">
        <v>0.71060185185185187</v>
      </c>
      <c r="C3096" t="s">
        <v>8</v>
      </c>
      <c r="D3096" t="s">
        <v>1211</v>
      </c>
      <c r="E3096" s="4">
        <v>25.96</v>
      </c>
      <c r="F3096" t="s">
        <v>28</v>
      </c>
      <c r="G3096" s="10" t="str">
        <f>TEXT(Transform_Data[[#This Row],[Date]],"mmm yyyy")</f>
        <v>Feb 2025</v>
      </c>
      <c r="H3096" s="10">
        <f>HOUR(Transform_Data[[#This Row],[Time]])</f>
        <v>17</v>
      </c>
      <c r="I3096" s="10" t="str">
        <f>IF(COUNTIF('Transform Data'!$D:$D,'Transform Data'!D3096)&gt;1,"Repeat","Single")</f>
        <v>Repeat</v>
      </c>
      <c r="J3096" s="10" t="str">
        <f>IF('Transform Data'!D3096="Cash","Cash",IF(COUNTIF('Transform Data'!$D:$D,'Transform Data'!D3096)&gt;1,"Repeat","Single"))</f>
        <v>Repeat</v>
      </c>
      <c r="K3096" s="10" t="str">
        <f t="shared" si="48"/>
        <v>TRANS-3095</v>
      </c>
    </row>
    <row r="3097" spans="1:11" x14ac:dyDescent="0.35">
      <c r="A3097" s="5">
        <v>45702</v>
      </c>
      <c r="B3097" s="3">
        <v>0.71144675925925926</v>
      </c>
      <c r="C3097" t="s">
        <v>8</v>
      </c>
      <c r="D3097" t="s">
        <v>1211</v>
      </c>
      <c r="E3097" s="4">
        <v>35.76</v>
      </c>
      <c r="F3097" t="s">
        <v>10</v>
      </c>
      <c r="G3097" s="10" t="str">
        <f>TEXT(Transform_Data[[#This Row],[Date]],"mmm yyyy")</f>
        <v>Feb 2025</v>
      </c>
      <c r="H3097" s="10">
        <f>HOUR(Transform_Data[[#This Row],[Time]])</f>
        <v>17</v>
      </c>
      <c r="I3097" s="10" t="str">
        <f>IF(COUNTIF('Transform Data'!$D:$D,'Transform Data'!D3097)&gt;1,"Repeat","Single")</f>
        <v>Repeat</v>
      </c>
      <c r="J3097" s="10" t="str">
        <f>IF('Transform Data'!D3097="Cash","Cash",IF(COUNTIF('Transform Data'!$D:$D,'Transform Data'!D3097)&gt;1,"Repeat","Single"))</f>
        <v>Repeat</v>
      </c>
      <c r="K3097" s="10" t="str">
        <f t="shared" si="48"/>
        <v>TRANS-3096</v>
      </c>
    </row>
    <row r="3098" spans="1:11" x14ac:dyDescent="0.35">
      <c r="A3098" s="5">
        <v>45702</v>
      </c>
      <c r="B3098" s="3">
        <v>0.71466435185185184</v>
      </c>
      <c r="C3098" t="s">
        <v>8</v>
      </c>
      <c r="D3098" t="s">
        <v>1252</v>
      </c>
      <c r="E3098" s="4">
        <v>21.06</v>
      </c>
      <c r="F3098" t="s">
        <v>5</v>
      </c>
      <c r="G3098" s="10" t="str">
        <f>TEXT(Transform_Data[[#This Row],[Date]],"mmm yyyy")</f>
        <v>Feb 2025</v>
      </c>
      <c r="H3098" s="10">
        <f>HOUR(Transform_Data[[#This Row],[Time]])</f>
        <v>17</v>
      </c>
      <c r="I3098" s="10" t="str">
        <f>IF(COUNTIF('Transform Data'!$D:$D,'Transform Data'!D3098)&gt;1,"Repeat","Single")</f>
        <v>Repeat</v>
      </c>
      <c r="J3098" s="10" t="str">
        <f>IF('Transform Data'!D3098="Cash","Cash",IF(COUNTIF('Transform Data'!$D:$D,'Transform Data'!D3098)&gt;1,"Repeat","Single"))</f>
        <v>Repeat</v>
      </c>
      <c r="K3098" s="10" t="str">
        <f t="shared" si="48"/>
        <v>TRANS-3097</v>
      </c>
    </row>
    <row r="3099" spans="1:11" x14ac:dyDescent="0.35">
      <c r="A3099" s="5">
        <v>45702</v>
      </c>
      <c r="B3099" s="3">
        <v>0.72597222222222224</v>
      </c>
      <c r="C3099" t="s">
        <v>8</v>
      </c>
      <c r="D3099" t="s">
        <v>1263</v>
      </c>
      <c r="E3099" s="4">
        <v>30.86</v>
      </c>
      <c r="F3099" t="s">
        <v>36</v>
      </c>
      <c r="G3099" s="10" t="str">
        <f>TEXT(Transform_Data[[#This Row],[Date]],"mmm yyyy")</f>
        <v>Feb 2025</v>
      </c>
      <c r="H3099" s="10">
        <f>HOUR(Transform_Data[[#This Row],[Time]])</f>
        <v>17</v>
      </c>
      <c r="I3099" s="10" t="str">
        <f>IF(COUNTIF('Transform Data'!$D:$D,'Transform Data'!D3099)&gt;1,"Repeat","Single")</f>
        <v>Single</v>
      </c>
      <c r="J3099" s="10" t="str">
        <f>IF('Transform Data'!D3099="Cash","Cash",IF(COUNTIF('Transform Data'!$D:$D,'Transform Data'!D3099)&gt;1,"Repeat","Single"))</f>
        <v>Single</v>
      </c>
      <c r="K3099" s="10" t="str">
        <f t="shared" si="48"/>
        <v>TRANS-3098</v>
      </c>
    </row>
    <row r="3100" spans="1:11" x14ac:dyDescent="0.35">
      <c r="A3100" s="5">
        <v>45702</v>
      </c>
      <c r="B3100" s="3">
        <v>0.88783564814814819</v>
      </c>
      <c r="C3100" t="s">
        <v>8</v>
      </c>
      <c r="D3100" t="s">
        <v>1264</v>
      </c>
      <c r="E3100" s="4">
        <v>25.96</v>
      </c>
      <c r="F3100" t="s">
        <v>28</v>
      </c>
      <c r="G3100" s="10" t="str">
        <f>TEXT(Transform_Data[[#This Row],[Date]],"mmm yyyy")</f>
        <v>Feb 2025</v>
      </c>
      <c r="H3100" s="10">
        <f>HOUR(Transform_Data[[#This Row],[Time]])</f>
        <v>21</v>
      </c>
      <c r="I3100" s="10" t="str">
        <f>IF(COUNTIF('Transform Data'!$D:$D,'Transform Data'!D3100)&gt;1,"Repeat","Single")</f>
        <v>Repeat</v>
      </c>
      <c r="J3100" s="10" t="str">
        <f>IF('Transform Data'!D3100="Cash","Cash",IF(COUNTIF('Transform Data'!$D:$D,'Transform Data'!D3100)&gt;1,"Repeat","Single"))</f>
        <v>Repeat</v>
      </c>
      <c r="K3100" s="10" t="str">
        <f t="shared" si="48"/>
        <v>TRANS-3099</v>
      </c>
    </row>
    <row r="3101" spans="1:11" x14ac:dyDescent="0.35">
      <c r="A3101" s="5">
        <v>45703</v>
      </c>
      <c r="B3101" s="3">
        <v>0.39086805555555554</v>
      </c>
      <c r="C3101" t="s">
        <v>8</v>
      </c>
      <c r="D3101" t="s">
        <v>1250</v>
      </c>
      <c r="E3101" s="4">
        <v>35.76</v>
      </c>
      <c r="F3101" t="s">
        <v>24</v>
      </c>
      <c r="G3101" s="10" t="str">
        <f>TEXT(Transform_Data[[#This Row],[Date]],"mmm yyyy")</f>
        <v>Feb 2025</v>
      </c>
      <c r="H3101" s="10">
        <f>HOUR(Transform_Data[[#This Row],[Time]])</f>
        <v>9</v>
      </c>
      <c r="I3101" s="10" t="str">
        <f>IF(COUNTIF('Transform Data'!$D:$D,'Transform Data'!D3101)&gt;1,"Repeat","Single")</f>
        <v>Repeat</v>
      </c>
      <c r="J3101" s="10" t="str">
        <f>IF('Transform Data'!D3101="Cash","Cash",IF(COUNTIF('Transform Data'!$D:$D,'Transform Data'!D3101)&gt;1,"Repeat","Single"))</f>
        <v>Repeat</v>
      </c>
      <c r="K3101" s="10" t="str">
        <f t="shared" si="48"/>
        <v>TRANS-3100</v>
      </c>
    </row>
    <row r="3102" spans="1:11" x14ac:dyDescent="0.35">
      <c r="A3102" s="5">
        <v>45703</v>
      </c>
      <c r="B3102" s="3">
        <v>0.52908564814814818</v>
      </c>
      <c r="C3102" t="s">
        <v>8</v>
      </c>
      <c r="D3102" t="s">
        <v>33</v>
      </c>
      <c r="E3102" s="4">
        <v>35.76</v>
      </c>
      <c r="F3102" t="s">
        <v>24</v>
      </c>
      <c r="G3102" s="10" t="str">
        <f>TEXT(Transform_Data[[#This Row],[Date]],"mmm yyyy")</f>
        <v>Feb 2025</v>
      </c>
      <c r="H3102" s="10">
        <f>HOUR(Transform_Data[[#This Row],[Time]])</f>
        <v>12</v>
      </c>
      <c r="I3102" s="10" t="str">
        <f>IF(COUNTIF('Transform Data'!$D:$D,'Transform Data'!D3102)&gt;1,"Repeat","Single")</f>
        <v>Repeat</v>
      </c>
      <c r="J3102" s="10" t="str">
        <f>IF('Transform Data'!D3102="Cash","Cash",IF(COUNTIF('Transform Data'!$D:$D,'Transform Data'!D3102)&gt;1,"Repeat","Single"))</f>
        <v>Repeat</v>
      </c>
      <c r="K3102" s="10" t="str">
        <f t="shared" si="48"/>
        <v>TRANS-3101</v>
      </c>
    </row>
    <row r="3103" spans="1:11" x14ac:dyDescent="0.35">
      <c r="A3103" s="5">
        <v>45703</v>
      </c>
      <c r="B3103" s="3">
        <v>0.53085648148148146</v>
      </c>
      <c r="C3103" t="s">
        <v>8</v>
      </c>
      <c r="D3103" t="s">
        <v>33</v>
      </c>
      <c r="E3103" s="4">
        <v>25.96</v>
      </c>
      <c r="F3103" t="s">
        <v>28</v>
      </c>
      <c r="G3103" s="10" t="str">
        <f>TEXT(Transform_Data[[#This Row],[Date]],"mmm yyyy")</f>
        <v>Feb 2025</v>
      </c>
      <c r="H3103" s="10">
        <f>HOUR(Transform_Data[[#This Row],[Time]])</f>
        <v>12</v>
      </c>
      <c r="I3103" s="10" t="str">
        <f>IF(COUNTIF('Transform Data'!$D:$D,'Transform Data'!D3103)&gt;1,"Repeat","Single")</f>
        <v>Repeat</v>
      </c>
      <c r="J3103" s="10" t="str">
        <f>IF('Transform Data'!D3103="Cash","Cash",IF(COUNTIF('Transform Data'!$D:$D,'Transform Data'!D3103)&gt;1,"Repeat","Single"))</f>
        <v>Repeat</v>
      </c>
      <c r="K3103" s="10" t="str">
        <f t="shared" si="48"/>
        <v>TRANS-3102</v>
      </c>
    </row>
    <row r="3104" spans="1:11" x14ac:dyDescent="0.35">
      <c r="A3104" s="5">
        <v>45703</v>
      </c>
      <c r="B3104" s="3">
        <v>0.54327546296296292</v>
      </c>
      <c r="C3104" t="s">
        <v>8</v>
      </c>
      <c r="D3104" t="s">
        <v>930</v>
      </c>
      <c r="E3104" s="4">
        <v>30.86</v>
      </c>
      <c r="F3104" t="s">
        <v>36</v>
      </c>
      <c r="G3104" s="10" t="str">
        <f>TEXT(Transform_Data[[#This Row],[Date]],"mmm yyyy")</f>
        <v>Feb 2025</v>
      </c>
      <c r="H3104" s="10">
        <f>HOUR(Transform_Data[[#This Row],[Time]])</f>
        <v>13</v>
      </c>
      <c r="I3104" s="10" t="str">
        <f>IF(COUNTIF('Transform Data'!$D:$D,'Transform Data'!D3104)&gt;1,"Repeat","Single")</f>
        <v>Repeat</v>
      </c>
      <c r="J3104" s="10" t="str">
        <f>IF('Transform Data'!D3104="Cash","Cash",IF(COUNTIF('Transform Data'!$D:$D,'Transform Data'!D3104)&gt;1,"Repeat","Single"))</f>
        <v>Repeat</v>
      </c>
      <c r="K3104" s="10" t="str">
        <f t="shared" si="48"/>
        <v>TRANS-3103</v>
      </c>
    </row>
    <row r="3105" spans="1:11" x14ac:dyDescent="0.35">
      <c r="A3105" s="5">
        <v>45703</v>
      </c>
      <c r="B3105" s="3">
        <v>0.5639467592592593</v>
      </c>
      <c r="C3105" t="s">
        <v>8</v>
      </c>
      <c r="D3105" t="s">
        <v>1250</v>
      </c>
      <c r="E3105" s="4">
        <v>30.86</v>
      </c>
      <c r="F3105" t="s">
        <v>36</v>
      </c>
      <c r="G3105" s="10" t="str">
        <f>TEXT(Transform_Data[[#This Row],[Date]],"mmm yyyy")</f>
        <v>Feb 2025</v>
      </c>
      <c r="H3105" s="10">
        <f>HOUR(Transform_Data[[#This Row],[Time]])</f>
        <v>13</v>
      </c>
      <c r="I3105" s="10" t="str">
        <f>IF(COUNTIF('Transform Data'!$D:$D,'Transform Data'!D3105)&gt;1,"Repeat","Single")</f>
        <v>Repeat</v>
      </c>
      <c r="J3105" s="10" t="str">
        <f>IF('Transform Data'!D3105="Cash","Cash",IF(COUNTIF('Transform Data'!$D:$D,'Transform Data'!D3105)&gt;1,"Repeat","Single"))</f>
        <v>Repeat</v>
      </c>
      <c r="K3105" s="10" t="str">
        <f t="shared" si="48"/>
        <v>TRANS-3104</v>
      </c>
    </row>
    <row r="3106" spans="1:11" x14ac:dyDescent="0.35">
      <c r="A3106" s="5">
        <v>45703</v>
      </c>
      <c r="B3106" s="3">
        <v>0.58461805555555557</v>
      </c>
      <c r="C3106" t="s">
        <v>8</v>
      </c>
      <c r="D3106" t="s">
        <v>1234</v>
      </c>
      <c r="E3106" s="4">
        <v>35.76</v>
      </c>
      <c r="F3106" t="s">
        <v>24</v>
      </c>
      <c r="G3106" s="10" t="str">
        <f>TEXT(Transform_Data[[#This Row],[Date]],"mmm yyyy")</f>
        <v>Feb 2025</v>
      </c>
      <c r="H3106" s="10">
        <f>HOUR(Transform_Data[[#This Row],[Time]])</f>
        <v>14</v>
      </c>
      <c r="I3106" s="10" t="str">
        <f>IF(COUNTIF('Transform Data'!$D:$D,'Transform Data'!D3106)&gt;1,"Repeat","Single")</f>
        <v>Repeat</v>
      </c>
      <c r="J3106" s="10" t="str">
        <f>IF('Transform Data'!D3106="Cash","Cash",IF(COUNTIF('Transform Data'!$D:$D,'Transform Data'!D3106)&gt;1,"Repeat","Single"))</f>
        <v>Repeat</v>
      </c>
      <c r="K3106" s="10" t="str">
        <f t="shared" si="48"/>
        <v>TRANS-3105</v>
      </c>
    </row>
    <row r="3107" spans="1:11" x14ac:dyDescent="0.35">
      <c r="A3107" s="5">
        <v>45703</v>
      </c>
      <c r="B3107" s="3">
        <v>0.59158564814814818</v>
      </c>
      <c r="C3107" t="s">
        <v>8</v>
      </c>
      <c r="D3107" t="s">
        <v>1265</v>
      </c>
      <c r="E3107" s="4">
        <v>25.96</v>
      </c>
      <c r="F3107" t="s">
        <v>28</v>
      </c>
      <c r="G3107" s="10" t="str">
        <f>TEXT(Transform_Data[[#This Row],[Date]],"mmm yyyy")</f>
        <v>Feb 2025</v>
      </c>
      <c r="H3107" s="10">
        <f>HOUR(Transform_Data[[#This Row],[Time]])</f>
        <v>14</v>
      </c>
      <c r="I3107" s="10" t="str">
        <f>IF(COUNTIF('Transform Data'!$D:$D,'Transform Data'!D3107)&gt;1,"Repeat","Single")</f>
        <v>Repeat</v>
      </c>
      <c r="J3107" s="10" t="str">
        <f>IF('Transform Data'!D3107="Cash","Cash",IF(COUNTIF('Transform Data'!$D:$D,'Transform Data'!D3107)&gt;1,"Repeat","Single"))</f>
        <v>Repeat</v>
      </c>
      <c r="K3107" s="10" t="str">
        <f t="shared" si="48"/>
        <v>TRANS-3106</v>
      </c>
    </row>
    <row r="3108" spans="1:11" x14ac:dyDescent="0.35">
      <c r="A3108" s="5">
        <v>45703</v>
      </c>
      <c r="B3108" s="3">
        <v>0.65285879629629628</v>
      </c>
      <c r="C3108" t="s">
        <v>8</v>
      </c>
      <c r="D3108" t="s">
        <v>1251</v>
      </c>
      <c r="E3108" s="4">
        <v>35.76</v>
      </c>
      <c r="F3108" t="s">
        <v>15</v>
      </c>
      <c r="G3108" s="10" t="str">
        <f>TEXT(Transform_Data[[#This Row],[Date]],"mmm yyyy")</f>
        <v>Feb 2025</v>
      </c>
      <c r="H3108" s="10">
        <f>HOUR(Transform_Data[[#This Row],[Time]])</f>
        <v>15</v>
      </c>
      <c r="I3108" s="10" t="str">
        <f>IF(COUNTIF('Transform Data'!$D:$D,'Transform Data'!D3108)&gt;1,"Repeat","Single")</f>
        <v>Repeat</v>
      </c>
      <c r="J3108" s="10" t="str">
        <f>IF('Transform Data'!D3108="Cash","Cash",IF(COUNTIF('Transform Data'!$D:$D,'Transform Data'!D3108)&gt;1,"Repeat","Single"))</f>
        <v>Repeat</v>
      </c>
      <c r="K3108" s="10" t="str">
        <f t="shared" si="48"/>
        <v>TRANS-3107</v>
      </c>
    </row>
    <row r="3109" spans="1:11" x14ac:dyDescent="0.35">
      <c r="A3109" s="5">
        <v>45703</v>
      </c>
      <c r="B3109" s="3">
        <v>0.65346064814814819</v>
      </c>
      <c r="C3109" t="s">
        <v>8</v>
      </c>
      <c r="D3109" t="s">
        <v>1229</v>
      </c>
      <c r="E3109" s="4">
        <v>35.76</v>
      </c>
      <c r="F3109" t="s">
        <v>15</v>
      </c>
      <c r="G3109" s="10" t="str">
        <f>TEXT(Transform_Data[[#This Row],[Date]],"mmm yyyy")</f>
        <v>Feb 2025</v>
      </c>
      <c r="H3109" s="10">
        <f>HOUR(Transform_Data[[#This Row],[Time]])</f>
        <v>15</v>
      </c>
      <c r="I3109" s="10" t="str">
        <f>IF(COUNTIF('Transform Data'!$D:$D,'Transform Data'!D3109)&gt;1,"Repeat","Single")</f>
        <v>Repeat</v>
      </c>
      <c r="J3109" s="10" t="str">
        <f>IF('Transform Data'!D3109="Cash","Cash",IF(COUNTIF('Transform Data'!$D:$D,'Transform Data'!D3109)&gt;1,"Repeat","Single"))</f>
        <v>Repeat</v>
      </c>
      <c r="K3109" s="10" t="str">
        <f t="shared" si="48"/>
        <v>TRANS-3108</v>
      </c>
    </row>
    <row r="3110" spans="1:11" x14ac:dyDescent="0.35">
      <c r="A3110" s="5">
        <v>45704</v>
      </c>
      <c r="B3110" s="3">
        <v>0.4491087962962963</v>
      </c>
      <c r="C3110" t="s">
        <v>8</v>
      </c>
      <c r="D3110" t="s">
        <v>1266</v>
      </c>
      <c r="E3110" s="4">
        <v>25.96</v>
      </c>
      <c r="F3110" t="s">
        <v>28</v>
      </c>
      <c r="G3110" s="10" t="str">
        <f>TEXT(Transform_Data[[#This Row],[Date]],"mmm yyyy")</f>
        <v>Feb 2025</v>
      </c>
      <c r="H3110" s="10">
        <f>HOUR(Transform_Data[[#This Row],[Time]])</f>
        <v>10</v>
      </c>
      <c r="I3110" s="10" t="str">
        <f>IF(COUNTIF('Transform Data'!$D:$D,'Transform Data'!D3110)&gt;1,"Repeat","Single")</f>
        <v>Repeat</v>
      </c>
      <c r="J3110" s="10" t="str">
        <f>IF('Transform Data'!D3110="Cash","Cash",IF(COUNTIF('Transform Data'!$D:$D,'Transform Data'!D3110)&gt;1,"Repeat","Single"))</f>
        <v>Repeat</v>
      </c>
      <c r="K3110" s="10" t="str">
        <f t="shared" si="48"/>
        <v>TRANS-3109</v>
      </c>
    </row>
    <row r="3111" spans="1:11" x14ac:dyDescent="0.35">
      <c r="A3111" s="5">
        <v>45704</v>
      </c>
      <c r="B3111" s="3">
        <v>0.4513888888888889</v>
      </c>
      <c r="C3111" t="s">
        <v>8</v>
      </c>
      <c r="D3111" t="s">
        <v>1219</v>
      </c>
      <c r="E3111" s="4">
        <v>25.96</v>
      </c>
      <c r="F3111" t="s">
        <v>28</v>
      </c>
      <c r="G3111" s="10" t="str">
        <f>TEXT(Transform_Data[[#This Row],[Date]],"mmm yyyy")</f>
        <v>Feb 2025</v>
      </c>
      <c r="H3111" s="10">
        <f>HOUR(Transform_Data[[#This Row],[Time]])</f>
        <v>10</v>
      </c>
      <c r="I3111" s="10" t="str">
        <f>IF(COUNTIF('Transform Data'!$D:$D,'Transform Data'!D3111)&gt;1,"Repeat","Single")</f>
        <v>Repeat</v>
      </c>
      <c r="J3111" s="10" t="str">
        <f>IF('Transform Data'!D3111="Cash","Cash",IF(COUNTIF('Transform Data'!$D:$D,'Transform Data'!D3111)&gt;1,"Repeat","Single"))</f>
        <v>Repeat</v>
      </c>
      <c r="K3111" s="10" t="str">
        <f t="shared" si="48"/>
        <v>TRANS-3110</v>
      </c>
    </row>
    <row r="3112" spans="1:11" x14ac:dyDescent="0.35">
      <c r="A3112" s="5">
        <v>45704</v>
      </c>
      <c r="B3112" s="3">
        <v>0.45211805555555556</v>
      </c>
      <c r="C3112" t="s">
        <v>8</v>
      </c>
      <c r="D3112" t="s">
        <v>1219</v>
      </c>
      <c r="E3112" s="4">
        <v>30.86</v>
      </c>
      <c r="F3112" t="s">
        <v>36</v>
      </c>
      <c r="G3112" s="10" t="str">
        <f>TEXT(Transform_Data[[#This Row],[Date]],"mmm yyyy")</f>
        <v>Feb 2025</v>
      </c>
      <c r="H3112" s="10">
        <f>HOUR(Transform_Data[[#This Row],[Time]])</f>
        <v>10</v>
      </c>
      <c r="I3112" s="10" t="str">
        <f>IF(COUNTIF('Transform Data'!$D:$D,'Transform Data'!D3112)&gt;1,"Repeat","Single")</f>
        <v>Repeat</v>
      </c>
      <c r="J3112" s="10" t="str">
        <f>IF('Transform Data'!D3112="Cash","Cash",IF(COUNTIF('Transform Data'!$D:$D,'Transform Data'!D3112)&gt;1,"Repeat","Single"))</f>
        <v>Repeat</v>
      </c>
      <c r="K3112" s="10" t="str">
        <f t="shared" si="48"/>
        <v>TRANS-3111</v>
      </c>
    </row>
    <row r="3113" spans="1:11" x14ac:dyDescent="0.35">
      <c r="A3113" s="5">
        <v>45704</v>
      </c>
      <c r="B3113" s="3">
        <v>0.46165509259259258</v>
      </c>
      <c r="C3113" t="s">
        <v>8</v>
      </c>
      <c r="D3113" t="s">
        <v>1207</v>
      </c>
      <c r="E3113" s="4">
        <v>35.76</v>
      </c>
      <c r="F3113" t="s">
        <v>15</v>
      </c>
      <c r="G3113" s="10" t="str">
        <f>TEXT(Transform_Data[[#This Row],[Date]],"mmm yyyy")</f>
        <v>Feb 2025</v>
      </c>
      <c r="H3113" s="10">
        <f>HOUR(Transform_Data[[#This Row],[Time]])</f>
        <v>11</v>
      </c>
      <c r="I3113" s="10" t="str">
        <f>IF(COUNTIF('Transform Data'!$D:$D,'Transform Data'!D3113)&gt;1,"Repeat","Single")</f>
        <v>Repeat</v>
      </c>
      <c r="J3113" s="10" t="str">
        <f>IF('Transform Data'!D3113="Cash","Cash",IF(COUNTIF('Transform Data'!$D:$D,'Transform Data'!D3113)&gt;1,"Repeat","Single"))</f>
        <v>Repeat</v>
      </c>
      <c r="K3113" s="10" t="str">
        <f t="shared" si="48"/>
        <v>TRANS-3112</v>
      </c>
    </row>
    <row r="3114" spans="1:11" x14ac:dyDescent="0.35">
      <c r="A3114" s="5">
        <v>45704</v>
      </c>
      <c r="B3114" s="3">
        <v>0.4808912037037037</v>
      </c>
      <c r="C3114" t="s">
        <v>8</v>
      </c>
      <c r="D3114" t="s">
        <v>1211</v>
      </c>
      <c r="E3114" s="4">
        <v>25.96</v>
      </c>
      <c r="F3114" t="s">
        <v>28</v>
      </c>
      <c r="G3114" s="10" t="str">
        <f>TEXT(Transform_Data[[#This Row],[Date]],"mmm yyyy")</f>
        <v>Feb 2025</v>
      </c>
      <c r="H3114" s="10">
        <f>HOUR(Transform_Data[[#This Row],[Time]])</f>
        <v>11</v>
      </c>
      <c r="I3114" s="10" t="str">
        <f>IF(COUNTIF('Transform Data'!$D:$D,'Transform Data'!D3114)&gt;1,"Repeat","Single")</f>
        <v>Repeat</v>
      </c>
      <c r="J3114" s="10" t="str">
        <f>IF('Transform Data'!D3114="Cash","Cash",IF(COUNTIF('Transform Data'!$D:$D,'Transform Data'!D3114)&gt;1,"Repeat","Single"))</f>
        <v>Repeat</v>
      </c>
      <c r="K3114" s="10" t="str">
        <f t="shared" si="48"/>
        <v>TRANS-3113</v>
      </c>
    </row>
    <row r="3115" spans="1:11" x14ac:dyDescent="0.35">
      <c r="A3115" s="5">
        <v>45704</v>
      </c>
      <c r="B3115" s="3">
        <v>0.59417824074074077</v>
      </c>
      <c r="C3115" t="s">
        <v>8</v>
      </c>
      <c r="D3115" t="s">
        <v>1246</v>
      </c>
      <c r="E3115" s="4">
        <v>35.76</v>
      </c>
      <c r="F3115" t="s">
        <v>15</v>
      </c>
      <c r="G3115" s="10" t="str">
        <f>TEXT(Transform_Data[[#This Row],[Date]],"mmm yyyy")</f>
        <v>Feb 2025</v>
      </c>
      <c r="H3115" s="10">
        <f>HOUR(Transform_Data[[#This Row],[Time]])</f>
        <v>14</v>
      </c>
      <c r="I3115" s="10" t="str">
        <f>IF(COUNTIF('Transform Data'!$D:$D,'Transform Data'!D3115)&gt;1,"Repeat","Single")</f>
        <v>Repeat</v>
      </c>
      <c r="J3115" s="10" t="str">
        <f>IF('Transform Data'!D3115="Cash","Cash",IF(COUNTIF('Transform Data'!$D:$D,'Transform Data'!D3115)&gt;1,"Repeat","Single"))</f>
        <v>Repeat</v>
      </c>
      <c r="K3115" s="10" t="str">
        <f t="shared" si="48"/>
        <v>TRANS-3114</v>
      </c>
    </row>
    <row r="3116" spans="1:11" x14ac:dyDescent="0.35">
      <c r="A3116" s="5">
        <v>45704</v>
      </c>
      <c r="B3116" s="3">
        <v>0.59491898148148148</v>
      </c>
      <c r="C3116" t="s">
        <v>8</v>
      </c>
      <c r="D3116" t="s">
        <v>1246</v>
      </c>
      <c r="E3116" s="4">
        <v>35.76</v>
      </c>
      <c r="F3116" t="s">
        <v>32</v>
      </c>
      <c r="G3116" s="10" t="str">
        <f>TEXT(Transform_Data[[#This Row],[Date]],"mmm yyyy")</f>
        <v>Feb 2025</v>
      </c>
      <c r="H3116" s="10">
        <f>HOUR(Transform_Data[[#This Row],[Time]])</f>
        <v>14</v>
      </c>
      <c r="I3116" s="10" t="str">
        <f>IF(COUNTIF('Transform Data'!$D:$D,'Transform Data'!D3116)&gt;1,"Repeat","Single")</f>
        <v>Repeat</v>
      </c>
      <c r="J3116" s="10" t="str">
        <f>IF('Transform Data'!D3116="Cash","Cash",IF(COUNTIF('Transform Data'!$D:$D,'Transform Data'!D3116)&gt;1,"Repeat","Single"))</f>
        <v>Repeat</v>
      </c>
      <c r="K3116" s="10" t="str">
        <f t="shared" si="48"/>
        <v>TRANS-3115</v>
      </c>
    </row>
    <row r="3117" spans="1:11" x14ac:dyDescent="0.35">
      <c r="A3117" s="5">
        <v>45704</v>
      </c>
      <c r="B3117" s="3">
        <v>0.71697916666666661</v>
      </c>
      <c r="C3117" t="s">
        <v>8</v>
      </c>
      <c r="D3117" t="s">
        <v>33</v>
      </c>
      <c r="E3117" s="4">
        <v>35.76</v>
      </c>
      <c r="F3117" t="s">
        <v>15</v>
      </c>
      <c r="G3117" s="10" t="str">
        <f>TEXT(Transform_Data[[#This Row],[Date]],"mmm yyyy")</f>
        <v>Feb 2025</v>
      </c>
      <c r="H3117" s="10">
        <f>HOUR(Transform_Data[[#This Row],[Time]])</f>
        <v>17</v>
      </c>
      <c r="I3117" s="10" t="str">
        <f>IF(COUNTIF('Transform Data'!$D:$D,'Transform Data'!D3117)&gt;1,"Repeat","Single")</f>
        <v>Repeat</v>
      </c>
      <c r="J3117" s="10" t="str">
        <f>IF('Transform Data'!D3117="Cash","Cash",IF(COUNTIF('Transform Data'!$D:$D,'Transform Data'!D3117)&gt;1,"Repeat","Single"))</f>
        <v>Repeat</v>
      </c>
      <c r="K3117" s="10" t="str">
        <f t="shared" si="48"/>
        <v>TRANS-3116</v>
      </c>
    </row>
    <row r="3118" spans="1:11" x14ac:dyDescent="0.35">
      <c r="A3118" s="5">
        <v>45704</v>
      </c>
      <c r="B3118" s="3">
        <v>0.71773148148148147</v>
      </c>
      <c r="C3118" t="s">
        <v>8</v>
      </c>
      <c r="D3118" t="s">
        <v>33</v>
      </c>
      <c r="E3118" s="4">
        <v>30.86</v>
      </c>
      <c r="F3118" t="s">
        <v>36</v>
      </c>
      <c r="G3118" s="10" t="str">
        <f>TEXT(Transform_Data[[#This Row],[Date]],"mmm yyyy")</f>
        <v>Feb 2025</v>
      </c>
      <c r="H3118" s="10">
        <f>HOUR(Transform_Data[[#This Row],[Time]])</f>
        <v>17</v>
      </c>
      <c r="I3118" s="10" t="str">
        <f>IF(COUNTIF('Transform Data'!$D:$D,'Transform Data'!D3118)&gt;1,"Repeat","Single")</f>
        <v>Repeat</v>
      </c>
      <c r="J3118" s="10" t="str">
        <f>IF('Transform Data'!D3118="Cash","Cash",IF(COUNTIF('Transform Data'!$D:$D,'Transform Data'!D3118)&gt;1,"Repeat","Single"))</f>
        <v>Repeat</v>
      </c>
      <c r="K3118" s="10" t="str">
        <f t="shared" si="48"/>
        <v>TRANS-3117</v>
      </c>
    </row>
    <row r="3119" spans="1:11" x14ac:dyDescent="0.35">
      <c r="A3119" s="5">
        <v>45704</v>
      </c>
      <c r="B3119" s="3">
        <v>0.73925925925925928</v>
      </c>
      <c r="C3119" t="s">
        <v>8</v>
      </c>
      <c r="D3119" t="s">
        <v>1267</v>
      </c>
      <c r="E3119" s="4">
        <v>30.86</v>
      </c>
      <c r="F3119" t="s">
        <v>36</v>
      </c>
      <c r="G3119" s="10" t="str">
        <f>TEXT(Transform_Data[[#This Row],[Date]],"mmm yyyy")</f>
        <v>Feb 2025</v>
      </c>
      <c r="H3119" s="10">
        <f>HOUR(Transform_Data[[#This Row],[Time]])</f>
        <v>17</v>
      </c>
      <c r="I3119" s="10" t="str">
        <f>IF(COUNTIF('Transform Data'!$D:$D,'Transform Data'!D3119)&gt;1,"Repeat","Single")</f>
        <v>Repeat</v>
      </c>
      <c r="J3119" s="10" t="str">
        <f>IF('Transform Data'!D3119="Cash","Cash",IF(COUNTIF('Transform Data'!$D:$D,'Transform Data'!D3119)&gt;1,"Repeat","Single"))</f>
        <v>Repeat</v>
      </c>
      <c r="K3119" s="10" t="str">
        <f t="shared" si="48"/>
        <v>TRANS-3118</v>
      </c>
    </row>
    <row r="3120" spans="1:11" x14ac:dyDescent="0.35">
      <c r="A3120" s="5">
        <v>45705</v>
      </c>
      <c r="B3120" s="3">
        <v>0.28476851851851853</v>
      </c>
      <c r="C3120" t="s">
        <v>8</v>
      </c>
      <c r="D3120" t="s">
        <v>1250</v>
      </c>
      <c r="E3120" s="4">
        <v>35.76</v>
      </c>
      <c r="F3120" t="s">
        <v>24</v>
      </c>
      <c r="G3120" s="10" t="str">
        <f>TEXT(Transform_Data[[#This Row],[Date]],"mmm yyyy")</f>
        <v>Feb 2025</v>
      </c>
      <c r="H3120" s="10">
        <f>HOUR(Transform_Data[[#This Row],[Time]])</f>
        <v>6</v>
      </c>
      <c r="I3120" s="10" t="str">
        <f>IF(COUNTIF('Transform Data'!$D:$D,'Transform Data'!D3120)&gt;1,"Repeat","Single")</f>
        <v>Repeat</v>
      </c>
      <c r="J3120" s="10" t="str">
        <f>IF('Transform Data'!D3120="Cash","Cash",IF(COUNTIF('Transform Data'!$D:$D,'Transform Data'!D3120)&gt;1,"Repeat","Single"))</f>
        <v>Repeat</v>
      </c>
      <c r="K3120" s="10" t="str">
        <f t="shared" si="48"/>
        <v>TRANS-3119</v>
      </c>
    </row>
    <row r="3121" spans="1:11" x14ac:dyDescent="0.35">
      <c r="A3121" s="5">
        <v>45705</v>
      </c>
      <c r="B3121" s="3">
        <v>0.37028935185185186</v>
      </c>
      <c r="C3121" t="s">
        <v>8</v>
      </c>
      <c r="D3121" t="s">
        <v>33</v>
      </c>
      <c r="E3121" s="4">
        <v>25.96</v>
      </c>
      <c r="F3121" t="s">
        <v>28</v>
      </c>
      <c r="G3121" s="10" t="str">
        <f>TEXT(Transform_Data[[#This Row],[Date]],"mmm yyyy")</f>
        <v>Feb 2025</v>
      </c>
      <c r="H3121" s="10">
        <f>HOUR(Transform_Data[[#This Row],[Time]])</f>
        <v>8</v>
      </c>
      <c r="I3121" s="10" t="str">
        <f>IF(COUNTIF('Transform Data'!$D:$D,'Transform Data'!D3121)&gt;1,"Repeat","Single")</f>
        <v>Repeat</v>
      </c>
      <c r="J3121" s="10" t="str">
        <f>IF('Transform Data'!D3121="Cash","Cash",IF(COUNTIF('Transform Data'!$D:$D,'Transform Data'!D3121)&gt;1,"Repeat","Single"))</f>
        <v>Repeat</v>
      </c>
      <c r="K3121" s="10" t="str">
        <f t="shared" si="48"/>
        <v>TRANS-3120</v>
      </c>
    </row>
    <row r="3122" spans="1:11" x14ac:dyDescent="0.35">
      <c r="A3122" s="5">
        <v>45705</v>
      </c>
      <c r="B3122" s="3">
        <v>0.37563657407407408</v>
      </c>
      <c r="C3122" t="s">
        <v>8</v>
      </c>
      <c r="D3122" t="s">
        <v>1211</v>
      </c>
      <c r="E3122" s="4">
        <v>25.96</v>
      </c>
      <c r="F3122" t="s">
        <v>28</v>
      </c>
      <c r="G3122" s="10" t="str">
        <f>TEXT(Transform_Data[[#This Row],[Date]],"mmm yyyy")</f>
        <v>Feb 2025</v>
      </c>
      <c r="H3122" s="10">
        <f>HOUR(Transform_Data[[#This Row],[Time]])</f>
        <v>9</v>
      </c>
      <c r="I3122" s="10" t="str">
        <f>IF(COUNTIF('Transform Data'!$D:$D,'Transform Data'!D3122)&gt;1,"Repeat","Single")</f>
        <v>Repeat</v>
      </c>
      <c r="J3122" s="10" t="str">
        <f>IF('Transform Data'!D3122="Cash","Cash",IF(COUNTIF('Transform Data'!$D:$D,'Transform Data'!D3122)&gt;1,"Repeat","Single"))</f>
        <v>Repeat</v>
      </c>
      <c r="K3122" s="10" t="str">
        <f t="shared" si="48"/>
        <v>TRANS-3121</v>
      </c>
    </row>
    <row r="3123" spans="1:11" x14ac:dyDescent="0.35">
      <c r="A3123" s="5">
        <v>45705</v>
      </c>
      <c r="B3123" s="3">
        <v>0.39451388888888889</v>
      </c>
      <c r="C3123" t="s">
        <v>8</v>
      </c>
      <c r="D3123" t="s">
        <v>1268</v>
      </c>
      <c r="E3123" s="4">
        <v>30.86</v>
      </c>
      <c r="F3123" t="s">
        <v>36</v>
      </c>
      <c r="G3123" s="10" t="str">
        <f>TEXT(Transform_Data[[#This Row],[Date]],"mmm yyyy")</f>
        <v>Feb 2025</v>
      </c>
      <c r="H3123" s="10">
        <f>HOUR(Transform_Data[[#This Row],[Time]])</f>
        <v>9</v>
      </c>
      <c r="I3123" s="10" t="str">
        <f>IF(COUNTIF('Transform Data'!$D:$D,'Transform Data'!D3123)&gt;1,"Repeat","Single")</f>
        <v>Repeat</v>
      </c>
      <c r="J3123" s="10" t="str">
        <f>IF('Transform Data'!D3123="Cash","Cash",IF(COUNTIF('Transform Data'!$D:$D,'Transform Data'!D3123)&gt;1,"Repeat","Single"))</f>
        <v>Repeat</v>
      </c>
      <c r="K3123" s="10" t="str">
        <f t="shared" si="48"/>
        <v>TRANS-3122</v>
      </c>
    </row>
    <row r="3124" spans="1:11" x14ac:dyDescent="0.35">
      <c r="A3124" s="5">
        <v>45705</v>
      </c>
      <c r="B3124" s="3">
        <v>0.41457175925925926</v>
      </c>
      <c r="C3124" t="s">
        <v>8</v>
      </c>
      <c r="D3124" t="s">
        <v>1260</v>
      </c>
      <c r="E3124" s="4">
        <v>35.76</v>
      </c>
      <c r="F3124" t="s">
        <v>15</v>
      </c>
      <c r="G3124" s="10" t="str">
        <f>TEXT(Transform_Data[[#This Row],[Date]],"mmm yyyy")</f>
        <v>Feb 2025</v>
      </c>
      <c r="H3124" s="10">
        <f>HOUR(Transform_Data[[#This Row],[Time]])</f>
        <v>9</v>
      </c>
      <c r="I3124" s="10" t="str">
        <f>IF(COUNTIF('Transform Data'!$D:$D,'Transform Data'!D3124)&gt;1,"Repeat","Single")</f>
        <v>Repeat</v>
      </c>
      <c r="J3124" s="10" t="str">
        <f>IF('Transform Data'!D3124="Cash","Cash",IF(COUNTIF('Transform Data'!$D:$D,'Transform Data'!D3124)&gt;1,"Repeat","Single"))</f>
        <v>Repeat</v>
      </c>
      <c r="K3124" s="10" t="str">
        <f t="shared" si="48"/>
        <v>TRANS-3123</v>
      </c>
    </row>
    <row r="3125" spans="1:11" x14ac:dyDescent="0.35">
      <c r="A3125" s="5">
        <v>45705</v>
      </c>
      <c r="B3125" s="3">
        <v>0.43069444444444444</v>
      </c>
      <c r="C3125" t="s">
        <v>8</v>
      </c>
      <c r="D3125" t="s">
        <v>1269</v>
      </c>
      <c r="E3125" s="4">
        <v>30.86</v>
      </c>
      <c r="F3125" t="s">
        <v>36</v>
      </c>
      <c r="G3125" s="10" t="str">
        <f>TEXT(Transform_Data[[#This Row],[Date]],"mmm yyyy")</f>
        <v>Feb 2025</v>
      </c>
      <c r="H3125" s="10">
        <f>HOUR(Transform_Data[[#This Row],[Time]])</f>
        <v>10</v>
      </c>
      <c r="I3125" s="10" t="str">
        <f>IF(COUNTIF('Transform Data'!$D:$D,'Transform Data'!D3125)&gt;1,"Repeat","Single")</f>
        <v>Repeat</v>
      </c>
      <c r="J3125" s="10" t="str">
        <f>IF('Transform Data'!D3125="Cash","Cash",IF(COUNTIF('Transform Data'!$D:$D,'Transform Data'!D3125)&gt;1,"Repeat","Single"))</f>
        <v>Repeat</v>
      </c>
      <c r="K3125" s="10" t="str">
        <f t="shared" si="48"/>
        <v>TRANS-3124</v>
      </c>
    </row>
    <row r="3126" spans="1:11" x14ac:dyDescent="0.35">
      <c r="A3126" s="5">
        <v>45705</v>
      </c>
      <c r="B3126" s="3">
        <v>0.44777777777777777</v>
      </c>
      <c r="C3126" t="s">
        <v>8</v>
      </c>
      <c r="D3126" t="s">
        <v>1211</v>
      </c>
      <c r="E3126" s="4">
        <v>25.96</v>
      </c>
      <c r="F3126" t="s">
        <v>28</v>
      </c>
      <c r="G3126" s="10" t="str">
        <f>TEXT(Transform_Data[[#This Row],[Date]],"mmm yyyy")</f>
        <v>Feb 2025</v>
      </c>
      <c r="H3126" s="10">
        <f>HOUR(Transform_Data[[#This Row],[Time]])</f>
        <v>10</v>
      </c>
      <c r="I3126" s="10" t="str">
        <f>IF(COUNTIF('Transform Data'!$D:$D,'Transform Data'!D3126)&gt;1,"Repeat","Single")</f>
        <v>Repeat</v>
      </c>
      <c r="J3126" s="10" t="str">
        <f>IF('Transform Data'!D3126="Cash","Cash",IF(COUNTIF('Transform Data'!$D:$D,'Transform Data'!D3126)&gt;1,"Repeat","Single"))</f>
        <v>Repeat</v>
      </c>
      <c r="K3126" s="10" t="str">
        <f t="shared" si="48"/>
        <v>TRANS-3125</v>
      </c>
    </row>
    <row r="3127" spans="1:11" x14ac:dyDescent="0.35">
      <c r="A3127" s="5">
        <v>45705</v>
      </c>
      <c r="B3127" s="3">
        <v>0.49581018518518516</v>
      </c>
      <c r="C3127" t="s">
        <v>8</v>
      </c>
      <c r="D3127" t="s">
        <v>1253</v>
      </c>
      <c r="E3127" s="4">
        <v>30.86</v>
      </c>
      <c r="F3127" t="s">
        <v>36</v>
      </c>
      <c r="G3127" s="10" t="str">
        <f>TEXT(Transform_Data[[#This Row],[Date]],"mmm yyyy")</f>
        <v>Feb 2025</v>
      </c>
      <c r="H3127" s="10">
        <f>HOUR(Transform_Data[[#This Row],[Time]])</f>
        <v>11</v>
      </c>
      <c r="I3127" s="10" t="str">
        <f>IF(COUNTIF('Transform Data'!$D:$D,'Transform Data'!D3127)&gt;1,"Repeat","Single")</f>
        <v>Repeat</v>
      </c>
      <c r="J3127" s="10" t="str">
        <f>IF('Transform Data'!D3127="Cash","Cash",IF(COUNTIF('Transform Data'!$D:$D,'Transform Data'!D3127)&gt;1,"Repeat","Single"))</f>
        <v>Repeat</v>
      </c>
      <c r="K3127" s="10" t="str">
        <f t="shared" si="48"/>
        <v>TRANS-3126</v>
      </c>
    </row>
    <row r="3128" spans="1:11" x14ac:dyDescent="0.35">
      <c r="A3128" s="5">
        <v>45705</v>
      </c>
      <c r="B3128" s="3">
        <v>0.49655092592592592</v>
      </c>
      <c r="C3128" t="s">
        <v>8</v>
      </c>
      <c r="D3128" t="s">
        <v>1252</v>
      </c>
      <c r="E3128" s="4">
        <v>21.06</v>
      </c>
      <c r="F3128" t="s">
        <v>5</v>
      </c>
      <c r="G3128" s="10" t="str">
        <f>TEXT(Transform_Data[[#This Row],[Date]],"mmm yyyy")</f>
        <v>Feb 2025</v>
      </c>
      <c r="H3128" s="10">
        <f>HOUR(Transform_Data[[#This Row],[Time]])</f>
        <v>11</v>
      </c>
      <c r="I3128" s="10" t="str">
        <f>IF(COUNTIF('Transform Data'!$D:$D,'Transform Data'!D3128)&gt;1,"Repeat","Single")</f>
        <v>Repeat</v>
      </c>
      <c r="J3128" s="10" t="str">
        <f>IF('Transform Data'!D3128="Cash","Cash",IF(COUNTIF('Transform Data'!$D:$D,'Transform Data'!D3128)&gt;1,"Repeat","Single"))</f>
        <v>Repeat</v>
      </c>
      <c r="K3128" s="10" t="str">
        <f t="shared" si="48"/>
        <v>TRANS-3127</v>
      </c>
    </row>
    <row r="3129" spans="1:11" x14ac:dyDescent="0.35">
      <c r="A3129" s="5">
        <v>45705</v>
      </c>
      <c r="B3129" s="3">
        <v>0.53400462962962958</v>
      </c>
      <c r="C3129" t="s">
        <v>8</v>
      </c>
      <c r="D3129" t="s">
        <v>1270</v>
      </c>
      <c r="E3129" s="4">
        <v>35.76</v>
      </c>
      <c r="F3129" t="s">
        <v>24</v>
      </c>
      <c r="G3129" s="10" t="str">
        <f>TEXT(Transform_Data[[#This Row],[Date]],"mmm yyyy")</f>
        <v>Feb 2025</v>
      </c>
      <c r="H3129" s="10">
        <f>HOUR(Transform_Data[[#This Row],[Time]])</f>
        <v>12</v>
      </c>
      <c r="I3129" s="10" t="str">
        <f>IF(COUNTIF('Transform Data'!$D:$D,'Transform Data'!D3129)&gt;1,"Repeat","Single")</f>
        <v>Repeat</v>
      </c>
      <c r="J3129" s="10" t="str">
        <f>IF('Transform Data'!D3129="Cash","Cash",IF(COUNTIF('Transform Data'!$D:$D,'Transform Data'!D3129)&gt;1,"Repeat","Single"))</f>
        <v>Repeat</v>
      </c>
      <c r="K3129" s="10" t="str">
        <f t="shared" si="48"/>
        <v>TRANS-3128</v>
      </c>
    </row>
    <row r="3130" spans="1:11" x14ac:dyDescent="0.35">
      <c r="A3130" s="5">
        <v>45705</v>
      </c>
      <c r="B3130" s="3">
        <v>0.59931712962962957</v>
      </c>
      <c r="C3130" t="s">
        <v>8</v>
      </c>
      <c r="D3130" t="s">
        <v>1271</v>
      </c>
      <c r="E3130" s="4">
        <v>35.76</v>
      </c>
      <c r="F3130" t="s">
        <v>32</v>
      </c>
      <c r="G3130" s="10" t="str">
        <f>TEXT(Transform_Data[[#This Row],[Date]],"mmm yyyy")</f>
        <v>Feb 2025</v>
      </c>
      <c r="H3130" s="10">
        <f>HOUR(Transform_Data[[#This Row],[Time]])</f>
        <v>14</v>
      </c>
      <c r="I3130" s="10" t="str">
        <f>IF(COUNTIF('Transform Data'!$D:$D,'Transform Data'!D3130)&gt;1,"Repeat","Single")</f>
        <v>Single</v>
      </c>
      <c r="J3130" s="10" t="str">
        <f>IF('Transform Data'!D3130="Cash","Cash",IF(COUNTIF('Transform Data'!$D:$D,'Transform Data'!D3130)&gt;1,"Repeat","Single"))</f>
        <v>Single</v>
      </c>
      <c r="K3130" s="10" t="str">
        <f t="shared" si="48"/>
        <v>TRANS-3129</v>
      </c>
    </row>
    <row r="3131" spans="1:11" x14ac:dyDescent="0.35">
      <c r="A3131" s="5">
        <v>45705</v>
      </c>
      <c r="B3131" s="3">
        <v>0.62894675925925925</v>
      </c>
      <c r="C3131" t="s">
        <v>8</v>
      </c>
      <c r="D3131" t="s">
        <v>1244</v>
      </c>
      <c r="E3131" s="4">
        <v>30.86</v>
      </c>
      <c r="F3131" t="s">
        <v>36</v>
      </c>
      <c r="G3131" s="10" t="str">
        <f>TEXT(Transform_Data[[#This Row],[Date]],"mmm yyyy")</f>
        <v>Feb 2025</v>
      </c>
      <c r="H3131" s="10">
        <f>HOUR(Transform_Data[[#This Row],[Time]])</f>
        <v>15</v>
      </c>
      <c r="I3131" s="10" t="str">
        <f>IF(COUNTIF('Transform Data'!$D:$D,'Transform Data'!D3131)&gt;1,"Repeat","Single")</f>
        <v>Repeat</v>
      </c>
      <c r="J3131" s="10" t="str">
        <f>IF('Transform Data'!D3131="Cash","Cash",IF(COUNTIF('Transform Data'!$D:$D,'Transform Data'!D3131)&gt;1,"Repeat","Single"))</f>
        <v>Repeat</v>
      </c>
      <c r="K3131" s="10" t="str">
        <f t="shared" si="48"/>
        <v>TRANS-3130</v>
      </c>
    </row>
    <row r="3132" spans="1:11" x14ac:dyDescent="0.35">
      <c r="A3132" s="5">
        <v>45705</v>
      </c>
      <c r="B3132" s="3">
        <v>0.6481365740740741</v>
      </c>
      <c r="C3132" t="s">
        <v>8</v>
      </c>
      <c r="D3132" t="s">
        <v>1241</v>
      </c>
      <c r="E3132" s="4">
        <v>35.76</v>
      </c>
      <c r="F3132" t="s">
        <v>32</v>
      </c>
      <c r="G3132" s="10" t="str">
        <f>TEXT(Transform_Data[[#This Row],[Date]],"mmm yyyy")</f>
        <v>Feb 2025</v>
      </c>
      <c r="H3132" s="10">
        <f>HOUR(Transform_Data[[#This Row],[Time]])</f>
        <v>15</v>
      </c>
      <c r="I3132" s="10" t="str">
        <f>IF(COUNTIF('Transform Data'!$D:$D,'Transform Data'!D3132)&gt;1,"Repeat","Single")</f>
        <v>Repeat</v>
      </c>
      <c r="J3132" s="10" t="str">
        <f>IF('Transform Data'!D3132="Cash","Cash",IF(COUNTIF('Transform Data'!$D:$D,'Transform Data'!D3132)&gt;1,"Repeat","Single"))</f>
        <v>Repeat</v>
      </c>
      <c r="K3132" s="10" t="str">
        <f t="shared" si="48"/>
        <v>TRANS-3131</v>
      </c>
    </row>
    <row r="3133" spans="1:11" x14ac:dyDescent="0.35">
      <c r="A3133" s="5">
        <v>45705</v>
      </c>
      <c r="B3133" s="3">
        <v>0.67993055555555559</v>
      </c>
      <c r="C3133" t="s">
        <v>8</v>
      </c>
      <c r="D3133" t="s">
        <v>1268</v>
      </c>
      <c r="E3133" s="4">
        <v>21.06</v>
      </c>
      <c r="F3133" t="s">
        <v>5</v>
      </c>
      <c r="G3133" s="10" t="str">
        <f>TEXT(Transform_Data[[#This Row],[Date]],"mmm yyyy")</f>
        <v>Feb 2025</v>
      </c>
      <c r="H3133" s="10">
        <f>HOUR(Transform_Data[[#This Row],[Time]])</f>
        <v>16</v>
      </c>
      <c r="I3133" s="10" t="str">
        <f>IF(COUNTIF('Transform Data'!$D:$D,'Transform Data'!D3133)&gt;1,"Repeat","Single")</f>
        <v>Repeat</v>
      </c>
      <c r="J3133" s="10" t="str">
        <f>IF('Transform Data'!D3133="Cash","Cash",IF(COUNTIF('Transform Data'!$D:$D,'Transform Data'!D3133)&gt;1,"Repeat","Single"))</f>
        <v>Repeat</v>
      </c>
      <c r="K3133" s="10" t="str">
        <f t="shared" si="48"/>
        <v>TRANS-3132</v>
      </c>
    </row>
    <row r="3134" spans="1:11" x14ac:dyDescent="0.35">
      <c r="A3134" s="5">
        <v>45705</v>
      </c>
      <c r="B3134" s="3">
        <v>0.68243055555555554</v>
      </c>
      <c r="C3134" t="s">
        <v>8</v>
      </c>
      <c r="D3134" t="s">
        <v>1220</v>
      </c>
      <c r="E3134" s="4">
        <v>25.96</v>
      </c>
      <c r="F3134" t="s">
        <v>28</v>
      </c>
      <c r="G3134" s="10" t="str">
        <f>TEXT(Transform_Data[[#This Row],[Date]],"mmm yyyy")</f>
        <v>Feb 2025</v>
      </c>
      <c r="H3134" s="10">
        <f>HOUR(Transform_Data[[#This Row],[Time]])</f>
        <v>16</v>
      </c>
      <c r="I3134" s="10" t="str">
        <f>IF(COUNTIF('Transform Data'!$D:$D,'Transform Data'!D3134)&gt;1,"Repeat","Single")</f>
        <v>Repeat</v>
      </c>
      <c r="J3134" s="10" t="str">
        <f>IF('Transform Data'!D3134="Cash","Cash",IF(COUNTIF('Transform Data'!$D:$D,'Transform Data'!D3134)&gt;1,"Repeat","Single"))</f>
        <v>Repeat</v>
      </c>
      <c r="K3134" s="10" t="str">
        <f t="shared" si="48"/>
        <v>TRANS-3133</v>
      </c>
    </row>
    <row r="3135" spans="1:11" x14ac:dyDescent="0.35">
      <c r="A3135" s="5">
        <v>45705</v>
      </c>
      <c r="B3135" s="3">
        <v>0.73002314814814817</v>
      </c>
      <c r="C3135" t="s">
        <v>8</v>
      </c>
      <c r="D3135" t="s">
        <v>1272</v>
      </c>
      <c r="E3135" s="4">
        <v>30.86</v>
      </c>
      <c r="F3135" t="s">
        <v>36</v>
      </c>
      <c r="G3135" s="10" t="str">
        <f>TEXT(Transform_Data[[#This Row],[Date]],"mmm yyyy")</f>
        <v>Feb 2025</v>
      </c>
      <c r="H3135" s="10">
        <f>HOUR(Transform_Data[[#This Row],[Time]])</f>
        <v>17</v>
      </c>
      <c r="I3135" s="10" t="str">
        <f>IF(COUNTIF('Transform Data'!$D:$D,'Transform Data'!D3135)&gt;1,"Repeat","Single")</f>
        <v>Repeat</v>
      </c>
      <c r="J3135" s="10" t="str">
        <f>IF('Transform Data'!D3135="Cash","Cash",IF(COUNTIF('Transform Data'!$D:$D,'Transform Data'!D3135)&gt;1,"Repeat","Single"))</f>
        <v>Repeat</v>
      </c>
      <c r="K3135" s="10" t="str">
        <f t="shared" si="48"/>
        <v>TRANS-3134</v>
      </c>
    </row>
    <row r="3136" spans="1:11" x14ac:dyDescent="0.35">
      <c r="A3136" s="5">
        <v>45705</v>
      </c>
      <c r="B3136" s="3">
        <v>0.76657407407407407</v>
      </c>
      <c r="C3136" t="s">
        <v>8</v>
      </c>
      <c r="D3136" t="s">
        <v>1256</v>
      </c>
      <c r="E3136" s="4">
        <v>25.96</v>
      </c>
      <c r="F3136" t="s">
        <v>28</v>
      </c>
      <c r="G3136" s="10" t="str">
        <f>TEXT(Transform_Data[[#This Row],[Date]],"mmm yyyy")</f>
        <v>Feb 2025</v>
      </c>
      <c r="H3136" s="10">
        <f>HOUR(Transform_Data[[#This Row],[Time]])</f>
        <v>18</v>
      </c>
      <c r="I3136" s="10" t="str">
        <f>IF(COUNTIF('Transform Data'!$D:$D,'Transform Data'!D3136)&gt;1,"Repeat","Single")</f>
        <v>Repeat</v>
      </c>
      <c r="J3136" s="10" t="str">
        <f>IF('Transform Data'!D3136="Cash","Cash",IF(COUNTIF('Transform Data'!$D:$D,'Transform Data'!D3136)&gt;1,"Repeat","Single"))</f>
        <v>Repeat</v>
      </c>
      <c r="K3136" s="10" t="str">
        <f t="shared" si="48"/>
        <v>TRANS-3135</v>
      </c>
    </row>
    <row r="3137" spans="1:11" x14ac:dyDescent="0.35">
      <c r="A3137" s="5">
        <v>45705</v>
      </c>
      <c r="B3137" s="3">
        <v>0.80128472222222225</v>
      </c>
      <c r="C3137" t="s">
        <v>8</v>
      </c>
      <c r="D3137" t="s">
        <v>1273</v>
      </c>
      <c r="E3137" s="4">
        <v>25.96</v>
      </c>
      <c r="F3137" t="s">
        <v>28</v>
      </c>
      <c r="G3137" s="10" t="str">
        <f>TEXT(Transform_Data[[#This Row],[Date]],"mmm yyyy")</f>
        <v>Feb 2025</v>
      </c>
      <c r="H3137" s="10">
        <f>HOUR(Transform_Data[[#This Row],[Time]])</f>
        <v>19</v>
      </c>
      <c r="I3137" s="10" t="str">
        <f>IF(COUNTIF('Transform Data'!$D:$D,'Transform Data'!D3137)&gt;1,"Repeat","Single")</f>
        <v>Repeat</v>
      </c>
      <c r="J3137" s="10" t="str">
        <f>IF('Transform Data'!D3137="Cash","Cash",IF(COUNTIF('Transform Data'!$D:$D,'Transform Data'!D3137)&gt;1,"Repeat","Single"))</f>
        <v>Repeat</v>
      </c>
      <c r="K3137" s="10" t="str">
        <f t="shared" si="48"/>
        <v>TRANS-3136</v>
      </c>
    </row>
    <row r="3138" spans="1:11" x14ac:dyDescent="0.35">
      <c r="A3138" s="5">
        <v>45705</v>
      </c>
      <c r="B3138" s="3">
        <v>0.80208333333333337</v>
      </c>
      <c r="C3138" t="s">
        <v>8</v>
      </c>
      <c r="D3138" t="s">
        <v>1273</v>
      </c>
      <c r="E3138" s="4">
        <v>25.96</v>
      </c>
      <c r="F3138" t="s">
        <v>28</v>
      </c>
      <c r="G3138" s="10" t="str">
        <f>TEXT(Transform_Data[[#This Row],[Date]],"mmm yyyy")</f>
        <v>Feb 2025</v>
      </c>
      <c r="H3138" s="10">
        <f>HOUR(Transform_Data[[#This Row],[Time]])</f>
        <v>19</v>
      </c>
      <c r="I3138" s="10" t="str">
        <f>IF(COUNTIF('Transform Data'!$D:$D,'Transform Data'!D3138)&gt;1,"Repeat","Single")</f>
        <v>Repeat</v>
      </c>
      <c r="J3138" s="10" t="str">
        <f>IF('Transform Data'!D3138="Cash","Cash",IF(COUNTIF('Transform Data'!$D:$D,'Transform Data'!D3138)&gt;1,"Repeat","Single"))</f>
        <v>Repeat</v>
      </c>
      <c r="K3138" s="10" t="str">
        <f t="shared" ref="K3138:K3201" si="49">"TRANS-"&amp;TEXT(ROW(A3137),"0000")</f>
        <v>TRANS-3137</v>
      </c>
    </row>
    <row r="3139" spans="1:11" x14ac:dyDescent="0.35">
      <c r="A3139" s="5">
        <v>45705</v>
      </c>
      <c r="B3139" s="3">
        <v>0.84603009259259254</v>
      </c>
      <c r="C3139" t="s">
        <v>8</v>
      </c>
      <c r="D3139" t="s">
        <v>1242</v>
      </c>
      <c r="E3139" s="4">
        <v>35.76</v>
      </c>
      <c r="F3139" t="s">
        <v>32</v>
      </c>
      <c r="G3139" s="10" t="str">
        <f>TEXT(Transform_Data[[#This Row],[Date]],"mmm yyyy")</f>
        <v>Feb 2025</v>
      </c>
      <c r="H3139" s="10">
        <f>HOUR(Transform_Data[[#This Row],[Time]])</f>
        <v>20</v>
      </c>
      <c r="I3139" s="10" t="str">
        <f>IF(COUNTIF('Transform Data'!$D:$D,'Transform Data'!D3139)&gt;1,"Repeat","Single")</f>
        <v>Repeat</v>
      </c>
      <c r="J3139" s="10" t="str">
        <f>IF('Transform Data'!D3139="Cash","Cash",IF(COUNTIF('Transform Data'!$D:$D,'Transform Data'!D3139)&gt;1,"Repeat","Single"))</f>
        <v>Repeat</v>
      </c>
      <c r="K3139" s="10" t="str">
        <f t="shared" si="49"/>
        <v>TRANS-3138</v>
      </c>
    </row>
    <row r="3140" spans="1:11" x14ac:dyDescent="0.35">
      <c r="A3140" s="5">
        <v>45706</v>
      </c>
      <c r="B3140" s="3">
        <v>0.37023148148148149</v>
      </c>
      <c r="C3140" t="s">
        <v>8</v>
      </c>
      <c r="D3140" t="s">
        <v>33</v>
      </c>
      <c r="E3140" s="4">
        <v>25.96</v>
      </c>
      <c r="F3140" t="s">
        <v>28</v>
      </c>
      <c r="G3140" s="10" t="str">
        <f>TEXT(Transform_Data[[#This Row],[Date]],"mmm yyyy")</f>
        <v>Feb 2025</v>
      </c>
      <c r="H3140" s="10">
        <f>HOUR(Transform_Data[[#This Row],[Time]])</f>
        <v>8</v>
      </c>
      <c r="I3140" s="10" t="str">
        <f>IF(COUNTIF('Transform Data'!$D:$D,'Transform Data'!D3140)&gt;1,"Repeat","Single")</f>
        <v>Repeat</v>
      </c>
      <c r="J3140" s="10" t="str">
        <f>IF('Transform Data'!D3140="Cash","Cash",IF(COUNTIF('Transform Data'!$D:$D,'Transform Data'!D3140)&gt;1,"Repeat","Single"))</f>
        <v>Repeat</v>
      </c>
      <c r="K3140" s="10" t="str">
        <f t="shared" si="49"/>
        <v>TRANS-3139</v>
      </c>
    </row>
    <row r="3141" spans="1:11" x14ac:dyDescent="0.35">
      <c r="A3141" s="5">
        <v>45706</v>
      </c>
      <c r="B3141" s="3">
        <v>0.37099537037037039</v>
      </c>
      <c r="C3141" t="s">
        <v>8</v>
      </c>
      <c r="D3141" t="s">
        <v>33</v>
      </c>
      <c r="E3141" s="4">
        <v>25.96</v>
      </c>
      <c r="F3141" t="s">
        <v>28</v>
      </c>
      <c r="G3141" s="10" t="str">
        <f>TEXT(Transform_Data[[#This Row],[Date]],"mmm yyyy")</f>
        <v>Feb 2025</v>
      </c>
      <c r="H3141" s="10">
        <f>HOUR(Transform_Data[[#This Row],[Time]])</f>
        <v>8</v>
      </c>
      <c r="I3141" s="10" t="str">
        <f>IF(COUNTIF('Transform Data'!$D:$D,'Transform Data'!D3141)&gt;1,"Repeat","Single")</f>
        <v>Repeat</v>
      </c>
      <c r="J3141" s="10" t="str">
        <f>IF('Transform Data'!D3141="Cash","Cash",IF(COUNTIF('Transform Data'!$D:$D,'Transform Data'!D3141)&gt;1,"Repeat","Single"))</f>
        <v>Repeat</v>
      </c>
      <c r="K3141" s="10" t="str">
        <f t="shared" si="49"/>
        <v>TRANS-3140</v>
      </c>
    </row>
    <row r="3142" spans="1:11" x14ac:dyDescent="0.35">
      <c r="A3142" s="5">
        <v>45706</v>
      </c>
      <c r="B3142" s="3">
        <v>0.46359953703703705</v>
      </c>
      <c r="C3142" t="s">
        <v>8</v>
      </c>
      <c r="D3142" t="s">
        <v>6</v>
      </c>
      <c r="E3142" s="4">
        <v>25.96</v>
      </c>
      <c r="F3142" t="s">
        <v>28</v>
      </c>
      <c r="G3142" s="10" t="str">
        <f>TEXT(Transform_Data[[#This Row],[Date]],"mmm yyyy")</f>
        <v>Feb 2025</v>
      </c>
      <c r="H3142" s="10">
        <f>HOUR(Transform_Data[[#This Row],[Time]])</f>
        <v>11</v>
      </c>
      <c r="I3142" s="10" t="str">
        <f>IF(COUNTIF('Transform Data'!$D:$D,'Transform Data'!D3142)&gt;1,"Repeat","Single")</f>
        <v>Repeat</v>
      </c>
      <c r="J3142" s="10" t="str">
        <f>IF('Transform Data'!D3142="Cash","Cash",IF(COUNTIF('Transform Data'!$D:$D,'Transform Data'!D3142)&gt;1,"Repeat","Single"))</f>
        <v>Repeat</v>
      </c>
      <c r="K3142" s="10" t="str">
        <f t="shared" si="49"/>
        <v>TRANS-3141</v>
      </c>
    </row>
    <row r="3143" spans="1:11" x14ac:dyDescent="0.35">
      <c r="A3143" s="5">
        <v>45706</v>
      </c>
      <c r="B3143" s="3">
        <v>0.47923611111111108</v>
      </c>
      <c r="C3143" t="s">
        <v>8</v>
      </c>
      <c r="D3143" t="s">
        <v>1248</v>
      </c>
      <c r="E3143" s="4">
        <v>25.96</v>
      </c>
      <c r="F3143" t="s">
        <v>28</v>
      </c>
      <c r="G3143" s="10" t="str">
        <f>TEXT(Transform_Data[[#This Row],[Date]],"mmm yyyy")</f>
        <v>Feb 2025</v>
      </c>
      <c r="H3143" s="10">
        <f>HOUR(Transform_Data[[#This Row],[Time]])</f>
        <v>11</v>
      </c>
      <c r="I3143" s="10" t="str">
        <f>IF(COUNTIF('Transform Data'!$D:$D,'Transform Data'!D3143)&gt;1,"Repeat","Single")</f>
        <v>Repeat</v>
      </c>
      <c r="J3143" s="10" t="str">
        <f>IF('Transform Data'!D3143="Cash","Cash",IF(COUNTIF('Transform Data'!$D:$D,'Transform Data'!D3143)&gt;1,"Repeat","Single"))</f>
        <v>Repeat</v>
      </c>
      <c r="K3143" s="10" t="str">
        <f t="shared" si="49"/>
        <v>TRANS-3142</v>
      </c>
    </row>
    <row r="3144" spans="1:11" x14ac:dyDescent="0.35">
      <c r="A3144" s="5">
        <v>45706</v>
      </c>
      <c r="B3144" s="3">
        <v>0.48498842592592595</v>
      </c>
      <c r="C3144" t="s">
        <v>8</v>
      </c>
      <c r="D3144" t="s">
        <v>1253</v>
      </c>
      <c r="E3144" s="4">
        <v>30.86</v>
      </c>
      <c r="F3144" t="s">
        <v>36</v>
      </c>
      <c r="G3144" s="10" t="str">
        <f>TEXT(Transform_Data[[#This Row],[Date]],"mmm yyyy")</f>
        <v>Feb 2025</v>
      </c>
      <c r="H3144" s="10">
        <f>HOUR(Transform_Data[[#This Row],[Time]])</f>
        <v>11</v>
      </c>
      <c r="I3144" s="10" t="str">
        <f>IF(COUNTIF('Transform Data'!$D:$D,'Transform Data'!D3144)&gt;1,"Repeat","Single")</f>
        <v>Repeat</v>
      </c>
      <c r="J3144" s="10" t="str">
        <f>IF('Transform Data'!D3144="Cash","Cash",IF(COUNTIF('Transform Data'!$D:$D,'Transform Data'!D3144)&gt;1,"Repeat","Single"))</f>
        <v>Repeat</v>
      </c>
      <c r="K3144" s="10" t="str">
        <f t="shared" si="49"/>
        <v>TRANS-3143</v>
      </c>
    </row>
    <row r="3145" spans="1:11" x14ac:dyDescent="0.35">
      <c r="A3145" s="5">
        <v>45706</v>
      </c>
      <c r="B3145" s="3">
        <v>0.51071759259259264</v>
      </c>
      <c r="C3145" t="s">
        <v>8</v>
      </c>
      <c r="D3145" t="s">
        <v>1268</v>
      </c>
      <c r="E3145" s="4">
        <v>30.86</v>
      </c>
      <c r="F3145" t="s">
        <v>36</v>
      </c>
      <c r="G3145" s="10" t="str">
        <f>TEXT(Transform_Data[[#This Row],[Date]],"mmm yyyy")</f>
        <v>Feb 2025</v>
      </c>
      <c r="H3145" s="10">
        <f>HOUR(Transform_Data[[#This Row],[Time]])</f>
        <v>12</v>
      </c>
      <c r="I3145" s="10" t="str">
        <f>IF(COUNTIF('Transform Data'!$D:$D,'Transform Data'!D3145)&gt;1,"Repeat","Single")</f>
        <v>Repeat</v>
      </c>
      <c r="J3145" s="10" t="str">
        <f>IF('Transform Data'!D3145="Cash","Cash",IF(COUNTIF('Transform Data'!$D:$D,'Transform Data'!D3145)&gt;1,"Repeat","Single"))</f>
        <v>Repeat</v>
      </c>
      <c r="K3145" s="10" t="str">
        <f t="shared" si="49"/>
        <v>TRANS-3144</v>
      </c>
    </row>
    <row r="3146" spans="1:11" x14ac:dyDescent="0.35">
      <c r="A3146" s="5">
        <v>45706</v>
      </c>
      <c r="B3146" s="3">
        <v>0.54475694444444445</v>
      </c>
      <c r="C3146" t="s">
        <v>8</v>
      </c>
      <c r="D3146" t="s">
        <v>1274</v>
      </c>
      <c r="E3146" s="4">
        <v>35.76</v>
      </c>
      <c r="F3146" t="s">
        <v>10</v>
      </c>
      <c r="G3146" s="10" t="str">
        <f>TEXT(Transform_Data[[#This Row],[Date]],"mmm yyyy")</f>
        <v>Feb 2025</v>
      </c>
      <c r="H3146" s="10">
        <f>HOUR(Transform_Data[[#This Row],[Time]])</f>
        <v>13</v>
      </c>
      <c r="I3146" s="10" t="str">
        <f>IF(COUNTIF('Transform Data'!$D:$D,'Transform Data'!D3146)&gt;1,"Repeat","Single")</f>
        <v>Single</v>
      </c>
      <c r="J3146" s="10" t="str">
        <f>IF('Transform Data'!D3146="Cash","Cash",IF(COUNTIF('Transform Data'!$D:$D,'Transform Data'!D3146)&gt;1,"Repeat","Single"))</f>
        <v>Single</v>
      </c>
      <c r="K3146" s="10" t="str">
        <f t="shared" si="49"/>
        <v>TRANS-3145</v>
      </c>
    </row>
    <row r="3147" spans="1:11" x14ac:dyDescent="0.35">
      <c r="A3147" s="5">
        <v>45706</v>
      </c>
      <c r="B3147" s="3">
        <v>0.55954861111111109</v>
      </c>
      <c r="C3147" t="s">
        <v>8</v>
      </c>
      <c r="D3147" t="s">
        <v>1265</v>
      </c>
      <c r="E3147" s="4">
        <v>25.96</v>
      </c>
      <c r="F3147" t="s">
        <v>28</v>
      </c>
      <c r="G3147" s="10" t="str">
        <f>TEXT(Transform_Data[[#This Row],[Date]],"mmm yyyy")</f>
        <v>Feb 2025</v>
      </c>
      <c r="H3147" s="10">
        <f>HOUR(Transform_Data[[#This Row],[Time]])</f>
        <v>13</v>
      </c>
      <c r="I3147" s="10" t="str">
        <f>IF(COUNTIF('Transform Data'!$D:$D,'Transform Data'!D3147)&gt;1,"Repeat","Single")</f>
        <v>Repeat</v>
      </c>
      <c r="J3147" s="10" t="str">
        <f>IF('Transform Data'!D3147="Cash","Cash",IF(COUNTIF('Transform Data'!$D:$D,'Transform Data'!D3147)&gt;1,"Repeat","Single"))</f>
        <v>Repeat</v>
      </c>
      <c r="K3147" s="10" t="str">
        <f t="shared" si="49"/>
        <v>TRANS-3146</v>
      </c>
    </row>
    <row r="3148" spans="1:11" x14ac:dyDescent="0.35">
      <c r="A3148" s="5">
        <v>45706</v>
      </c>
      <c r="B3148" s="3">
        <v>0.56047453703703709</v>
      </c>
      <c r="C3148" t="s">
        <v>8</v>
      </c>
      <c r="D3148" t="s">
        <v>1272</v>
      </c>
      <c r="E3148" s="4">
        <v>30.86</v>
      </c>
      <c r="F3148" t="s">
        <v>36</v>
      </c>
      <c r="G3148" s="10" t="str">
        <f>TEXT(Transform_Data[[#This Row],[Date]],"mmm yyyy")</f>
        <v>Feb 2025</v>
      </c>
      <c r="H3148" s="10">
        <f>HOUR(Transform_Data[[#This Row],[Time]])</f>
        <v>13</v>
      </c>
      <c r="I3148" s="10" t="str">
        <f>IF(COUNTIF('Transform Data'!$D:$D,'Transform Data'!D3148)&gt;1,"Repeat","Single")</f>
        <v>Repeat</v>
      </c>
      <c r="J3148" s="10" t="str">
        <f>IF('Transform Data'!D3148="Cash","Cash",IF(COUNTIF('Transform Data'!$D:$D,'Transform Data'!D3148)&gt;1,"Repeat","Single"))</f>
        <v>Repeat</v>
      </c>
      <c r="K3148" s="10" t="str">
        <f t="shared" si="49"/>
        <v>TRANS-3147</v>
      </c>
    </row>
    <row r="3149" spans="1:11" x14ac:dyDescent="0.35">
      <c r="A3149" s="5">
        <v>45706</v>
      </c>
      <c r="B3149" s="3">
        <v>0.71212962962962967</v>
      </c>
      <c r="C3149" t="s">
        <v>8</v>
      </c>
      <c r="D3149" t="s">
        <v>1260</v>
      </c>
      <c r="E3149" s="4">
        <v>35.76</v>
      </c>
      <c r="F3149" t="s">
        <v>15</v>
      </c>
      <c r="G3149" s="10" t="str">
        <f>TEXT(Transform_Data[[#This Row],[Date]],"mmm yyyy")</f>
        <v>Feb 2025</v>
      </c>
      <c r="H3149" s="10">
        <f>HOUR(Transform_Data[[#This Row],[Time]])</f>
        <v>17</v>
      </c>
      <c r="I3149" s="10" t="str">
        <f>IF(COUNTIF('Transform Data'!$D:$D,'Transform Data'!D3149)&gt;1,"Repeat","Single")</f>
        <v>Repeat</v>
      </c>
      <c r="J3149" s="10" t="str">
        <f>IF('Transform Data'!D3149="Cash","Cash",IF(COUNTIF('Transform Data'!$D:$D,'Transform Data'!D3149)&gt;1,"Repeat","Single"))</f>
        <v>Repeat</v>
      </c>
      <c r="K3149" s="10" t="str">
        <f t="shared" si="49"/>
        <v>TRANS-3148</v>
      </c>
    </row>
    <row r="3150" spans="1:11" x14ac:dyDescent="0.35">
      <c r="A3150" s="5">
        <v>45706</v>
      </c>
      <c r="B3150" s="3">
        <v>0.71410879629629631</v>
      </c>
      <c r="C3150" t="s">
        <v>8</v>
      </c>
      <c r="D3150" t="s">
        <v>1275</v>
      </c>
      <c r="E3150" s="4">
        <v>30.86</v>
      </c>
      <c r="F3150" t="s">
        <v>36</v>
      </c>
      <c r="G3150" s="10" t="str">
        <f>TEXT(Transform_Data[[#This Row],[Date]],"mmm yyyy")</f>
        <v>Feb 2025</v>
      </c>
      <c r="H3150" s="10">
        <f>HOUR(Transform_Data[[#This Row],[Time]])</f>
        <v>17</v>
      </c>
      <c r="I3150" s="10" t="str">
        <f>IF(COUNTIF('Transform Data'!$D:$D,'Transform Data'!D3150)&gt;1,"Repeat","Single")</f>
        <v>Repeat</v>
      </c>
      <c r="J3150" s="10" t="str">
        <f>IF('Transform Data'!D3150="Cash","Cash",IF(COUNTIF('Transform Data'!$D:$D,'Transform Data'!D3150)&gt;1,"Repeat","Single"))</f>
        <v>Repeat</v>
      </c>
      <c r="K3150" s="10" t="str">
        <f t="shared" si="49"/>
        <v>TRANS-3149</v>
      </c>
    </row>
    <row r="3151" spans="1:11" x14ac:dyDescent="0.35">
      <c r="A3151" s="5">
        <v>45706</v>
      </c>
      <c r="B3151" s="3">
        <v>0.71478009259259256</v>
      </c>
      <c r="C3151" t="s">
        <v>8</v>
      </c>
      <c r="D3151" t="s">
        <v>1275</v>
      </c>
      <c r="E3151" s="4">
        <v>21.06</v>
      </c>
      <c r="F3151" t="s">
        <v>5</v>
      </c>
      <c r="G3151" s="10" t="str">
        <f>TEXT(Transform_Data[[#This Row],[Date]],"mmm yyyy")</f>
        <v>Feb 2025</v>
      </c>
      <c r="H3151" s="10">
        <f>HOUR(Transform_Data[[#This Row],[Time]])</f>
        <v>17</v>
      </c>
      <c r="I3151" s="10" t="str">
        <f>IF(COUNTIF('Transform Data'!$D:$D,'Transform Data'!D3151)&gt;1,"Repeat","Single")</f>
        <v>Repeat</v>
      </c>
      <c r="J3151" s="10" t="str">
        <f>IF('Transform Data'!D3151="Cash","Cash",IF(COUNTIF('Transform Data'!$D:$D,'Transform Data'!D3151)&gt;1,"Repeat","Single"))</f>
        <v>Repeat</v>
      </c>
      <c r="K3151" s="10" t="str">
        <f t="shared" si="49"/>
        <v>TRANS-3150</v>
      </c>
    </row>
    <row r="3152" spans="1:11" x14ac:dyDescent="0.35">
      <c r="A3152" s="5">
        <v>45706</v>
      </c>
      <c r="B3152" s="3">
        <v>0.71553240740740742</v>
      </c>
      <c r="C3152" t="s">
        <v>8</v>
      </c>
      <c r="D3152" t="s">
        <v>1275</v>
      </c>
      <c r="E3152" s="4">
        <v>35.76</v>
      </c>
      <c r="F3152" t="s">
        <v>10</v>
      </c>
      <c r="G3152" s="10" t="str">
        <f>TEXT(Transform_Data[[#This Row],[Date]],"mmm yyyy")</f>
        <v>Feb 2025</v>
      </c>
      <c r="H3152" s="10">
        <f>HOUR(Transform_Data[[#This Row],[Time]])</f>
        <v>17</v>
      </c>
      <c r="I3152" s="10" t="str">
        <f>IF(COUNTIF('Transform Data'!$D:$D,'Transform Data'!D3152)&gt;1,"Repeat","Single")</f>
        <v>Repeat</v>
      </c>
      <c r="J3152" s="10" t="str">
        <f>IF('Transform Data'!D3152="Cash","Cash",IF(COUNTIF('Transform Data'!$D:$D,'Transform Data'!D3152)&gt;1,"Repeat","Single"))</f>
        <v>Repeat</v>
      </c>
      <c r="K3152" s="10" t="str">
        <f t="shared" si="49"/>
        <v>TRANS-3151</v>
      </c>
    </row>
    <row r="3153" spans="1:11" x14ac:dyDescent="0.35">
      <c r="A3153" s="5">
        <v>45706</v>
      </c>
      <c r="B3153" s="3">
        <v>0.71637731481481481</v>
      </c>
      <c r="C3153" t="s">
        <v>8</v>
      </c>
      <c r="D3153" t="s">
        <v>1275</v>
      </c>
      <c r="E3153" s="4">
        <v>35.76</v>
      </c>
      <c r="F3153" t="s">
        <v>10</v>
      </c>
      <c r="G3153" s="10" t="str">
        <f>TEXT(Transform_Data[[#This Row],[Date]],"mmm yyyy")</f>
        <v>Feb 2025</v>
      </c>
      <c r="H3153" s="10">
        <f>HOUR(Transform_Data[[#This Row],[Time]])</f>
        <v>17</v>
      </c>
      <c r="I3153" s="10" t="str">
        <f>IF(COUNTIF('Transform Data'!$D:$D,'Transform Data'!D3153)&gt;1,"Repeat","Single")</f>
        <v>Repeat</v>
      </c>
      <c r="J3153" s="10" t="str">
        <f>IF('Transform Data'!D3153="Cash","Cash",IF(COUNTIF('Transform Data'!$D:$D,'Transform Data'!D3153)&gt;1,"Repeat","Single"))</f>
        <v>Repeat</v>
      </c>
      <c r="K3153" s="10" t="str">
        <f t="shared" si="49"/>
        <v>TRANS-3152</v>
      </c>
    </row>
    <row r="3154" spans="1:11" x14ac:dyDescent="0.35">
      <c r="A3154" s="5">
        <v>45706</v>
      </c>
      <c r="B3154" s="3">
        <v>0.8169791666666667</v>
      </c>
      <c r="C3154" t="s">
        <v>8</v>
      </c>
      <c r="D3154" t="s">
        <v>1276</v>
      </c>
      <c r="E3154" s="4">
        <v>35.76</v>
      </c>
      <c r="F3154" t="s">
        <v>10</v>
      </c>
      <c r="G3154" s="10" t="str">
        <f>TEXT(Transform_Data[[#This Row],[Date]],"mmm yyyy")</f>
        <v>Feb 2025</v>
      </c>
      <c r="H3154" s="10">
        <f>HOUR(Transform_Data[[#This Row],[Time]])</f>
        <v>19</v>
      </c>
      <c r="I3154" s="10" t="str">
        <f>IF(COUNTIF('Transform Data'!$D:$D,'Transform Data'!D3154)&gt;1,"Repeat","Single")</f>
        <v>Single</v>
      </c>
      <c r="J3154" s="10" t="str">
        <f>IF('Transform Data'!D3154="Cash","Cash",IF(COUNTIF('Transform Data'!$D:$D,'Transform Data'!D3154)&gt;1,"Repeat","Single"))</f>
        <v>Single</v>
      </c>
      <c r="K3154" s="10" t="str">
        <f t="shared" si="49"/>
        <v>TRANS-3153</v>
      </c>
    </row>
    <row r="3155" spans="1:11" x14ac:dyDescent="0.35">
      <c r="A3155" s="5">
        <v>45706</v>
      </c>
      <c r="B3155" s="3">
        <v>0.8381481481481482</v>
      </c>
      <c r="C3155" t="s">
        <v>8</v>
      </c>
      <c r="D3155" t="s">
        <v>1235</v>
      </c>
      <c r="E3155" s="4">
        <v>35.76</v>
      </c>
      <c r="F3155" t="s">
        <v>10</v>
      </c>
      <c r="G3155" s="10" t="str">
        <f>TEXT(Transform_Data[[#This Row],[Date]],"mmm yyyy")</f>
        <v>Feb 2025</v>
      </c>
      <c r="H3155" s="10">
        <f>HOUR(Transform_Data[[#This Row],[Time]])</f>
        <v>20</v>
      </c>
      <c r="I3155" s="10" t="str">
        <f>IF(COUNTIF('Transform Data'!$D:$D,'Transform Data'!D3155)&gt;1,"Repeat","Single")</f>
        <v>Repeat</v>
      </c>
      <c r="J3155" s="10" t="str">
        <f>IF('Transform Data'!D3155="Cash","Cash",IF(COUNTIF('Transform Data'!$D:$D,'Transform Data'!D3155)&gt;1,"Repeat","Single"))</f>
        <v>Repeat</v>
      </c>
      <c r="K3155" s="10" t="str">
        <f t="shared" si="49"/>
        <v>TRANS-3154</v>
      </c>
    </row>
    <row r="3156" spans="1:11" x14ac:dyDescent="0.35">
      <c r="A3156" s="5">
        <v>45706</v>
      </c>
      <c r="B3156" s="3">
        <v>0.87375000000000003</v>
      </c>
      <c r="C3156" t="s">
        <v>8</v>
      </c>
      <c r="D3156" t="s">
        <v>1262</v>
      </c>
      <c r="E3156" s="4">
        <v>35.76</v>
      </c>
      <c r="F3156" t="s">
        <v>15</v>
      </c>
      <c r="G3156" s="10" t="str">
        <f>TEXT(Transform_Data[[#This Row],[Date]],"mmm yyyy")</f>
        <v>Feb 2025</v>
      </c>
      <c r="H3156" s="10">
        <f>HOUR(Transform_Data[[#This Row],[Time]])</f>
        <v>20</v>
      </c>
      <c r="I3156" s="10" t="str">
        <f>IF(COUNTIF('Transform Data'!$D:$D,'Transform Data'!D3156)&gt;1,"Repeat","Single")</f>
        <v>Repeat</v>
      </c>
      <c r="J3156" s="10" t="str">
        <f>IF('Transform Data'!D3156="Cash","Cash",IF(COUNTIF('Transform Data'!$D:$D,'Transform Data'!D3156)&gt;1,"Repeat","Single"))</f>
        <v>Repeat</v>
      </c>
      <c r="K3156" s="10" t="str">
        <f t="shared" si="49"/>
        <v>TRANS-3155</v>
      </c>
    </row>
    <row r="3157" spans="1:11" x14ac:dyDescent="0.35">
      <c r="A3157" s="5">
        <v>45706</v>
      </c>
      <c r="B3157" s="3">
        <v>0.87637731481481485</v>
      </c>
      <c r="C3157" t="s">
        <v>8</v>
      </c>
      <c r="D3157" t="s">
        <v>1272</v>
      </c>
      <c r="E3157" s="4">
        <v>30.86</v>
      </c>
      <c r="F3157" t="s">
        <v>36</v>
      </c>
      <c r="G3157" s="10" t="str">
        <f>TEXT(Transform_Data[[#This Row],[Date]],"mmm yyyy")</f>
        <v>Feb 2025</v>
      </c>
      <c r="H3157" s="10">
        <f>HOUR(Transform_Data[[#This Row],[Time]])</f>
        <v>21</v>
      </c>
      <c r="I3157" s="10" t="str">
        <f>IF(COUNTIF('Transform Data'!$D:$D,'Transform Data'!D3157)&gt;1,"Repeat","Single")</f>
        <v>Repeat</v>
      </c>
      <c r="J3157" s="10" t="str">
        <f>IF('Transform Data'!D3157="Cash","Cash",IF(COUNTIF('Transform Data'!$D:$D,'Transform Data'!D3157)&gt;1,"Repeat","Single"))</f>
        <v>Repeat</v>
      </c>
      <c r="K3157" s="10" t="str">
        <f t="shared" si="49"/>
        <v>TRANS-3156</v>
      </c>
    </row>
    <row r="3158" spans="1:11" x14ac:dyDescent="0.35">
      <c r="A3158" s="5">
        <v>45707</v>
      </c>
      <c r="B3158" s="3">
        <v>0.33949074074074076</v>
      </c>
      <c r="C3158" t="s">
        <v>8</v>
      </c>
      <c r="D3158" t="s">
        <v>1212</v>
      </c>
      <c r="E3158" s="4">
        <v>35.76</v>
      </c>
      <c r="F3158" t="s">
        <v>24</v>
      </c>
      <c r="G3158" s="10" t="str">
        <f>TEXT(Transform_Data[[#This Row],[Date]],"mmm yyyy")</f>
        <v>Feb 2025</v>
      </c>
      <c r="H3158" s="10">
        <f>HOUR(Transform_Data[[#This Row],[Time]])</f>
        <v>8</v>
      </c>
      <c r="I3158" s="10" t="str">
        <f>IF(COUNTIF('Transform Data'!$D:$D,'Transform Data'!D3158)&gt;1,"Repeat","Single")</f>
        <v>Repeat</v>
      </c>
      <c r="J3158" s="10" t="str">
        <f>IF('Transform Data'!D3158="Cash","Cash",IF(COUNTIF('Transform Data'!$D:$D,'Transform Data'!D3158)&gt;1,"Repeat","Single"))</f>
        <v>Repeat</v>
      </c>
      <c r="K3158" s="10" t="str">
        <f t="shared" si="49"/>
        <v>TRANS-3157</v>
      </c>
    </row>
    <row r="3159" spans="1:11" x14ac:dyDescent="0.35">
      <c r="A3159" s="5">
        <v>45707</v>
      </c>
      <c r="B3159" s="3">
        <v>0.34020833333333333</v>
      </c>
      <c r="C3159" t="s">
        <v>8</v>
      </c>
      <c r="D3159" t="s">
        <v>1203</v>
      </c>
      <c r="E3159" s="4">
        <v>25.96</v>
      </c>
      <c r="F3159" t="s">
        <v>28</v>
      </c>
      <c r="G3159" s="10" t="str">
        <f>TEXT(Transform_Data[[#This Row],[Date]],"mmm yyyy")</f>
        <v>Feb 2025</v>
      </c>
      <c r="H3159" s="10">
        <f>HOUR(Transform_Data[[#This Row],[Time]])</f>
        <v>8</v>
      </c>
      <c r="I3159" s="10" t="str">
        <f>IF(COUNTIF('Transform Data'!$D:$D,'Transform Data'!D3159)&gt;1,"Repeat","Single")</f>
        <v>Repeat</v>
      </c>
      <c r="J3159" s="10" t="str">
        <f>IF('Transform Data'!D3159="Cash","Cash",IF(COUNTIF('Transform Data'!$D:$D,'Transform Data'!D3159)&gt;1,"Repeat","Single"))</f>
        <v>Repeat</v>
      </c>
      <c r="K3159" s="10" t="str">
        <f t="shared" si="49"/>
        <v>TRANS-3158</v>
      </c>
    </row>
    <row r="3160" spans="1:11" x14ac:dyDescent="0.35">
      <c r="A3160" s="5">
        <v>45707</v>
      </c>
      <c r="B3160" s="3">
        <v>0.36634259259259261</v>
      </c>
      <c r="C3160" t="s">
        <v>8</v>
      </c>
      <c r="D3160" t="s">
        <v>1220</v>
      </c>
      <c r="E3160" s="4">
        <v>25.96</v>
      </c>
      <c r="F3160" t="s">
        <v>28</v>
      </c>
      <c r="G3160" s="10" t="str">
        <f>TEXT(Transform_Data[[#This Row],[Date]],"mmm yyyy")</f>
        <v>Feb 2025</v>
      </c>
      <c r="H3160" s="10">
        <f>HOUR(Transform_Data[[#This Row],[Time]])</f>
        <v>8</v>
      </c>
      <c r="I3160" s="10" t="str">
        <f>IF(COUNTIF('Transform Data'!$D:$D,'Transform Data'!D3160)&gt;1,"Repeat","Single")</f>
        <v>Repeat</v>
      </c>
      <c r="J3160" s="10" t="str">
        <f>IF('Transform Data'!D3160="Cash","Cash",IF(COUNTIF('Transform Data'!$D:$D,'Transform Data'!D3160)&gt;1,"Repeat","Single"))</f>
        <v>Repeat</v>
      </c>
      <c r="K3160" s="10" t="str">
        <f t="shared" si="49"/>
        <v>TRANS-3159</v>
      </c>
    </row>
    <row r="3161" spans="1:11" x14ac:dyDescent="0.35">
      <c r="A3161" s="5">
        <v>45707</v>
      </c>
      <c r="B3161" s="3">
        <v>0.39202546296296298</v>
      </c>
      <c r="C3161" t="s">
        <v>8</v>
      </c>
      <c r="D3161" t="s">
        <v>1270</v>
      </c>
      <c r="E3161" s="4">
        <v>35.76</v>
      </c>
      <c r="F3161" t="s">
        <v>24</v>
      </c>
      <c r="G3161" s="10" t="str">
        <f>TEXT(Transform_Data[[#This Row],[Date]],"mmm yyyy")</f>
        <v>Feb 2025</v>
      </c>
      <c r="H3161" s="10">
        <f>HOUR(Transform_Data[[#This Row],[Time]])</f>
        <v>9</v>
      </c>
      <c r="I3161" s="10" t="str">
        <f>IF(COUNTIF('Transform Data'!$D:$D,'Transform Data'!D3161)&gt;1,"Repeat","Single")</f>
        <v>Repeat</v>
      </c>
      <c r="J3161" s="10" t="str">
        <f>IF('Transform Data'!D3161="Cash","Cash",IF(COUNTIF('Transform Data'!$D:$D,'Transform Data'!D3161)&gt;1,"Repeat","Single"))</f>
        <v>Repeat</v>
      </c>
      <c r="K3161" s="10" t="str">
        <f t="shared" si="49"/>
        <v>TRANS-3160</v>
      </c>
    </row>
    <row r="3162" spans="1:11" x14ac:dyDescent="0.35">
      <c r="A3162" s="5">
        <v>45707</v>
      </c>
      <c r="B3162" s="3">
        <v>0.42350694444444442</v>
      </c>
      <c r="C3162" t="s">
        <v>8</v>
      </c>
      <c r="D3162" t="s">
        <v>1217</v>
      </c>
      <c r="E3162" s="4">
        <v>25.96</v>
      </c>
      <c r="F3162" t="s">
        <v>28</v>
      </c>
      <c r="G3162" s="10" t="str">
        <f>TEXT(Transform_Data[[#This Row],[Date]],"mmm yyyy")</f>
        <v>Feb 2025</v>
      </c>
      <c r="H3162" s="10">
        <f>HOUR(Transform_Data[[#This Row],[Time]])</f>
        <v>10</v>
      </c>
      <c r="I3162" s="10" t="str">
        <f>IF(COUNTIF('Transform Data'!$D:$D,'Transform Data'!D3162)&gt;1,"Repeat","Single")</f>
        <v>Repeat</v>
      </c>
      <c r="J3162" s="10" t="str">
        <f>IF('Transform Data'!D3162="Cash","Cash",IF(COUNTIF('Transform Data'!$D:$D,'Transform Data'!D3162)&gt;1,"Repeat","Single"))</f>
        <v>Repeat</v>
      </c>
      <c r="K3162" s="10" t="str">
        <f t="shared" si="49"/>
        <v>TRANS-3161</v>
      </c>
    </row>
    <row r="3163" spans="1:11" x14ac:dyDescent="0.35">
      <c r="A3163" s="5">
        <v>45707</v>
      </c>
      <c r="B3163" s="3">
        <v>0.42987268518518518</v>
      </c>
      <c r="C3163" t="s">
        <v>8</v>
      </c>
      <c r="D3163" t="s">
        <v>1277</v>
      </c>
      <c r="E3163" s="4">
        <v>35.76</v>
      </c>
      <c r="F3163" t="s">
        <v>15</v>
      </c>
      <c r="G3163" s="10" t="str">
        <f>TEXT(Transform_Data[[#This Row],[Date]],"mmm yyyy")</f>
        <v>Feb 2025</v>
      </c>
      <c r="H3163" s="10">
        <f>HOUR(Transform_Data[[#This Row],[Time]])</f>
        <v>10</v>
      </c>
      <c r="I3163" s="10" t="str">
        <f>IF(COUNTIF('Transform Data'!$D:$D,'Transform Data'!D3163)&gt;1,"Repeat","Single")</f>
        <v>Repeat</v>
      </c>
      <c r="J3163" s="10" t="str">
        <f>IF('Transform Data'!D3163="Cash","Cash",IF(COUNTIF('Transform Data'!$D:$D,'Transform Data'!D3163)&gt;1,"Repeat","Single"))</f>
        <v>Repeat</v>
      </c>
      <c r="K3163" s="10" t="str">
        <f t="shared" si="49"/>
        <v>TRANS-3162</v>
      </c>
    </row>
    <row r="3164" spans="1:11" x14ac:dyDescent="0.35">
      <c r="A3164" s="5">
        <v>45707</v>
      </c>
      <c r="B3164" s="3">
        <v>0.44503472222222223</v>
      </c>
      <c r="C3164" t="s">
        <v>8</v>
      </c>
      <c r="D3164" t="s">
        <v>1257</v>
      </c>
      <c r="E3164" s="4">
        <v>30.86</v>
      </c>
      <c r="F3164" t="s">
        <v>36</v>
      </c>
      <c r="G3164" s="10" t="str">
        <f>TEXT(Transform_Data[[#This Row],[Date]],"mmm yyyy")</f>
        <v>Feb 2025</v>
      </c>
      <c r="H3164" s="10">
        <f>HOUR(Transform_Data[[#This Row],[Time]])</f>
        <v>10</v>
      </c>
      <c r="I3164" s="10" t="str">
        <f>IF(COUNTIF('Transform Data'!$D:$D,'Transform Data'!D3164)&gt;1,"Repeat","Single")</f>
        <v>Repeat</v>
      </c>
      <c r="J3164" s="10" t="str">
        <f>IF('Transform Data'!D3164="Cash","Cash",IF(COUNTIF('Transform Data'!$D:$D,'Transform Data'!D3164)&gt;1,"Repeat","Single"))</f>
        <v>Repeat</v>
      </c>
      <c r="K3164" s="10" t="str">
        <f t="shared" si="49"/>
        <v>TRANS-3163</v>
      </c>
    </row>
    <row r="3165" spans="1:11" x14ac:dyDescent="0.35">
      <c r="A3165" s="5">
        <v>45707</v>
      </c>
      <c r="B3165" s="3">
        <v>0.53131944444444446</v>
      </c>
      <c r="C3165" t="s">
        <v>8</v>
      </c>
      <c r="D3165" t="s">
        <v>1248</v>
      </c>
      <c r="E3165" s="4">
        <v>25.96</v>
      </c>
      <c r="F3165" t="s">
        <v>28</v>
      </c>
      <c r="G3165" s="10" t="str">
        <f>TEXT(Transform_Data[[#This Row],[Date]],"mmm yyyy")</f>
        <v>Feb 2025</v>
      </c>
      <c r="H3165" s="10">
        <f>HOUR(Transform_Data[[#This Row],[Time]])</f>
        <v>12</v>
      </c>
      <c r="I3165" s="10" t="str">
        <f>IF(COUNTIF('Transform Data'!$D:$D,'Transform Data'!D3165)&gt;1,"Repeat","Single")</f>
        <v>Repeat</v>
      </c>
      <c r="J3165" s="10" t="str">
        <f>IF('Transform Data'!D3165="Cash","Cash",IF(COUNTIF('Transform Data'!$D:$D,'Transform Data'!D3165)&gt;1,"Repeat","Single"))</f>
        <v>Repeat</v>
      </c>
      <c r="K3165" s="10" t="str">
        <f t="shared" si="49"/>
        <v>TRANS-3164</v>
      </c>
    </row>
    <row r="3166" spans="1:11" x14ac:dyDescent="0.35">
      <c r="A3166" s="5">
        <v>45707</v>
      </c>
      <c r="B3166" s="3">
        <v>0.53197916666666667</v>
      </c>
      <c r="C3166" t="s">
        <v>8</v>
      </c>
      <c r="D3166" t="s">
        <v>1218</v>
      </c>
      <c r="E3166" s="4">
        <v>35.76</v>
      </c>
      <c r="F3166" t="s">
        <v>10</v>
      </c>
      <c r="G3166" s="10" t="str">
        <f>TEXT(Transform_Data[[#This Row],[Date]],"mmm yyyy")</f>
        <v>Feb 2025</v>
      </c>
      <c r="H3166" s="10">
        <f>HOUR(Transform_Data[[#This Row],[Time]])</f>
        <v>12</v>
      </c>
      <c r="I3166" s="10" t="str">
        <f>IF(COUNTIF('Transform Data'!$D:$D,'Transform Data'!D3166)&gt;1,"Repeat","Single")</f>
        <v>Repeat</v>
      </c>
      <c r="J3166" s="10" t="str">
        <f>IF('Transform Data'!D3166="Cash","Cash",IF(COUNTIF('Transform Data'!$D:$D,'Transform Data'!D3166)&gt;1,"Repeat","Single"))</f>
        <v>Repeat</v>
      </c>
      <c r="K3166" s="10" t="str">
        <f t="shared" si="49"/>
        <v>TRANS-3165</v>
      </c>
    </row>
    <row r="3167" spans="1:11" x14ac:dyDescent="0.35">
      <c r="A3167" s="5">
        <v>45707</v>
      </c>
      <c r="B3167" s="3">
        <v>0.54645833333333338</v>
      </c>
      <c r="C3167" t="s">
        <v>8</v>
      </c>
      <c r="D3167" t="s">
        <v>1221</v>
      </c>
      <c r="E3167" s="4">
        <v>25.96</v>
      </c>
      <c r="F3167" t="s">
        <v>28</v>
      </c>
      <c r="G3167" s="10" t="str">
        <f>TEXT(Transform_Data[[#This Row],[Date]],"mmm yyyy")</f>
        <v>Feb 2025</v>
      </c>
      <c r="H3167" s="10">
        <f>HOUR(Transform_Data[[#This Row],[Time]])</f>
        <v>13</v>
      </c>
      <c r="I3167" s="10" t="str">
        <f>IF(COUNTIF('Transform Data'!$D:$D,'Transform Data'!D3167)&gt;1,"Repeat","Single")</f>
        <v>Repeat</v>
      </c>
      <c r="J3167" s="10" t="str">
        <f>IF('Transform Data'!D3167="Cash","Cash",IF(COUNTIF('Transform Data'!$D:$D,'Transform Data'!D3167)&gt;1,"Repeat","Single"))</f>
        <v>Repeat</v>
      </c>
      <c r="K3167" s="10" t="str">
        <f t="shared" si="49"/>
        <v>TRANS-3166</v>
      </c>
    </row>
    <row r="3168" spans="1:11" x14ac:dyDescent="0.35">
      <c r="A3168" s="5">
        <v>45707</v>
      </c>
      <c r="B3168" s="3">
        <v>0.66020833333333329</v>
      </c>
      <c r="C3168" t="s">
        <v>8</v>
      </c>
      <c r="D3168" t="s">
        <v>1209</v>
      </c>
      <c r="E3168" s="4">
        <v>35.76</v>
      </c>
      <c r="F3168" t="s">
        <v>24</v>
      </c>
      <c r="G3168" s="10" t="str">
        <f>TEXT(Transform_Data[[#This Row],[Date]],"mmm yyyy")</f>
        <v>Feb 2025</v>
      </c>
      <c r="H3168" s="10">
        <f>HOUR(Transform_Data[[#This Row],[Time]])</f>
        <v>15</v>
      </c>
      <c r="I3168" s="10" t="str">
        <f>IF(COUNTIF('Transform Data'!$D:$D,'Transform Data'!D3168)&gt;1,"Repeat","Single")</f>
        <v>Repeat</v>
      </c>
      <c r="J3168" s="10" t="str">
        <f>IF('Transform Data'!D3168="Cash","Cash",IF(COUNTIF('Transform Data'!$D:$D,'Transform Data'!D3168)&gt;1,"Repeat","Single"))</f>
        <v>Repeat</v>
      </c>
      <c r="K3168" s="10" t="str">
        <f t="shared" si="49"/>
        <v>TRANS-3167</v>
      </c>
    </row>
    <row r="3169" spans="1:11" x14ac:dyDescent="0.35">
      <c r="A3169" s="5">
        <v>45707</v>
      </c>
      <c r="B3169" s="3">
        <v>0.71111111111111114</v>
      </c>
      <c r="C3169" t="s">
        <v>8</v>
      </c>
      <c r="D3169" t="s">
        <v>6</v>
      </c>
      <c r="E3169" s="4">
        <v>25.96</v>
      </c>
      <c r="F3169" t="s">
        <v>28</v>
      </c>
      <c r="G3169" s="10" t="str">
        <f>TEXT(Transform_Data[[#This Row],[Date]],"mmm yyyy")</f>
        <v>Feb 2025</v>
      </c>
      <c r="H3169" s="10">
        <f>HOUR(Transform_Data[[#This Row],[Time]])</f>
        <v>17</v>
      </c>
      <c r="I3169" s="10" t="str">
        <f>IF(COUNTIF('Transform Data'!$D:$D,'Transform Data'!D3169)&gt;1,"Repeat","Single")</f>
        <v>Repeat</v>
      </c>
      <c r="J3169" s="10" t="str">
        <f>IF('Transform Data'!D3169="Cash","Cash",IF(COUNTIF('Transform Data'!$D:$D,'Transform Data'!D3169)&gt;1,"Repeat","Single"))</f>
        <v>Repeat</v>
      </c>
      <c r="K3169" s="10" t="str">
        <f t="shared" si="49"/>
        <v>TRANS-3168</v>
      </c>
    </row>
    <row r="3170" spans="1:11" x14ac:dyDescent="0.35">
      <c r="A3170" s="5">
        <v>45707</v>
      </c>
      <c r="B3170" s="3">
        <v>0.73251157407407408</v>
      </c>
      <c r="C3170" t="s">
        <v>8</v>
      </c>
      <c r="D3170" t="s">
        <v>1209</v>
      </c>
      <c r="E3170" s="4">
        <v>35.76</v>
      </c>
      <c r="F3170" t="s">
        <v>24</v>
      </c>
      <c r="G3170" s="10" t="str">
        <f>TEXT(Transform_Data[[#This Row],[Date]],"mmm yyyy")</f>
        <v>Feb 2025</v>
      </c>
      <c r="H3170" s="10">
        <f>HOUR(Transform_Data[[#This Row],[Time]])</f>
        <v>17</v>
      </c>
      <c r="I3170" s="10" t="str">
        <f>IF(COUNTIF('Transform Data'!$D:$D,'Transform Data'!D3170)&gt;1,"Repeat","Single")</f>
        <v>Repeat</v>
      </c>
      <c r="J3170" s="10" t="str">
        <f>IF('Transform Data'!D3170="Cash","Cash",IF(COUNTIF('Transform Data'!$D:$D,'Transform Data'!D3170)&gt;1,"Repeat","Single"))</f>
        <v>Repeat</v>
      </c>
      <c r="K3170" s="10" t="str">
        <f t="shared" si="49"/>
        <v>TRANS-3169</v>
      </c>
    </row>
    <row r="3171" spans="1:11" x14ac:dyDescent="0.35">
      <c r="A3171" s="5">
        <v>45707</v>
      </c>
      <c r="B3171" s="3">
        <v>0.74851851851851847</v>
      </c>
      <c r="C3171" t="s">
        <v>8</v>
      </c>
      <c r="D3171" t="s">
        <v>1267</v>
      </c>
      <c r="E3171" s="4">
        <v>30.86</v>
      </c>
      <c r="F3171" t="s">
        <v>36</v>
      </c>
      <c r="G3171" s="10" t="str">
        <f>TEXT(Transform_Data[[#This Row],[Date]],"mmm yyyy")</f>
        <v>Feb 2025</v>
      </c>
      <c r="H3171" s="10">
        <f>HOUR(Transform_Data[[#This Row],[Time]])</f>
        <v>17</v>
      </c>
      <c r="I3171" s="10" t="str">
        <f>IF(COUNTIF('Transform Data'!$D:$D,'Transform Data'!D3171)&gt;1,"Repeat","Single")</f>
        <v>Repeat</v>
      </c>
      <c r="J3171" s="10" t="str">
        <f>IF('Transform Data'!D3171="Cash","Cash",IF(COUNTIF('Transform Data'!$D:$D,'Transform Data'!D3171)&gt;1,"Repeat","Single"))</f>
        <v>Repeat</v>
      </c>
      <c r="K3171" s="10" t="str">
        <f t="shared" si="49"/>
        <v>TRANS-3170</v>
      </c>
    </row>
    <row r="3172" spans="1:11" x14ac:dyDescent="0.35">
      <c r="A3172" s="5">
        <v>45707</v>
      </c>
      <c r="B3172" s="3">
        <v>0.77474537037037039</v>
      </c>
      <c r="C3172" t="s">
        <v>8</v>
      </c>
      <c r="D3172" t="s">
        <v>1278</v>
      </c>
      <c r="E3172" s="4">
        <v>35.76</v>
      </c>
      <c r="F3172" t="s">
        <v>24</v>
      </c>
      <c r="G3172" s="10" t="str">
        <f>TEXT(Transform_Data[[#This Row],[Date]],"mmm yyyy")</f>
        <v>Feb 2025</v>
      </c>
      <c r="H3172" s="10">
        <f>HOUR(Transform_Data[[#This Row],[Time]])</f>
        <v>18</v>
      </c>
      <c r="I3172" s="10" t="str">
        <f>IF(COUNTIF('Transform Data'!$D:$D,'Transform Data'!D3172)&gt;1,"Repeat","Single")</f>
        <v>Single</v>
      </c>
      <c r="J3172" s="10" t="str">
        <f>IF('Transform Data'!D3172="Cash","Cash",IF(COUNTIF('Transform Data'!$D:$D,'Transform Data'!D3172)&gt;1,"Repeat","Single"))</f>
        <v>Single</v>
      </c>
      <c r="K3172" s="10" t="str">
        <f t="shared" si="49"/>
        <v>TRANS-3171</v>
      </c>
    </row>
    <row r="3173" spans="1:11" x14ac:dyDescent="0.35">
      <c r="A3173" s="5">
        <v>45707</v>
      </c>
      <c r="B3173" s="3">
        <v>0.79274305555555558</v>
      </c>
      <c r="C3173" t="s">
        <v>8</v>
      </c>
      <c r="D3173" t="s">
        <v>1279</v>
      </c>
      <c r="E3173" s="4">
        <v>35.76</v>
      </c>
      <c r="F3173" t="s">
        <v>32</v>
      </c>
      <c r="G3173" s="10" t="str">
        <f>TEXT(Transform_Data[[#This Row],[Date]],"mmm yyyy")</f>
        <v>Feb 2025</v>
      </c>
      <c r="H3173" s="10">
        <f>HOUR(Transform_Data[[#This Row],[Time]])</f>
        <v>19</v>
      </c>
      <c r="I3173" s="10" t="str">
        <f>IF(COUNTIF('Transform Data'!$D:$D,'Transform Data'!D3173)&gt;1,"Repeat","Single")</f>
        <v>Single</v>
      </c>
      <c r="J3173" s="10" t="str">
        <f>IF('Transform Data'!D3173="Cash","Cash",IF(COUNTIF('Transform Data'!$D:$D,'Transform Data'!D3173)&gt;1,"Repeat","Single"))</f>
        <v>Single</v>
      </c>
      <c r="K3173" s="10" t="str">
        <f t="shared" si="49"/>
        <v>TRANS-3172</v>
      </c>
    </row>
    <row r="3174" spans="1:11" x14ac:dyDescent="0.35">
      <c r="A3174" s="5">
        <v>45707</v>
      </c>
      <c r="B3174" s="3">
        <v>0.79987268518518517</v>
      </c>
      <c r="C3174" t="s">
        <v>8</v>
      </c>
      <c r="D3174" t="s">
        <v>1229</v>
      </c>
      <c r="E3174" s="4">
        <v>35.76</v>
      </c>
      <c r="F3174" t="s">
        <v>10</v>
      </c>
      <c r="G3174" s="10" t="str">
        <f>TEXT(Transform_Data[[#This Row],[Date]],"mmm yyyy")</f>
        <v>Feb 2025</v>
      </c>
      <c r="H3174" s="10">
        <f>HOUR(Transform_Data[[#This Row],[Time]])</f>
        <v>19</v>
      </c>
      <c r="I3174" s="10" t="str">
        <f>IF(COUNTIF('Transform Data'!$D:$D,'Transform Data'!D3174)&gt;1,"Repeat","Single")</f>
        <v>Repeat</v>
      </c>
      <c r="J3174" s="10" t="str">
        <f>IF('Transform Data'!D3174="Cash","Cash",IF(COUNTIF('Transform Data'!$D:$D,'Transform Data'!D3174)&gt;1,"Repeat","Single"))</f>
        <v>Repeat</v>
      </c>
      <c r="K3174" s="10" t="str">
        <f t="shared" si="49"/>
        <v>TRANS-3173</v>
      </c>
    </row>
    <row r="3175" spans="1:11" x14ac:dyDescent="0.35">
      <c r="A3175" s="5">
        <v>45707</v>
      </c>
      <c r="B3175" s="3">
        <v>0.80048611111111112</v>
      </c>
      <c r="C3175" t="s">
        <v>8</v>
      </c>
      <c r="D3175" t="s">
        <v>1229</v>
      </c>
      <c r="E3175" s="4">
        <v>35.76</v>
      </c>
      <c r="F3175" t="s">
        <v>15</v>
      </c>
      <c r="G3175" s="10" t="str">
        <f>TEXT(Transform_Data[[#This Row],[Date]],"mmm yyyy")</f>
        <v>Feb 2025</v>
      </c>
      <c r="H3175" s="10">
        <f>HOUR(Transform_Data[[#This Row],[Time]])</f>
        <v>19</v>
      </c>
      <c r="I3175" s="10" t="str">
        <f>IF(COUNTIF('Transform Data'!$D:$D,'Transform Data'!D3175)&gt;1,"Repeat","Single")</f>
        <v>Repeat</v>
      </c>
      <c r="J3175" s="10" t="str">
        <f>IF('Transform Data'!D3175="Cash","Cash",IF(COUNTIF('Transform Data'!$D:$D,'Transform Data'!D3175)&gt;1,"Repeat","Single"))</f>
        <v>Repeat</v>
      </c>
      <c r="K3175" s="10" t="str">
        <f t="shared" si="49"/>
        <v>TRANS-3174</v>
      </c>
    </row>
    <row r="3176" spans="1:11" x14ac:dyDescent="0.35">
      <c r="A3176" s="5">
        <v>45707</v>
      </c>
      <c r="B3176" s="3">
        <v>0.80997685185185186</v>
      </c>
      <c r="C3176" t="s">
        <v>8</v>
      </c>
      <c r="D3176" t="s">
        <v>1241</v>
      </c>
      <c r="E3176" s="4">
        <v>35.76</v>
      </c>
      <c r="F3176" t="s">
        <v>32</v>
      </c>
      <c r="G3176" s="10" t="str">
        <f>TEXT(Transform_Data[[#This Row],[Date]],"mmm yyyy")</f>
        <v>Feb 2025</v>
      </c>
      <c r="H3176" s="10">
        <f>HOUR(Transform_Data[[#This Row],[Time]])</f>
        <v>19</v>
      </c>
      <c r="I3176" s="10" t="str">
        <f>IF(COUNTIF('Transform Data'!$D:$D,'Transform Data'!D3176)&gt;1,"Repeat","Single")</f>
        <v>Repeat</v>
      </c>
      <c r="J3176" s="10" t="str">
        <f>IF('Transform Data'!D3176="Cash","Cash",IF(COUNTIF('Transform Data'!$D:$D,'Transform Data'!D3176)&gt;1,"Repeat","Single"))</f>
        <v>Repeat</v>
      </c>
      <c r="K3176" s="10" t="str">
        <f t="shared" si="49"/>
        <v>TRANS-3175</v>
      </c>
    </row>
    <row r="3177" spans="1:11" x14ac:dyDescent="0.35">
      <c r="A3177" s="5">
        <v>45707</v>
      </c>
      <c r="B3177" s="3">
        <v>0.83712962962962967</v>
      </c>
      <c r="C3177" t="s">
        <v>8</v>
      </c>
      <c r="D3177" t="s">
        <v>1232</v>
      </c>
      <c r="E3177" s="4">
        <v>35.76</v>
      </c>
      <c r="F3177" t="s">
        <v>10</v>
      </c>
      <c r="G3177" s="10" t="str">
        <f>TEXT(Transform_Data[[#This Row],[Date]],"mmm yyyy")</f>
        <v>Feb 2025</v>
      </c>
      <c r="H3177" s="10">
        <f>HOUR(Transform_Data[[#This Row],[Time]])</f>
        <v>20</v>
      </c>
      <c r="I3177" s="10" t="str">
        <f>IF(COUNTIF('Transform Data'!$D:$D,'Transform Data'!D3177)&gt;1,"Repeat","Single")</f>
        <v>Repeat</v>
      </c>
      <c r="J3177" s="10" t="str">
        <f>IF('Transform Data'!D3177="Cash","Cash",IF(COUNTIF('Transform Data'!$D:$D,'Transform Data'!D3177)&gt;1,"Repeat","Single"))</f>
        <v>Repeat</v>
      </c>
      <c r="K3177" s="10" t="str">
        <f t="shared" si="49"/>
        <v>TRANS-3176</v>
      </c>
    </row>
    <row r="3178" spans="1:11" x14ac:dyDescent="0.35">
      <c r="A3178" s="5">
        <v>45708</v>
      </c>
      <c r="B3178" s="3">
        <v>0.33083333333333331</v>
      </c>
      <c r="C3178" t="s">
        <v>8</v>
      </c>
      <c r="D3178" t="s">
        <v>1212</v>
      </c>
      <c r="E3178" s="4">
        <v>35.76</v>
      </c>
      <c r="F3178" t="s">
        <v>24</v>
      </c>
      <c r="G3178" s="10" t="str">
        <f>TEXT(Transform_Data[[#This Row],[Date]],"mmm yyyy")</f>
        <v>Feb 2025</v>
      </c>
      <c r="H3178" s="10">
        <f>HOUR(Transform_Data[[#This Row],[Time]])</f>
        <v>7</v>
      </c>
      <c r="I3178" s="10" t="str">
        <f>IF(COUNTIF('Transform Data'!$D:$D,'Transform Data'!D3178)&gt;1,"Repeat","Single")</f>
        <v>Repeat</v>
      </c>
      <c r="J3178" s="10" t="str">
        <f>IF('Transform Data'!D3178="Cash","Cash",IF(COUNTIF('Transform Data'!$D:$D,'Transform Data'!D3178)&gt;1,"Repeat","Single"))</f>
        <v>Repeat</v>
      </c>
      <c r="K3178" s="10" t="str">
        <f t="shared" si="49"/>
        <v>TRANS-3177</v>
      </c>
    </row>
    <row r="3179" spans="1:11" x14ac:dyDescent="0.35">
      <c r="A3179" s="5">
        <v>45708</v>
      </c>
      <c r="B3179" s="3">
        <v>0.38741898148148146</v>
      </c>
      <c r="C3179" t="s">
        <v>8</v>
      </c>
      <c r="D3179" t="s">
        <v>1217</v>
      </c>
      <c r="E3179" s="4">
        <v>25.96</v>
      </c>
      <c r="F3179" t="s">
        <v>28</v>
      </c>
      <c r="G3179" s="10" t="str">
        <f>TEXT(Transform_Data[[#This Row],[Date]],"mmm yyyy")</f>
        <v>Feb 2025</v>
      </c>
      <c r="H3179" s="10">
        <f>HOUR(Transform_Data[[#This Row],[Time]])</f>
        <v>9</v>
      </c>
      <c r="I3179" s="10" t="str">
        <f>IF(COUNTIF('Transform Data'!$D:$D,'Transform Data'!D3179)&gt;1,"Repeat","Single")</f>
        <v>Repeat</v>
      </c>
      <c r="J3179" s="10" t="str">
        <f>IF('Transform Data'!D3179="Cash","Cash",IF(COUNTIF('Transform Data'!$D:$D,'Transform Data'!D3179)&gt;1,"Repeat","Single"))</f>
        <v>Repeat</v>
      </c>
      <c r="K3179" s="10" t="str">
        <f t="shared" si="49"/>
        <v>TRANS-3178</v>
      </c>
    </row>
    <row r="3180" spans="1:11" x14ac:dyDescent="0.35">
      <c r="A3180" s="5">
        <v>45708</v>
      </c>
      <c r="B3180" s="3">
        <v>0.42824074074074076</v>
      </c>
      <c r="C3180" t="s">
        <v>8</v>
      </c>
      <c r="D3180" t="s">
        <v>33</v>
      </c>
      <c r="E3180" s="4">
        <v>35.76</v>
      </c>
      <c r="F3180" t="s">
        <v>24</v>
      </c>
      <c r="G3180" s="10" t="str">
        <f>TEXT(Transform_Data[[#This Row],[Date]],"mmm yyyy")</f>
        <v>Feb 2025</v>
      </c>
      <c r="H3180" s="10">
        <f>HOUR(Transform_Data[[#This Row],[Time]])</f>
        <v>10</v>
      </c>
      <c r="I3180" s="10" t="str">
        <f>IF(COUNTIF('Transform Data'!$D:$D,'Transform Data'!D3180)&gt;1,"Repeat","Single")</f>
        <v>Repeat</v>
      </c>
      <c r="J3180" s="10" t="str">
        <f>IF('Transform Data'!D3180="Cash","Cash",IF(COUNTIF('Transform Data'!$D:$D,'Transform Data'!D3180)&gt;1,"Repeat","Single"))</f>
        <v>Repeat</v>
      </c>
      <c r="K3180" s="10" t="str">
        <f t="shared" si="49"/>
        <v>TRANS-3179</v>
      </c>
    </row>
    <row r="3181" spans="1:11" x14ac:dyDescent="0.35">
      <c r="A3181" s="5">
        <v>45708</v>
      </c>
      <c r="B3181" s="3">
        <v>0.42891203703703706</v>
      </c>
      <c r="C3181" t="s">
        <v>8</v>
      </c>
      <c r="D3181" t="s">
        <v>33</v>
      </c>
      <c r="E3181" s="4">
        <v>25.96</v>
      </c>
      <c r="F3181" t="s">
        <v>28</v>
      </c>
      <c r="G3181" s="10" t="str">
        <f>TEXT(Transform_Data[[#This Row],[Date]],"mmm yyyy")</f>
        <v>Feb 2025</v>
      </c>
      <c r="H3181" s="10">
        <f>HOUR(Transform_Data[[#This Row],[Time]])</f>
        <v>10</v>
      </c>
      <c r="I3181" s="10" t="str">
        <f>IF(COUNTIF('Transform Data'!$D:$D,'Transform Data'!D3181)&gt;1,"Repeat","Single")</f>
        <v>Repeat</v>
      </c>
      <c r="J3181" s="10" t="str">
        <f>IF('Transform Data'!D3181="Cash","Cash",IF(COUNTIF('Transform Data'!$D:$D,'Transform Data'!D3181)&gt;1,"Repeat","Single"))</f>
        <v>Repeat</v>
      </c>
      <c r="K3181" s="10" t="str">
        <f t="shared" si="49"/>
        <v>TRANS-3180</v>
      </c>
    </row>
    <row r="3182" spans="1:11" x14ac:dyDescent="0.35">
      <c r="A3182" s="5">
        <v>45708</v>
      </c>
      <c r="B3182" s="3">
        <v>0.43083333333333335</v>
      </c>
      <c r="C3182" t="s">
        <v>8</v>
      </c>
      <c r="D3182" t="s">
        <v>1217</v>
      </c>
      <c r="E3182" s="4">
        <v>25.96</v>
      </c>
      <c r="F3182" t="s">
        <v>28</v>
      </c>
      <c r="G3182" s="10" t="str">
        <f>TEXT(Transform_Data[[#This Row],[Date]],"mmm yyyy")</f>
        <v>Feb 2025</v>
      </c>
      <c r="H3182" s="10">
        <f>HOUR(Transform_Data[[#This Row],[Time]])</f>
        <v>10</v>
      </c>
      <c r="I3182" s="10" t="str">
        <f>IF(COUNTIF('Transform Data'!$D:$D,'Transform Data'!D3182)&gt;1,"Repeat","Single")</f>
        <v>Repeat</v>
      </c>
      <c r="J3182" s="10" t="str">
        <f>IF('Transform Data'!D3182="Cash","Cash",IF(COUNTIF('Transform Data'!$D:$D,'Transform Data'!D3182)&gt;1,"Repeat","Single"))</f>
        <v>Repeat</v>
      </c>
      <c r="K3182" s="10" t="str">
        <f t="shared" si="49"/>
        <v>TRANS-3181</v>
      </c>
    </row>
    <row r="3183" spans="1:11" x14ac:dyDescent="0.35">
      <c r="A3183" s="5">
        <v>45708</v>
      </c>
      <c r="B3183" s="3">
        <v>0.43359953703703702</v>
      </c>
      <c r="C3183" t="s">
        <v>8</v>
      </c>
      <c r="D3183" t="s">
        <v>1248</v>
      </c>
      <c r="E3183" s="4">
        <v>25.96</v>
      </c>
      <c r="F3183" t="s">
        <v>28</v>
      </c>
      <c r="G3183" s="10" t="str">
        <f>TEXT(Transform_Data[[#This Row],[Date]],"mmm yyyy")</f>
        <v>Feb 2025</v>
      </c>
      <c r="H3183" s="10">
        <f>HOUR(Transform_Data[[#This Row],[Time]])</f>
        <v>10</v>
      </c>
      <c r="I3183" s="10" t="str">
        <f>IF(COUNTIF('Transform Data'!$D:$D,'Transform Data'!D3183)&gt;1,"Repeat","Single")</f>
        <v>Repeat</v>
      </c>
      <c r="J3183" s="10" t="str">
        <f>IF('Transform Data'!D3183="Cash","Cash",IF(COUNTIF('Transform Data'!$D:$D,'Transform Data'!D3183)&gt;1,"Repeat","Single"))</f>
        <v>Repeat</v>
      </c>
      <c r="K3183" s="10" t="str">
        <f t="shared" si="49"/>
        <v>TRANS-3182</v>
      </c>
    </row>
    <row r="3184" spans="1:11" x14ac:dyDescent="0.35">
      <c r="A3184" s="5">
        <v>45708</v>
      </c>
      <c r="B3184" s="3">
        <v>0.54327546296296292</v>
      </c>
      <c r="C3184" t="s">
        <v>8</v>
      </c>
      <c r="D3184" t="s">
        <v>1253</v>
      </c>
      <c r="E3184" s="4">
        <v>30.86</v>
      </c>
      <c r="F3184" t="s">
        <v>36</v>
      </c>
      <c r="G3184" s="10" t="str">
        <f>TEXT(Transform_Data[[#This Row],[Date]],"mmm yyyy")</f>
        <v>Feb 2025</v>
      </c>
      <c r="H3184" s="10">
        <f>HOUR(Transform_Data[[#This Row],[Time]])</f>
        <v>13</v>
      </c>
      <c r="I3184" s="10" t="str">
        <f>IF(COUNTIF('Transform Data'!$D:$D,'Transform Data'!D3184)&gt;1,"Repeat","Single")</f>
        <v>Repeat</v>
      </c>
      <c r="J3184" s="10" t="str">
        <f>IF('Transform Data'!D3184="Cash","Cash",IF(COUNTIF('Transform Data'!$D:$D,'Transform Data'!D3184)&gt;1,"Repeat","Single"))</f>
        <v>Repeat</v>
      </c>
      <c r="K3184" s="10" t="str">
        <f t="shared" si="49"/>
        <v>TRANS-3183</v>
      </c>
    </row>
    <row r="3185" spans="1:11" x14ac:dyDescent="0.35">
      <c r="A3185" s="5">
        <v>45708</v>
      </c>
      <c r="B3185" s="3">
        <v>0.59760416666666671</v>
      </c>
      <c r="C3185" t="s">
        <v>8</v>
      </c>
      <c r="D3185" t="s">
        <v>1246</v>
      </c>
      <c r="E3185" s="4">
        <v>35.76</v>
      </c>
      <c r="F3185" t="s">
        <v>32</v>
      </c>
      <c r="G3185" s="10" t="str">
        <f>TEXT(Transform_Data[[#This Row],[Date]],"mmm yyyy")</f>
        <v>Feb 2025</v>
      </c>
      <c r="H3185" s="10">
        <f>HOUR(Transform_Data[[#This Row],[Time]])</f>
        <v>14</v>
      </c>
      <c r="I3185" s="10" t="str">
        <f>IF(COUNTIF('Transform Data'!$D:$D,'Transform Data'!D3185)&gt;1,"Repeat","Single")</f>
        <v>Repeat</v>
      </c>
      <c r="J3185" s="10" t="str">
        <f>IF('Transform Data'!D3185="Cash","Cash",IF(COUNTIF('Transform Data'!$D:$D,'Transform Data'!D3185)&gt;1,"Repeat","Single"))</f>
        <v>Repeat</v>
      </c>
      <c r="K3185" s="10" t="str">
        <f t="shared" si="49"/>
        <v>TRANS-3184</v>
      </c>
    </row>
    <row r="3186" spans="1:11" x14ac:dyDescent="0.35">
      <c r="A3186" s="5">
        <v>45708</v>
      </c>
      <c r="B3186" s="3">
        <v>0.60971064814814813</v>
      </c>
      <c r="C3186" t="s">
        <v>8</v>
      </c>
      <c r="D3186" t="s">
        <v>33</v>
      </c>
      <c r="E3186" s="4">
        <v>25.96</v>
      </c>
      <c r="F3186" t="s">
        <v>28</v>
      </c>
      <c r="G3186" s="10" t="str">
        <f>TEXT(Transform_Data[[#This Row],[Date]],"mmm yyyy")</f>
        <v>Feb 2025</v>
      </c>
      <c r="H3186" s="10">
        <f>HOUR(Transform_Data[[#This Row],[Time]])</f>
        <v>14</v>
      </c>
      <c r="I3186" s="10" t="str">
        <f>IF(COUNTIF('Transform Data'!$D:$D,'Transform Data'!D3186)&gt;1,"Repeat","Single")</f>
        <v>Repeat</v>
      </c>
      <c r="J3186" s="10" t="str">
        <f>IF('Transform Data'!D3186="Cash","Cash",IF(COUNTIF('Transform Data'!$D:$D,'Transform Data'!D3186)&gt;1,"Repeat","Single"))</f>
        <v>Repeat</v>
      </c>
      <c r="K3186" s="10" t="str">
        <f t="shared" si="49"/>
        <v>TRANS-3185</v>
      </c>
    </row>
    <row r="3187" spans="1:11" x14ac:dyDescent="0.35">
      <c r="A3187" s="5">
        <v>45708</v>
      </c>
      <c r="B3187" s="3">
        <v>0.61028935185185185</v>
      </c>
      <c r="C3187" t="s">
        <v>8</v>
      </c>
      <c r="D3187" t="s">
        <v>33</v>
      </c>
      <c r="E3187" s="4">
        <v>25.96</v>
      </c>
      <c r="F3187" t="s">
        <v>28</v>
      </c>
      <c r="G3187" s="10" t="str">
        <f>TEXT(Transform_Data[[#This Row],[Date]],"mmm yyyy")</f>
        <v>Feb 2025</v>
      </c>
      <c r="H3187" s="10">
        <f>HOUR(Transform_Data[[#This Row],[Time]])</f>
        <v>14</v>
      </c>
      <c r="I3187" s="10" t="str">
        <f>IF(COUNTIF('Transform Data'!$D:$D,'Transform Data'!D3187)&gt;1,"Repeat","Single")</f>
        <v>Repeat</v>
      </c>
      <c r="J3187" s="10" t="str">
        <f>IF('Transform Data'!D3187="Cash","Cash",IF(COUNTIF('Transform Data'!$D:$D,'Transform Data'!D3187)&gt;1,"Repeat","Single"))</f>
        <v>Repeat</v>
      </c>
      <c r="K3187" s="10" t="str">
        <f t="shared" si="49"/>
        <v>TRANS-3186</v>
      </c>
    </row>
    <row r="3188" spans="1:11" x14ac:dyDescent="0.35">
      <c r="A3188" s="5">
        <v>45708</v>
      </c>
      <c r="B3188" s="3">
        <v>0.63871527777777781</v>
      </c>
      <c r="C3188" t="s">
        <v>8</v>
      </c>
      <c r="D3188" t="s">
        <v>1280</v>
      </c>
      <c r="E3188" s="4">
        <v>21.06</v>
      </c>
      <c r="F3188" t="s">
        <v>5</v>
      </c>
      <c r="G3188" s="10" t="str">
        <f>TEXT(Transform_Data[[#This Row],[Date]],"mmm yyyy")</f>
        <v>Feb 2025</v>
      </c>
      <c r="H3188" s="10">
        <f>HOUR(Transform_Data[[#This Row],[Time]])</f>
        <v>15</v>
      </c>
      <c r="I3188" s="10" t="str">
        <f>IF(COUNTIF('Transform Data'!$D:$D,'Transform Data'!D3188)&gt;1,"Repeat","Single")</f>
        <v>Single</v>
      </c>
      <c r="J3188" s="10" t="str">
        <f>IF('Transform Data'!D3188="Cash","Cash",IF(COUNTIF('Transform Data'!$D:$D,'Transform Data'!D3188)&gt;1,"Repeat","Single"))</f>
        <v>Single</v>
      </c>
      <c r="K3188" s="10" t="str">
        <f t="shared" si="49"/>
        <v>TRANS-3187</v>
      </c>
    </row>
    <row r="3189" spans="1:11" x14ac:dyDescent="0.35">
      <c r="A3189" s="5">
        <v>45708</v>
      </c>
      <c r="B3189" s="3">
        <v>0.67070601851851852</v>
      </c>
      <c r="C3189" t="s">
        <v>8</v>
      </c>
      <c r="D3189" t="s">
        <v>1207</v>
      </c>
      <c r="E3189" s="4">
        <v>35.76</v>
      </c>
      <c r="F3189" t="s">
        <v>24</v>
      </c>
      <c r="G3189" s="10" t="str">
        <f>TEXT(Transform_Data[[#This Row],[Date]],"mmm yyyy")</f>
        <v>Feb 2025</v>
      </c>
      <c r="H3189" s="10">
        <f>HOUR(Transform_Data[[#This Row],[Time]])</f>
        <v>16</v>
      </c>
      <c r="I3189" s="10" t="str">
        <f>IF(COUNTIF('Transform Data'!$D:$D,'Transform Data'!D3189)&gt;1,"Repeat","Single")</f>
        <v>Repeat</v>
      </c>
      <c r="J3189" s="10" t="str">
        <f>IF('Transform Data'!D3189="Cash","Cash",IF(COUNTIF('Transform Data'!$D:$D,'Transform Data'!D3189)&gt;1,"Repeat","Single"))</f>
        <v>Repeat</v>
      </c>
      <c r="K3189" s="10" t="str">
        <f t="shared" si="49"/>
        <v>TRANS-3188</v>
      </c>
    </row>
    <row r="3190" spans="1:11" x14ac:dyDescent="0.35">
      <c r="A3190" s="5">
        <v>45708</v>
      </c>
      <c r="B3190" s="3">
        <v>0.70770833333333338</v>
      </c>
      <c r="C3190" t="s">
        <v>8</v>
      </c>
      <c r="D3190" t="s">
        <v>1281</v>
      </c>
      <c r="E3190" s="4">
        <v>35.76</v>
      </c>
      <c r="F3190" t="s">
        <v>24</v>
      </c>
      <c r="G3190" s="10" t="str">
        <f>TEXT(Transform_Data[[#This Row],[Date]],"mmm yyyy")</f>
        <v>Feb 2025</v>
      </c>
      <c r="H3190" s="10">
        <f>HOUR(Transform_Data[[#This Row],[Time]])</f>
        <v>16</v>
      </c>
      <c r="I3190" s="10" t="str">
        <f>IF(COUNTIF('Transform Data'!$D:$D,'Transform Data'!D3190)&gt;1,"Repeat","Single")</f>
        <v>Repeat</v>
      </c>
      <c r="J3190" s="10" t="str">
        <f>IF('Transform Data'!D3190="Cash","Cash",IF(COUNTIF('Transform Data'!$D:$D,'Transform Data'!D3190)&gt;1,"Repeat","Single"))</f>
        <v>Repeat</v>
      </c>
      <c r="K3190" s="10" t="str">
        <f t="shared" si="49"/>
        <v>TRANS-3189</v>
      </c>
    </row>
    <row r="3191" spans="1:11" x14ac:dyDescent="0.35">
      <c r="A3191" s="5">
        <v>45708</v>
      </c>
      <c r="B3191" s="3">
        <v>0.70874999999999999</v>
      </c>
      <c r="C3191" t="s">
        <v>8</v>
      </c>
      <c r="D3191" t="s">
        <v>1281</v>
      </c>
      <c r="E3191" s="4">
        <v>35.76</v>
      </c>
      <c r="F3191" t="s">
        <v>15</v>
      </c>
      <c r="G3191" s="10" t="str">
        <f>TEXT(Transform_Data[[#This Row],[Date]],"mmm yyyy")</f>
        <v>Feb 2025</v>
      </c>
      <c r="H3191" s="10">
        <f>HOUR(Transform_Data[[#This Row],[Time]])</f>
        <v>17</v>
      </c>
      <c r="I3191" s="10" t="str">
        <f>IF(COUNTIF('Transform Data'!$D:$D,'Transform Data'!D3191)&gt;1,"Repeat","Single")</f>
        <v>Repeat</v>
      </c>
      <c r="J3191" s="10" t="str">
        <f>IF('Transform Data'!D3191="Cash","Cash",IF(COUNTIF('Transform Data'!$D:$D,'Transform Data'!D3191)&gt;1,"Repeat","Single"))</f>
        <v>Repeat</v>
      </c>
      <c r="K3191" s="10" t="str">
        <f t="shared" si="49"/>
        <v>TRANS-3190</v>
      </c>
    </row>
    <row r="3192" spans="1:11" x14ac:dyDescent="0.35">
      <c r="A3192" s="5">
        <v>45708</v>
      </c>
      <c r="B3192" s="3">
        <v>0.7135069444444444</v>
      </c>
      <c r="C3192" t="s">
        <v>8</v>
      </c>
      <c r="D3192" t="s">
        <v>33</v>
      </c>
      <c r="E3192" s="4">
        <v>25.96</v>
      </c>
      <c r="F3192" t="s">
        <v>28</v>
      </c>
      <c r="G3192" s="10" t="str">
        <f>TEXT(Transform_Data[[#This Row],[Date]],"mmm yyyy")</f>
        <v>Feb 2025</v>
      </c>
      <c r="H3192" s="10">
        <f>HOUR(Transform_Data[[#This Row],[Time]])</f>
        <v>17</v>
      </c>
      <c r="I3192" s="10" t="str">
        <f>IF(COUNTIF('Transform Data'!$D:$D,'Transform Data'!D3192)&gt;1,"Repeat","Single")</f>
        <v>Repeat</v>
      </c>
      <c r="J3192" s="10" t="str">
        <f>IF('Transform Data'!D3192="Cash","Cash",IF(COUNTIF('Transform Data'!$D:$D,'Transform Data'!D3192)&gt;1,"Repeat","Single"))</f>
        <v>Repeat</v>
      </c>
      <c r="K3192" s="10" t="str">
        <f t="shared" si="49"/>
        <v>TRANS-3191</v>
      </c>
    </row>
    <row r="3193" spans="1:11" x14ac:dyDescent="0.35">
      <c r="A3193" s="5">
        <v>45708</v>
      </c>
      <c r="B3193" s="3">
        <v>0.78997685185185185</v>
      </c>
      <c r="C3193" t="s">
        <v>8</v>
      </c>
      <c r="D3193" t="s">
        <v>1282</v>
      </c>
      <c r="E3193" s="4">
        <v>25.96</v>
      </c>
      <c r="F3193" t="s">
        <v>28</v>
      </c>
      <c r="G3193" s="10" t="str">
        <f>TEXT(Transform_Data[[#This Row],[Date]],"mmm yyyy")</f>
        <v>Feb 2025</v>
      </c>
      <c r="H3193" s="10">
        <f>HOUR(Transform_Data[[#This Row],[Time]])</f>
        <v>18</v>
      </c>
      <c r="I3193" s="10" t="str">
        <f>IF(COUNTIF('Transform Data'!$D:$D,'Transform Data'!D3193)&gt;1,"Repeat","Single")</f>
        <v>Repeat</v>
      </c>
      <c r="J3193" s="10" t="str">
        <f>IF('Transform Data'!D3193="Cash","Cash",IF(COUNTIF('Transform Data'!$D:$D,'Transform Data'!D3193)&gt;1,"Repeat","Single"))</f>
        <v>Repeat</v>
      </c>
      <c r="K3193" s="10" t="str">
        <f t="shared" si="49"/>
        <v>TRANS-3192</v>
      </c>
    </row>
    <row r="3194" spans="1:11" x14ac:dyDescent="0.35">
      <c r="A3194" s="5">
        <v>45708</v>
      </c>
      <c r="B3194" s="3">
        <v>0.79295138888888894</v>
      </c>
      <c r="C3194" t="s">
        <v>8</v>
      </c>
      <c r="D3194" t="s">
        <v>1283</v>
      </c>
      <c r="E3194" s="4">
        <v>35.76</v>
      </c>
      <c r="F3194" t="s">
        <v>15</v>
      </c>
      <c r="G3194" s="10" t="str">
        <f>TEXT(Transform_Data[[#This Row],[Date]],"mmm yyyy")</f>
        <v>Feb 2025</v>
      </c>
      <c r="H3194" s="10">
        <f>HOUR(Transform_Data[[#This Row],[Time]])</f>
        <v>19</v>
      </c>
      <c r="I3194" s="10" t="str">
        <f>IF(COUNTIF('Transform Data'!$D:$D,'Transform Data'!D3194)&gt;1,"Repeat","Single")</f>
        <v>Repeat</v>
      </c>
      <c r="J3194" s="10" t="str">
        <f>IF('Transform Data'!D3194="Cash","Cash",IF(COUNTIF('Transform Data'!$D:$D,'Transform Data'!D3194)&gt;1,"Repeat","Single"))</f>
        <v>Repeat</v>
      </c>
      <c r="K3194" s="10" t="str">
        <f t="shared" si="49"/>
        <v>TRANS-3193</v>
      </c>
    </row>
    <row r="3195" spans="1:11" x14ac:dyDescent="0.35">
      <c r="A3195" s="5">
        <v>45708</v>
      </c>
      <c r="B3195" s="3">
        <v>0.79681712962962958</v>
      </c>
      <c r="C3195" t="s">
        <v>8</v>
      </c>
      <c r="D3195" t="s">
        <v>1284</v>
      </c>
      <c r="E3195" s="4">
        <v>35.76</v>
      </c>
      <c r="F3195" t="s">
        <v>10</v>
      </c>
      <c r="G3195" s="10" t="str">
        <f>TEXT(Transform_Data[[#This Row],[Date]],"mmm yyyy")</f>
        <v>Feb 2025</v>
      </c>
      <c r="H3195" s="10">
        <f>HOUR(Transform_Data[[#This Row],[Time]])</f>
        <v>19</v>
      </c>
      <c r="I3195" s="10" t="str">
        <f>IF(COUNTIF('Transform Data'!$D:$D,'Transform Data'!D3195)&gt;1,"Repeat","Single")</f>
        <v>Repeat</v>
      </c>
      <c r="J3195" s="10" t="str">
        <f>IF('Transform Data'!D3195="Cash","Cash",IF(COUNTIF('Transform Data'!$D:$D,'Transform Data'!D3195)&gt;1,"Repeat","Single"))</f>
        <v>Repeat</v>
      </c>
      <c r="K3195" s="10" t="str">
        <f t="shared" si="49"/>
        <v>TRANS-3194</v>
      </c>
    </row>
    <row r="3196" spans="1:11" x14ac:dyDescent="0.35">
      <c r="A3196" s="5">
        <v>45708</v>
      </c>
      <c r="B3196" s="3">
        <v>0.83822916666666669</v>
      </c>
      <c r="C3196" t="s">
        <v>8</v>
      </c>
      <c r="D3196" t="s">
        <v>1219</v>
      </c>
      <c r="E3196" s="4">
        <v>35.76</v>
      </c>
      <c r="F3196" t="s">
        <v>32</v>
      </c>
      <c r="G3196" s="10" t="str">
        <f>TEXT(Transform_Data[[#This Row],[Date]],"mmm yyyy")</f>
        <v>Feb 2025</v>
      </c>
      <c r="H3196" s="10">
        <f>HOUR(Transform_Data[[#This Row],[Time]])</f>
        <v>20</v>
      </c>
      <c r="I3196" s="10" t="str">
        <f>IF(COUNTIF('Transform Data'!$D:$D,'Transform Data'!D3196)&gt;1,"Repeat","Single")</f>
        <v>Repeat</v>
      </c>
      <c r="J3196" s="10" t="str">
        <f>IF('Transform Data'!D3196="Cash","Cash",IF(COUNTIF('Transform Data'!$D:$D,'Transform Data'!D3196)&gt;1,"Repeat","Single"))</f>
        <v>Repeat</v>
      </c>
      <c r="K3196" s="10" t="str">
        <f t="shared" si="49"/>
        <v>TRANS-3195</v>
      </c>
    </row>
    <row r="3197" spans="1:11" x14ac:dyDescent="0.35">
      <c r="A3197" s="5">
        <v>45709</v>
      </c>
      <c r="B3197" s="3">
        <v>0.29106481481481483</v>
      </c>
      <c r="C3197" t="s">
        <v>8</v>
      </c>
      <c r="D3197" t="s">
        <v>33</v>
      </c>
      <c r="E3197" s="4">
        <v>25.96</v>
      </c>
      <c r="F3197" t="s">
        <v>28</v>
      </c>
      <c r="G3197" s="10" t="str">
        <f>TEXT(Transform_Data[[#This Row],[Date]],"mmm yyyy")</f>
        <v>Feb 2025</v>
      </c>
      <c r="H3197" s="10">
        <f>HOUR(Transform_Data[[#This Row],[Time]])</f>
        <v>6</v>
      </c>
      <c r="I3197" s="10" t="str">
        <f>IF(COUNTIF('Transform Data'!$D:$D,'Transform Data'!D3197)&gt;1,"Repeat","Single")</f>
        <v>Repeat</v>
      </c>
      <c r="J3197" s="10" t="str">
        <f>IF('Transform Data'!D3197="Cash","Cash",IF(COUNTIF('Transform Data'!$D:$D,'Transform Data'!D3197)&gt;1,"Repeat","Single"))</f>
        <v>Repeat</v>
      </c>
      <c r="K3197" s="10" t="str">
        <f t="shared" si="49"/>
        <v>TRANS-3196</v>
      </c>
    </row>
    <row r="3198" spans="1:11" x14ac:dyDescent="0.35">
      <c r="A3198" s="5">
        <v>45709</v>
      </c>
      <c r="B3198" s="3">
        <v>0.40380787037037036</v>
      </c>
      <c r="C3198" t="s">
        <v>8</v>
      </c>
      <c r="D3198" t="s">
        <v>1285</v>
      </c>
      <c r="E3198" s="4">
        <v>35.76</v>
      </c>
      <c r="F3198" t="s">
        <v>32</v>
      </c>
      <c r="G3198" s="10" t="str">
        <f>TEXT(Transform_Data[[#This Row],[Date]],"mmm yyyy")</f>
        <v>Feb 2025</v>
      </c>
      <c r="H3198" s="10">
        <f>HOUR(Transform_Data[[#This Row],[Time]])</f>
        <v>9</v>
      </c>
      <c r="I3198" s="10" t="str">
        <f>IF(COUNTIF('Transform Data'!$D:$D,'Transform Data'!D3198)&gt;1,"Repeat","Single")</f>
        <v>Single</v>
      </c>
      <c r="J3198" s="10" t="str">
        <f>IF('Transform Data'!D3198="Cash","Cash",IF(COUNTIF('Transform Data'!$D:$D,'Transform Data'!D3198)&gt;1,"Repeat","Single"))</f>
        <v>Single</v>
      </c>
      <c r="K3198" s="10" t="str">
        <f t="shared" si="49"/>
        <v>TRANS-3197</v>
      </c>
    </row>
    <row r="3199" spans="1:11" x14ac:dyDescent="0.35">
      <c r="A3199" s="5">
        <v>45709</v>
      </c>
      <c r="B3199" s="3">
        <v>0.40925925925925927</v>
      </c>
      <c r="C3199" t="s">
        <v>8</v>
      </c>
      <c r="D3199" t="s">
        <v>1286</v>
      </c>
      <c r="E3199" s="4">
        <v>35.76</v>
      </c>
      <c r="F3199" t="s">
        <v>24</v>
      </c>
      <c r="G3199" s="10" t="str">
        <f>TEXT(Transform_Data[[#This Row],[Date]],"mmm yyyy")</f>
        <v>Feb 2025</v>
      </c>
      <c r="H3199" s="10">
        <f>HOUR(Transform_Data[[#This Row],[Time]])</f>
        <v>9</v>
      </c>
      <c r="I3199" s="10" t="str">
        <f>IF(COUNTIF('Transform Data'!$D:$D,'Transform Data'!D3199)&gt;1,"Repeat","Single")</f>
        <v>Single</v>
      </c>
      <c r="J3199" s="10" t="str">
        <f>IF('Transform Data'!D3199="Cash","Cash",IF(COUNTIF('Transform Data'!$D:$D,'Transform Data'!D3199)&gt;1,"Repeat","Single"))</f>
        <v>Single</v>
      </c>
      <c r="K3199" s="10" t="str">
        <f t="shared" si="49"/>
        <v>TRANS-3198</v>
      </c>
    </row>
    <row r="3200" spans="1:11" x14ac:dyDescent="0.35">
      <c r="A3200" s="5">
        <v>45709</v>
      </c>
      <c r="B3200" s="3">
        <v>0.41055555555555556</v>
      </c>
      <c r="C3200" t="s">
        <v>8</v>
      </c>
      <c r="D3200" t="s">
        <v>1287</v>
      </c>
      <c r="E3200" s="4">
        <v>21.06</v>
      </c>
      <c r="F3200" t="s">
        <v>5</v>
      </c>
      <c r="G3200" s="10" t="str">
        <f>TEXT(Transform_Data[[#This Row],[Date]],"mmm yyyy")</f>
        <v>Feb 2025</v>
      </c>
      <c r="H3200" s="10">
        <f>HOUR(Transform_Data[[#This Row],[Time]])</f>
        <v>9</v>
      </c>
      <c r="I3200" s="10" t="str">
        <f>IF(COUNTIF('Transform Data'!$D:$D,'Transform Data'!D3200)&gt;1,"Repeat","Single")</f>
        <v>Repeat</v>
      </c>
      <c r="J3200" s="10" t="str">
        <f>IF('Transform Data'!D3200="Cash","Cash",IF(COUNTIF('Transform Data'!$D:$D,'Transform Data'!D3200)&gt;1,"Repeat","Single"))</f>
        <v>Repeat</v>
      </c>
      <c r="K3200" s="10" t="str">
        <f t="shared" si="49"/>
        <v>TRANS-3199</v>
      </c>
    </row>
    <row r="3201" spans="1:11" x14ac:dyDescent="0.35">
      <c r="A3201" s="5">
        <v>45709</v>
      </c>
      <c r="B3201" s="3">
        <v>0.42928240740740742</v>
      </c>
      <c r="C3201" t="s">
        <v>8</v>
      </c>
      <c r="D3201" t="s">
        <v>1282</v>
      </c>
      <c r="E3201" s="4">
        <v>25.96</v>
      </c>
      <c r="F3201" t="s">
        <v>28</v>
      </c>
      <c r="G3201" s="10" t="str">
        <f>TEXT(Transform_Data[[#This Row],[Date]],"mmm yyyy")</f>
        <v>Feb 2025</v>
      </c>
      <c r="H3201" s="10">
        <f>HOUR(Transform_Data[[#This Row],[Time]])</f>
        <v>10</v>
      </c>
      <c r="I3201" s="10" t="str">
        <f>IF(COUNTIF('Transform Data'!$D:$D,'Transform Data'!D3201)&gt;1,"Repeat","Single")</f>
        <v>Repeat</v>
      </c>
      <c r="J3201" s="10" t="str">
        <f>IF('Transform Data'!D3201="Cash","Cash",IF(COUNTIF('Transform Data'!$D:$D,'Transform Data'!D3201)&gt;1,"Repeat","Single"))</f>
        <v>Repeat</v>
      </c>
      <c r="K3201" s="10" t="str">
        <f t="shared" si="49"/>
        <v>TRANS-3200</v>
      </c>
    </row>
    <row r="3202" spans="1:11" x14ac:dyDescent="0.35">
      <c r="A3202" s="5">
        <v>45709</v>
      </c>
      <c r="B3202" s="3">
        <v>0.46535879629629628</v>
      </c>
      <c r="C3202" t="s">
        <v>8</v>
      </c>
      <c r="D3202" t="s">
        <v>33</v>
      </c>
      <c r="E3202" s="4">
        <v>30.86</v>
      </c>
      <c r="F3202" t="s">
        <v>36</v>
      </c>
      <c r="G3202" s="10" t="str">
        <f>TEXT(Transform_Data[[#This Row],[Date]],"mmm yyyy")</f>
        <v>Feb 2025</v>
      </c>
      <c r="H3202" s="10">
        <f>HOUR(Transform_Data[[#This Row],[Time]])</f>
        <v>11</v>
      </c>
      <c r="I3202" s="10" t="str">
        <f>IF(COUNTIF('Transform Data'!$D:$D,'Transform Data'!D3202)&gt;1,"Repeat","Single")</f>
        <v>Repeat</v>
      </c>
      <c r="J3202" s="10" t="str">
        <f>IF('Transform Data'!D3202="Cash","Cash",IF(COUNTIF('Transform Data'!$D:$D,'Transform Data'!D3202)&gt;1,"Repeat","Single"))</f>
        <v>Repeat</v>
      </c>
      <c r="K3202" s="10" t="str">
        <f t="shared" ref="K3202:K3265" si="50">"TRANS-"&amp;TEXT(ROW(A3201),"0000")</f>
        <v>TRANS-3201</v>
      </c>
    </row>
    <row r="3203" spans="1:11" x14ac:dyDescent="0.35">
      <c r="A3203" s="5">
        <v>45709</v>
      </c>
      <c r="B3203" s="3">
        <v>0.50334490740740745</v>
      </c>
      <c r="C3203" t="s">
        <v>8</v>
      </c>
      <c r="D3203" t="s">
        <v>6</v>
      </c>
      <c r="E3203" s="4">
        <v>25.96</v>
      </c>
      <c r="F3203" t="s">
        <v>28</v>
      </c>
      <c r="G3203" s="10" t="str">
        <f>TEXT(Transform_Data[[#This Row],[Date]],"mmm yyyy")</f>
        <v>Feb 2025</v>
      </c>
      <c r="H3203" s="10">
        <f>HOUR(Transform_Data[[#This Row],[Time]])</f>
        <v>12</v>
      </c>
      <c r="I3203" s="10" t="str">
        <f>IF(COUNTIF('Transform Data'!$D:$D,'Transform Data'!D3203)&gt;1,"Repeat","Single")</f>
        <v>Repeat</v>
      </c>
      <c r="J3203" s="10" t="str">
        <f>IF('Transform Data'!D3203="Cash","Cash",IF(COUNTIF('Transform Data'!$D:$D,'Transform Data'!D3203)&gt;1,"Repeat","Single"))</f>
        <v>Repeat</v>
      </c>
      <c r="K3203" s="10" t="str">
        <f t="shared" si="50"/>
        <v>TRANS-3202</v>
      </c>
    </row>
    <row r="3204" spans="1:11" x14ac:dyDescent="0.35">
      <c r="A3204" s="5">
        <v>45709</v>
      </c>
      <c r="B3204" s="3">
        <v>0.50534722222222217</v>
      </c>
      <c r="C3204" t="s">
        <v>8</v>
      </c>
      <c r="D3204" t="s">
        <v>1288</v>
      </c>
      <c r="E3204" s="4">
        <v>25.96</v>
      </c>
      <c r="F3204" t="s">
        <v>28</v>
      </c>
      <c r="G3204" s="10" t="str">
        <f>TEXT(Transform_Data[[#This Row],[Date]],"mmm yyyy")</f>
        <v>Feb 2025</v>
      </c>
      <c r="H3204" s="10">
        <f>HOUR(Transform_Data[[#This Row],[Time]])</f>
        <v>12</v>
      </c>
      <c r="I3204" s="10" t="str">
        <f>IF(COUNTIF('Transform Data'!$D:$D,'Transform Data'!D3204)&gt;1,"Repeat","Single")</f>
        <v>Single</v>
      </c>
      <c r="J3204" s="10" t="str">
        <f>IF('Transform Data'!D3204="Cash","Cash",IF(COUNTIF('Transform Data'!$D:$D,'Transform Data'!D3204)&gt;1,"Repeat","Single"))</f>
        <v>Single</v>
      </c>
      <c r="K3204" s="10" t="str">
        <f t="shared" si="50"/>
        <v>TRANS-3203</v>
      </c>
    </row>
    <row r="3205" spans="1:11" x14ac:dyDescent="0.35">
      <c r="A3205" s="5">
        <v>45709</v>
      </c>
      <c r="B3205" s="3">
        <v>0.53908564814814819</v>
      </c>
      <c r="C3205" t="s">
        <v>8</v>
      </c>
      <c r="D3205" t="s">
        <v>1248</v>
      </c>
      <c r="E3205" s="4">
        <v>25.96</v>
      </c>
      <c r="F3205" t="s">
        <v>28</v>
      </c>
      <c r="G3205" s="10" t="str">
        <f>TEXT(Transform_Data[[#This Row],[Date]],"mmm yyyy")</f>
        <v>Feb 2025</v>
      </c>
      <c r="H3205" s="10">
        <f>HOUR(Transform_Data[[#This Row],[Time]])</f>
        <v>12</v>
      </c>
      <c r="I3205" s="10" t="str">
        <f>IF(COUNTIF('Transform Data'!$D:$D,'Transform Data'!D3205)&gt;1,"Repeat","Single")</f>
        <v>Repeat</v>
      </c>
      <c r="J3205" s="10" t="str">
        <f>IF('Transform Data'!D3205="Cash","Cash",IF(COUNTIF('Transform Data'!$D:$D,'Transform Data'!D3205)&gt;1,"Repeat","Single"))</f>
        <v>Repeat</v>
      </c>
      <c r="K3205" s="10" t="str">
        <f t="shared" si="50"/>
        <v>TRANS-3204</v>
      </c>
    </row>
    <row r="3206" spans="1:11" x14ac:dyDescent="0.35">
      <c r="A3206" s="5">
        <v>45709</v>
      </c>
      <c r="B3206" s="3">
        <v>0.53960648148148149</v>
      </c>
      <c r="C3206" t="s">
        <v>8</v>
      </c>
      <c r="D3206" t="s">
        <v>1217</v>
      </c>
      <c r="E3206" s="4">
        <v>25.96</v>
      </c>
      <c r="F3206" t="s">
        <v>28</v>
      </c>
      <c r="G3206" s="10" t="str">
        <f>TEXT(Transform_Data[[#This Row],[Date]],"mmm yyyy")</f>
        <v>Feb 2025</v>
      </c>
      <c r="H3206" s="10">
        <f>HOUR(Transform_Data[[#This Row],[Time]])</f>
        <v>12</v>
      </c>
      <c r="I3206" s="10" t="str">
        <f>IF(COUNTIF('Transform Data'!$D:$D,'Transform Data'!D3206)&gt;1,"Repeat","Single")</f>
        <v>Repeat</v>
      </c>
      <c r="J3206" s="10" t="str">
        <f>IF('Transform Data'!D3206="Cash","Cash",IF(COUNTIF('Transform Data'!$D:$D,'Transform Data'!D3206)&gt;1,"Repeat","Single"))</f>
        <v>Repeat</v>
      </c>
      <c r="K3206" s="10" t="str">
        <f t="shared" si="50"/>
        <v>TRANS-3205</v>
      </c>
    </row>
    <row r="3207" spans="1:11" x14ac:dyDescent="0.35">
      <c r="A3207" s="5">
        <v>45709</v>
      </c>
      <c r="B3207" s="3">
        <v>0.54631944444444447</v>
      </c>
      <c r="C3207" t="s">
        <v>8</v>
      </c>
      <c r="D3207" t="s">
        <v>1253</v>
      </c>
      <c r="E3207" s="4">
        <v>25.96</v>
      </c>
      <c r="F3207" t="s">
        <v>28</v>
      </c>
      <c r="G3207" s="10" t="str">
        <f>TEXT(Transform_Data[[#This Row],[Date]],"mmm yyyy")</f>
        <v>Feb 2025</v>
      </c>
      <c r="H3207" s="10">
        <f>HOUR(Transform_Data[[#This Row],[Time]])</f>
        <v>13</v>
      </c>
      <c r="I3207" s="10" t="str">
        <f>IF(COUNTIF('Transform Data'!$D:$D,'Transform Data'!D3207)&gt;1,"Repeat","Single")</f>
        <v>Repeat</v>
      </c>
      <c r="J3207" s="10" t="str">
        <f>IF('Transform Data'!D3207="Cash","Cash",IF(COUNTIF('Transform Data'!$D:$D,'Transform Data'!D3207)&gt;1,"Repeat","Single"))</f>
        <v>Repeat</v>
      </c>
      <c r="K3207" s="10" t="str">
        <f t="shared" si="50"/>
        <v>TRANS-3206</v>
      </c>
    </row>
    <row r="3208" spans="1:11" x14ac:dyDescent="0.35">
      <c r="A3208" s="5">
        <v>45709</v>
      </c>
      <c r="B3208" s="3">
        <v>0.59576388888888887</v>
      </c>
      <c r="C3208" t="s">
        <v>8</v>
      </c>
      <c r="D3208" t="s">
        <v>1253</v>
      </c>
      <c r="E3208" s="4">
        <v>25.96</v>
      </c>
      <c r="F3208" t="s">
        <v>28</v>
      </c>
      <c r="G3208" s="10" t="str">
        <f>TEXT(Transform_Data[[#This Row],[Date]],"mmm yyyy")</f>
        <v>Feb 2025</v>
      </c>
      <c r="H3208" s="10">
        <f>HOUR(Transform_Data[[#This Row],[Time]])</f>
        <v>14</v>
      </c>
      <c r="I3208" s="10" t="str">
        <f>IF(COUNTIF('Transform Data'!$D:$D,'Transform Data'!D3208)&gt;1,"Repeat","Single")</f>
        <v>Repeat</v>
      </c>
      <c r="J3208" s="10" t="str">
        <f>IF('Transform Data'!D3208="Cash","Cash",IF(COUNTIF('Transform Data'!$D:$D,'Transform Data'!D3208)&gt;1,"Repeat","Single"))</f>
        <v>Repeat</v>
      </c>
      <c r="K3208" s="10" t="str">
        <f t="shared" si="50"/>
        <v>TRANS-3207</v>
      </c>
    </row>
    <row r="3209" spans="1:11" x14ac:dyDescent="0.35">
      <c r="A3209" s="5">
        <v>45709</v>
      </c>
      <c r="B3209" s="3">
        <v>0.63785879629629627</v>
      </c>
      <c r="C3209" t="s">
        <v>8</v>
      </c>
      <c r="D3209" t="s">
        <v>1212</v>
      </c>
      <c r="E3209" s="4">
        <v>35.76</v>
      </c>
      <c r="F3209" t="s">
        <v>24</v>
      </c>
      <c r="G3209" s="10" t="str">
        <f>TEXT(Transform_Data[[#This Row],[Date]],"mmm yyyy")</f>
        <v>Feb 2025</v>
      </c>
      <c r="H3209" s="10">
        <f>HOUR(Transform_Data[[#This Row],[Time]])</f>
        <v>15</v>
      </c>
      <c r="I3209" s="10" t="str">
        <f>IF(COUNTIF('Transform Data'!$D:$D,'Transform Data'!D3209)&gt;1,"Repeat","Single")</f>
        <v>Repeat</v>
      </c>
      <c r="J3209" s="10" t="str">
        <f>IF('Transform Data'!D3209="Cash","Cash",IF(COUNTIF('Transform Data'!$D:$D,'Transform Data'!D3209)&gt;1,"Repeat","Single"))</f>
        <v>Repeat</v>
      </c>
      <c r="K3209" s="10" t="str">
        <f t="shared" si="50"/>
        <v>TRANS-3208</v>
      </c>
    </row>
    <row r="3210" spans="1:11" x14ac:dyDescent="0.35">
      <c r="A3210" s="5">
        <v>45709</v>
      </c>
      <c r="B3210" s="3">
        <v>0.65687499999999999</v>
      </c>
      <c r="C3210" t="s">
        <v>8</v>
      </c>
      <c r="D3210" t="s">
        <v>33</v>
      </c>
      <c r="E3210" s="4">
        <v>25.96</v>
      </c>
      <c r="F3210" t="s">
        <v>28</v>
      </c>
      <c r="G3210" s="10" t="str">
        <f>TEXT(Transform_Data[[#This Row],[Date]],"mmm yyyy")</f>
        <v>Feb 2025</v>
      </c>
      <c r="H3210" s="10">
        <f>HOUR(Transform_Data[[#This Row],[Time]])</f>
        <v>15</v>
      </c>
      <c r="I3210" s="10" t="str">
        <f>IF(COUNTIF('Transform Data'!$D:$D,'Transform Data'!D3210)&gt;1,"Repeat","Single")</f>
        <v>Repeat</v>
      </c>
      <c r="J3210" s="10" t="str">
        <f>IF('Transform Data'!D3210="Cash","Cash",IF(COUNTIF('Transform Data'!$D:$D,'Transform Data'!D3210)&gt;1,"Repeat","Single"))</f>
        <v>Repeat</v>
      </c>
      <c r="K3210" s="10" t="str">
        <f t="shared" si="50"/>
        <v>TRANS-3209</v>
      </c>
    </row>
    <row r="3211" spans="1:11" x14ac:dyDescent="0.35">
      <c r="A3211" s="5">
        <v>45709</v>
      </c>
      <c r="B3211" s="3">
        <v>0.65749999999999997</v>
      </c>
      <c r="C3211" t="s">
        <v>8</v>
      </c>
      <c r="D3211" t="s">
        <v>33</v>
      </c>
      <c r="E3211" s="4">
        <v>25.96</v>
      </c>
      <c r="F3211" t="s">
        <v>28</v>
      </c>
      <c r="G3211" s="10" t="str">
        <f>TEXT(Transform_Data[[#This Row],[Date]],"mmm yyyy")</f>
        <v>Feb 2025</v>
      </c>
      <c r="H3211" s="10">
        <f>HOUR(Transform_Data[[#This Row],[Time]])</f>
        <v>15</v>
      </c>
      <c r="I3211" s="10" t="str">
        <f>IF(COUNTIF('Transform Data'!$D:$D,'Transform Data'!D3211)&gt;1,"Repeat","Single")</f>
        <v>Repeat</v>
      </c>
      <c r="J3211" s="10" t="str">
        <f>IF('Transform Data'!D3211="Cash","Cash",IF(COUNTIF('Transform Data'!$D:$D,'Transform Data'!D3211)&gt;1,"Repeat","Single"))</f>
        <v>Repeat</v>
      </c>
      <c r="K3211" s="10" t="str">
        <f t="shared" si="50"/>
        <v>TRANS-3210</v>
      </c>
    </row>
    <row r="3212" spans="1:11" x14ac:dyDescent="0.35">
      <c r="A3212" s="5">
        <v>45709</v>
      </c>
      <c r="B3212" s="3">
        <v>0.66166666666666663</v>
      </c>
      <c r="C3212" t="s">
        <v>8</v>
      </c>
      <c r="D3212" t="s">
        <v>1253</v>
      </c>
      <c r="E3212" s="4">
        <v>25.96</v>
      </c>
      <c r="F3212" t="s">
        <v>28</v>
      </c>
      <c r="G3212" s="10" t="str">
        <f>TEXT(Transform_Data[[#This Row],[Date]],"mmm yyyy")</f>
        <v>Feb 2025</v>
      </c>
      <c r="H3212" s="10">
        <f>HOUR(Transform_Data[[#This Row],[Time]])</f>
        <v>15</v>
      </c>
      <c r="I3212" s="10" t="str">
        <f>IF(COUNTIF('Transform Data'!$D:$D,'Transform Data'!D3212)&gt;1,"Repeat","Single")</f>
        <v>Repeat</v>
      </c>
      <c r="J3212" s="10" t="str">
        <f>IF('Transform Data'!D3212="Cash","Cash",IF(COUNTIF('Transform Data'!$D:$D,'Transform Data'!D3212)&gt;1,"Repeat","Single"))</f>
        <v>Repeat</v>
      </c>
      <c r="K3212" s="10" t="str">
        <f t="shared" si="50"/>
        <v>TRANS-3211</v>
      </c>
    </row>
    <row r="3213" spans="1:11" x14ac:dyDescent="0.35">
      <c r="A3213" s="5">
        <v>45709</v>
      </c>
      <c r="B3213" s="3">
        <v>0.6736805555555555</v>
      </c>
      <c r="C3213" t="s">
        <v>8</v>
      </c>
      <c r="D3213" t="s">
        <v>1289</v>
      </c>
      <c r="E3213" s="4">
        <v>35.76</v>
      </c>
      <c r="F3213" t="s">
        <v>10</v>
      </c>
      <c r="G3213" s="10" t="str">
        <f>TEXT(Transform_Data[[#This Row],[Date]],"mmm yyyy")</f>
        <v>Feb 2025</v>
      </c>
      <c r="H3213" s="10">
        <f>HOUR(Transform_Data[[#This Row],[Time]])</f>
        <v>16</v>
      </c>
      <c r="I3213" s="10" t="str">
        <f>IF(COUNTIF('Transform Data'!$D:$D,'Transform Data'!D3213)&gt;1,"Repeat","Single")</f>
        <v>Single</v>
      </c>
      <c r="J3213" s="10" t="str">
        <f>IF('Transform Data'!D3213="Cash","Cash",IF(COUNTIF('Transform Data'!$D:$D,'Transform Data'!D3213)&gt;1,"Repeat","Single"))</f>
        <v>Single</v>
      </c>
      <c r="K3213" s="10" t="str">
        <f t="shared" si="50"/>
        <v>TRANS-3212</v>
      </c>
    </row>
    <row r="3214" spans="1:11" x14ac:dyDescent="0.35">
      <c r="A3214" s="5">
        <v>45709</v>
      </c>
      <c r="B3214" s="3">
        <v>0.69928240740740744</v>
      </c>
      <c r="C3214" t="s">
        <v>8</v>
      </c>
      <c r="D3214" t="s">
        <v>1241</v>
      </c>
      <c r="E3214" s="4">
        <v>35.76</v>
      </c>
      <c r="F3214" t="s">
        <v>32</v>
      </c>
      <c r="G3214" s="10" t="str">
        <f>TEXT(Transform_Data[[#This Row],[Date]],"mmm yyyy")</f>
        <v>Feb 2025</v>
      </c>
      <c r="H3214" s="10">
        <f>HOUR(Transform_Data[[#This Row],[Time]])</f>
        <v>16</v>
      </c>
      <c r="I3214" s="10" t="str">
        <f>IF(COUNTIF('Transform Data'!$D:$D,'Transform Data'!D3214)&gt;1,"Repeat","Single")</f>
        <v>Repeat</v>
      </c>
      <c r="J3214" s="10" t="str">
        <f>IF('Transform Data'!D3214="Cash","Cash",IF(COUNTIF('Transform Data'!$D:$D,'Transform Data'!D3214)&gt;1,"Repeat","Single"))</f>
        <v>Repeat</v>
      </c>
      <c r="K3214" s="10" t="str">
        <f t="shared" si="50"/>
        <v>TRANS-3213</v>
      </c>
    </row>
    <row r="3215" spans="1:11" x14ac:dyDescent="0.35">
      <c r="A3215" s="5">
        <v>45709</v>
      </c>
      <c r="B3215" s="3">
        <v>0.70067129629629632</v>
      </c>
      <c r="C3215" t="s">
        <v>8</v>
      </c>
      <c r="D3215" t="s">
        <v>1215</v>
      </c>
      <c r="E3215" s="4">
        <v>35.76</v>
      </c>
      <c r="F3215" t="s">
        <v>15</v>
      </c>
      <c r="G3215" s="10" t="str">
        <f>TEXT(Transform_Data[[#This Row],[Date]],"mmm yyyy")</f>
        <v>Feb 2025</v>
      </c>
      <c r="H3215" s="10">
        <f>HOUR(Transform_Data[[#This Row],[Time]])</f>
        <v>16</v>
      </c>
      <c r="I3215" s="10" t="str">
        <f>IF(COUNTIF('Transform Data'!$D:$D,'Transform Data'!D3215)&gt;1,"Repeat","Single")</f>
        <v>Repeat</v>
      </c>
      <c r="J3215" s="10" t="str">
        <f>IF('Transform Data'!D3215="Cash","Cash",IF(COUNTIF('Transform Data'!$D:$D,'Transform Data'!D3215)&gt;1,"Repeat","Single"))</f>
        <v>Repeat</v>
      </c>
      <c r="K3215" s="10" t="str">
        <f t="shared" si="50"/>
        <v>TRANS-3214</v>
      </c>
    </row>
    <row r="3216" spans="1:11" x14ac:dyDescent="0.35">
      <c r="A3216" s="5">
        <v>45709</v>
      </c>
      <c r="B3216" s="3">
        <v>0.7015393518518519</v>
      </c>
      <c r="C3216" t="s">
        <v>8</v>
      </c>
      <c r="D3216" t="s">
        <v>1215</v>
      </c>
      <c r="E3216" s="4">
        <v>35.76</v>
      </c>
      <c r="F3216" t="s">
        <v>32</v>
      </c>
      <c r="G3216" s="10" t="str">
        <f>TEXT(Transform_Data[[#This Row],[Date]],"mmm yyyy")</f>
        <v>Feb 2025</v>
      </c>
      <c r="H3216" s="10">
        <f>HOUR(Transform_Data[[#This Row],[Time]])</f>
        <v>16</v>
      </c>
      <c r="I3216" s="10" t="str">
        <f>IF(COUNTIF('Transform Data'!$D:$D,'Transform Data'!D3216)&gt;1,"Repeat","Single")</f>
        <v>Repeat</v>
      </c>
      <c r="J3216" s="10" t="str">
        <f>IF('Transform Data'!D3216="Cash","Cash",IF(COUNTIF('Transform Data'!$D:$D,'Transform Data'!D3216)&gt;1,"Repeat","Single"))</f>
        <v>Repeat</v>
      </c>
      <c r="K3216" s="10" t="str">
        <f t="shared" si="50"/>
        <v>TRANS-3215</v>
      </c>
    </row>
    <row r="3217" spans="1:11" x14ac:dyDescent="0.35">
      <c r="A3217" s="5">
        <v>45709</v>
      </c>
      <c r="B3217" s="3">
        <v>0.79743055555555553</v>
      </c>
      <c r="C3217" t="s">
        <v>8</v>
      </c>
      <c r="D3217" t="s">
        <v>1228</v>
      </c>
      <c r="E3217" s="4">
        <v>35.76</v>
      </c>
      <c r="F3217" t="s">
        <v>10</v>
      </c>
      <c r="G3217" s="10" t="str">
        <f>TEXT(Transform_Data[[#This Row],[Date]],"mmm yyyy")</f>
        <v>Feb 2025</v>
      </c>
      <c r="H3217" s="10">
        <f>HOUR(Transform_Data[[#This Row],[Time]])</f>
        <v>19</v>
      </c>
      <c r="I3217" s="10" t="str">
        <f>IF(COUNTIF('Transform Data'!$D:$D,'Transform Data'!D3217)&gt;1,"Repeat","Single")</f>
        <v>Repeat</v>
      </c>
      <c r="J3217" s="10" t="str">
        <f>IF('Transform Data'!D3217="Cash","Cash",IF(COUNTIF('Transform Data'!$D:$D,'Transform Data'!D3217)&gt;1,"Repeat","Single"))</f>
        <v>Repeat</v>
      </c>
      <c r="K3217" s="10" t="str">
        <f t="shared" si="50"/>
        <v>TRANS-3216</v>
      </c>
    </row>
    <row r="3218" spans="1:11" x14ac:dyDescent="0.35">
      <c r="A3218" s="5">
        <v>45709</v>
      </c>
      <c r="B3218" s="3">
        <v>0.79802083333333329</v>
      </c>
      <c r="C3218" t="s">
        <v>8</v>
      </c>
      <c r="D3218" t="s">
        <v>1228</v>
      </c>
      <c r="E3218" s="4">
        <v>35.76</v>
      </c>
      <c r="F3218" t="s">
        <v>10</v>
      </c>
      <c r="G3218" s="10" t="str">
        <f>TEXT(Transform_Data[[#This Row],[Date]],"mmm yyyy")</f>
        <v>Feb 2025</v>
      </c>
      <c r="H3218" s="10">
        <f>HOUR(Transform_Data[[#This Row],[Time]])</f>
        <v>19</v>
      </c>
      <c r="I3218" s="10" t="str">
        <f>IF(COUNTIF('Transform Data'!$D:$D,'Transform Data'!D3218)&gt;1,"Repeat","Single")</f>
        <v>Repeat</v>
      </c>
      <c r="J3218" s="10" t="str">
        <f>IF('Transform Data'!D3218="Cash","Cash",IF(COUNTIF('Transform Data'!$D:$D,'Transform Data'!D3218)&gt;1,"Repeat","Single"))</f>
        <v>Repeat</v>
      </c>
      <c r="K3218" s="10" t="str">
        <f t="shared" si="50"/>
        <v>TRANS-3217</v>
      </c>
    </row>
    <row r="3219" spans="1:11" x14ac:dyDescent="0.35">
      <c r="A3219" s="5">
        <v>45709</v>
      </c>
      <c r="B3219" s="3">
        <v>0.83291666666666664</v>
      </c>
      <c r="C3219" t="s">
        <v>8</v>
      </c>
      <c r="D3219" t="s">
        <v>1234</v>
      </c>
      <c r="E3219" s="4">
        <v>35.76</v>
      </c>
      <c r="F3219" t="s">
        <v>24</v>
      </c>
      <c r="G3219" s="10" t="str">
        <f>TEXT(Transform_Data[[#This Row],[Date]],"mmm yyyy")</f>
        <v>Feb 2025</v>
      </c>
      <c r="H3219" s="10">
        <f>HOUR(Transform_Data[[#This Row],[Time]])</f>
        <v>19</v>
      </c>
      <c r="I3219" s="10" t="str">
        <f>IF(COUNTIF('Transform Data'!$D:$D,'Transform Data'!D3219)&gt;1,"Repeat","Single")</f>
        <v>Repeat</v>
      </c>
      <c r="J3219" s="10" t="str">
        <f>IF('Transform Data'!D3219="Cash","Cash",IF(COUNTIF('Transform Data'!$D:$D,'Transform Data'!D3219)&gt;1,"Repeat","Single"))</f>
        <v>Repeat</v>
      </c>
      <c r="K3219" s="10" t="str">
        <f t="shared" si="50"/>
        <v>TRANS-3218</v>
      </c>
    </row>
    <row r="3220" spans="1:11" x14ac:dyDescent="0.35">
      <c r="A3220" s="5">
        <v>45710</v>
      </c>
      <c r="B3220" s="3">
        <v>0.45298611111111109</v>
      </c>
      <c r="C3220" t="s">
        <v>8</v>
      </c>
      <c r="D3220" t="s">
        <v>1290</v>
      </c>
      <c r="E3220" s="4">
        <v>35.76</v>
      </c>
      <c r="F3220" t="s">
        <v>15</v>
      </c>
      <c r="G3220" s="10" t="str">
        <f>TEXT(Transform_Data[[#This Row],[Date]],"mmm yyyy")</f>
        <v>Feb 2025</v>
      </c>
      <c r="H3220" s="10">
        <f>HOUR(Transform_Data[[#This Row],[Time]])</f>
        <v>10</v>
      </c>
      <c r="I3220" s="10" t="str">
        <f>IF(COUNTIF('Transform Data'!$D:$D,'Transform Data'!D3220)&gt;1,"Repeat","Single")</f>
        <v>Single</v>
      </c>
      <c r="J3220" s="10" t="str">
        <f>IF('Transform Data'!D3220="Cash","Cash",IF(COUNTIF('Transform Data'!$D:$D,'Transform Data'!D3220)&gt;1,"Repeat","Single"))</f>
        <v>Single</v>
      </c>
      <c r="K3220" s="10" t="str">
        <f t="shared" si="50"/>
        <v>TRANS-3219</v>
      </c>
    </row>
    <row r="3221" spans="1:11" x14ac:dyDescent="0.35">
      <c r="A3221" s="5">
        <v>45710</v>
      </c>
      <c r="B3221" s="3">
        <v>0.47812500000000002</v>
      </c>
      <c r="C3221" t="s">
        <v>8</v>
      </c>
      <c r="D3221" t="s">
        <v>1291</v>
      </c>
      <c r="E3221" s="4">
        <v>25.96</v>
      </c>
      <c r="F3221" t="s">
        <v>28</v>
      </c>
      <c r="G3221" s="10" t="str">
        <f>TEXT(Transform_Data[[#This Row],[Date]],"mmm yyyy")</f>
        <v>Feb 2025</v>
      </c>
      <c r="H3221" s="10">
        <f>HOUR(Transform_Data[[#This Row],[Time]])</f>
        <v>11</v>
      </c>
      <c r="I3221" s="10" t="str">
        <f>IF(COUNTIF('Transform Data'!$D:$D,'Transform Data'!D3221)&gt;1,"Repeat","Single")</f>
        <v>Single</v>
      </c>
      <c r="J3221" s="10" t="str">
        <f>IF('Transform Data'!D3221="Cash","Cash",IF(COUNTIF('Transform Data'!$D:$D,'Transform Data'!D3221)&gt;1,"Repeat","Single"))</f>
        <v>Single</v>
      </c>
      <c r="K3221" s="10" t="str">
        <f t="shared" si="50"/>
        <v>TRANS-3220</v>
      </c>
    </row>
    <row r="3222" spans="1:11" x14ac:dyDescent="0.35">
      <c r="A3222" s="5">
        <v>45710</v>
      </c>
      <c r="B3222" s="3">
        <v>0.48694444444444446</v>
      </c>
      <c r="C3222" t="s">
        <v>8</v>
      </c>
      <c r="D3222" t="s">
        <v>1240</v>
      </c>
      <c r="E3222" s="4">
        <v>25.96</v>
      </c>
      <c r="F3222" t="s">
        <v>28</v>
      </c>
      <c r="G3222" s="10" t="str">
        <f>TEXT(Transform_Data[[#This Row],[Date]],"mmm yyyy")</f>
        <v>Feb 2025</v>
      </c>
      <c r="H3222" s="10">
        <f>HOUR(Transform_Data[[#This Row],[Time]])</f>
        <v>11</v>
      </c>
      <c r="I3222" s="10" t="str">
        <f>IF(COUNTIF('Transform Data'!$D:$D,'Transform Data'!D3222)&gt;1,"Repeat","Single")</f>
        <v>Repeat</v>
      </c>
      <c r="J3222" s="10" t="str">
        <f>IF('Transform Data'!D3222="Cash","Cash",IF(COUNTIF('Transform Data'!$D:$D,'Transform Data'!D3222)&gt;1,"Repeat","Single"))</f>
        <v>Repeat</v>
      </c>
      <c r="K3222" s="10" t="str">
        <f t="shared" si="50"/>
        <v>TRANS-3221</v>
      </c>
    </row>
    <row r="3223" spans="1:11" x14ac:dyDescent="0.35">
      <c r="A3223" s="5">
        <v>45710</v>
      </c>
      <c r="B3223" s="3">
        <v>0.54144675925925922</v>
      </c>
      <c r="C3223" t="s">
        <v>8</v>
      </c>
      <c r="D3223" t="s">
        <v>151</v>
      </c>
      <c r="E3223" s="4">
        <v>21.06</v>
      </c>
      <c r="F3223" t="s">
        <v>5</v>
      </c>
      <c r="G3223" s="10" t="str">
        <f>TEXT(Transform_Data[[#This Row],[Date]],"mmm yyyy")</f>
        <v>Feb 2025</v>
      </c>
      <c r="H3223" s="10">
        <f>HOUR(Transform_Data[[#This Row],[Time]])</f>
        <v>12</v>
      </c>
      <c r="I3223" s="10" t="str">
        <f>IF(COUNTIF('Transform Data'!$D:$D,'Transform Data'!D3223)&gt;1,"Repeat","Single")</f>
        <v>Repeat</v>
      </c>
      <c r="J3223" s="10" t="str">
        <f>IF('Transform Data'!D3223="Cash","Cash",IF(COUNTIF('Transform Data'!$D:$D,'Transform Data'!D3223)&gt;1,"Repeat","Single"))</f>
        <v>Repeat</v>
      </c>
      <c r="K3223" s="10" t="str">
        <f t="shared" si="50"/>
        <v>TRANS-3222</v>
      </c>
    </row>
    <row r="3224" spans="1:11" x14ac:dyDescent="0.35">
      <c r="A3224" s="5">
        <v>45710</v>
      </c>
      <c r="B3224" s="3">
        <v>0.62711805555555555</v>
      </c>
      <c r="C3224" t="s">
        <v>8</v>
      </c>
      <c r="D3224" t="s">
        <v>1213</v>
      </c>
      <c r="E3224" s="4">
        <v>30.86</v>
      </c>
      <c r="F3224" t="s">
        <v>36</v>
      </c>
      <c r="G3224" s="10" t="str">
        <f>TEXT(Transform_Data[[#This Row],[Date]],"mmm yyyy")</f>
        <v>Feb 2025</v>
      </c>
      <c r="H3224" s="10">
        <f>HOUR(Transform_Data[[#This Row],[Time]])</f>
        <v>15</v>
      </c>
      <c r="I3224" s="10" t="str">
        <f>IF(COUNTIF('Transform Data'!$D:$D,'Transform Data'!D3224)&gt;1,"Repeat","Single")</f>
        <v>Repeat</v>
      </c>
      <c r="J3224" s="10" t="str">
        <f>IF('Transform Data'!D3224="Cash","Cash",IF(COUNTIF('Transform Data'!$D:$D,'Transform Data'!D3224)&gt;1,"Repeat","Single"))</f>
        <v>Repeat</v>
      </c>
      <c r="K3224" s="10" t="str">
        <f t="shared" si="50"/>
        <v>TRANS-3223</v>
      </c>
    </row>
    <row r="3225" spans="1:11" x14ac:dyDescent="0.35">
      <c r="A3225" s="5">
        <v>45711</v>
      </c>
      <c r="B3225" s="3">
        <v>0.43971064814814814</v>
      </c>
      <c r="C3225" t="s">
        <v>8</v>
      </c>
      <c r="D3225" t="s">
        <v>1207</v>
      </c>
      <c r="E3225" s="4">
        <v>30.86</v>
      </c>
      <c r="F3225" t="s">
        <v>36</v>
      </c>
      <c r="G3225" s="10" t="str">
        <f>TEXT(Transform_Data[[#This Row],[Date]],"mmm yyyy")</f>
        <v>Feb 2025</v>
      </c>
      <c r="H3225" s="10">
        <f>HOUR(Transform_Data[[#This Row],[Time]])</f>
        <v>10</v>
      </c>
      <c r="I3225" s="10" t="str">
        <f>IF(COUNTIF('Transform Data'!$D:$D,'Transform Data'!D3225)&gt;1,"Repeat","Single")</f>
        <v>Repeat</v>
      </c>
      <c r="J3225" s="10" t="str">
        <f>IF('Transform Data'!D3225="Cash","Cash",IF(COUNTIF('Transform Data'!$D:$D,'Transform Data'!D3225)&gt;1,"Repeat","Single"))</f>
        <v>Repeat</v>
      </c>
      <c r="K3225" s="10" t="str">
        <f t="shared" si="50"/>
        <v>TRANS-3224</v>
      </c>
    </row>
    <row r="3226" spans="1:11" x14ac:dyDescent="0.35">
      <c r="A3226" s="5">
        <v>45711</v>
      </c>
      <c r="B3226" s="3">
        <v>0.53641203703703699</v>
      </c>
      <c r="C3226" t="s">
        <v>8</v>
      </c>
      <c r="D3226" t="s">
        <v>33</v>
      </c>
      <c r="E3226" s="4">
        <v>30.86</v>
      </c>
      <c r="F3226" t="s">
        <v>36</v>
      </c>
      <c r="G3226" s="10" t="str">
        <f>TEXT(Transform_Data[[#This Row],[Date]],"mmm yyyy")</f>
        <v>Feb 2025</v>
      </c>
      <c r="H3226" s="10">
        <f>HOUR(Transform_Data[[#This Row],[Time]])</f>
        <v>12</v>
      </c>
      <c r="I3226" s="10" t="str">
        <f>IF(COUNTIF('Transform Data'!$D:$D,'Transform Data'!D3226)&gt;1,"Repeat","Single")</f>
        <v>Repeat</v>
      </c>
      <c r="J3226" s="10" t="str">
        <f>IF('Transform Data'!D3226="Cash","Cash",IF(COUNTIF('Transform Data'!$D:$D,'Transform Data'!D3226)&gt;1,"Repeat","Single"))</f>
        <v>Repeat</v>
      </c>
      <c r="K3226" s="10" t="str">
        <f t="shared" si="50"/>
        <v>TRANS-3225</v>
      </c>
    </row>
    <row r="3227" spans="1:11" x14ac:dyDescent="0.35">
      <c r="A3227" s="5">
        <v>45711</v>
      </c>
      <c r="B3227" s="3">
        <v>0.53756944444444443</v>
      </c>
      <c r="C3227" t="s">
        <v>8</v>
      </c>
      <c r="D3227" t="s">
        <v>33</v>
      </c>
      <c r="E3227" s="4">
        <v>30.86</v>
      </c>
      <c r="F3227" t="s">
        <v>36</v>
      </c>
      <c r="G3227" s="10" t="str">
        <f>TEXT(Transform_Data[[#This Row],[Date]],"mmm yyyy")</f>
        <v>Feb 2025</v>
      </c>
      <c r="H3227" s="10">
        <f>HOUR(Transform_Data[[#This Row],[Time]])</f>
        <v>12</v>
      </c>
      <c r="I3227" s="10" t="str">
        <f>IF(COUNTIF('Transform Data'!$D:$D,'Transform Data'!D3227)&gt;1,"Repeat","Single")</f>
        <v>Repeat</v>
      </c>
      <c r="J3227" s="10" t="str">
        <f>IF('Transform Data'!D3227="Cash","Cash",IF(COUNTIF('Transform Data'!$D:$D,'Transform Data'!D3227)&gt;1,"Repeat","Single"))</f>
        <v>Repeat</v>
      </c>
      <c r="K3227" s="10" t="str">
        <f t="shared" si="50"/>
        <v>TRANS-3226</v>
      </c>
    </row>
    <row r="3228" spans="1:11" x14ac:dyDescent="0.35">
      <c r="A3228" s="5">
        <v>45711</v>
      </c>
      <c r="B3228" s="3">
        <v>0.57663194444444443</v>
      </c>
      <c r="C3228" t="s">
        <v>8</v>
      </c>
      <c r="D3228" t="s">
        <v>1292</v>
      </c>
      <c r="E3228" s="4">
        <v>35.76</v>
      </c>
      <c r="F3228" t="s">
        <v>24</v>
      </c>
      <c r="G3228" s="10" t="str">
        <f>TEXT(Transform_Data[[#This Row],[Date]],"mmm yyyy")</f>
        <v>Feb 2025</v>
      </c>
      <c r="H3228" s="10">
        <f>HOUR(Transform_Data[[#This Row],[Time]])</f>
        <v>13</v>
      </c>
      <c r="I3228" s="10" t="str">
        <f>IF(COUNTIF('Transform Data'!$D:$D,'Transform Data'!D3228)&gt;1,"Repeat","Single")</f>
        <v>Single</v>
      </c>
      <c r="J3228" s="10" t="str">
        <f>IF('Transform Data'!D3228="Cash","Cash",IF(COUNTIF('Transform Data'!$D:$D,'Transform Data'!D3228)&gt;1,"Repeat","Single"))</f>
        <v>Single</v>
      </c>
      <c r="K3228" s="10" t="str">
        <f t="shared" si="50"/>
        <v>TRANS-3227</v>
      </c>
    </row>
    <row r="3229" spans="1:11" x14ac:dyDescent="0.35">
      <c r="A3229" s="5">
        <v>45711</v>
      </c>
      <c r="B3229" s="3">
        <v>0.58475694444444448</v>
      </c>
      <c r="C3229" t="s">
        <v>8</v>
      </c>
      <c r="D3229" t="s">
        <v>1207</v>
      </c>
      <c r="E3229" s="4">
        <v>35.76</v>
      </c>
      <c r="F3229" t="s">
        <v>10</v>
      </c>
      <c r="G3229" s="10" t="str">
        <f>TEXT(Transform_Data[[#This Row],[Date]],"mmm yyyy")</f>
        <v>Feb 2025</v>
      </c>
      <c r="H3229" s="10">
        <f>HOUR(Transform_Data[[#This Row],[Time]])</f>
        <v>14</v>
      </c>
      <c r="I3229" s="10" t="str">
        <f>IF(COUNTIF('Transform Data'!$D:$D,'Transform Data'!D3229)&gt;1,"Repeat","Single")</f>
        <v>Repeat</v>
      </c>
      <c r="J3229" s="10" t="str">
        <f>IF('Transform Data'!D3229="Cash","Cash",IF(COUNTIF('Transform Data'!$D:$D,'Transform Data'!D3229)&gt;1,"Repeat","Single"))</f>
        <v>Repeat</v>
      </c>
      <c r="K3229" s="10" t="str">
        <f t="shared" si="50"/>
        <v>TRANS-3228</v>
      </c>
    </row>
    <row r="3230" spans="1:11" x14ac:dyDescent="0.35">
      <c r="A3230" s="5">
        <v>45711</v>
      </c>
      <c r="B3230" s="3">
        <v>0.72759259259259257</v>
      </c>
      <c r="C3230" t="s">
        <v>8</v>
      </c>
      <c r="D3230" t="s">
        <v>1293</v>
      </c>
      <c r="E3230" s="4">
        <v>25.96</v>
      </c>
      <c r="F3230" t="s">
        <v>28</v>
      </c>
      <c r="G3230" s="10" t="str">
        <f>TEXT(Transform_Data[[#This Row],[Date]],"mmm yyyy")</f>
        <v>Feb 2025</v>
      </c>
      <c r="H3230" s="10">
        <f>HOUR(Transform_Data[[#This Row],[Time]])</f>
        <v>17</v>
      </c>
      <c r="I3230" s="10" t="str">
        <f>IF(COUNTIF('Transform Data'!$D:$D,'Transform Data'!D3230)&gt;1,"Repeat","Single")</f>
        <v>Single</v>
      </c>
      <c r="J3230" s="10" t="str">
        <f>IF('Transform Data'!D3230="Cash","Cash",IF(COUNTIF('Transform Data'!$D:$D,'Transform Data'!D3230)&gt;1,"Repeat","Single"))</f>
        <v>Single</v>
      </c>
      <c r="K3230" s="10" t="str">
        <f t="shared" si="50"/>
        <v>TRANS-3229</v>
      </c>
    </row>
    <row r="3231" spans="1:11" x14ac:dyDescent="0.35">
      <c r="A3231" s="5">
        <v>45712</v>
      </c>
      <c r="B3231" s="3">
        <v>0.38533564814814814</v>
      </c>
      <c r="C3231" t="s">
        <v>8</v>
      </c>
      <c r="D3231" t="s">
        <v>1270</v>
      </c>
      <c r="E3231" s="4">
        <v>30.86</v>
      </c>
      <c r="F3231" t="s">
        <v>36</v>
      </c>
      <c r="G3231" s="10" t="str">
        <f>TEXT(Transform_Data[[#This Row],[Date]],"mmm yyyy")</f>
        <v>Feb 2025</v>
      </c>
      <c r="H3231" s="10">
        <f>HOUR(Transform_Data[[#This Row],[Time]])</f>
        <v>9</v>
      </c>
      <c r="I3231" s="10" t="str">
        <f>IF(COUNTIF('Transform Data'!$D:$D,'Transform Data'!D3231)&gt;1,"Repeat","Single")</f>
        <v>Repeat</v>
      </c>
      <c r="J3231" s="10" t="str">
        <f>IF('Transform Data'!D3231="Cash","Cash",IF(COUNTIF('Transform Data'!$D:$D,'Transform Data'!D3231)&gt;1,"Repeat","Single"))</f>
        <v>Repeat</v>
      </c>
      <c r="K3231" s="10" t="str">
        <f t="shared" si="50"/>
        <v>TRANS-3230</v>
      </c>
    </row>
    <row r="3232" spans="1:11" x14ac:dyDescent="0.35">
      <c r="A3232" s="5">
        <v>45712</v>
      </c>
      <c r="B3232" s="3">
        <v>0.40636574074074072</v>
      </c>
      <c r="C3232" t="s">
        <v>8</v>
      </c>
      <c r="D3232" t="s">
        <v>1294</v>
      </c>
      <c r="E3232" s="4">
        <v>35.76</v>
      </c>
      <c r="F3232" t="s">
        <v>32</v>
      </c>
      <c r="G3232" s="10" t="str">
        <f>TEXT(Transform_Data[[#This Row],[Date]],"mmm yyyy")</f>
        <v>Feb 2025</v>
      </c>
      <c r="H3232" s="10">
        <f>HOUR(Transform_Data[[#This Row],[Time]])</f>
        <v>9</v>
      </c>
      <c r="I3232" s="10" t="str">
        <f>IF(COUNTIF('Transform Data'!$D:$D,'Transform Data'!D3232)&gt;1,"Repeat","Single")</f>
        <v>Repeat</v>
      </c>
      <c r="J3232" s="10" t="str">
        <f>IF('Transform Data'!D3232="Cash","Cash",IF(COUNTIF('Transform Data'!$D:$D,'Transform Data'!D3232)&gt;1,"Repeat","Single"))</f>
        <v>Repeat</v>
      </c>
      <c r="K3232" s="10" t="str">
        <f t="shared" si="50"/>
        <v>TRANS-3231</v>
      </c>
    </row>
    <row r="3233" spans="1:11" x14ac:dyDescent="0.35">
      <c r="A3233" s="5">
        <v>45712</v>
      </c>
      <c r="B3233" s="3">
        <v>0.4186111111111111</v>
      </c>
      <c r="C3233" t="s">
        <v>8</v>
      </c>
      <c r="D3233" t="s">
        <v>33</v>
      </c>
      <c r="E3233" s="4">
        <v>25.96</v>
      </c>
      <c r="F3233" t="s">
        <v>28</v>
      </c>
      <c r="G3233" s="10" t="str">
        <f>TEXT(Transform_Data[[#This Row],[Date]],"mmm yyyy")</f>
        <v>Feb 2025</v>
      </c>
      <c r="H3233" s="10">
        <f>HOUR(Transform_Data[[#This Row],[Time]])</f>
        <v>10</v>
      </c>
      <c r="I3233" s="10" t="str">
        <f>IF(COUNTIF('Transform Data'!$D:$D,'Transform Data'!D3233)&gt;1,"Repeat","Single")</f>
        <v>Repeat</v>
      </c>
      <c r="J3233" s="10" t="str">
        <f>IF('Transform Data'!D3233="Cash","Cash",IF(COUNTIF('Transform Data'!$D:$D,'Transform Data'!D3233)&gt;1,"Repeat","Single"))</f>
        <v>Repeat</v>
      </c>
      <c r="K3233" s="10" t="str">
        <f t="shared" si="50"/>
        <v>TRANS-3232</v>
      </c>
    </row>
    <row r="3234" spans="1:11" x14ac:dyDescent="0.35">
      <c r="A3234" s="5">
        <v>45712</v>
      </c>
      <c r="B3234" s="3">
        <v>0.42305555555555557</v>
      </c>
      <c r="C3234" t="s">
        <v>8</v>
      </c>
      <c r="D3234" t="s">
        <v>1295</v>
      </c>
      <c r="E3234" s="4">
        <v>30.86</v>
      </c>
      <c r="F3234" t="s">
        <v>36</v>
      </c>
      <c r="G3234" s="10" t="str">
        <f>TEXT(Transform_Data[[#This Row],[Date]],"mmm yyyy")</f>
        <v>Feb 2025</v>
      </c>
      <c r="H3234" s="10">
        <f>HOUR(Transform_Data[[#This Row],[Time]])</f>
        <v>10</v>
      </c>
      <c r="I3234" s="10" t="str">
        <f>IF(COUNTIF('Transform Data'!$D:$D,'Transform Data'!D3234)&gt;1,"Repeat","Single")</f>
        <v>Repeat</v>
      </c>
      <c r="J3234" s="10" t="str">
        <f>IF('Transform Data'!D3234="Cash","Cash",IF(COUNTIF('Transform Data'!$D:$D,'Transform Data'!D3234)&gt;1,"Repeat","Single"))</f>
        <v>Repeat</v>
      </c>
      <c r="K3234" s="10" t="str">
        <f t="shared" si="50"/>
        <v>TRANS-3233</v>
      </c>
    </row>
    <row r="3235" spans="1:11" x14ac:dyDescent="0.35">
      <c r="A3235" s="5">
        <v>45712</v>
      </c>
      <c r="B3235" s="3">
        <v>0.42385416666666664</v>
      </c>
      <c r="C3235" t="s">
        <v>8</v>
      </c>
      <c r="D3235" t="s">
        <v>1295</v>
      </c>
      <c r="E3235" s="4">
        <v>30.86</v>
      </c>
      <c r="F3235" t="s">
        <v>36</v>
      </c>
      <c r="G3235" s="10" t="str">
        <f>TEXT(Transform_Data[[#This Row],[Date]],"mmm yyyy")</f>
        <v>Feb 2025</v>
      </c>
      <c r="H3235" s="10">
        <f>HOUR(Transform_Data[[#This Row],[Time]])</f>
        <v>10</v>
      </c>
      <c r="I3235" s="10" t="str">
        <f>IF(COUNTIF('Transform Data'!$D:$D,'Transform Data'!D3235)&gt;1,"Repeat","Single")</f>
        <v>Repeat</v>
      </c>
      <c r="J3235" s="10" t="str">
        <f>IF('Transform Data'!D3235="Cash","Cash",IF(COUNTIF('Transform Data'!$D:$D,'Transform Data'!D3235)&gt;1,"Repeat","Single"))</f>
        <v>Repeat</v>
      </c>
      <c r="K3235" s="10" t="str">
        <f t="shared" si="50"/>
        <v>TRANS-3234</v>
      </c>
    </row>
    <row r="3236" spans="1:11" x14ac:dyDescent="0.35">
      <c r="A3236" s="5">
        <v>45712</v>
      </c>
      <c r="B3236" s="3">
        <v>0.44984953703703706</v>
      </c>
      <c r="C3236" t="s">
        <v>8</v>
      </c>
      <c r="D3236" t="s">
        <v>1294</v>
      </c>
      <c r="E3236" s="4">
        <v>35.76</v>
      </c>
      <c r="F3236" t="s">
        <v>10</v>
      </c>
      <c r="G3236" s="10" t="str">
        <f>TEXT(Transform_Data[[#This Row],[Date]],"mmm yyyy")</f>
        <v>Feb 2025</v>
      </c>
      <c r="H3236" s="10">
        <f>HOUR(Transform_Data[[#This Row],[Time]])</f>
        <v>10</v>
      </c>
      <c r="I3236" s="10" t="str">
        <f>IF(COUNTIF('Transform Data'!$D:$D,'Transform Data'!D3236)&gt;1,"Repeat","Single")</f>
        <v>Repeat</v>
      </c>
      <c r="J3236" s="10" t="str">
        <f>IF('Transform Data'!D3236="Cash","Cash",IF(COUNTIF('Transform Data'!$D:$D,'Transform Data'!D3236)&gt;1,"Repeat","Single"))</f>
        <v>Repeat</v>
      </c>
      <c r="K3236" s="10" t="str">
        <f t="shared" si="50"/>
        <v>TRANS-3235</v>
      </c>
    </row>
    <row r="3237" spans="1:11" x14ac:dyDescent="0.35">
      <c r="A3237" s="5">
        <v>45712</v>
      </c>
      <c r="B3237" s="3">
        <v>0.54075231481481478</v>
      </c>
      <c r="C3237" t="s">
        <v>8</v>
      </c>
      <c r="D3237" t="s">
        <v>1241</v>
      </c>
      <c r="E3237" s="4">
        <v>35.76</v>
      </c>
      <c r="F3237" t="s">
        <v>32</v>
      </c>
      <c r="G3237" s="10" t="str">
        <f>TEXT(Transform_Data[[#This Row],[Date]],"mmm yyyy")</f>
        <v>Feb 2025</v>
      </c>
      <c r="H3237" s="10">
        <f>HOUR(Transform_Data[[#This Row],[Time]])</f>
        <v>12</v>
      </c>
      <c r="I3237" s="10" t="str">
        <f>IF(COUNTIF('Transform Data'!$D:$D,'Transform Data'!D3237)&gt;1,"Repeat","Single")</f>
        <v>Repeat</v>
      </c>
      <c r="J3237" s="10" t="str">
        <f>IF('Transform Data'!D3237="Cash","Cash",IF(COUNTIF('Transform Data'!$D:$D,'Transform Data'!D3237)&gt;1,"Repeat","Single"))</f>
        <v>Repeat</v>
      </c>
      <c r="K3237" s="10" t="str">
        <f t="shared" si="50"/>
        <v>TRANS-3236</v>
      </c>
    </row>
    <row r="3238" spans="1:11" x14ac:dyDescent="0.35">
      <c r="A3238" s="5">
        <v>45712</v>
      </c>
      <c r="B3238" s="3">
        <v>0.54167824074074078</v>
      </c>
      <c r="C3238" t="s">
        <v>8</v>
      </c>
      <c r="D3238" t="s">
        <v>1241</v>
      </c>
      <c r="E3238" s="4">
        <v>35.76</v>
      </c>
      <c r="F3238" t="s">
        <v>10</v>
      </c>
      <c r="G3238" s="10" t="str">
        <f>TEXT(Transform_Data[[#This Row],[Date]],"mmm yyyy")</f>
        <v>Feb 2025</v>
      </c>
      <c r="H3238" s="10">
        <f>HOUR(Transform_Data[[#This Row],[Time]])</f>
        <v>13</v>
      </c>
      <c r="I3238" s="10" t="str">
        <f>IF(COUNTIF('Transform Data'!$D:$D,'Transform Data'!D3238)&gt;1,"Repeat","Single")</f>
        <v>Repeat</v>
      </c>
      <c r="J3238" s="10" t="str">
        <f>IF('Transform Data'!D3238="Cash","Cash",IF(COUNTIF('Transform Data'!$D:$D,'Transform Data'!D3238)&gt;1,"Repeat","Single"))</f>
        <v>Repeat</v>
      </c>
      <c r="K3238" s="10" t="str">
        <f t="shared" si="50"/>
        <v>TRANS-3237</v>
      </c>
    </row>
    <row r="3239" spans="1:11" x14ac:dyDescent="0.35">
      <c r="A3239" s="5">
        <v>45712</v>
      </c>
      <c r="B3239" s="3">
        <v>0.65278935185185183</v>
      </c>
      <c r="C3239" t="s">
        <v>8</v>
      </c>
      <c r="D3239" t="s">
        <v>33</v>
      </c>
      <c r="E3239" s="4">
        <v>30.86</v>
      </c>
      <c r="F3239" t="s">
        <v>36</v>
      </c>
      <c r="G3239" s="10" t="str">
        <f>TEXT(Transform_Data[[#This Row],[Date]],"mmm yyyy")</f>
        <v>Feb 2025</v>
      </c>
      <c r="H3239" s="10">
        <f>HOUR(Transform_Data[[#This Row],[Time]])</f>
        <v>15</v>
      </c>
      <c r="I3239" s="10" t="str">
        <f>IF(COUNTIF('Transform Data'!$D:$D,'Transform Data'!D3239)&gt;1,"Repeat","Single")</f>
        <v>Repeat</v>
      </c>
      <c r="J3239" s="10" t="str">
        <f>IF('Transform Data'!D3239="Cash","Cash",IF(COUNTIF('Transform Data'!$D:$D,'Transform Data'!D3239)&gt;1,"Repeat","Single"))</f>
        <v>Repeat</v>
      </c>
      <c r="K3239" s="10" t="str">
        <f t="shared" si="50"/>
        <v>TRANS-3238</v>
      </c>
    </row>
    <row r="3240" spans="1:11" x14ac:dyDescent="0.35">
      <c r="A3240" s="5">
        <v>45712</v>
      </c>
      <c r="B3240" s="3">
        <v>0.66673611111111108</v>
      </c>
      <c r="C3240" t="s">
        <v>8</v>
      </c>
      <c r="D3240" t="s">
        <v>1296</v>
      </c>
      <c r="E3240" s="4">
        <v>35.76</v>
      </c>
      <c r="F3240" t="s">
        <v>10</v>
      </c>
      <c r="G3240" s="10" t="str">
        <f>TEXT(Transform_Data[[#This Row],[Date]],"mmm yyyy")</f>
        <v>Feb 2025</v>
      </c>
      <c r="H3240" s="10">
        <f>HOUR(Transform_Data[[#This Row],[Time]])</f>
        <v>16</v>
      </c>
      <c r="I3240" s="10" t="str">
        <f>IF(COUNTIF('Transform Data'!$D:$D,'Transform Data'!D3240)&gt;1,"Repeat","Single")</f>
        <v>Repeat</v>
      </c>
      <c r="J3240" s="10" t="str">
        <f>IF('Transform Data'!D3240="Cash","Cash",IF(COUNTIF('Transform Data'!$D:$D,'Transform Data'!D3240)&gt;1,"Repeat","Single"))</f>
        <v>Repeat</v>
      </c>
      <c r="K3240" s="10" t="str">
        <f t="shared" si="50"/>
        <v>TRANS-3239</v>
      </c>
    </row>
    <row r="3241" spans="1:11" x14ac:dyDescent="0.35">
      <c r="A3241" s="5">
        <v>45712</v>
      </c>
      <c r="B3241" s="3">
        <v>0.67387731481481483</v>
      </c>
      <c r="C3241" t="s">
        <v>8</v>
      </c>
      <c r="D3241" t="s">
        <v>1234</v>
      </c>
      <c r="E3241" s="4">
        <v>35.76</v>
      </c>
      <c r="F3241" t="s">
        <v>24</v>
      </c>
      <c r="G3241" s="10" t="str">
        <f>TEXT(Transform_Data[[#This Row],[Date]],"mmm yyyy")</f>
        <v>Feb 2025</v>
      </c>
      <c r="H3241" s="10">
        <f>HOUR(Transform_Data[[#This Row],[Time]])</f>
        <v>16</v>
      </c>
      <c r="I3241" s="10" t="str">
        <f>IF(COUNTIF('Transform Data'!$D:$D,'Transform Data'!D3241)&gt;1,"Repeat","Single")</f>
        <v>Repeat</v>
      </c>
      <c r="J3241" s="10" t="str">
        <f>IF('Transform Data'!D3241="Cash","Cash",IF(COUNTIF('Transform Data'!$D:$D,'Transform Data'!D3241)&gt;1,"Repeat","Single"))</f>
        <v>Repeat</v>
      </c>
      <c r="K3241" s="10" t="str">
        <f t="shared" si="50"/>
        <v>TRANS-3240</v>
      </c>
    </row>
    <row r="3242" spans="1:11" x14ac:dyDescent="0.35">
      <c r="A3242" s="5">
        <v>45712</v>
      </c>
      <c r="B3242" s="3">
        <v>0.68671296296296291</v>
      </c>
      <c r="C3242" t="s">
        <v>8</v>
      </c>
      <c r="D3242" t="s">
        <v>1227</v>
      </c>
      <c r="E3242" s="4">
        <v>35.76</v>
      </c>
      <c r="F3242" t="s">
        <v>32</v>
      </c>
      <c r="G3242" s="10" t="str">
        <f>TEXT(Transform_Data[[#This Row],[Date]],"mmm yyyy")</f>
        <v>Feb 2025</v>
      </c>
      <c r="H3242" s="10">
        <f>HOUR(Transform_Data[[#This Row],[Time]])</f>
        <v>16</v>
      </c>
      <c r="I3242" s="10" t="str">
        <f>IF(COUNTIF('Transform Data'!$D:$D,'Transform Data'!D3242)&gt;1,"Repeat","Single")</f>
        <v>Repeat</v>
      </c>
      <c r="J3242" s="10" t="str">
        <f>IF('Transform Data'!D3242="Cash","Cash",IF(COUNTIF('Transform Data'!$D:$D,'Transform Data'!D3242)&gt;1,"Repeat","Single"))</f>
        <v>Repeat</v>
      </c>
      <c r="K3242" s="10" t="str">
        <f t="shared" si="50"/>
        <v>TRANS-3241</v>
      </c>
    </row>
    <row r="3243" spans="1:11" x14ac:dyDescent="0.35">
      <c r="A3243" s="5">
        <v>45712</v>
      </c>
      <c r="B3243" s="3">
        <v>0.70807870370370374</v>
      </c>
      <c r="C3243" t="s">
        <v>8</v>
      </c>
      <c r="D3243" t="s">
        <v>1220</v>
      </c>
      <c r="E3243" s="4">
        <v>25.96</v>
      </c>
      <c r="F3243" t="s">
        <v>28</v>
      </c>
      <c r="G3243" s="10" t="str">
        <f>TEXT(Transform_Data[[#This Row],[Date]],"mmm yyyy")</f>
        <v>Feb 2025</v>
      </c>
      <c r="H3243" s="10">
        <f>HOUR(Transform_Data[[#This Row],[Time]])</f>
        <v>16</v>
      </c>
      <c r="I3243" s="10" t="str">
        <f>IF(COUNTIF('Transform Data'!$D:$D,'Transform Data'!D3243)&gt;1,"Repeat","Single")</f>
        <v>Repeat</v>
      </c>
      <c r="J3243" s="10" t="str">
        <f>IF('Transform Data'!D3243="Cash","Cash",IF(COUNTIF('Transform Data'!$D:$D,'Transform Data'!D3243)&gt;1,"Repeat","Single"))</f>
        <v>Repeat</v>
      </c>
      <c r="K3243" s="10" t="str">
        <f t="shared" si="50"/>
        <v>TRANS-3242</v>
      </c>
    </row>
    <row r="3244" spans="1:11" x14ac:dyDescent="0.35">
      <c r="A3244" s="5">
        <v>45712</v>
      </c>
      <c r="B3244" s="3">
        <v>0.70884259259259264</v>
      </c>
      <c r="C3244" t="s">
        <v>8</v>
      </c>
      <c r="D3244" t="s">
        <v>1220</v>
      </c>
      <c r="E3244" s="4">
        <v>25.96</v>
      </c>
      <c r="F3244" t="s">
        <v>28</v>
      </c>
      <c r="G3244" s="10" t="str">
        <f>TEXT(Transform_Data[[#This Row],[Date]],"mmm yyyy")</f>
        <v>Feb 2025</v>
      </c>
      <c r="H3244" s="10">
        <f>HOUR(Transform_Data[[#This Row],[Time]])</f>
        <v>17</v>
      </c>
      <c r="I3244" s="10" t="str">
        <f>IF(COUNTIF('Transform Data'!$D:$D,'Transform Data'!D3244)&gt;1,"Repeat","Single")</f>
        <v>Repeat</v>
      </c>
      <c r="J3244" s="10" t="str">
        <f>IF('Transform Data'!D3244="Cash","Cash",IF(COUNTIF('Transform Data'!$D:$D,'Transform Data'!D3244)&gt;1,"Repeat","Single"))</f>
        <v>Repeat</v>
      </c>
      <c r="K3244" s="10" t="str">
        <f t="shared" si="50"/>
        <v>TRANS-3243</v>
      </c>
    </row>
    <row r="3245" spans="1:11" x14ac:dyDescent="0.35">
      <c r="A3245" s="5">
        <v>45712</v>
      </c>
      <c r="B3245" s="3">
        <v>0.73446759259259264</v>
      </c>
      <c r="C3245" t="s">
        <v>8</v>
      </c>
      <c r="D3245" t="s">
        <v>1272</v>
      </c>
      <c r="E3245" s="4">
        <v>30.86</v>
      </c>
      <c r="F3245" t="s">
        <v>36</v>
      </c>
      <c r="G3245" s="10" t="str">
        <f>TEXT(Transform_Data[[#This Row],[Date]],"mmm yyyy")</f>
        <v>Feb 2025</v>
      </c>
      <c r="H3245" s="10">
        <f>HOUR(Transform_Data[[#This Row],[Time]])</f>
        <v>17</v>
      </c>
      <c r="I3245" s="10" t="str">
        <f>IF(COUNTIF('Transform Data'!$D:$D,'Transform Data'!D3245)&gt;1,"Repeat","Single")</f>
        <v>Repeat</v>
      </c>
      <c r="J3245" s="10" t="str">
        <f>IF('Transform Data'!D3245="Cash","Cash",IF(COUNTIF('Transform Data'!$D:$D,'Transform Data'!D3245)&gt;1,"Repeat","Single"))</f>
        <v>Repeat</v>
      </c>
      <c r="K3245" s="10" t="str">
        <f t="shared" si="50"/>
        <v>TRANS-3244</v>
      </c>
    </row>
    <row r="3246" spans="1:11" x14ac:dyDescent="0.35">
      <c r="A3246" s="5">
        <v>45712</v>
      </c>
      <c r="B3246" s="3">
        <v>0.75487268518518513</v>
      </c>
      <c r="C3246" t="s">
        <v>8</v>
      </c>
      <c r="D3246" t="s">
        <v>1213</v>
      </c>
      <c r="E3246" s="4">
        <v>30.86</v>
      </c>
      <c r="F3246" t="s">
        <v>36</v>
      </c>
      <c r="G3246" s="10" t="str">
        <f>TEXT(Transform_Data[[#This Row],[Date]],"mmm yyyy")</f>
        <v>Feb 2025</v>
      </c>
      <c r="H3246" s="10">
        <f>HOUR(Transform_Data[[#This Row],[Time]])</f>
        <v>18</v>
      </c>
      <c r="I3246" s="10" t="str">
        <f>IF(COUNTIF('Transform Data'!$D:$D,'Transform Data'!D3246)&gt;1,"Repeat","Single")</f>
        <v>Repeat</v>
      </c>
      <c r="J3246" s="10" t="str">
        <f>IF('Transform Data'!D3246="Cash","Cash",IF(COUNTIF('Transform Data'!$D:$D,'Transform Data'!D3246)&gt;1,"Repeat","Single"))</f>
        <v>Repeat</v>
      </c>
      <c r="K3246" s="10" t="str">
        <f t="shared" si="50"/>
        <v>TRANS-3245</v>
      </c>
    </row>
    <row r="3247" spans="1:11" x14ac:dyDescent="0.35">
      <c r="A3247" s="5">
        <v>45712</v>
      </c>
      <c r="B3247" s="3">
        <v>0.76524305555555561</v>
      </c>
      <c r="C3247" t="s">
        <v>8</v>
      </c>
      <c r="D3247" t="s">
        <v>1241</v>
      </c>
      <c r="E3247" s="4">
        <v>35.76</v>
      </c>
      <c r="F3247" t="s">
        <v>32</v>
      </c>
      <c r="G3247" s="10" t="str">
        <f>TEXT(Transform_Data[[#This Row],[Date]],"mmm yyyy")</f>
        <v>Feb 2025</v>
      </c>
      <c r="H3247" s="10">
        <f>HOUR(Transform_Data[[#This Row],[Time]])</f>
        <v>18</v>
      </c>
      <c r="I3247" s="10" t="str">
        <f>IF(COUNTIF('Transform Data'!$D:$D,'Transform Data'!D3247)&gt;1,"Repeat","Single")</f>
        <v>Repeat</v>
      </c>
      <c r="J3247" s="10" t="str">
        <f>IF('Transform Data'!D3247="Cash","Cash",IF(COUNTIF('Transform Data'!$D:$D,'Transform Data'!D3247)&gt;1,"Repeat","Single"))</f>
        <v>Repeat</v>
      </c>
      <c r="K3247" s="10" t="str">
        <f t="shared" si="50"/>
        <v>TRANS-3246</v>
      </c>
    </row>
    <row r="3248" spans="1:11" x14ac:dyDescent="0.35">
      <c r="A3248" s="5">
        <v>45712</v>
      </c>
      <c r="B3248" s="3">
        <v>0.79483796296296294</v>
      </c>
      <c r="C3248" t="s">
        <v>8</v>
      </c>
      <c r="D3248" t="s">
        <v>930</v>
      </c>
      <c r="E3248" s="4">
        <v>30.86</v>
      </c>
      <c r="F3248" t="s">
        <v>36</v>
      </c>
      <c r="G3248" s="10" t="str">
        <f>TEXT(Transform_Data[[#This Row],[Date]],"mmm yyyy")</f>
        <v>Feb 2025</v>
      </c>
      <c r="H3248" s="10">
        <f>HOUR(Transform_Data[[#This Row],[Time]])</f>
        <v>19</v>
      </c>
      <c r="I3248" s="10" t="str">
        <f>IF(COUNTIF('Transform Data'!$D:$D,'Transform Data'!D3248)&gt;1,"Repeat","Single")</f>
        <v>Repeat</v>
      </c>
      <c r="J3248" s="10" t="str">
        <f>IF('Transform Data'!D3248="Cash","Cash",IF(COUNTIF('Transform Data'!$D:$D,'Transform Data'!D3248)&gt;1,"Repeat","Single"))</f>
        <v>Repeat</v>
      </c>
      <c r="K3248" s="10" t="str">
        <f t="shared" si="50"/>
        <v>TRANS-3247</v>
      </c>
    </row>
    <row r="3249" spans="1:11" x14ac:dyDescent="0.35">
      <c r="A3249" s="5">
        <v>45712</v>
      </c>
      <c r="B3249" s="3">
        <v>0.80844907407407407</v>
      </c>
      <c r="C3249" t="s">
        <v>8</v>
      </c>
      <c r="D3249" t="s">
        <v>1229</v>
      </c>
      <c r="E3249" s="4">
        <v>35.76</v>
      </c>
      <c r="F3249" t="s">
        <v>15</v>
      </c>
      <c r="G3249" s="10" t="str">
        <f>TEXT(Transform_Data[[#This Row],[Date]],"mmm yyyy")</f>
        <v>Feb 2025</v>
      </c>
      <c r="H3249" s="10">
        <f>HOUR(Transform_Data[[#This Row],[Time]])</f>
        <v>19</v>
      </c>
      <c r="I3249" s="10" t="str">
        <f>IF(COUNTIF('Transform Data'!$D:$D,'Transform Data'!D3249)&gt;1,"Repeat","Single")</f>
        <v>Repeat</v>
      </c>
      <c r="J3249" s="10" t="str">
        <f>IF('Transform Data'!D3249="Cash","Cash",IF(COUNTIF('Transform Data'!$D:$D,'Transform Data'!D3249)&gt;1,"Repeat","Single"))</f>
        <v>Repeat</v>
      </c>
      <c r="K3249" s="10" t="str">
        <f t="shared" si="50"/>
        <v>TRANS-3248</v>
      </c>
    </row>
    <row r="3250" spans="1:11" x14ac:dyDescent="0.35">
      <c r="A3250" s="5">
        <v>45712</v>
      </c>
      <c r="B3250" s="3">
        <v>0.80895833333333333</v>
      </c>
      <c r="C3250" t="s">
        <v>8</v>
      </c>
      <c r="D3250" t="s">
        <v>1297</v>
      </c>
      <c r="E3250" s="4">
        <v>35.76</v>
      </c>
      <c r="F3250" t="s">
        <v>32</v>
      </c>
      <c r="G3250" s="10" t="str">
        <f>TEXT(Transform_Data[[#This Row],[Date]],"mmm yyyy")</f>
        <v>Feb 2025</v>
      </c>
      <c r="H3250" s="10">
        <f>HOUR(Transform_Data[[#This Row],[Time]])</f>
        <v>19</v>
      </c>
      <c r="I3250" s="10" t="str">
        <f>IF(COUNTIF('Transform Data'!$D:$D,'Transform Data'!D3250)&gt;1,"Repeat","Single")</f>
        <v>Repeat</v>
      </c>
      <c r="J3250" s="10" t="str">
        <f>IF('Transform Data'!D3250="Cash","Cash",IF(COUNTIF('Transform Data'!$D:$D,'Transform Data'!D3250)&gt;1,"Repeat","Single"))</f>
        <v>Repeat</v>
      </c>
      <c r="K3250" s="10" t="str">
        <f t="shared" si="50"/>
        <v>TRANS-3249</v>
      </c>
    </row>
    <row r="3251" spans="1:11" x14ac:dyDescent="0.35">
      <c r="A3251" s="5">
        <v>45712</v>
      </c>
      <c r="B3251" s="3">
        <v>0.80988425925925922</v>
      </c>
      <c r="C3251" t="s">
        <v>8</v>
      </c>
      <c r="D3251" t="s">
        <v>1229</v>
      </c>
      <c r="E3251" s="4">
        <v>35.76</v>
      </c>
      <c r="F3251" t="s">
        <v>10</v>
      </c>
      <c r="G3251" s="10" t="str">
        <f>TEXT(Transform_Data[[#This Row],[Date]],"mmm yyyy")</f>
        <v>Feb 2025</v>
      </c>
      <c r="H3251" s="10">
        <f>HOUR(Transform_Data[[#This Row],[Time]])</f>
        <v>19</v>
      </c>
      <c r="I3251" s="10" t="str">
        <f>IF(COUNTIF('Transform Data'!$D:$D,'Transform Data'!D3251)&gt;1,"Repeat","Single")</f>
        <v>Repeat</v>
      </c>
      <c r="J3251" s="10" t="str">
        <f>IF('Transform Data'!D3251="Cash","Cash",IF(COUNTIF('Transform Data'!$D:$D,'Transform Data'!D3251)&gt;1,"Repeat","Single"))</f>
        <v>Repeat</v>
      </c>
      <c r="K3251" s="10" t="str">
        <f t="shared" si="50"/>
        <v>TRANS-3250</v>
      </c>
    </row>
    <row r="3252" spans="1:11" x14ac:dyDescent="0.35">
      <c r="A3252" s="5">
        <v>45712</v>
      </c>
      <c r="B3252" s="3">
        <v>0.84364583333333332</v>
      </c>
      <c r="C3252" t="s">
        <v>8</v>
      </c>
      <c r="D3252" t="s">
        <v>1207</v>
      </c>
      <c r="E3252" s="4">
        <v>35.76</v>
      </c>
      <c r="F3252" t="s">
        <v>10</v>
      </c>
      <c r="G3252" s="10" t="str">
        <f>TEXT(Transform_Data[[#This Row],[Date]],"mmm yyyy")</f>
        <v>Feb 2025</v>
      </c>
      <c r="H3252" s="10">
        <f>HOUR(Transform_Data[[#This Row],[Time]])</f>
        <v>20</v>
      </c>
      <c r="I3252" s="10" t="str">
        <f>IF(COUNTIF('Transform Data'!$D:$D,'Transform Data'!D3252)&gt;1,"Repeat","Single")</f>
        <v>Repeat</v>
      </c>
      <c r="J3252" s="10" t="str">
        <f>IF('Transform Data'!D3252="Cash","Cash",IF(COUNTIF('Transform Data'!$D:$D,'Transform Data'!D3252)&gt;1,"Repeat","Single"))</f>
        <v>Repeat</v>
      </c>
      <c r="K3252" s="10" t="str">
        <f t="shared" si="50"/>
        <v>TRANS-3251</v>
      </c>
    </row>
    <row r="3253" spans="1:11" x14ac:dyDescent="0.35">
      <c r="A3253" s="5">
        <v>45713</v>
      </c>
      <c r="B3253" s="3">
        <v>0.33378472222222222</v>
      </c>
      <c r="C3253" t="s">
        <v>8</v>
      </c>
      <c r="D3253" t="s">
        <v>1204</v>
      </c>
      <c r="E3253" s="4">
        <v>30.86</v>
      </c>
      <c r="F3253" t="s">
        <v>36</v>
      </c>
      <c r="G3253" s="10" t="str">
        <f>TEXT(Transform_Data[[#This Row],[Date]],"mmm yyyy")</f>
        <v>Feb 2025</v>
      </c>
      <c r="H3253" s="10">
        <f>HOUR(Transform_Data[[#This Row],[Time]])</f>
        <v>8</v>
      </c>
      <c r="I3253" s="10" t="str">
        <f>IF(COUNTIF('Transform Data'!$D:$D,'Transform Data'!D3253)&gt;1,"Repeat","Single")</f>
        <v>Repeat</v>
      </c>
      <c r="J3253" s="10" t="str">
        <f>IF('Transform Data'!D3253="Cash","Cash",IF(COUNTIF('Transform Data'!$D:$D,'Transform Data'!D3253)&gt;1,"Repeat","Single"))</f>
        <v>Repeat</v>
      </c>
      <c r="K3253" s="10" t="str">
        <f t="shared" si="50"/>
        <v>TRANS-3252</v>
      </c>
    </row>
    <row r="3254" spans="1:11" x14ac:dyDescent="0.35">
      <c r="A3254" s="5">
        <v>45713</v>
      </c>
      <c r="B3254" s="3">
        <v>0.36760416666666668</v>
      </c>
      <c r="C3254" t="s">
        <v>8</v>
      </c>
      <c r="D3254" t="s">
        <v>1203</v>
      </c>
      <c r="E3254" s="4">
        <v>25.96</v>
      </c>
      <c r="F3254" t="s">
        <v>28</v>
      </c>
      <c r="G3254" s="10" t="str">
        <f>TEXT(Transform_Data[[#This Row],[Date]],"mmm yyyy")</f>
        <v>Feb 2025</v>
      </c>
      <c r="H3254" s="10">
        <f>HOUR(Transform_Data[[#This Row],[Time]])</f>
        <v>8</v>
      </c>
      <c r="I3254" s="10" t="str">
        <f>IF(COUNTIF('Transform Data'!$D:$D,'Transform Data'!D3254)&gt;1,"Repeat","Single")</f>
        <v>Repeat</v>
      </c>
      <c r="J3254" s="10" t="str">
        <f>IF('Transform Data'!D3254="Cash","Cash",IF(COUNTIF('Transform Data'!$D:$D,'Transform Data'!D3254)&gt;1,"Repeat","Single"))</f>
        <v>Repeat</v>
      </c>
      <c r="K3254" s="10" t="str">
        <f t="shared" si="50"/>
        <v>TRANS-3253</v>
      </c>
    </row>
    <row r="3255" spans="1:11" x14ac:dyDescent="0.35">
      <c r="A3255" s="5">
        <v>45713</v>
      </c>
      <c r="B3255" s="3">
        <v>0.36821759259259257</v>
      </c>
      <c r="C3255" t="s">
        <v>8</v>
      </c>
      <c r="D3255" t="s">
        <v>1203</v>
      </c>
      <c r="E3255" s="4">
        <v>30.86</v>
      </c>
      <c r="F3255" t="s">
        <v>36</v>
      </c>
      <c r="G3255" s="10" t="str">
        <f>TEXT(Transform_Data[[#This Row],[Date]],"mmm yyyy")</f>
        <v>Feb 2025</v>
      </c>
      <c r="H3255" s="10">
        <f>HOUR(Transform_Data[[#This Row],[Time]])</f>
        <v>8</v>
      </c>
      <c r="I3255" s="10" t="str">
        <f>IF(COUNTIF('Transform Data'!$D:$D,'Transform Data'!D3255)&gt;1,"Repeat","Single")</f>
        <v>Repeat</v>
      </c>
      <c r="J3255" s="10" t="str">
        <f>IF('Transform Data'!D3255="Cash","Cash",IF(COUNTIF('Transform Data'!$D:$D,'Transform Data'!D3255)&gt;1,"Repeat","Single"))</f>
        <v>Repeat</v>
      </c>
      <c r="K3255" s="10" t="str">
        <f t="shared" si="50"/>
        <v>TRANS-3254</v>
      </c>
    </row>
    <row r="3256" spans="1:11" x14ac:dyDescent="0.35">
      <c r="A3256" s="5">
        <v>45713</v>
      </c>
      <c r="B3256" s="3">
        <v>0.41856481481481483</v>
      </c>
      <c r="C3256" t="s">
        <v>8</v>
      </c>
      <c r="D3256" t="s">
        <v>1287</v>
      </c>
      <c r="E3256" s="4">
        <v>21.06</v>
      </c>
      <c r="F3256" t="s">
        <v>5</v>
      </c>
      <c r="G3256" s="10" t="str">
        <f>TEXT(Transform_Data[[#This Row],[Date]],"mmm yyyy")</f>
        <v>Feb 2025</v>
      </c>
      <c r="H3256" s="10">
        <f>HOUR(Transform_Data[[#This Row],[Time]])</f>
        <v>10</v>
      </c>
      <c r="I3256" s="10" t="str">
        <f>IF(COUNTIF('Transform Data'!$D:$D,'Transform Data'!D3256)&gt;1,"Repeat","Single")</f>
        <v>Repeat</v>
      </c>
      <c r="J3256" s="10" t="str">
        <f>IF('Transform Data'!D3256="Cash","Cash",IF(COUNTIF('Transform Data'!$D:$D,'Transform Data'!D3256)&gt;1,"Repeat","Single"))</f>
        <v>Repeat</v>
      </c>
      <c r="K3256" s="10" t="str">
        <f t="shared" si="50"/>
        <v>TRANS-3255</v>
      </c>
    </row>
    <row r="3257" spans="1:11" x14ac:dyDescent="0.35">
      <c r="A3257" s="5">
        <v>45713</v>
      </c>
      <c r="B3257" s="3">
        <v>0.46079861111111109</v>
      </c>
      <c r="C3257" t="s">
        <v>8</v>
      </c>
      <c r="D3257" t="s">
        <v>1220</v>
      </c>
      <c r="E3257" s="4">
        <v>25.96</v>
      </c>
      <c r="F3257" t="s">
        <v>28</v>
      </c>
      <c r="G3257" s="10" t="str">
        <f>TEXT(Transform_Data[[#This Row],[Date]],"mmm yyyy")</f>
        <v>Feb 2025</v>
      </c>
      <c r="H3257" s="10">
        <f>HOUR(Transform_Data[[#This Row],[Time]])</f>
        <v>11</v>
      </c>
      <c r="I3257" s="10" t="str">
        <f>IF(COUNTIF('Transform Data'!$D:$D,'Transform Data'!D3257)&gt;1,"Repeat","Single")</f>
        <v>Repeat</v>
      </c>
      <c r="J3257" s="10" t="str">
        <f>IF('Transform Data'!D3257="Cash","Cash",IF(COUNTIF('Transform Data'!$D:$D,'Transform Data'!D3257)&gt;1,"Repeat","Single"))</f>
        <v>Repeat</v>
      </c>
      <c r="K3257" s="10" t="str">
        <f t="shared" si="50"/>
        <v>TRANS-3256</v>
      </c>
    </row>
    <row r="3258" spans="1:11" x14ac:dyDescent="0.35">
      <c r="A3258" s="5">
        <v>45713</v>
      </c>
      <c r="B3258" s="3">
        <v>0.46141203703703704</v>
      </c>
      <c r="C3258" t="s">
        <v>8</v>
      </c>
      <c r="D3258" t="s">
        <v>1203</v>
      </c>
      <c r="E3258" s="4">
        <v>25.96</v>
      </c>
      <c r="F3258" t="s">
        <v>28</v>
      </c>
      <c r="G3258" s="10" t="str">
        <f>TEXT(Transform_Data[[#This Row],[Date]],"mmm yyyy")</f>
        <v>Feb 2025</v>
      </c>
      <c r="H3258" s="10">
        <f>HOUR(Transform_Data[[#This Row],[Time]])</f>
        <v>11</v>
      </c>
      <c r="I3258" s="10" t="str">
        <f>IF(COUNTIF('Transform Data'!$D:$D,'Transform Data'!D3258)&gt;1,"Repeat","Single")</f>
        <v>Repeat</v>
      </c>
      <c r="J3258" s="10" t="str">
        <f>IF('Transform Data'!D3258="Cash","Cash",IF(COUNTIF('Transform Data'!$D:$D,'Transform Data'!D3258)&gt;1,"Repeat","Single"))</f>
        <v>Repeat</v>
      </c>
      <c r="K3258" s="10" t="str">
        <f t="shared" si="50"/>
        <v>TRANS-3257</v>
      </c>
    </row>
    <row r="3259" spans="1:11" x14ac:dyDescent="0.35">
      <c r="A3259" s="5">
        <v>45713</v>
      </c>
      <c r="B3259" s="3">
        <v>0.51436342592592588</v>
      </c>
      <c r="C3259" t="s">
        <v>8</v>
      </c>
      <c r="D3259" t="s">
        <v>1234</v>
      </c>
      <c r="E3259" s="4">
        <v>35.76</v>
      </c>
      <c r="F3259" t="s">
        <v>24</v>
      </c>
      <c r="G3259" s="10" t="str">
        <f>TEXT(Transform_Data[[#This Row],[Date]],"mmm yyyy")</f>
        <v>Feb 2025</v>
      </c>
      <c r="H3259" s="10">
        <f>HOUR(Transform_Data[[#This Row],[Time]])</f>
        <v>12</v>
      </c>
      <c r="I3259" s="10" t="str">
        <f>IF(COUNTIF('Transform Data'!$D:$D,'Transform Data'!D3259)&gt;1,"Repeat","Single")</f>
        <v>Repeat</v>
      </c>
      <c r="J3259" s="10" t="str">
        <f>IF('Transform Data'!D3259="Cash","Cash",IF(COUNTIF('Transform Data'!$D:$D,'Transform Data'!D3259)&gt;1,"Repeat","Single"))</f>
        <v>Repeat</v>
      </c>
      <c r="K3259" s="10" t="str">
        <f t="shared" si="50"/>
        <v>TRANS-3258</v>
      </c>
    </row>
    <row r="3260" spans="1:11" x14ac:dyDescent="0.35">
      <c r="A3260" s="5">
        <v>45713</v>
      </c>
      <c r="B3260" s="3">
        <v>0.59326388888888892</v>
      </c>
      <c r="C3260" t="s">
        <v>8</v>
      </c>
      <c r="D3260" t="s">
        <v>1212</v>
      </c>
      <c r="E3260" s="4">
        <v>35.76</v>
      </c>
      <c r="F3260" t="s">
        <v>24</v>
      </c>
      <c r="G3260" s="10" t="str">
        <f>TEXT(Transform_Data[[#This Row],[Date]],"mmm yyyy")</f>
        <v>Feb 2025</v>
      </c>
      <c r="H3260" s="10">
        <f>HOUR(Transform_Data[[#This Row],[Time]])</f>
        <v>14</v>
      </c>
      <c r="I3260" s="10" t="str">
        <f>IF(COUNTIF('Transform Data'!$D:$D,'Transform Data'!D3260)&gt;1,"Repeat","Single")</f>
        <v>Repeat</v>
      </c>
      <c r="J3260" s="10" t="str">
        <f>IF('Transform Data'!D3260="Cash","Cash",IF(COUNTIF('Transform Data'!$D:$D,'Transform Data'!D3260)&gt;1,"Repeat","Single"))</f>
        <v>Repeat</v>
      </c>
      <c r="K3260" s="10" t="str">
        <f t="shared" si="50"/>
        <v>TRANS-3259</v>
      </c>
    </row>
    <row r="3261" spans="1:11" x14ac:dyDescent="0.35">
      <c r="A3261" s="5">
        <v>45713</v>
      </c>
      <c r="B3261" s="3">
        <v>0.70112268518518517</v>
      </c>
      <c r="C3261" t="s">
        <v>8</v>
      </c>
      <c r="D3261" t="s">
        <v>76</v>
      </c>
      <c r="E3261" s="4">
        <v>25.96</v>
      </c>
      <c r="F3261" t="s">
        <v>28</v>
      </c>
      <c r="G3261" s="10" t="str">
        <f>TEXT(Transform_Data[[#This Row],[Date]],"mmm yyyy")</f>
        <v>Feb 2025</v>
      </c>
      <c r="H3261" s="10">
        <f>HOUR(Transform_Data[[#This Row],[Time]])</f>
        <v>16</v>
      </c>
      <c r="I3261" s="10" t="str">
        <f>IF(COUNTIF('Transform Data'!$D:$D,'Transform Data'!D3261)&gt;1,"Repeat","Single")</f>
        <v>Repeat</v>
      </c>
      <c r="J3261" s="10" t="str">
        <f>IF('Transform Data'!D3261="Cash","Cash",IF(COUNTIF('Transform Data'!$D:$D,'Transform Data'!D3261)&gt;1,"Repeat","Single"))</f>
        <v>Repeat</v>
      </c>
      <c r="K3261" s="10" t="str">
        <f t="shared" si="50"/>
        <v>TRANS-3260</v>
      </c>
    </row>
    <row r="3262" spans="1:11" x14ac:dyDescent="0.35">
      <c r="A3262" s="5">
        <v>45713</v>
      </c>
      <c r="B3262" s="3">
        <v>0.70179398148148153</v>
      </c>
      <c r="C3262" t="s">
        <v>8</v>
      </c>
      <c r="D3262" t="s">
        <v>76</v>
      </c>
      <c r="E3262" s="4">
        <v>25.96</v>
      </c>
      <c r="F3262" t="s">
        <v>28</v>
      </c>
      <c r="G3262" s="10" t="str">
        <f>TEXT(Transform_Data[[#This Row],[Date]],"mmm yyyy")</f>
        <v>Feb 2025</v>
      </c>
      <c r="H3262" s="10">
        <f>HOUR(Transform_Data[[#This Row],[Time]])</f>
        <v>16</v>
      </c>
      <c r="I3262" s="10" t="str">
        <f>IF(COUNTIF('Transform Data'!$D:$D,'Transform Data'!D3262)&gt;1,"Repeat","Single")</f>
        <v>Repeat</v>
      </c>
      <c r="J3262" s="10" t="str">
        <f>IF('Transform Data'!D3262="Cash","Cash",IF(COUNTIF('Transform Data'!$D:$D,'Transform Data'!D3262)&gt;1,"Repeat","Single"))</f>
        <v>Repeat</v>
      </c>
      <c r="K3262" s="10" t="str">
        <f t="shared" si="50"/>
        <v>TRANS-3261</v>
      </c>
    </row>
    <row r="3263" spans="1:11" x14ac:dyDescent="0.35">
      <c r="A3263" s="5">
        <v>45713</v>
      </c>
      <c r="B3263" s="3">
        <v>0.76329861111111108</v>
      </c>
      <c r="C3263" t="s">
        <v>8</v>
      </c>
      <c r="D3263" t="s">
        <v>1284</v>
      </c>
      <c r="E3263" s="4">
        <v>35.76</v>
      </c>
      <c r="F3263" t="s">
        <v>10</v>
      </c>
      <c r="G3263" s="10" t="str">
        <f>TEXT(Transform_Data[[#This Row],[Date]],"mmm yyyy")</f>
        <v>Feb 2025</v>
      </c>
      <c r="H3263" s="10">
        <f>HOUR(Transform_Data[[#This Row],[Time]])</f>
        <v>18</v>
      </c>
      <c r="I3263" s="10" t="str">
        <f>IF(COUNTIF('Transform Data'!$D:$D,'Transform Data'!D3263)&gt;1,"Repeat","Single")</f>
        <v>Repeat</v>
      </c>
      <c r="J3263" s="10" t="str">
        <f>IF('Transform Data'!D3263="Cash","Cash",IF(COUNTIF('Transform Data'!$D:$D,'Transform Data'!D3263)&gt;1,"Repeat","Single"))</f>
        <v>Repeat</v>
      </c>
      <c r="K3263" s="10" t="str">
        <f t="shared" si="50"/>
        <v>TRANS-3262</v>
      </c>
    </row>
    <row r="3264" spans="1:11" x14ac:dyDescent="0.35">
      <c r="A3264" s="5">
        <v>45713</v>
      </c>
      <c r="B3264" s="3">
        <v>0.81435185185185188</v>
      </c>
      <c r="C3264" t="s">
        <v>8</v>
      </c>
      <c r="D3264" t="s">
        <v>1203</v>
      </c>
      <c r="E3264" s="4">
        <v>35.76</v>
      </c>
      <c r="F3264" t="s">
        <v>24</v>
      </c>
      <c r="G3264" s="10" t="str">
        <f>TEXT(Transform_Data[[#This Row],[Date]],"mmm yyyy")</f>
        <v>Feb 2025</v>
      </c>
      <c r="H3264" s="10">
        <f>HOUR(Transform_Data[[#This Row],[Time]])</f>
        <v>19</v>
      </c>
      <c r="I3264" s="10" t="str">
        <f>IF(COUNTIF('Transform Data'!$D:$D,'Transform Data'!D3264)&gt;1,"Repeat","Single")</f>
        <v>Repeat</v>
      </c>
      <c r="J3264" s="10" t="str">
        <f>IF('Transform Data'!D3264="Cash","Cash",IF(COUNTIF('Transform Data'!$D:$D,'Transform Data'!D3264)&gt;1,"Repeat","Single"))</f>
        <v>Repeat</v>
      </c>
      <c r="K3264" s="10" t="str">
        <f t="shared" si="50"/>
        <v>TRANS-3263</v>
      </c>
    </row>
    <row r="3265" spans="1:11" x14ac:dyDescent="0.35">
      <c r="A3265" s="5">
        <v>45714</v>
      </c>
      <c r="B3265" s="3">
        <v>0.37334490740740739</v>
      </c>
      <c r="C3265" t="s">
        <v>8</v>
      </c>
      <c r="D3265" t="s">
        <v>1220</v>
      </c>
      <c r="E3265" s="4">
        <v>25.96</v>
      </c>
      <c r="F3265" t="s">
        <v>28</v>
      </c>
      <c r="G3265" s="10" t="str">
        <f>TEXT(Transform_Data[[#This Row],[Date]],"mmm yyyy")</f>
        <v>Feb 2025</v>
      </c>
      <c r="H3265" s="10">
        <f>HOUR(Transform_Data[[#This Row],[Time]])</f>
        <v>8</v>
      </c>
      <c r="I3265" s="10" t="str">
        <f>IF(COUNTIF('Transform Data'!$D:$D,'Transform Data'!D3265)&gt;1,"Repeat","Single")</f>
        <v>Repeat</v>
      </c>
      <c r="J3265" s="10" t="str">
        <f>IF('Transform Data'!D3265="Cash","Cash",IF(COUNTIF('Transform Data'!$D:$D,'Transform Data'!D3265)&gt;1,"Repeat","Single"))</f>
        <v>Repeat</v>
      </c>
      <c r="K3265" s="10" t="str">
        <f t="shared" si="50"/>
        <v>TRANS-3264</v>
      </c>
    </row>
    <row r="3266" spans="1:11" x14ac:dyDescent="0.35">
      <c r="A3266" s="5">
        <v>45714</v>
      </c>
      <c r="B3266" s="3">
        <v>0.42461805555555554</v>
      </c>
      <c r="C3266" t="s">
        <v>8</v>
      </c>
      <c r="D3266" t="s">
        <v>1298</v>
      </c>
      <c r="E3266" s="4">
        <v>30.86</v>
      </c>
      <c r="F3266" t="s">
        <v>36</v>
      </c>
      <c r="G3266" s="10" t="str">
        <f>TEXT(Transform_Data[[#This Row],[Date]],"mmm yyyy")</f>
        <v>Feb 2025</v>
      </c>
      <c r="H3266" s="10">
        <f>HOUR(Transform_Data[[#This Row],[Time]])</f>
        <v>10</v>
      </c>
      <c r="I3266" s="10" t="str">
        <f>IF(COUNTIF('Transform Data'!$D:$D,'Transform Data'!D3266)&gt;1,"Repeat","Single")</f>
        <v>Repeat</v>
      </c>
      <c r="J3266" s="10" t="str">
        <f>IF('Transform Data'!D3266="Cash","Cash",IF(COUNTIF('Transform Data'!$D:$D,'Transform Data'!D3266)&gt;1,"Repeat","Single"))</f>
        <v>Repeat</v>
      </c>
      <c r="K3266" s="10" t="str">
        <f t="shared" ref="K3266:K3329" si="51">"TRANS-"&amp;TEXT(ROW(A3265),"0000")</f>
        <v>TRANS-3265</v>
      </c>
    </row>
    <row r="3267" spans="1:11" x14ac:dyDescent="0.35">
      <c r="A3267" s="5">
        <v>45714</v>
      </c>
      <c r="B3267" s="3">
        <v>0.42528935185185185</v>
      </c>
      <c r="C3267" t="s">
        <v>8</v>
      </c>
      <c r="D3267" t="s">
        <v>1298</v>
      </c>
      <c r="E3267" s="4">
        <v>30.86</v>
      </c>
      <c r="F3267" t="s">
        <v>36</v>
      </c>
      <c r="G3267" s="10" t="str">
        <f>TEXT(Transform_Data[[#This Row],[Date]],"mmm yyyy")</f>
        <v>Feb 2025</v>
      </c>
      <c r="H3267" s="10">
        <f>HOUR(Transform_Data[[#This Row],[Time]])</f>
        <v>10</v>
      </c>
      <c r="I3267" s="10" t="str">
        <f>IF(COUNTIF('Transform Data'!$D:$D,'Transform Data'!D3267)&gt;1,"Repeat","Single")</f>
        <v>Repeat</v>
      </c>
      <c r="J3267" s="10" t="str">
        <f>IF('Transform Data'!D3267="Cash","Cash",IF(COUNTIF('Transform Data'!$D:$D,'Transform Data'!D3267)&gt;1,"Repeat","Single"))</f>
        <v>Repeat</v>
      </c>
      <c r="K3267" s="10" t="str">
        <f t="shared" si="51"/>
        <v>TRANS-3266</v>
      </c>
    </row>
    <row r="3268" spans="1:11" x14ac:dyDescent="0.35">
      <c r="A3268" s="5">
        <v>45714</v>
      </c>
      <c r="B3268" s="3">
        <v>0.42843750000000003</v>
      </c>
      <c r="C3268" t="s">
        <v>8</v>
      </c>
      <c r="D3268" t="s">
        <v>1206</v>
      </c>
      <c r="E3268" s="4">
        <v>35.76</v>
      </c>
      <c r="F3268" t="s">
        <v>15</v>
      </c>
      <c r="G3268" s="10" t="str">
        <f>TEXT(Transform_Data[[#This Row],[Date]],"mmm yyyy")</f>
        <v>Feb 2025</v>
      </c>
      <c r="H3268" s="10">
        <f>HOUR(Transform_Data[[#This Row],[Time]])</f>
        <v>10</v>
      </c>
      <c r="I3268" s="10" t="str">
        <f>IF(COUNTIF('Transform Data'!$D:$D,'Transform Data'!D3268)&gt;1,"Repeat","Single")</f>
        <v>Repeat</v>
      </c>
      <c r="J3268" s="10" t="str">
        <f>IF('Transform Data'!D3268="Cash","Cash",IF(COUNTIF('Transform Data'!$D:$D,'Transform Data'!D3268)&gt;1,"Repeat","Single"))</f>
        <v>Repeat</v>
      </c>
      <c r="K3268" s="10" t="str">
        <f t="shared" si="51"/>
        <v>TRANS-3267</v>
      </c>
    </row>
    <row r="3269" spans="1:11" x14ac:dyDescent="0.35">
      <c r="A3269" s="5">
        <v>45714</v>
      </c>
      <c r="B3269" s="3">
        <v>0.55099537037037039</v>
      </c>
      <c r="C3269" t="s">
        <v>8</v>
      </c>
      <c r="D3269" t="s">
        <v>1218</v>
      </c>
      <c r="E3269" s="4">
        <v>35.76</v>
      </c>
      <c r="F3269" t="s">
        <v>10</v>
      </c>
      <c r="G3269" s="10" t="str">
        <f>TEXT(Transform_Data[[#This Row],[Date]],"mmm yyyy")</f>
        <v>Feb 2025</v>
      </c>
      <c r="H3269" s="10">
        <f>HOUR(Transform_Data[[#This Row],[Time]])</f>
        <v>13</v>
      </c>
      <c r="I3269" s="10" t="str">
        <f>IF(COUNTIF('Transform Data'!$D:$D,'Transform Data'!D3269)&gt;1,"Repeat","Single")</f>
        <v>Repeat</v>
      </c>
      <c r="J3269" s="10" t="str">
        <f>IF('Transform Data'!D3269="Cash","Cash",IF(COUNTIF('Transform Data'!$D:$D,'Transform Data'!D3269)&gt;1,"Repeat","Single"))</f>
        <v>Repeat</v>
      </c>
      <c r="K3269" s="10" t="str">
        <f t="shared" si="51"/>
        <v>TRANS-3268</v>
      </c>
    </row>
    <row r="3270" spans="1:11" x14ac:dyDescent="0.35">
      <c r="A3270" s="5">
        <v>45714</v>
      </c>
      <c r="B3270" s="3">
        <v>0.56346064814814811</v>
      </c>
      <c r="C3270" t="s">
        <v>8</v>
      </c>
      <c r="D3270" t="s">
        <v>1241</v>
      </c>
      <c r="E3270" s="4">
        <v>35.76</v>
      </c>
      <c r="F3270" t="s">
        <v>32</v>
      </c>
      <c r="G3270" s="10" t="str">
        <f>TEXT(Transform_Data[[#This Row],[Date]],"mmm yyyy")</f>
        <v>Feb 2025</v>
      </c>
      <c r="H3270" s="10">
        <f>HOUR(Transform_Data[[#This Row],[Time]])</f>
        <v>13</v>
      </c>
      <c r="I3270" s="10" t="str">
        <f>IF(COUNTIF('Transform Data'!$D:$D,'Transform Data'!D3270)&gt;1,"Repeat","Single")</f>
        <v>Repeat</v>
      </c>
      <c r="J3270" s="10" t="str">
        <f>IF('Transform Data'!D3270="Cash","Cash",IF(COUNTIF('Transform Data'!$D:$D,'Transform Data'!D3270)&gt;1,"Repeat","Single"))</f>
        <v>Repeat</v>
      </c>
      <c r="K3270" s="10" t="str">
        <f t="shared" si="51"/>
        <v>TRANS-3269</v>
      </c>
    </row>
    <row r="3271" spans="1:11" x14ac:dyDescent="0.35">
      <c r="A3271" s="5">
        <v>45714</v>
      </c>
      <c r="B3271" s="3">
        <v>0.6263657407407407</v>
      </c>
      <c r="C3271" t="s">
        <v>8</v>
      </c>
      <c r="D3271" t="s">
        <v>6</v>
      </c>
      <c r="E3271" s="4">
        <v>25.96</v>
      </c>
      <c r="F3271" t="s">
        <v>28</v>
      </c>
      <c r="G3271" s="10" t="str">
        <f>TEXT(Transform_Data[[#This Row],[Date]],"mmm yyyy")</f>
        <v>Feb 2025</v>
      </c>
      <c r="H3271" s="10">
        <f>HOUR(Transform_Data[[#This Row],[Time]])</f>
        <v>15</v>
      </c>
      <c r="I3271" s="10" t="str">
        <f>IF(COUNTIF('Transform Data'!$D:$D,'Transform Data'!D3271)&gt;1,"Repeat","Single")</f>
        <v>Repeat</v>
      </c>
      <c r="J3271" s="10" t="str">
        <f>IF('Transform Data'!D3271="Cash","Cash",IF(COUNTIF('Transform Data'!$D:$D,'Transform Data'!D3271)&gt;1,"Repeat","Single"))</f>
        <v>Repeat</v>
      </c>
      <c r="K3271" s="10" t="str">
        <f t="shared" si="51"/>
        <v>TRANS-3270</v>
      </c>
    </row>
    <row r="3272" spans="1:11" x14ac:dyDescent="0.35">
      <c r="A3272" s="5">
        <v>45714</v>
      </c>
      <c r="B3272" s="3">
        <v>0.63526620370370368</v>
      </c>
      <c r="C3272" t="s">
        <v>8</v>
      </c>
      <c r="D3272" t="s">
        <v>1299</v>
      </c>
      <c r="E3272" s="4">
        <v>25.96</v>
      </c>
      <c r="F3272" t="s">
        <v>28</v>
      </c>
      <c r="G3272" s="10" t="str">
        <f>TEXT(Transform_Data[[#This Row],[Date]],"mmm yyyy")</f>
        <v>Feb 2025</v>
      </c>
      <c r="H3272" s="10">
        <f>HOUR(Transform_Data[[#This Row],[Time]])</f>
        <v>15</v>
      </c>
      <c r="I3272" s="10" t="str">
        <f>IF(COUNTIF('Transform Data'!$D:$D,'Transform Data'!D3272)&gt;1,"Repeat","Single")</f>
        <v>Single</v>
      </c>
      <c r="J3272" s="10" t="str">
        <f>IF('Transform Data'!D3272="Cash","Cash",IF(COUNTIF('Transform Data'!$D:$D,'Transform Data'!D3272)&gt;1,"Repeat","Single"))</f>
        <v>Single</v>
      </c>
      <c r="K3272" s="10" t="str">
        <f t="shared" si="51"/>
        <v>TRANS-3271</v>
      </c>
    </row>
    <row r="3273" spans="1:11" x14ac:dyDescent="0.35">
      <c r="A3273" s="5">
        <v>45714</v>
      </c>
      <c r="B3273" s="3">
        <v>0.63708333333333333</v>
      </c>
      <c r="C3273" t="s">
        <v>8</v>
      </c>
      <c r="D3273" t="s">
        <v>1297</v>
      </c>
      <c r="E3273" s="4">
        <v>25.96</v>
      </c>
      <c r="F3273" t="s">
        <v>20</v>
      </c>
      <c r="G3273" s="10" t="str">
        <f>TEXT(Transform_Data[[#This Row],[Date]],"mmm yyyy")</f>
        <v>Feb 2025</v>
      </c>
      <c r="H3273" s="10">
        <f>HOUR(Transform_Data[[#This Row],[Time]])</f>
        <v>15</v>
      </c>
      <c r="I3273" s="10" t="str">
        <f>IF(COUNTIF('Transform Data'!$D:$D,'Transform Data'!D3273)&gt;1,"Repeat","Single")</f>
        <v>Repeat</v>
      </c>
      <c r="J3273" s="10" t="str">
        <f>IF('Transform Data'!D3273="Cash","Cash",IF(COUNTIF('Transform Data'!$D:$D,'Transform Data'!D3273)&gt;1,"Repeat","Single"))</f>
        <v>Repeat</v>
      </c>
      <c r="K3273" s="10" t="str">
        <f t="shared" si="51"/>
        <v>TRANS-3272</v>
      </c>
    </row>
    <row r="3274" spans="1:11" x14ac:dyDescent="0.35">
      <c r="A3274" s="5">
        <v>45714</v>
      </c>
      <c r="B3274" s="3">
        <v>0.63891203703703703</v>
      </c>
      <c r="C3274" t="s">
        <v>8</v>
      </c>
      <c r="D3274" t="s">
        <v>1300</v>
      </c>
      <c r="E3274" s="4">
        <v>35.76</v>
      </c>
      <c r="F3274" t="s">
        <v>15</v>
      </c>
      <c r="G3274" s="10" t="str">
        <f>TEXT(Transform_Data[[#This Row],[Date]],"mmm yyyy")</f>
        <v>Feb 2025</v>
      </c>
      <c r="H3274" s="10">
        <f>HOUR(Transform_Data[[#This Row],[Time]])</f>
        <v>15</v>
      </c>
      <c r="I3274" s="10" t="str">
        <f>IF(COUNTIF('Transform Data'!$D:$D,'Transform Data'!D3274)&gt;1,"Repeat","Single")</f>
        <v>Repeat</v>
      </c>
      <c r="J3274" s="10" t="str">
        <f>IF('Transform Data'!D3274="Cash","Cash",IF(COUNTIF('Transform Data'!$D:$D,'Transform Data'!D3274)&gt;1,"Repeat","Single"))</f>
        <v>Repeat</v>
      </c>
      <c r="K3274" s="10" t="str">
        <f t="shared" si="51"/>
        <v>TRANS-3273</v>
      </c>
    </row>
    <row r="3275" spans="1:11" x14ac:dyDescent="0.35">
      <c r="A3275" s="5">
        <v>45714</v>
      </c>
      <c r="B3275" s="3">
        <v>0.63944444444444448</v>
      </c>
      <c r="C3275" t="s">
        <v>8</v>
      </c>
      <c r="D3275" t="s">
        <v>1300</v>
      </c>
      <c r="E3275" s="4">
        <v>25.96</v>
      </c>
      <c r="F3275" t="s">
        <v>28</v>
      </c>
      <c r="G3275" s="10" t="str">
        <f>TEXT(Transform_Data[[#This Row],[Date]],"mmm yyyy")</f>
        <v>Feb 2025</v>
      </c>
      <c r="H3275" s="10">
        <f>HOUR(Transform_Data[[#This Row],[Time]])</f>
        <v>15</v>
      </c>
      <c r="I3275" s="10" t="str">
        <f>IF(COUNTIF('Transform Data'!$D:$D,'Transform Data'!D3275)&gt;1,"Repeat","Single")</f>
        <v>Repeat</v>
      </c>
      <c r="J3275" s="10" t="str">
        <f>IF('Transform Data'!D3275="Cash","Cash",IF(COUNTIF('Transform Data'!$D:$D,'Transform Data'!D3275)&gt;1,"Repeat","Single"))</f>
        <v>Repeat</v>
      </c>
      <c r="K3275" s="10" t="str">
        <f t="shared" si="51"/>
        <v>TRANS-3274</v>
      </c>
    </row>
    <row r="3276" spans="1:11" x14ac:dyDescent="0.35">
      <c r="A3276" s="5">
        <v>45714</v>
      </c>
      <c r="B3276" s="3">
        <v>0.64496527777777779</v>
      </c>
      <c r="C3276" t="s">
        <v>8</v>
      </c>
      <c r="D3276" t="s">
        <v>1240</v>
      </c>
      <c r="E3276" s="4">
        <v>25.96</v>
      </c>
      <c r="F3276" t="s">
        <v>28</v>
      </c>
      <c r="G3276" s="10" t="str">
        <f>TEXT(Transform_Data[[#This Row],[Date]],"mmm yyyy")</f>
        <v>Feb 2025</v>
      </c>
      <c r="H3276" s="10">
        <f>HOUR(Transform_Data[[#This Row],[Time]])</f>
        <v>15</v>
      </c>
      <c r="I3276" s="10" t="str">
        <f>IF(COUNTIF('Transform Data'!$D:$D,'Transform Data'!D3276)&gt;1,"Repeat","Single")</f>
        <v>Repeat</v>
      </c>
      <c r="J3276" s="10" t="str">
        <f>IF('Transform Data'!D3276="Cash","Cash",IF(COUNTIF('Transform Data'!$D:$D,'Transform Data'!D3276)&gt;1,"Repeat","Single"))</f>
        <v>Repeat</v>
      </c>
      <c r="K3276" s="10" t="str">
        <f t="shared" si="51"/>
        <v>TRANS-3275</v>
      </c>
    </row>
    <row r="3277" spans="1:11" x14ac:dyDescent="0.35">
      <c r="A3277" s="5">
        <v>45714</v>
      </c>
      <c r="B3277" s="3">
        <v>0.68108796296296292</v>
      </c>
      <c r="C3277" t="s">
        <v>8</v>
      </c>
      <c r="D3277" t="s">
        <v>1214</v>
      </c>
      <c r="E3277" s="4">
        <v>35.76</v>
      </c>
      <c r="F3277" t="s">
        <v>32</v>
      </c>
      <c r="G3277" s="10" t="str">
        <f>TEXT(Transform_Data[[#This Row],[Date]],"mmm yyyy")</f>
        <v>Feb 2025</v>
      </c>
      <c r="H3277" s="10">
        <f>HOUR(Transform_Data[[#This Row],[Time]])</f>
        <v>16</v>
      </c>
      <c r="I3277" s="10" t="str">
        <f>IF(COUNTIF('Transform Data'!$D:$D,'Transform Data'!D3277)&gt;1,"Repeat","Single")</f>
        <v>Repeat</v>
      </c>
      <c r="J3277" s="10" t="str">
        <f>IF('Transform Data'!D3277="Cash","Cash",IF(COUNTIF('Transform Data'!$D:$D,'Transform Data'!D3277)&gt;1,"Repeat","Single"))</f>
        <v>Repeat</v>
      </c>
      <c r="K3277" s="10" t="str">
        <f t="shared" si="51"/>
        <v>TRANS-3276</v>
      </c>
    </row>
    <row r="3278" spans="1:11" x14ac:dyDescent="0.35">
      <c r="A3278" s="5">
        <v>45714</v>
      </c>
      <c r="B3278" s="3">
        <v>0.70501157407407411</v>
      </c>
      <c r="C3278" t="s">
        <v>8</v>
      </c>
      <c r="D3278" t="s">
        <v>1215</v>
      </c>
      <c r="E3278" s="4">
        <v>35.76</v>
      </c>
      <c r="F3278" t="s">
        <v>15</v>
      </c>
      <c r="G3278" s="10" t="str">
        <f>TEXT(Transform_Data[[#This Row],[Date]],"mmm yyyy")</f>
        <v>Feb 2025</v>
      </c>
      <c r="H3278" s="10">
        <f>HOUR(Transform_Data[[#This Row],[Time]])</f>
        <v>16</v>
      </c>
      <c r="I3278" s="10" t="str">
        <f>IF(COUNTIF('Transform Data'!$D:$D,'Transform Data'!D3278)&gt;1,"Repeat","Single")</f>
        <v>Repeat</v>
      </c>
      <c r="J3278" s="10" t="str">
        <f>IF('Transform Data'!D3278="Cash","Cash",IF(COUNTIF('Transform Data'!$D:$D,'Transform Data'!D3278)&gt;1,"Repeat","Single"))</f>
        <v>Repeat</v>
      </c>
      <c r="K3278" s="10" t="str">
        <f t="shared" si="51"/>
        <v>TRANS-3277</v>
      </c>
    </row>
    <row r="3279" spans="1:11" x14ac:dyDescent="0.35">
      <c r="A3279" s="5">
        <v>45714</v>
      </c>
      <c r="B3279" s="3">
        <v>0.70554398148148145</v>
      </c>
      <c r="C3279" t="s">
        <v>8</v>
      </c>
      <c r="D3279" t="s">
        <v>1241</v>
      </c>
      <c r="E3279" s="4">
        <v>35.76</v>
      </c>
      <c r="F3279" t="s">
        <v>32</v>
      </c>
      <c r="G3279" s="10" t="str">
        <f>TEXT(Transform_Data[[#This Row],[Date]],"mmm yyyy")</f>
        <v>Feb 2025</v>
      </c>
      <c r="H3279" s="10">
        <f>HOUR(Transform_Data[[#This Row],[Time]])</f>
        <v>16</v>
      </c>
      <c r="I3279" s="10" t="str">
        <f>IF(COUNTIF('Transform Data'!$D:$D,'Transform Data'!D3279)&gt;1,"Repeat","Single")</f>
        <v>Repeat</v>
      </c>
      <c r="J3279" s="10" t="str">
        <f>IF('Transform Data'!D3279="Cash","Cash",IF(COUNTIF('Transform Data'!$D:$D,'Transform Data'!D3279)&gt;1,"Repeat","Single"))</f>
        <v>Repeat</v>
      </c>
      <c r="K3279" s="10" t="str">
        <f t="shared" si="51"/>
        <v>TRANS-3278</v>
      </c>
    </row>
    <row r="3280" spans="1:11" x14ac:dyDescent="0.35">
      <c r="A3280" s="5">
        <v>45714</v>
      </c>
      <c r="B3280" s="3">
        <v>0.72412037037037036</v>
      </c>
      <c r="C3280" t="s">
        <v>8</v>
      </c>
      <c r="D3280" t="s">
        <v>1216</v>
      </c>
      <c r="E3280" s="4">
        <v>30.86</v>
      </c>
      <c r="F3280" t="s">
        <v>36</v>
      </c>
      <c r="G3280" s="10" t="str">
        <f>TEXT(Transform_Data[[#This Row],[Date]],"mmm yyyy")</f>
        <v>Feb 2025</v>
      </c>
      <c r="H3280" s="10">
        <f>HOUR(Transform_Data[[#This Row],[Time]])</f>
        <v>17</v>
      </c>
      <c r="I3280" s="10" t="str">
        <f>IF(COUNTIF('Transform Data'!$D:$D,'Transform Data'!D3280)&gt;1,"Repeat","Single")</f>
        <v>Repeat</v>
      </c>
      <c r="J3280" s="10" t="str">
        <f>IF('Transform Data'!D3280="Cash","Cash",IF(COUNTIF('Transform Data'!$D:$D,'Transform Data'!D3280)&gt;1,"Repeat","Single"))</f>
        <v>Repeat</v>
      </c>
      <c r="K3280" s="10" t="str">
        <f t="shared" si="51"/>
        <v>TRANS-3279</v>
      </c>
    </row>
    <row r="3281" spans="1:11" x14ac:dyDescent="0.35">
      <c r="A3281" s="5">
        <v>45714</v>
      </c>
      <c r="B3281" s="3">
        <v>0.75791666666666668</v>
      </c>
      <c r="C3281" t="s">
        <v>8</v>
      </c>
      <c r="D3281" t="s">
        <v>33</v>
      </c>
      <c r="E3281" s="4">
        <v>35.76</v>
      </c>
      <c r="F3281" t="s">
        <v>32</v>
      </c>
      <c r="G3281" s="10" t="str">
        <f>TEXT(Transform_Data[[#This Row],[Date]],"mmm yyyy")</f>
        <v>Feb 2025</v>
      </c>
      <c r="H3281" s="10">
        <f>HOUR(Transform_Data[[#This Row],[Time]])</f>
        <v>18</v>
      </c>
      <c r="I3281" s="10" t="str">
        <f>IF(COUNTIF('Transform Data'!$D:$D,'Transform Data'!D3281)&gt;1,"Repeat","Single")</f>
        <v>Repeat</v>
      </c>
      <c r="J3281" s="10" t="str">
        <f>IF('Transform Data'!D3281="Cash","Cash",IF(COUNTIF('Transform Data'!$D:$D,'Transform Data'!D3281)&gt;1,"Repeat","Single"))</f>
        <v>Repeat</v>
      </c>
      <c r="K3281" s="10" t="str">
        <f t="shared" si="51"/>
        <v>TRANS-3280</v>
      </c>
    </row>
    <row r="3282" spans="1:11" x14ac:dyDescent="0.35">
      <c r="A3282" s="5">
        <v>45714</v>
      </c>
      <c r="B3282" s="3">
        <v>0.75960648148148147</v>
      </c>
      <c r="C3282" t="s">
        <v>8</v>
      </c>
      <c r="D3282" t="s">
        <v>33</v>
      </c>
      <c r="E3282" s="4">
        <v>35.76</v>
      </c>
      <c r="F3282" t="s">
        <v>24</v>
      </c>
      <c r="G3282" s="10" t="str">
        <f>TEXT(Transform_Data[[#This Row],[Date]],"mmm yyyy")</f>
        <v>Feb 2025</v>
      </c>
      <c r="H3282" s="10">
        <f>HOUR(Transform_Data[[#This Row],[Time]])</f>
        <v>18</v>
      </c>
      <c r="I3282" s="10" t="str">
        <f>IF(COUNTIF('Transform Data'!$D:$D,'Transform Data'!D3282)&gt;1,"Repeat","Single")</f>
        <v>Repeat</v>
      </c>
      <c r="J3282" s="10" t="str">
        <f>IF('Transform Data'!D3282="Cash","Cash",IF(COUNTIF('Transform Data'!$D:$D,'Transform Data'!D3282)&gt;1,"Repeat","Single"))</f>
        <v>Repeat</v>
      </c>
      <c r="K3282" s="10" t="str">
        <f t="shared" si="51"/>
        <v>TRANS-3281</v>
      </c>
    </row>
    <row r="3283" spans="1:11" x14ac:dyDescent="0.35">
      <c r="A3283" s="5">
        <v>45715</v>
      </c>
      <c r="B3283" s="3">
        <v>0.30486111111111114</v>
      </c>
      <c r="C3283" t="s">
        <v>8</v>
      </c>
      <c r="D3283" t="s">
        <v>33</v>
      </c>
      <c r="E3283" s="4">
        <v>35.76</v>
      </c>
      <c r="F3283" t="s">
        <v>24</v>
      </c>
      <c r="G3283" s="10" t="str">
        <f>TEXT(Transform_Data[[#This Row],[Date]],"mmm yyyy")</f>
        <v>Feb 2025</v>
      </c>
      <c r="H3283" s="10">
        <f>HOUR(Transform_Data[[#This Row],[Time]])</f>
        <v>7</v>
      </c>
      <c r="I3283" s="10" t="str">
        <f>IF(COUNTIF('Transform Data'!$D:$D,'Transform Data'!D3283)&gt;1,"Repeat","Single")</f>
        <v>Repeat</v>
      </c>
      <c r="J3283" s="10" t="str">
        <f>IF('Transform Data'!D3283="Cash","Cash",IF(COUNTIF('Transform Data'!$D:$D,'Transform Data'!D3283)&gt;1,"Repeat","Single"))</f>
        <v>Repeat</v>
      </c>
      <c r="K3283" s="10" t="str">
        <f t="shared" si="51"/>
        <v>TRANS-3282</v>
      </c>
    </row>
    <row r="3284" spans="1:11" x14ac:dyDescent="0.35">
      <c r="A3284" s="5">
        <v>45715</v>
      </c>
      <c r="B3284" s="3">
        <v>0.30625000000000002</v>
      </c>
      <c r="C3284" t="s">
        <v>8</v>
      </c>
      <c r="D3284" t="s">
        <v>1212</v>
      </c>
      <c r="E3284" s="4">
        <v>35.76</v>
      </c>
      <c r="F3284" t="s">
        <v>24</v>
      </c>
      <c r="G3284" s="10" t="str">
        <f>TEXT(Transform_Data[[#This Row],[Date]],"mmm yyyy")</f>
        <v>Feb 2025</v>
      </c>
      <c r="H3284" s="10">
        <f>HOUR(Transform_Data[[#This Row],[Time]])</f>
        <v>7</v>
      </c>
      <c r="I3284" s="10" t="str">
        <f>IF(COUNTIF('Transform Data'!$D:$D,'Transform Data'!D3284)&gt;1,"Repeat","Single")</f>
        <v>Repeat</v>
      </c>
      <c r="J3284" s="10" t="str">
        <f>IF('Transform Data'!D3284="Cash","Cash",IF(COUNTIF('Transform Data'!$D:$D,'Transform Data'!D3284)&gt;1,"Repeat","Single"))</f>
        <v>Repeat</v>
      </c>
      <c r="K3284" s="10" t="str">
        <f t="shared" si="51"/>
        <v>TRANS-3283</v>
      </c>
    </row>
    <row r="3285" spans="1:11" x14ac:dyDescent="0.35">
      <c r="A3285" s="5">
        <v>45715</v>
      </c>
      <c r="B3285" s="3">
        <v>0.45311342592592591</v>
      </c>
      <c r="C3285" t="s">
        <v>8</v>
      </c>
      <c r="D3285" t="s">
        <v>1287</v>
      </c>
      <c r="E3285" s="4">
        <v>21.06</v>
      </c>
      <c r="F3285" t="s">
        <v>5</v>
      </c>
      <c r="G3285" s="10" t="str">
        <f>TEXT(Transform_Data[[#This Row],[Date]],"mmm yyyy")</f>
        <v>Feb 2025</v>
      </c>
      <c r="H3285" s="10">
        <f>HOUR(Transform_Data[[#This Row],[Time]])</f>
        <v>10</v>
      </c>
      <c r="I3285" s="10" t="str">
        <f>IF(COUNTIF('Transform Data'!$D:$D,'Transform Data'!D3285)&gt;1,"Repeat","Single")</f>
        <v>Repeat</v>
      </c>
      <c r="J3285" s="10" t="str">
        <f>IF('Transform Data'!D3285="Cash","Cash",IF(COUNTIF('Transform Data'!$D:$D,'Transform Data'!D3285)&gt;1,"Repeat","Single"))</f>
        <v>Repeat</v>
      </c>
      <c r="K3285" s="10" t="str">
        <f t="shared" si="51"/>
        <v>TRANS-3284</v>
      </c>
    </row>
    <row r="3286" spans="1:11" x14ac:dyDescent="0.35">
      <c r="A3286" s="5">
        <v>45715</v>
      </c>
      <c r="B3286" s="3">
        <v>0.46407407407407408</v>
      </c>
      <c r="C3286" t="s">
        <v>8</v>
      </c>
      <c r="D3286" t="s">
        <v>1218</v>
      </c>
      <c r="E3286" s="4">
        <v>35.76</v>
      </c>
      <c r="F3286" t="s">
        <v>10</v>
      </c>
      <c r="G3286" s="10" t="str">
        <f>TEXT(Transform_Data[[#This Row],[Date]],"mmm yyyy")</f>
        <v>Feb 2025</v>
      </c>
      <c r="H3286" s="10">
        <f>HOUR(Transform_Data[[#This Row],[Time]])</f>
        <v>11</v>
      </c>
      <c r="I3286" s="10" t="str">
        <f>IF(COUNTIF('Transform Data'!$D:$D,'Transform Data'!D3286)&gt;1,"Repeat","Single")</f>
        <v>Repeat</v>
      </c>
      <c r="J3286" s="10" t="str">
        <f>IF('Transform Data'!D3286="Cash","Cash",IF(COUNTIF('Transform Data'!$D:$D,'Transform Data'!D3286)&gt;1,"Repeat","Single"))</f>
        <v>Repeat</v>
      </c>
      <c r="K3286" s="10" t="str">
        <f t="shared" si="51"/>
        <v>TRANS-3285</v>
      </c>
    </row>
    <row r="3287" spans="1:11" x14ac:dyDescent="0.35">
      <c r="A3287" s="5">
        <v>45715</v>
      </c>
      <c r="B3287" s="3">
        <v>0.53350694444444446</v>
      </c>
      <c r="C3287" t="s">
        <v>8</v>
      </c>
      <c r="D3287" t="s">
        <v>1301</v>
      </c>
      <c r="E3287" s="4">
        <v>35.76</v>
      </c>
      <c r="F3287" t="s">
        <v>10</v>
      </c>
      <c r="G3287" s="10" t="str">
        <f>TEXT(Transform_Data[[#This Row],[Date]],"mmm yyyy")</f>
        <v>Feb 2025</v>
      </c>
      <c r="H3287" s="10">
        <f>HOUR(Transform_Data[[#This Row],[Time]])</f>
        <v>12</v>
      </c>
      <c r="I3287" s="10" t="str">
        <f>IF(COUNTIF('Transform Data'!$D:$D,'Transform Data'!D3287)&gt;1,"Repeat","Single")</f>
        <v>Single</v>
      </c>
      <c r="J3287" s="10" t="str">
        <f>IF('Transform Data'!D3287="Cash","Cash",IF(COUNTIF('Transform Data'!$D:$D,'Transform Data'!D3287)&gt;1,"Repeat","Single"))</f>
        <v>Single</v>
      </c>
      <c r="K3287" s="10" t="str">
        <f t="shared" si="51"/>
        <v>TRANS-3286</v>
      </c>
    </row>
    <row r="3288" spans="1:11" x14ac:dyDescent="0.35">
      <c r="A3288" s="5">
        <v>45715</v>
      </c>
      <c r="B3288" s="3">
        <v>0.56236111111111109</v>
      </c>
      <c r="C3288" t="s">
        <v>8</v>
      </c>
      <c r="D3288" t="s">
        <v>1302</v>
      </c>
      <c r="E3288" s="4">
        <v>30.86</v>
      </c>
      <c r="F3288" t="s">
        <v>36</v>
      </c>
      <c r="G3288" s="10" t="str">
        <f>TEXT(Transform_Data[[#This Row],[Date]],"mmm yyyy")</f>
        <v>Feb 2025</v>
      </c>
      <c r="H3288" s="10">
        <f>HOUR(Transform_Data[[#This Row],[Time]])</f>
        <v>13</v>
      </c>
      <c r="I3288" s="10" t="str">
        <f>IF(COUNTIF('Transform Data'!$D:$D,'Transform Data'!D3288)&gt;1,"Repeat","Single")</f>
        <v>Single</v>
      </c>
      <c r="J3288" s="10" t="str">
        <f>IF('Transform Data'!D3288="Cash","Cash",IF(COUNTIF('Transform Data'!$D:$D,'Transform Data'!D3288)&gt;1,"Repeat","Single"))</f>
        <v>Single</v>
      </c>
      <c r="K3288" s="10" t="str">
        <f t="shared" si="51"/>
        <v>TRANS-3287</v>
      </c>
    </row>
    <row r="3289" spans="1:11" x14ac:dyDescent="0.35">
      <c r="A3289" s="5">
        <v>45715</v>
      </c>
      <c r="B3289" s="3">
        <v>0.59949074074074071</v>
      </c>
      <c r="C3289" t="s">
        <v>8</v>
      </c>
      <c r="D3289" t="s">
        <v>33</v>
      </c>
      <c r="E3289" s="4">
        <v>25.96</v>
      </c>
      <c r="F3289" t="s">
        <v>28</v>
      </c>
      <c r="G3289" s="10" t="str">
        <f>TEXT(Transform_Data[[#This Row],[Date]],"mmm yyyy")</f>
        <v>Feb 2025</v>
      </c>
      <c r="H3289" s="10">
        <f>HOUR(Transform_Data[[#This Row],[Time]])</f>
        <v>14</v>
      </c>
      <c r="I3289" s="10" t="str">
        <f>IF(COUNTIF('Transform Data'!$D:$D,'Transform Data'!D3289)&gt;1,"Repeat","Single")</f>
        <v>Repeat</v>
      </c>
      <c r="J3289" s="10" t="str">
        <f>IF('Transform Data'!D3289="Cash","Cash",IF(COUNTIF('Transform Data'!$D:$D,'Transform Data'!D3289)&gt;1,"Repeat","Single"))</f>
        <v>Repeat</v>
      </c>
      <c r="K3289" s="10" t="str">
        <f t="shared" si="51"/>
        <v>TRANS-3288</v>
      </c>
    </row>
    <row r="3290" spans="1:11" x14ac:dyDescent="0.35">
      <c r="A3290" s="5">
        <v>45715</v>
      </c>
      <c r="B3290" s="3">
        <v>0.61341435185185189</v>
      </c>
      <c r="C3290" t="s">
        <v>8</v>
      </c>
      <c r="D3290" t="s">
        <v>1303</v>
      </c>
      <c r="E3290" s="4">
        <v>35.76</v>
      </c>
      <c r="F3290" t="s">
        <v>32</v>
      </c>
      <c r="G3290" s="10" t="str">
        <f>TEXT(Transform_Data[[#This Row],[Date]],"mmm yyyy")</f>
        <v>Feb 2025</v>
      </c>
      <c r="H3290" s="10">
        <f>HOUR(Transform_Data[[#This Row],[Time]])</f>
        <v>14</v>
      </c>
      <c r="I3290" s="10" t="str">
        <f>IF(COUNTIF('Transform Data'!$D:$D,'Transform Data'!D3290)&gt;1,"Repeat","Single")</f>
        <v>Single</v>
      </c>
      <c r="J3290" s="10" t="str">
        <f>IF('Transform Data'!D3290="Cash","Cash",IF(COUNTIF('Transform Data'!$D:$D,'Transform Data'!D3290)&gt;1,"Repeat","Single"))</f>
        <v>Single</v>
      </c>
      <c r="K3290" s="10" t="str">
        <f t="shared" si="51"/>
        <v>TRANS-3289</v>
      </c>
    </row>
    <row r="3291" spans="1:11" x14ac:dyDescent="0.35">
      <c r="A3291" s="5">
        <v>45715</v>
      </c>
      <c r="B3291" s="3">
        <v>0.6582175925925926</v>
      </c>
      <c r="C3291" t="s">
        <v>8</v>
      </c>
      <c r="D3291" t="s">
        <v>1220</v>
      </c>
      <c r="E3291" s="4">
        <v>25.96</v>
      </c>
      <c r="F3291" t="s">
        <v>28</v>
      </c>
      <c r="G3291" s="10" t="str">
        <f>TEXT(Transform_Data[[#This Row],[Date]],"mmm yyyy")</f>
        <v>Feb 2025</v>
      </c>
      <c r="H3291" s="10">
        <f>HOUR(Transform_Data[[#This Row],[Time]])</f>
        <v>15</v>
      </c>
      <c r="I3291" s="10" t="str">
        <f>IF(COUNTIF('Transform Data'!$D:$D,'Transform Data'!D3291)&gt;1,"Repeat","Single")</f>
        <v>Repeat</v>
      </c>
      <c r="J3291" s="10" t="str">
        <f>IF('Transform Data'!D3291="Cash","Cash",IF(COUNTIF('Transform Data'!$D:$D,'Transform Data'!D3291)&gt;1,"Repeat","Single"))</f>
        <v>Repeat</v>
      </c>
      <c r="K3291" s="10" t="str">
        <f t="shared" si="51"/>
        <v>TRANS-3290</v>
      </c>
    </row>
    <row r="3292" spans="1:11" x14ac:dyDescent="0.35">
      <c r="A3292" s="5">
        <v>45715</v>
      </c>
      <c r="B3292" s="3">
        <v>0.6864351851851852</v>
      </c>
      <c r="C3292" t="s">
        <v>8</v>
      </c>
      <c r="D3292" t="s">
        <v>1220</v>
      </c>
      <c r="E3292" s="4">
        <v>25.96</v>
      </c>
      <c r="F3292" t="s">
        <v>28</v>
      </c>
      <c r="G3292" s="10" t="str">
        <f>TEXT(Transform_Data[[#This Row],[Date]],"mmm yyyy")</f>
        <v>Feb 2025</v>
      </c>
      <c r="H3292" s="10">
        <f>HOUR(Transform_Data[[#This Row],[Time]])</f>
        <v>16</v>
      </c>
      <c r="I3292" s="10" t="str">
        <f>IF(COUNTIF('Transform Data'!$D:$D,'Transform Data'!D3292)&gt;1,"Repeat","Single")</f>
        <v>Repeat</v>
      </c>
      <c r="J3292" s="10" t="str">
        <f>IF('Transform Data'!D3292="Cash","Cash",IF(COUNTIF('Transform Data'!$D:$D,'Transform Data'!D3292)&gt;1,"Repeat","Single"))</f>
        <v>Repeat</v>
      </c>
      <c r="K3292" s="10" t="str">
        <f t="shared" si="51"/>
        <v>TRANS-3291</v>
      </c>
    </row>
    <row r="3293" spans="1:11" x14ac:dyDescent="0.35">
      <c r="A3293" s="5">
        <v>45715</v>
      </c>
      <c r="B3293" s="3">
        <v>0.7173032407407407</v>
      </c>
      <c r="C3293" t="s">
        <v>8</v>
      </c>
      <c r="D3293" t="s">
        <v>1240</v>
      </c>
      <c r="E3293" s="4">
        <v>25.96</v>
      </c>
      <c r="F3293" t="s">
        <v>28</v>
      </c>
      <c r="G3293" s="10" t="str">
        <f>TEXT(Transform_Data[[#This Row],[Date]],"mmm yyyy")</f>
        <v>Feb 2025</v>
      </c>
      <c r="H3293" s="10">
        <f>HOUR(Transform_Data[[#This Row],[Time]])</f>
        <v>17</v>
      </c>
      <c r="I3293" s="10" t="str">
        <f>IF(COUNTIF('Transform Data'!$D:$D,'Transform Data'!D3293)&gt;1,"Repeat","Single")</f>
        <v>Repeat</v>
      </c>
      <c r="J3293" s="10" t="str">
        <f>IF('Transform Data'!D3293="Cash","Cash",IF(COUNTIF('Transform Data'!$D:$D,'Transform Data'!D3293)&gt;1,"Repeat","Single"))</f>
        <v>Repeat</v>
      </c>
      <c r="K3293" s="10" t="str">
        <f t="shared" si="51"/>
        <v>TRANS-3292</v>
      </c>
    </row>
    <row r="3294" spans="1:11" x14ac:dyDescent="0.35">
      <c r="A3294" s="5">
        <v>45715</v>
      </c>
      <c r="B3294" s="3">
        <v>0.72442129629629626</v>
      </c>
      <c r="C3294" t="s">
        <v>8</v>
      </c>
      <c r="D3294" t="s">
        <v>1220</v>
      </c>
      <c r="E3294" s="4">
        <v>25.96</v>
      </c>
      <c r="F3294" t="s">
        <v>28</v>
      </c>
      <c r="G3294" s="10" t="str">
        <f>TEXT(Transform_Data[[#This Row],[Date]],"mmm yyyy")</f>
        <v>Feb 2025</v>
      </c>
      <c r="H3294" s="10">
        <f>HOUR(Transform_Data[[#This Row],[Time]])</f>
        <v>17</v>
      </c>
      <c r="I3294" s="10" t="str">
        <f>IF(COUNTIF('Transform Data'!$D:$D,'Transform Data'!D3294)&gt;1,"Repeat","Single")</f>
        <v>Repeat</v>
      </c>
      <c r="J3294" s="10" t="str">
        <f>IF('Transform Data'!D3294="Cash","Cash",IF(COUNTIF('Transform Data'!$D:$D,'Transform Data'!D3294)&gt;1,"Repeat","Single"))</f>
        <v>Repeat</v>
      </c>
      <c r="K3294" s="10" t="str">
        <f t="shared" si="51"/>
        <v>TRANS-3293</v>
      </c>
    </row>
    <row r="3295" spans="1:11" x14ac:dyDescent="0.35">
      <c r="A3295" s="5">
        <v>45715</v>
      </c>
      <c r="B3295" s="3">
        <v>0.74528935185185186</v>
      </c>
      <c r="C3295" t="s">
        <v>8</v>
      </c>
      <c r="D3295" t="s">
        <v>1304</v>
      </c>
      <c r="E3295" s="4">
        <v>35.76</v>
      </c>
      <c r="F3295" t="s">
        <v>32</v>
      </c>
      <c r="G3295" s="10" t="str">
        <f>TEXT(Transform_Data[[#This Row],[Date]],"mmm yyyy")</f>
        <v>Feb 2025</v>
      </c>
      <c r="H3295" s="10">
        <f>HOUR(Transform_Data[[#This Row],[Time]])</f>
        <v>17</v>
      </c>
      <c r="I3295" s="10" t="str">
        <f>IF(COUNTIF('Transform Data'!$D:$D,'Transform Data'!D3295)&gt;1,"Repeat","Single")</f>
        <v>Repeat</v>
      </c>
      <c r="J3295" s="10" t="str">
        <f>IF('Transform Data'!D3295="Cash","Cash",IF(COUNTIF('Transform Data'!$D:$D,'Transform Data'!D3295)&gt;1,"Repeat","Single"))</f>
        <v>Repeat</v>
      </c>
      <c r="K3295" s="10" t="str">
        <f t="shared" si="51"/>
        <v>TRANS-3294</v>
      </c>
    </row>
    <row r="3296" spans="1:11" x14ac:dyDescent="0.35">
      <c r="A3296" s="5">
        <v>45715</v>
      </c>
      <c r="B3296" s="3">
        <v>0.7621296296296296</v>
      </c>
      <c r="C3296" t="s">
        <v>8</v>
      </c>
      <c r="D3296" t="s">
        <v>1258</v>
      </c>
      <c r="E3296" s="4">
        <v>35.76</v>
      </c>
      <c r="F3296" t="s">
        <v>32</v>
      </c>
      <c r="G3296" s="10" t="str">
        <f>TEXT(Transform_Data[[#This Row],[Date]],"mmm yyyy")</f>
        <v>Feb 2025</v>
      </c>
      <c r="H3296" s="10">
        <f>HOUR(Transform_Data[[#This Row],[Time]])</f>
        <v>18</v>
      </c>
      <c r="I3296" s="10" t="str">
        <f>IF(COUNTIF('Transform Data'!$D:$D,'Transform Data'!D3296)&gt;1,"Repeat","Single")</f>
        <v>Repeat</v>
      </c>
      <c r="J3296" s="10" t="str">
        <f>IF('Transform Data'!D3296="Cash","Cash",IF(COUNTIF('Transform Data'!$D:$D,'Transform Data'!D3296)&gt;1,"Repeat","Single"))</f>
        <v>Repeat</v>
      </c>
      <c r="K3296" s="10" t="str">
        <f t="shared" si="51"/>
        <v>TRANS-3295</v>
      </c>
    </row>
    <row r="3297" spans="1:11" x14ac:dyDescent="0.35">
      <c r="A3297" s="5">
        <v>45715</v>
      </c>
      <c r="B3297" s="3">
        <v>0.7768518518518519</v>
      </c>
      <c r="C3297" t="s">
        <v>8</v>
      </c>
      <c r="D3297" t="s">
        <v>1234</v>
      </c>
      <c r="E3297" s="4">
        <v>35.76</v>
      </c>
      <c r="F3297" t="s">
        <v>24</v>
      </c>
      <c r="G3297" s="10" t="str">
        <f>TEXT(Transform_Data[[#This Row],[Date]],"mmm yyyy")</f>
        <v>Feb 2025</v>
      </c>
      <c r="H3297" s="10">
        <f>HOUR(Transform_Data[[#This Row],[Time]])</f>
        <v>18</v>
      </c>
      <c r="I3297" s="10" t="str">
        <f>IF(COUNTIF('Transform Data'!$D:$D,'Transform Data'!D3297)&gt;1,"Repeat","Single")</f>
        <v>Repeat</v>
      </c>
      <c r="J3297" s="10" t="str">
        <f>IF('Transform Data'!D3297="Cash","Cash",IF(COUNTIF('Transform Data'!$D:$D,'Transform Data'!D3297)&gt;1,"Repeat","Single"))</f>
        <v>Repeat</v>
      </c>
      <c r="K3297" s="10" t="str">
        <f t="shared" si="51"/>
        <v>TRANS-3296</v>
      </c>
    </row>
    <row r="3298" spans="1:11" x14ac:dyDescent="0.35">
      <c r="A3298" s="5">
        <v>45715</v>
      </c>
      <c r="B3298" s="3">
        <v>0.77778935185185183</v>
      </c>
      <c r="C3298" t="s">
        <v>8</v>
      </c>
      <c r="D3298" t="s">
        <v>1229</v>
      </c>
      <c r="E3298" s="4">
        <v>35.76</v>
      </c>
      <c r="F3298" t="s">
        <v>10</v>
      </c>
      <c r="G3298" s="10" t="str">
        <f>TEXT(Transform_Data[[#This Row],[Date]],"mmm yyyy")</f>
        <v>Feb 2025</v>
      </c>
      <c r="H3298" s="10">
        <f>HOUR(Transform_Data[[#This Row],[Time]])</f>
        <v>18</v>
      </c>
      <c r="I3298" s="10" t="str">
        <f>IF(COUNTIF('Transform Data'!$D:$D,'Transform Data'!D3298)&gt;1,"Repeat","Single")</f>
        <v>Repeat</v>
      </c>
      <c r="J3298" s="10" t="str">
        <f>IF('Transform Data'!D3298="Cash","Cash",IF(COUNTIF('Transform Data'!$D:$D,'Transform Data'!D3298)&gt;1,"Repeat","Single"))</f>
        <v>Repeat</v>
      </c>
      <c r="K3298" s="10" t="str">
        <f t="shared" si="51"/>
        <v>TRANS-3297</v>
      </c>
    </row>
    <row r="3299" spans="1:11" x14ac:dyDescent="0.35">
      <c r="A3299" s="5">
        <v>45715</v>
      </c>
      <c r="B3299" s="3">
        <v>0.77837962962962959</v>
      </c>
      <c r="C3299" t="s">
        <v>8</v>
      </c>
      <c r="D3299" t="s">
        <v>1229</v>
      </c>
      <c r="E3299" s="4">
        <v>35.76</v>
      </c>
      <c r="F3299" t="s">
        <v>10</v>
      </c>
      <c r="G3299" s="10" t="str">
        <f>TEXT(Transform_Data[[#This Row],[Date]],"mmm yyyy")</f>
        <v>Feb 2025</v>
      </c>
      <c r="H3299" s="10">
        <f>HOUR(Transform_Data[[#This Row],[Time]])</f>
        <v>18</v>
      </c>
      <c r="I3299" s="10" t="str">
        <f>IF(COUNTIF('Transform Data'!$D:$D,'Transform Data'!D3299)&gt;1,"Repeat","Single")</f>
        <v>Repeat</v>
      </c>
      <c r="J3299" s="10" t="str">
        <f>IF('Transform Data'!D3299="Cash","Cash",IF(COUNTIF('Transform Data'!$D:$D,'Transform Data'!D3299)&gt;1,"Repeat","Single"))</f>
        <v>Repeat</v>
      </c>
      <c r="K3299" s="10" t="str">
        <f t="shared" si="51"/>
        <v>TRANS-3298</v>
      </c>
    </row>
    <row r="3300" spans="1:11" x14ac:dyDescent="0.35">
      <c r="A3300" s="5">
        <v>45715</v>
      </c>
      <c r="B3300" s="3">
        <v>0.80156249999999996</v>
      </c>
      <c r="C3300" t="s">
        <v>8</v>
      </c>
      <c r="D3300" t="s">
        <v>1265</v>
      </c>
      <c r="E3300" s="4">
        <v>35.76</v>
      </c>
      <c r="F3300" t="s">
        <v>32</v>
      </c>
      <c r="G3300" s="10" t="str">
        <f>TEXT(Transform_Data[[#This Row],[Date]],"mmm yyyy")</f>
        <v>Feb 2025</v>
      </c>
      <c r="H3300" s="10">
        <f>HOUR(Transform_Data[[#This Row],[Time]])</f>
        <v>19</v>
      </c>
      <c r="I3300" s="10" t="str">
        <f>IF(COUNTIF('Transform Data'!$D:$D,'Transform Data'!D3300)&gt;1,"Repeat","Single")</f>
        <v>Repeat</v>
      </c>
      <c r="J3300" s="10" t="str">
        <f>IF('Transform Data'!D3300="Cash","Cash",IF(COUNTIF('Transform Data'!$D:$D,'Transform Data'!D3300)&gt;1,"Repeat","Single"))</f>
        <v>Repeat</v>
      </c>
      <c r="K3300" s="10" t="str">
        <f t="shared" si="51"/>
        <v>TRANS-3299</v>
      </c>
    </row>
    <row r="3301" spans="1:11" x14ac:dyDescent="0.35">
      <c r="A3301" s="5">
        <v>45715</v>
      </c>
      <c r="B3301" s="3">
        <v>0.83480324074074075</v>
      </c>
      <c r="C3301" t="s">
        <v>8</v>
      </c>
      <c r="D3301" t="s">
        <v>102</v>
      </c>
      <c r="E3301" s="4">
        <v>35.76</v>
      </c>
      <c r="F3301" t="s">
        <v>24</v>
      </c>
      <c r="G3301" s="10" t="str">
        <f>TEXT(Transform_Data[[#This Row],[Date]],"mmm yyyy")</f>
        <v>Feb 2025</v>
      </c>
      <c r="H3301" s="10">
        <f>HOUR(Transform_Data[[#This Row],[Time]])</f>
        <v>20</v>
      </c>
      <c r="I3301" s="10" t="str">
        <f>IF(COUNTIF('Transform Data'!$D:$D,'Transform Data'!D3301)&gt;1,"Repeat","Single")</f>
        <v>Repeat</v>
      </c>
      <c r="J3301" s="10" t="str">
        <f>IF('Transform Data'!D3301="Cash","Cash",IF(COUNTIF('Transform Data'!$D:$D,'Transform Data'!D3301)&gt;1,"Repeat","Single"))</f>
        <v>Repeat</v>
      </c>
      <c r="K3301" s="10" t="str">
        <f t="shared" si="51"/>
        <v>TRANS-3300</v>
      </c>
    </row>
    <row r="3302" spans="1:11" x14ac:dyDescent="0.35">
      <c r="A3302" s="5">
        <v>45716</v>
      </c>
      <c r="B3302" s="3">
        <v>0.28663194444444445</v>
      </c>
      <c r="C3302" t="s">
        <v>8</v>
      </c>
      <c r="D3302" t="s">
        <v>33</v>
      </c>
      <c r="E3302" s="4">
        <v>30.86</v>
      </c>
      <c r="F3302" t="s">
        <v>36</v>
      </c>
      <c r="G3302" s="10" t="str">
        <f>TEXT(Transform_Data[[#This Row],[Date]],"mmm yyyy")</f>
        <v>Feb 2025</v>
      </c>
      <c r="H3302" s="10">
        <f>HOUR(Transform_Data[[#This Row],[Time]])</f>
        <v>6</v>
      </c>
      <c r="I3302" s="10" t="str">
        <f>IF(COUNTIF('Transform Data'!$D:$D,'Transform Data'!D3302)&gt;1,"Repeat","Single")</f>
        <v>Repeat</v>
      </c>
      <c r="J3302" s="10" t="str">
        <f>IF('Transform Data'!D3302="Cash","Cash",IF(COUNTIF('Transform Data'!$D:$D,'Transform Data'!D3302)&gt;1,"Repeat","Single"))</f>
        <v>Repeat</v>
      </c>
      <c r="K3302" s="10" t="str">
        <f t="shared" si="51"/>
        <v>TRANS-3301</v>
      </c>
    </row>
    <row r="3303" spans="1:11" x14ac:dyDescent="0.35">
      <c r="A3303" s="5">
        <v>45716</v>
      </c>
      <c r="B3303" s="3">
        <v>0.28818287037037038</v>
      </c>
      <c r="C3303" t="s">
        <v>8</v>
      </c>
      <c r="D3303" t="s">
        <v>33</v>
      </c>
      <c r="E3303" s="4">
        <v>30.86</v>
      </c>
      <c r="F3303" t="s">
        <v>36</v>
      </c>
      <c r="G3303" s="10" t="str">
        <f>TEXT(Transform_Data[[#This Row],[Date]],"mmm yyyy")</f>
        <v>Feb 2025</v>
      </c>
      <c r="H3303" s="10">
        <f>HOUR(Transform_Data[[#This Row],[Time]])</f>
        <v>6</v>
      </c>
      <c r="I3303" s="10" t="str">
        <f>IF(COUNTIF('Transform Data'!$D:$D,'Transform Data'!D3303)&gt;1,"Repeat","Single")</f>
        <v>Repeat</v>
      </c>
      <c r="J3303" s="10" t="str">
        <f>IF('Transform Data'!D3303="Cash","Cash",IF(COUNTIF('Transform Data'!$D:$D,'Transform Data'!D3303)&gt;1,"Repeat","Single"))</f>
        <v>Repeat</v>
      </c>
      <c r="K3303" s="10" t="str">
        <f t="shared" si="51"/>
        <v>TRANS-3302</v>
      </c>
    </row>
    <row r="3304" spans="1:11" x14ac:dyDescent="0.35">
      <c r="A3304" s="5">
        <v>45716</v>
      </c>
      <c r="B3304" s="3">
        <v>0.30458333333333332</v>
      </c>
      <c r="C3304" t="s">
        <v>8</v>
      </c>
      <c r="D3304" t="s">
        <v>1212</v>
      </c>
      <c r="E3304" s="4">
        <v>35.76</v>
      </c>
      <c r="F3304" t="s">
        <v>24</v>
      </c>
      <c r="G3304" s="10" t="str">
        <f>TEXT(Transform_Data[[#This Row],[Date]],"mmm yyyy")</f>
        <v>Feb 2025</v>
      </c>
      <c r="H3304" s="10">
        <f>HOUR(Transform_Data[[#This Row],[Time]])</f>
        <v>7</v>
      </c>
      <c r="I3304" s="10" t="str">
        <f>IF(COUNTIF('Transform Data'!$D:$D,'Transform Data'!D3304)&gt;1,"Repeat","Single")</f>
        <v>Repeat</v>
      </c>
      <c r="J3304" s="10" t="str">
        <f>IF('Transform Data'!D3304="Cash","Cash",IF(COUNTIF('Transform Data'!$D:$D,'Transform Data'!D3304)&gt;1,"Repeat","Single"))</f>
        <v>Repeat</v>
      </c>
      <c r="K3304" s="10" t="str">
        <f t="shared" si="51"/>
        <v>TRANS-3303</v>
      </c>
    </row>
    <row r="3305" spans="1:11" x14ac:dyDescent="0.35">
      <c r="A3305" s="5">
        <v>45716</v>
      </c>
      <c r="B3305" s="3">
        <v>0.34024305555555556</v>
      </c>
      <c r="C3305" t="s">
        <v>8</v>
      </c>
      <c r="D3305" t="s">
        <v>1305</v>
      </c>
      <c r="E3305" s="4">
        <v>21.06</v>
      </c>
      <c r="F3305" t="s">
        <v>5</v>
      </c>
      <c r="G3305" s="10" t="str">
        <f>TEXT(Transform_Data[[#This Row],[Date]],"mmm yyyy")</f>
        <v>Feb 2025</v>
      </c>
      <c r="H3305" s="10">
        <f>HOUR(Transform_Data[[#This Row],[Time]])</f>
        <v>8</v>
      </c>
      <c r="I3305" s="10" t="str">
        <f>IF(COUNTIF('Transform Data'!$D:$D,'Transform Data'!D3305)&gt;1,"Repeat","Single")</f>
        <v>Single</v>
      </c>
      <c r="J3305" s="10" t="str">
        <f>IF('Transform Data'!D3305="Cash","Cash",IF(COUNTIF('Transform Data'!$D:$D,'Transform Data'!D3305)&gt;1,"Repeat","Single"))</f>
        <v>Single</v>
      </c>
      <c r="K3305" s="10" t="str">
        <f t="shared" si="51"/>
        <v>TRANS-3304</v>
      </c>
    </row>
    <row r="3306" spans="1:11" x14ac:dyDescent="0.35">
      <c r="A3306" s="5">
        <v>45716</v>
      </c>
      <c r="B3306" s="3">
        <v>0.37682870370370369</v>
      </c>
      <c r="C3306" t="s">
        <v>8</v>
      </c>
      <c r="D3306" t="s">
        <v>1213</v>
      </c>
      <c r="E3306" s="4">
        <v>30.86</v>
      </c>
      <c r="F3306" t="s">
        <v>36</v>
      </c>
      <c r="G3306" s="10" t="str">
        <f>TEXT(Transform_Data[[#This Row],[Date]],"mmm yyyy")</f>
        <v>Feb 2025</v>
      </c>
      <c r="H3306" s="10">
        <f>HOUR(Transform_Data[[#This Row],[Time]])</f>
        <v>9</v>
      </c>
      <c r="I3306" s="10" t="str">
        <f>IF(COUNTIF('Transform Data'!$D:$D,'Transform Data'!D3306)&gt;1,"Repeat","Single")</f>
        <v>Repeat</v>
      </c>
      <c r="J3306" s="10" t="str">
        <f>IF('Transform Data'!D3306="Cash","Cash",IF(COUNTIF('Transform Data'!$D:$D,'Transform Data'!D3306)&gt;1,"Repeat","Single"))</f>
        <v>Repeat</v>
      </c>
      <c r="K3306" s="10" t="str">
        <f t="shared" si="51"/>
        <v>TRANS-3305</v>
      </c>
    </row>
    <row r="3307" spans="1:11" x14ac:dyDescent="0.35">
      <c r="A3307" s="5">
        <v>45716</v>
      </c>
      <c r="B3307" s="3">
        <v>0.61421296296296302</v>
      </c>
      <c r="C3307" t="s">
        <v>8</v>
      </c>
      <c r="D3307" t="s">
        <v>6</v>
      </c>
      <c r="E3307" s="4">
        <v>25.96</v>
      </c>
      <c r="F3307" t="s">
        <v>28</v>
      </c>
      <c r="G3307" s="10" t="str">
        <f>TEXT(Transform_Data[[#This Row],[Date]],"mmm yyyy")</f>
        <v>Feb 2025</v>
      </c>
      <c r="H3307" s="10">
        <f>HOUR(Transform_Data[[#This Row],[Time]])</f>
        <v>14</v>
      </c>
      <c r="I3307" s="10" t="str">
        <f>IF(COUNTIF('Transform Data'!$D:$D,'Transform Data'!D3307)&gt;1,"Repeat","Single")</f>
        <v>Repeat</v>
      </c>
      <c r="J3307" s="10" t="str">
        <f>IF('Transform Data'!D3307="Cash","Cash",IF(COUNTIF('Transform Data'!$D:$D,'Transform Data'!D3307)&gt;1,"Repeat","Single"))</f>
        <v>Repeat</v>
      </c>
      <c r="K3307" s="10" t="str">
        <f t="shared" si="51"/>
        <v>TRANS-3306</v>
      </c>
    </row>
    <row r="3308" spans="1:11" x14ac:dyDescent="0.35">
      <c r="A3308" s="5">
        <v>45716</v>
      </c>
      <c r="B3308" s="3">
        <v>0.614837962962963</v>
      </c>
      <c r="C3308" t="s">
        <v>8</v>
      </c>
      <c r="D3308" t="s">
        <v>6</v>
      </c>
      <c r="E3308" s="4">
        <v>25.96</v>
      </c>
      <c r="F3308" t="s">
        <v>28</v>
      </c>
      <c r="G3308" s="10" t="str">
        <f>TEXT(Transform_Data[[#This Row],[Date]],"mmm yyyy")</f>
        <v>Feb 2025</v>
      </c>
      <c r="H3308" s="10">
        <f>HOUR(Transform_Data[[#This Row],[Time]])</f>
        <v>14</v>
      </c>
      <c r="I3308" s="10" t="str">
        <f>IF(COUNTIF('Transform Data'!$D:$D,'Transform Data'!D3308)&gt;1,"Repeat","Single")</f>
        <v>Repeat</v>
      </c>
      <c r="J3308" s="10" t="str">
        <f>IF('Transform Data'!D3308="Cash","Cash",IF(COUNTIF('Transform Data'!$D:$D,'Transform Data'!D3308)&gt;1,"Repeat","Single"))</f>
        <v>Repeat</v>
      </c>
      <c r="K3308" s="10" t="str">
        <f t="shared" si="51"/>
        <v>TRANS-3307</v>
      </c>
    </row>
    <row r="3309" spans="1:11" x14ac:dyDescent="0.35">
      <c r="A3309" s="5">
        <v>45716</v>
      </c>
      <c r="B3309" s="3">
        <v>0.61657407407407405</v>
      </c>
      <c r="C3309" t="s">
        <v>8</v>
      </c>
      <c r="D3309" t="s">
        <v>33</v>
      </c>
      <c r="E3309" s="4">
        <v>25.96</v>
      </c>
      <c r="F3309" t="s">
        <v>28</v>
      </c>
      <c r="G3309" s="10" t="str">
        <f>TEXT(Transform_Data[[#This Row],[Date]],"mmm yyyy")</f>
        <v>Feb 2025</v>
      </c>
      <c r="H3309" s="10">
        <f>HOUR(Transform_Data[[#This Row],[Time]])</f>
        <v>14</v>
      </c>
      <c r="I3309" s="10" t="str">
        <f>IF(COUNTIF('Transform Data'!$D:$D,'Transform Data'!D3309)&gt;1,"Repeat","Single")</f>
        <v>Repeat</v>
      </c>
      <c r="J3309" s="10" t="str">
        <f>IF('Transform Data'!D3309="Cash","Cash",IF(COUNTIF('Transform Data'!$D:$D,'Transform Data'!D3309)&gt;1,"Repeat","Single"))</f>
        <v>Repeat</v>
      </c>
      <c r="K3309" s="10" t="str">
        <f t="shared" si="51"/>
        <v>TRANS-3308</v>
      </c>
    </row>
    <row r="3310" spans="1:11" x14ac:dyDescent="0.35">
      <c r="A3310" s="5">
        <v>45716</v>
      </c>
      <c r="B3310" s="3">
        <v>0.61946759259259254</v>
      </c>
      <c r="C3310" t="s">
        <v>8</v>
      </c>
      <c r="D3310" t="s">
        <v>1241</v>
      </c>
      <c r="E3310" s="4">
        <v>35.76</v>
      </c>
      <c r="F3310" t="s">
        <v>32</v>
      </c>
      <c r="G3310" s="10" t="str">
        <f>TEXT(Transform_Data[[#This Row],[Date]],"mmm yyyy")</f>
        <v>Feb 2025</v>
      </c>
      <c r="H3310" s="10">
        <f>HOUR(Transform_Data[[#This Row],[Time]])</f>
        <v>14</v>
      </c>
      <c r="I3310" s="10" t="str">
        <f>IF(COUNTIF('Transform Data'!$D:$D,'Transform Data'!D3310)&gt;1,"Repeat","Single")</f>
        <v>Repeat</v>
      </c>
      <c r="J3310" s="10" t="str">
        <f>IF('Transform Data'!D3310="Cash","Cash",IF(COUNTIF('Transform Data'!$D:$D,'Transform Data'!D3310)&gt;1,"Repeat","Single"))</f>
        <v>Repeat</v>
      </c>
      <c r="K3310" s="10" t="str">
        <f t="shared" si="51"/>
        <v>TRANS-3309</v>
      </c>
    </row>
    <row r="3311" spans="1:11" x14ac:dyDescent="0.35">
      <c r="A3311" s="5">
        <v>45716</v>
      </c>
      <c r="B3311" s="3">
        <v>0.63840277777777776</v>
      </c>
      <c r="C3311" t="s">
        <v>8</v>
      </c>
      <c r="D3311" t="s">
        <v>6</v>
      </c>
      <c r="E3311" s="4">
        <v>25.96</v>
      </c>
      <c r="F3311" t="s">
        <v>28</v>
      </c>
      <c r="G3311" s="10" t="str">
        <f>TEXT(Transform_Data[[#This Row],[Date]],"mmm yyyy")</f>
        <v>Feb 2025</v>
      </c>
      <c r="H3311" s="10">
        <f>HOUR(Transform_Data[[#This Row],[Time]])</f>
        <v>15</v>
      </c>
      <c r="I3311" s="10" t="str">
        <f>IF(COUNTIF('Transform Data'!$D:$D,'Transform Data'!D3311)&gt;1,"Repeat","Single")</f>
        <v>Repeat</v>
      </c>
      <c r="J3311" s="10" t="str">
        <f>IF('Transform Data'!D3311="Cash","Cash",IF(COUNTIF('Transform Data'!$D:$D,'Transform Data'!D3311)&gt;1,"Repeat","Single"))</f>
        <v>Repeat</v>
      </c>
      <c r="K3311" s="10" t="str">
        <f t="shared" si="51"/>
        <v>TRANS-3310</v>
      </c>
    </row>
    <row r="3312" spans="1:11" x14ac:dyDescent="0.35">
      <c r="A3312" s="5">
        <v>45716</v>
      </c>
      <c r="B3312" s="3">
        <v>0.6822569444444444</v>
      </c>
      <c r="C3312" t="s">
        <v>8</v>
      </c>
      <c r="D3312" t="s">
        <v>1207</v>
      </c>
      <c r="E3312" s="4">
        <v>35.76</v>
      </c>
      <c r="F3312" t="s">
        <v>10</v>
      </c>
      <c r="G3312" s="10" t="str">
        <f>TEXT(Transform_Data[[#This Row],[Date]],"mmm yyyy")</f>
        <v>Feb 2025</v>
      </c>
      <c r="H3312" s="10">
        <f>HOUR(Transform_Data[[#This Row],[Time]])</f>
        <v>16</v>
      </c>
      <c r="I3312" s="10" t="str">
        <f>IF(COUNTIF('Transform Data'!$D:$D,'Transform Data'!D3312)&gt;1,"Repeat","Single")</f>
        <v>Repeat</v>
      </c>
      <c r="J3312" s="10" t="str">
        <f>IF('Transform Data'!D3312="Cash","Cash",IF(COUNTIF('Transform Data'!$D:$D,'Transform Data'!D3312)&gt;1,"Repeat","Single"))</f>
        <v>Repeat</v>
      </c>
      <c r="K3312" s="10" t="str">
        <f t="shared" si="51"/>
        <v>TRANS-3311</v>
      </c>
    </row>
    <row r="3313" spans="1:11" x14ac:dyDescent="0.35">
      <c r="A3313" s="5">
        <v>45716</v>
      </c>
      <c r="B3313" s="3">
        <v>0.68756944444444446</v>
      </c>
      <c r="C3313" t="s">
        <v>8</v>
      </c>
      <c r="D3313" t="s">
        <v>1220</v>
      </c>
      <c r="E3313" s="4">
        <v>25.96</v>
      </c>
      <c r="F3313" t="s">
        <v>28</v>
      </c>
      <c r="G3313" s="10" t="str">
        <f>TEXT(Transform_Data[[#This Row],[Date]],"mmm yyyy")</f>
        <v>Feb 2025</v>
      </c>
      <c r="H3313" s="10">
        <f>HOUR(Transform_Data[[#This Row],[Time]])</f>
        <v>16</v>
      </c>
      <c r="I3313" s="10" t="str">
        <f>IF(COUNTIF('Transform Data'!$D:$D,'Transform Data'!D3313)&gt;1,"Repeat","Single")</f>
        <v>Repeat</v>
      </c>
      <c r="J3313" s="10" t="str">
        <f>IF('Transform Data'!D3313="Cash","Cash",IF(COUNTIF('Transform Data'!$D:$D,'Transform Data'!D3313)&gt;1,"Repeat","Single"))</f>
        <v>Repeat</v>
      </c>
      <c r="K3313" s="10" t="str">
        <f t="shared" si="51"/>
        <v>TRANS-3312</v>
      </c>
    </row>
    <row r="3314" spans="1:11" x14ac:dyDescent="0.35">
      <c r="A3314" s="5">
        <v>45716</v>
      </c>
      <c r="B3314" s="3">
        <v>0.72291666666666665</v>
      </c>
      <c r="C3314" t="s">
        <v>8</v>
      </c>
      <c r="D3314" t="s">
        <v>1241</v>
      </c>
      <c r="E3314" s="4">
        <v>35.76</v>
      </c>
      <c r="F3314" t="s">
        <v>32</v>
      </c>
      <c r="G3314" s="10" t="str">
        <f>TEXT(Transform_Data[[#This Row],[Date]],"mmm yyyy")</f>
        <v>Feb 2025</v>
      </c>
      <c r="H3314" s="10">
        <f>HOUR(Transform_Data[[#This Row],[Time]])</f>
        <v>17</v>
      </c>
      <c r="I3314" s="10" t="str">
        <f>IF(COUNTIF('Transform Data'!$D:$D,'Transform Data'!D3314)&gt;1,"Repeat","Single")</f>
        <v>Repeat</v>
      </c>
      <c r="J3314" s="10" t="str">
        <f>IF('Transform Data'!D3314="Cash","Cash",IF(COUNTIF('Transform Data'!$D:$D,'Transform Data'!D3314)&gt;1,"Repeat","Single"))</f>
        <v>Repeat</v>
      </c>
      <c r="K3314" s="10" t="str">
        <f t="shared" si="51"/>
        <v>TRANS-3313</v>
      </c>
    </row>
    <row r="3315" spans="1:11" x14ac:dyDescent="0.35">
      <c r="A3315" s="5">
        <v>45716</v>
      </c>
      <c r="B3315" s="3">
        <v>0.72990740740740745</v>
      </c>
      <c r="C3315" t="s">
        <v>8</v>
      </c>
      <c r="D3315" t="s">
        <v>1306</v>
      </c>
      <c r="E3315" s="4">
        <v>30.86</v>
      </c>
      <c r="F3315" t="s">
        <v>36</v>
      </c>
      <c r="G3315" s="10" t="str">
        <f>TEXT(Transform_Data[[#This Row],[Date]],"mmm yyyy")</f>
        <v>Feb 2025</v>
      </c>
      <c r="H3315" s="10">
        <f>HOUR(Transform_Data[[#This Row],[Time]])</f>
        <v>17</v>
      </c>
      <c r="I3315" s="10" t="str">
        <f>IF(COUNTIF('Transform Data'!$D:$D,'Transform Data'!D3315)&gt;1,"Repeat","Single")</f>
        <v>Repeat</v>
      </c>
      <c r="J3315" s="10" t="str">
        <f>IF('Transform Data'!D3315="Cash","Cash",IF(COUNTIF('Transform Data'!$D:$D,'Transform Data'!D3315)&gt;1,"Repeat","Single"))</f>
        <v>Repeat</v>
      </c>
      <c r="K3315" s="10" t="str">
        <f t="shared" si="51"/>
        <v>TRANS-3314</v>
      </c>
    </row>
    <row r="3316" spans="1:11" x14ac:dyDescent="0.35">
      <c r="A3316" s="5">
        <v>45716</v>
      </c>
      <c r="B3316" s="3">
        <v>0.73074074074074069</v>
      </c>
      <c r="C3316" t="s">
        <v>8</v>
      </c>
      <c r="D3316" t="s">
        <v>1220</v>
      </c>
      <c r="E3316" s="4">
        <v>25.96</v>
      </c>
      <c r="F3316" t="s">
        <v>28</v>
      </c>
      <c r="G3316" s="10" t="str">
        <f>TEXT(Transform_Data[[#This Row],[Date]],"mmm yyyy")</f>
        <v>Feb 2025</v>
      </c>
      <c r="H3316" s="10">
        <f>HOUR(Transform_Data[[#This Row],[Time]])</f>
        <v>17</v>
      </c>
      <c r="I3316" s="10" t="str">
        <f>IF(COUNTIF('Transform Data'!$D:$D,'Transform Data'!D3316)&gt;1,"Repeat","Single")</f>
        <v>Repeat</v>
      </c>
      <c r="J3316" s="10" t="str">
        <f>IF('Transform Data'!D3316="Cash","Cash",IF(COUNTIF('Transform Data'!$D:$D,'Transform Data'!D3316)&gt;1,"Repeat","Single"))</f>
        <v>Repeat</v>
      </c>
      <c r="K3316" s="10" t="str">
        <f t="shared" si="51"/>
        <v>TRANS-3315</v>
      </c>
    </row>
    <row r="3317" spans="1:11" x14ac:dyDescent="0.35">
      <c r="A3317" s="5">
        <v>45716</v>
      </c>
      <c r="B3317" s="3">
        <v>0.73181712962962964</v>
      </c>
      <c r="C3317" t="s">
        <v>8</v>
      </c>
      <c r="D3317" t="s">
        <v>1240</v>
      </c>
      <c r="E3317" s="4">
        <v>25.96</v>
      </c>
      <c r="F3317" t="s">
        <v>28</v>
      </c>
      <c r="G3317" s="10" t="str">
        <f>TEXT(Transform_Data[[#This Row],[Date]],"mmm yyyy")</f>
        <v>Feb 2025</v>
      </c>
      <c r="H3317" s="10">
        <f>HOUR(Transform_Data[[#This Row],[Time]])</f>
        <v>17</v>
      </c>
      <c r="I3317" s="10" t="str">
        <f>IF(COUNTIF('Transform Data'!$D:$D,'Transform Data'!D3317)&gt;1,"Repeat","Single")</f>
        <v>Repeat</v>
      </c>
      <c r="J3317" s="10" t="str">
        <f>IF('Transform Data'!D3317="Cash","Cash",IF(COUNTIF('Transform Data'!$D:$D,'Transform Data'!D3317)&gt;1,"Repeat","Single"))</f>
        <v>Repeat</v>
      </c>
      <c r="K3317" s="10" t="str">
        <f t="shared" si="51"/>
        <v>TRANS-3316</v>
      </c>
    </row>
    <row r="3318" spans="1:11" x14ac:dyDescent="0.35">
      <c r="A3318" s="5">
        <v>45716</v>
      </c>
      <c r="B3318" s="3">
        <v>0.78737268518518522</v>
      </c>
      <c r="C3318" t="s">
        <v>8</v>
      </c>
      <c r="D3318" t="s">
        <v>1307</v>
      </c>
      <c r="E3318" s="4">
        <v>35.76</v>
      </c>
      <c r="F3318" t="s">
        <v>32</v>
      </c>
      <c r="G3318" s="10" t="str">
        <f>TEXT(Transform_Data[[#This Row],[Date]],"mmm yyyy")</f>
        <v>Feb 2025</v>
      </c>
      <c r="H3318" s="10">
        <f>HOUR(Transform_Data[[#This Row],[Time]])</f>
        <v>18</v>
      </c>
      <c r="I3318" s="10" t="str">
        <f>IF(COUNTIF('Transform Data'!$D:$D,'Transform Data'!D3318)&gt;1,"Repeat","Single")</f>
        <v>Repeat</v>
      </c>
      <c r="J3318" s="10" t="str">
        <f>IF('Transform Data'!D3318="Cash","Cash",IF(COUNTIF('Transform Data'!$D:$D,'Transform Data'!D3318)&gt;1,"Repeat","Single"))</f>
        <v>Repeat</v>
      </c>
      <c r="K3318" s="10" t="str">
        <f t="shared" si="51"/>
        <v>TRANS-3317</v>
      </c>
    </row>
    <row r="3319" spans="1:11" x14ac:dyDescent="0.35">
      <c r="A3319" s="5">
        <v>45717</v>
      </c>
      <c r="B3319" s="3">
        <v>0.4387152777777778</v>
      </c>
      <c r="C3319" t="s">
        <v>8</v>
      </c>
      <c r="D3319" t="s">
        <v>1234</v>
      </c>
      <c r="E3319" s="4">
        <v>35.76</v>
      </c>
      <c r="F3319" t="s">
        <v>24</v>
      </c>
      <c r="G3319" s="10" t="str">
        <f>TEXT(Transform_Data[[#This Row],[Date]],"mmm yyyy")</f>
        <v>Mar 2025</v>
      </c>
      <c r="H3319" s="10">
        <f>HOUR(Transform_Data[[#This Row],[Time]])</f>
        <v>10</v>
      </c>
      <c r="I3319" s="10" t="str">
        <f>IF(COUNTIF('Transform Data'!$D:$D,'Transform Data'!D3319)&gt;1,"Repeat","Single")</f>
        <v>Repeat</v>
      </c>
      <c r="J3319" s="10" t="str">
        <f>IF('Transform Data'!D3319="Cash","Cash",IF(COUNTIF('Transform Data'!$D:$D,'Transform Data'!D3319)&gt;1,"Repeat","Single"))</f>
        <v>Repeat</v>
      </c>
      <c r="K3319" s="10" t="str">
        <f t="shared" si="51"/>
        <v>TRANS-3318</v>
      </c>
    </row>
    <row r="3320" spans="1:11" x14ac:dyDescent="0.35">
      <c r="A3320" s="5">
        <v>45717</v>
      </c>
      <c r="B3320" s="3">
        <v>0.4750462962962963</v>
      </c>
      <c r="C3320" t="s">
        <v>8</v>
      </c>
      <c r="D3320" t="s">
        <v>1240</v>
      </c>
      <c r="E3320" s="4">
        <v>25.96</v>
      </c>
      <c r="F3320" t="s">
        <v>28</v>
      </c>
      <c r="G3320" s="10" t="str">
        <f>TEXT(Transform_Data[[#This Row],[Date]],"mmm yyyy")</f>
        <v>Mar 2025</v>
      </c>
      <c r="H3320" s="10">
        <f>HOUR(Transform_Data[[#This Row],[Time]])</f>
        <v>11</v>
      </c>
      <c r="I3320" s="10" t="str">
        <f>IF(COUNTIF('Transform Data'!$D:$D,'Transform Data'!D3320)&gt;1,"Repeat","Single")</f>
        <v>Repeat</v>
      </c>
      <c r="J3320" s="10" t="str">
        <f>IF('Transform Data'!D3320="Cash","Cash",IF(COUNTIF('Transform Data'!$D:$D,'Transform Data'!D3320)&gt;1,"Repeat","Single"))</f>
        <v>Repeat</v>
      </c>
      <c r="K3320" s="10" t="str">
        <f t="shared" si="51"/>
        <v>TRANS-3319</v>
      </c>
    </row>
    <row r="3321" spans="1:11" x14ac:dyDescent="0.35">
      <c r="A3321" s="5">
        <v>45717</v>
      </c>
      <c r="B3321" s="3">
        <v>0.47775462962962961</v>
      </c>
      <c r="C3321" t="s">
        <v>8</v>
      </c>
      <c r="D3321" t="s">
        <v>1248</v>
      </c>
      <c r="E3321" s="4">
        <v>25.96</v>
      </c>
      <c r="F3321" t="s">
        <v>28</v>
      </c>
      <c r="G3321" s="10" t="str">
        <f>TEXT(Transform_Data[[#This Row],[Date]],"mmm yyyy")</f>
        <v>Mar 2025</v>
      </c>
      <c r="H3321" s="10">
        <f>HOUR(Transform_Data[[#This Row],[Time]])</f>
        <v>11</v>
      </c>
      <c r="I3321" s="10" t="str">
        <f>IF(COUNTIF('Transform Data'!$D:$D,'Transform Data'!D3321)&gt;1,"Repeat","Single")</f>
        <v>Repeat</v>
      </c>
      <c r="J3321" s="10" t="str">
        <f>IF('Transform Data'!D3321="Cash","Cash",IF(COUNTIF('Transform Data'!$D:$D,'Transform Data'!D3321)&gt;1,"Repeat","Single"))</f>
        <v>Repeat</v>
      </c>
      <c r="K3321" s="10" t="str">
        <f t="shared" si="51"/>
        <v>TRANS-3320</v>
      </c>
    </row>
    <row r="3322" spans="1:11" x14ac:dyDescent="0.35">
      <c r="A3322" s="5">
        <v>45717</v>
      </c>
      <c r="B3322" s="3">
        <v>0.61346064814814816</v>
      </c>
      <c r="C3322" t="s">
        <v>8</v>
      </c>
      <c r="D3322" t="s">
        <v>1304</v>
      </c>
      <c r="E3322" s="4">
        <v>35.76</v>
      </c>
      <c r="F3322" t="s">
        <v>32</v>
      </c>
      <c r="G3322" s="10" t="str">
        <f>TEXT(Transform_Data[[#This Row],[Date]],"mmm yyyy")</f>
        <v>Mar 2025</v>
      </c>
      <c r="H3322" s="10">
        <f>HOUR(Transform_Data[[#This Row],[Time]])</f>
        <v>14</v>
      </c>
      <c r="I3322" s="10" t="str">
        <f>IF(COUNTIF('Transform Data'!$D:$D,'Transform Data'!D3322)&gt;1,"Repeat","Single")</f>
        <v>Repeat</v>
      </c>
      <c r="J3322" s="10" t="str">
        <f>IF('Transform Data'!D3322="Cash","Cash",IF(COUNTIF('Transform Data'!$D:$D,'Transform Data'!D3322)&gt;1,"Repeat","Single"))</f>
        <v>Repeat</v>
      </c>
      <c r="K3322" s="10" t="str">
        <f t="shared" si="51"/>
        <v>TRANS-3321</v>
      </c>
    </row>
    <row r="3323" spans="1:11" x14ac:dyDescent="0.35">
      <c r="A3323" s="5">
        <v>45717</v>
      </c>
      <c r="B3323" s="3">
        <v>0.6267476851851852</v>
      </c>
      <c r="C3323" t="s">
        <v>8</v>
      </c>
      <c r="D3323" t="s">
        <v>1203</v>
      </c>
      <c r="E3323" s="4">
        <v>25.96</v>
      </c>
      <c r="F3323" t="s">
        <v>28</v>
      </c>
      <c r="G3323" s="10" t="str">
        <f>TEXT(Transform_Data[[#This Row],[Date]],"mmm yyyy")</f>
        <v>Mar 2025</v>
      </c>
      <c r="H3323" s="10">
        <f>HOUR(Transform_Data[[#This Row],[Time]])</f>
        <v>15</v>
      </c>
      <c r="I3323" s="10" t="str">
        <f>IF(COUNTIF('Transform Data'!$D:$D,'Transform Data'!D3323)&gt;1,"Repeat","Single")</f>
        <v>Repeat</v>
      </c>
      <c r="J3323" s="10" t="str">
        <f>IF('Transform Data'!D3323="Cash","Cash",IF(COUNTIF('Transform Data'!$D:$D,'Transform Data'!D3323)&gt;1,"Repeat","Single"))</f>
        <v>Repeat</v>
      </c>
      <c r="K3323" s="10" t="str">
        <f t="shared" si="51"/>
        <v>TRANS-3322</v>
      </c>
    </row>
    <row r="3324" spans="1:11" x14ac:dyDescent="0.35">
      <c r="A3324" s="5">
        <v>45717</v>
      </c>
      <c r="B3324" s="3">
        <v>0.63078703703703709</v>
      </c>
      <c r="C3324" t="s">
        <v>8</v>
      </c>
      <c r="D3324" t="s">
        <v>1208</v>
      </c>
      <c r="E3324" s="4">
        <v>30.86</v>
      </c>
      <c r="F3324" t="s">
        <v>36</v>
      </c>
      <c r="G3324" s="10" t="str">
        <f>TEXT(Transform_Data[[#This Row],[Date]],"mmm yyyy")</f>
        <v>Mar 2025</v>
      </c>
      <c r="H3324" s="10">
        <f>HOUR(Transform_Data[[#This Row],[Time]])</f>
        <v>15</v>
      </c>
      <c r="I3324" s="10" t="str">
        <f>IF(COUNTIF('Transform Data'!$D:$D,'Transform Data'!D3324)&gt;1,"Repeat","Single")</f>
        <v>Repeat</v>
      </c>
      <c r="J3324" s="10" t="str">
        <f>IF('Transform Data'!D3324="Cash","Cash",IF(COUNTIF('Transform Data'!$D:$D,'Transform Data'!D3324)&gt;1,"Repeat","Single"))</f>
        <v>Repeat</v>
      </c>
      <c r="K3324" s="10" t="str">
        <f t="shared" si="51"/>
        <v>TRANS-3323</v>
      </c>
    </row>
    <row r="3325" spans="1:11" x14ac:dyDescent="0.35">
      <c r="A3325" s="5">
        <v>45717</v>
      </c>
      <c r="B3325" s="3">
        <v>0.69598379629629625</v>
      </c>
      <c r="C3325" t="s">
        <v>8</v>
      </c>
      <c r="D3325" t="s">
        <v>1234</v>
      </c>
      <c r="E3325" s="4">
        <v>35.76</v>
      </c>
      <c r="F3325" t="s">
        <v>24</v>
      </c>
      <c r="G3325" s="10" t="str">
        <f>TEXT(Transform_Data[[#This Row],[Date]],"mmm yyyy")</f>
        <v>Mar 2025</v>
      </c>
      <c r="H3325" s="10">
        <f>HOUR(Transform_Data[[#This Row],[Time]])</f>
        <v>16</v>
      </c>
      <c r="I3325" s="10" t="str">
        <f>IF(COUNTIF('Transform Data'!$D:$D,'Transform Data'!D3325)&gt;1,"Repeat","Single")</f>
        <v>Repeat</v>
      </c>
      <c r="J3325" s="10" t="str">
        <f>IF('Transform Data'!D3325="Cash","Cash",IF(COUNTIF('Transform Data'!$D:$D,'Transform Data'!D3325)&gt;1,"Repeat","Single"))</f>
        <v>Repeat</v>
      </c>
      <c r="K3325" s="10" t="str">
        <f t="shared" si="51"/>
        <v>TRANS-3324</v>
      </c>
    </row>
    <row r="3326" spans="1:11" x14ac:dyDescent="0.35">
      <c r="A3326" s="5">
        <v>45717</v>
      </c>
      <c r="B3326" s="3">
        <v>0.7142708333333333</v>
      </c>
      <c r="C3326" t="s">
        <v>8</v>
      </c>
      <c r="D3326" t="s">
        <v>1308</v>
      </c>
      <c r="E3326" s="4">
        <v>25.96</v>
      </c>
      <c r="F3326" t="s">
        <v>28</v>
      </c>
      <c r="G3326" s="10" t="str">
        <f>TEXT(Transform_Data[[#This Row],[Date]],"mmm yyyy")</f>
        <v>Mar 2025</v>
      </c>
      <c r="H3326" s="10">
        <f>HOUR(Transform_Data[[#This Row],[Time]])</f>
        <v>17</v>
      </c>
      <c r="I3326" s="10" t="str">
        <f>IF(COUNTIF('Transform Data'!$D:$D,'Transform Data'!D3326)&gt;1,"Repeat","Single")</f>
        <v>Single</v>
      </c>
      <c r="J3326" s="10" t="str">
        <f>IF('Transform Data'!D3326="Cash","Cash",IF(COUNTIF('Transform Data'!$D:$D,'Transform Data'!D3326)&gt;1,"Repeat","Single"))</f>
        <v>Single</v>
      </c>
      <c r="K3326" s="10" t="str">
        <f t="shared" si="51"/>
        <v>TRANS-3325</v>
      </c>
    </row>
    <row r="3327" spans="1:11" x14ac:dyDescent="0.35">
      <c r="A3327" s="5">
        <v>45718</v>
      </c>
      <c r="B3327" s="3">
        <v>0.41545138888888888</v>
      </c>
      <c r="C3327" t="s">
        <v>8</v>
      </c>
      <c r="D3327" t="s">
        <v>33</v>
      </c>
      <c r="E3327" s="4">
        <v>35.76</v>
      </c>
      <c r="F3327" t="s">
        <v>10</v>
      </c>
      <c r="G3327" s="10" t="str">
        <f>TEXT(Transform_Data[[#This Row],[Date]],"mmm yyyy")</f>
        <v>Mar 2025</v>
      </c>
      <c r="H3327" s="10">
        <f>HOUR(Transform_Data[[#This Row],[Time]])</f>
        <v>9</v>
      </c>
      <c r="I3327" s="10" t="str">
        <f>IF(COUNTIF('Transform Data'!$D:$D,'Transform Data'!D3327)&gt;1,"Repeat","Single")</f>
        <v>Repeat</v>
      </c>
      <c r="J3327" s="10" t="str">
        <f>IF('Transform Data'!D3327="Cash","Cash",IF(COUNTIF('Transform Data'!$D:$D,'Transform Data'!D3327)&gt;1,"Repeat","Single"))</f>
        <v>Repeat</v>
      </c>
      <c r="K3327" s="10" t="str">
        <f t="shared" si="51"/>
        <v>TRANS-3326</v>
      </c>
    </row>
    <row r="3328" spans="1:11" x14ac:dyDescent="0.35">
      <c r="A3328" s="5">
        <v>45718</v>
      </c>
      <c r="B3328" s="3">
        <v>0.51222222222222225</v>
      </c>
      <c r="C3328" t="s">
        <v>8</v>
      </c>
      <c r="D3328" t="s">
        <v>1239</v>
      </c>
      <c r="E3328" s="4">
        <v>35.76</v>
      </c>
      <c r="F3328" t="s">
        <v>32</v>
      </c>
      <c r="G3328" s="10" t="str">
        <f>TEXT(Transform_Data[[#This Row],[Date]],"mmm yyyy")</f>
        <v>Mar 2025</v>
      </c>
      <c r="H3328" s="10">
        <f>HOUR(Transform_Data[[#This Row],[Time]])</f>
        <v>12</v>
      </c>
      <c r="I3328" s="10" t="str">
        <f>IF(COUNTIF('Transform Data'!$D:$D,'Transform Data'!D3328)&gt;1,"Repeat","Single")</f>
        <v>Repeat</v>
      </c>
      <c r="J3328" s="10" t="str">
        <f>IF('Transform Data'!D3328="Cash","Cash",IF(COUNTIF('Transform Data'!$D:$D,'Transform Data'!D3328)&gt;1,"Repeat","Single"))</f>
        <v>Repeat</v>
      </c>
      <c r="K3328" s="10" t="str">
        <f t="shared" si="51"/>
        <v>TRANS-3327</v>
      </c>
    </row>
    <row r="3329" spans="1:11" x14ac:dyDescent="0.35">
      <c r="A3329" s="5">
        <v>45718</v>
      </c>
      <c r="B3329" s="3">
        <v>0.56688657407407406</v>
      </c>
      <c r="C3329" t="s">
        <v>8</v>
      </c>
      <c r="D3329" t="s">
        <v>1267</v>
      </c>
      <c r="E3329" s="4">
        <v>30.86</v>
      </c>
      <c r="F3329" t="s">
        <v>36</v>
      </c>
      <c r="G3329" s="10" t="str">
        <f>TEXT(Transform_Data[[#This Row],[Date]],"mmm yyyy")</f>
        <v>Mar 2025</v>
      </c>
      <c r="H3329" s="10">
        <f>HOUR(Transform_Data[[#This Row],[Time]])</f>
        <v>13</v>
      </c>
      <c r="I3329" s="10" t="str">
        <f>IF(COUNTIF('Transform Data'!$D:$D,'Transform Data'!D3329)&gt;1,"Repeat","Single")</f>
        <v>Repeat</v>
      </c>
      <c r="J3329" s="10" t="str">
        <f>IF('Transform Data'!D3329="Cash","Cash",IF(COUNTIF('Transform Data'!$D:$D,'Transform Data'!D3329)&gt;1,"Repeat","Single"))</f>
        <v>Repeat</v>
      </c>
      <c r="K3329" s="10" t="str">
        <f t="shared" si="51"/>
        <v>TRANS-3328</v>
      </c>
    </row>
    <row r="3330" spans="1:11" x14ac:dyDescent="0.35">
      <c r="A3330" s="5">
        <v>45718</v>
      </c>
      <c r="B3330" s="3">
        <v>0.64047453703703705</v>
      </c>
      <c r="C3330" t="s">
        <v>8</v>
      </c>
      <c r="D3330" t="s">
        <v>1203</v>
      </c>
      <c r="E3330" s="4">
        <v>30.86</v>
      </c>
      <c r="F3330" t="s">
        <v>36</v>
      </c>
      <c r="G3330" s="10" t="str">
        <f>TEXT(Transform_Data[[#This Row],[Date]],"mmm yyyy")</f>
        <v>Mar 2025</v>
      </c>
      <c r="H3330" s="10">
        <f>HOUR(Transform_Data[[#This Row],[Time]])</f>
        <v>15</v>
      </c>
      <c r="I3330" s="10" t="str">
        <f>IF(COUNTIF('Transform Data'!$D:$D,'Transform Data'!D3330)&gt;1,"Repeat","Single")</f>
        <v>Repeat</v>
      </c>
      <c r="J3330" s="10" t="str">
        <f>IF('Transform Data'!D3330="Cash","Cash",IF(COUNTIF('Transform Data'!$D:$D,'Transform Data'!D3330)&gt;1,"Repeat","Single"))</f>
        <v>Repeat</v>
      </c>
      <c r="K3330" s="10" t="str">
        <f t="shared" ref="K3330:K3393" si="52">"TRANS-"&amp;TEXT(ROW(A3329),"0000")</f>
        <v>TRANS-3329</v>
      </c>
    </row>
    <row r="3331" spans="1:11" x14ac:dyDescent="0.35">
      <c r="A3331" s="5">
        <v>45718</v>
      </c>
      <c r="B3331" s="3">
        <v>0.6411458333333333</v>
      </c>
      <c r="C3331" t="s">
        <v>8</v>
      </c>
      <c r="D3331" t="s">
        <v>1203</v>
      </c>
      <c r="E3331" s="4">
        <v>25.96</v>
      </c>
      <c r="F3331" t="s">
        <v>28</v>
      </c>
      <c r="G3331" s="10" t="str">
        <f>TEXT(Transform_Data[[#This Row],[Date]],"mmm yyyy")</f>
        <v>Mar 2025</v>
      </c>
      <c r="H3331" s="10">
        <f>HOUR(Transform_Data[[#This Row],[Time]])</f>
        <v>15</v>
      </c>
      <c r="I3331" s="10" t="str">
        <f>IF(COUNTIF('Transform Data'!$D:$D,'Transform Data'!D3331)&gt;1,"Repeat","Single")</f>
        <v>Repeat</v>
      </c>
      <c r="J3331" s="10" t="str">
        <f>IF('Transform Data'!D3331="Cash","Cash",IF(COUNTIF('Transform Data'!$D:$D,'Transform Data'!D3331)&gt;1,"Repeat","Single"))</f>
        <v>Repeat</v>
      </c>
      <c r="K3331" s="10" t="str">
        <f t="shared" si="52"/>
        <v>TRANS-3330</v>
      </c>
    </row>
    <row r="3332" spans="1:11" x14ac:dyDescent="0.35">
      <c r="A3332" s="5">
        <v>45718</v>
      </c>
      <c r="B3332" s="3">
        <v>0.64218750000000002</v>
      </c>
      <c r="C3332" t="s">
        <v>8</v>
      </c>
      <c r="D3332" t="s">
        <v>1240</v>
      </c>
      <c r="E3332" s="4">
        <v>25.96</v>
      </c>
      <c r="F3332" t="s">
        <v>28</v>
      </c>
      <c r="G3332" s="10" t="str">
        <f>TEXT(Transform_Data[[#This Row],[Date]],"mmm yyyy")</f>
        <v>Mar 2025</v>
      </c>
      <c r="H3332" s="10">
        <f>HOUR(Transform_Data[[#This Row],[Time]])</f>
        <v>15</v>
      </c>
      <c r="I3332" s="10" t="str">
        <f>IF(COUNTIF('Transform Data'!$D:$D,'Transform Data'!D3332)&gt;1,"Repeat","Single")</f>
        <v>Repeat</v>
      </c>
      <c r="J3332" s="10" t="str">
        <f>IF('Transform Data'!D3332="Cash","Cash",IF(COUNTIF('Transform Data'!$D:$D,'Transform Data'!D3332)&gt;1,"Repeat","Single"))</f>
        <v>Repeat</v>
      </c>
      <c r="K3332" s="10" t="str">
        <f t="shared" si="52"/>
        <v>TRANS-3331</v>
      </c>
    </row>
    <row r="3333" spans="1:11" x14ac:dyDescent="0.35">
      <c r="A3333" s="5">
        <v>45719</v>
      </c>
      <c r="B3333" s="3">
        <v>0.35001157407407407</v>
      </c>
      <c r="C3333" t="s">
        <v>8</v>
      </c>
      <c r="D3333" t="s">
        <v>1212</v>
      </c>
      <c r="E3333" s="4">
        <v>35.76</v>
      </c>
      <c r="F3333" t="s">
        <v>24</v>
      </c>
      <c r="G3333" s="10" t="str">
        <f>TEXT(Transform_Data[[#This Row],[Date]],"mmm yyyy")</f>
        <v>Mar 2025</v>
      </c>
      <c r="H3333" s="10">
        <f>HOUR(Transform_Data[[#This Row],[Time]])</f>
        <v>8</v>
      </c>
      <c r="I3333" s="10" t="str">
        <f>IF(COUNTIF('Transform Data'!$D:$D,'Transform Data'!D3333)&gt;1,"Repeat","Single")</f>
        <v>Repeat</v>
      </c>
      <c r="J3333" s="10" t="str">
        <f>IF('Transform Data'!D3333="Cash","Cash",IF(COUNTIF('Transform Data'!$D:$D,'Transform Data'!D3333)&gt;1,"Repeat","Single"))</f>
        <v>Repeat</v>
      </c>
      <c r="K3333" s="10" t="str">
        <f t="shared" si="52"/>
        <v>TRANS-3332</v>
      </c>
    </row>
    <row r="3334" spans="1:11" x14ac:dyDescent="0.35">
      <c r="A3334" s="5">
        <v>45719</v>
      </c>
      <c r="B3334" s="3">
        <v>0.4075347222222222</v>
      </c>
      <c r="C3334" t="s">
        <v>8</v>
      </c>
      <c r="D3334" t="s">
        <v>1294</v>
      </c>
      <c r="E3334" s="4">
        <v>35.76</v>
      </c>
      <c r="F3334" t="s">
        <v>10</v>
      </c>
      <c r="G3334" s="10" t="str">
        <f>TEXT(Transform_Data[[#This Row],[Date]],"mmm yyyy")</f>
        <v>Mar 2025</v>
      </c>
      <c r="H3334" s="10">
        <f>HOUR(Transform_Data[[#This Row],[Time]])</f>
        <v>9</v>
      </c>
      <c r="I3334" s="10" t="str">
        <f>IF(COUNTIF('Transform Data'!$D:$D,'Transform Data'!D3334)&gt;1,"Repeat","Single")</f>
        <v>Repeat</v>
      </c>
      <c r="J3334" s="10" t="str">
        <f>IF('Transform Data'!D3334="Cash","Cash",IF(COUNTIF('Transform Data'!$D:$D,'Transform Data'!D3334)&gt;1,"Repeat","Single"))</f>
        <v>Repeat</v>
      </c>
      <c r="K3334" s="10" t="str">
        <f t="shared" si="52"/>
        <v>TRANS-3333</v>
      </c>
    </row>
    <row r="3335" spans="1:11" x14ac:dyDescent="0.35">
      <c r="A3335" s="5">
        <v>45719</v>
      </c>
      <c r="B3335" s="3">
        <v>0.40878472222222223</v>
      </c>
      <c r="C3335" t="s">
        <v>8</v>
      </c>
      <c r="D3335" t="s">
        <v>1294</v>
      </c>
      <c r="E3335" s="4">
        <v>35.76</v>
      </c>
      <c r="F3335" t="s">
        <v>32</v>
      </c>
      <c r="G3335" s="10" t="str">
        <f>TEXT(Transform_Data[[#This Row],[Date]],"mmm yyyy")</f>
        <v>Mar 2025</v>
      </c>
      <c r="H3335" s="10">
        <f>HOUR(Transform_Data[[#This Row],[Time]])</f>
        <v>9</v>
      </c>
      <c r="I3335" s="10" t="str">
        <f>IF(COUNTIF('Transform Data'!$D:$D,'Transform Data'!D3335)&gt;1,"Repeat","Single")</f>
        <v>Repeat</v>
      </c>
      <c r="J3335" s="10" t="str">
        <f>IF('Transform Data'!D3335="Cash","Cash",IF(COUNTIF('Transform Data'!$D:$D,'Transform Data'!D3335)&gt;1,"Repeat","Single"))</f>
        <v>Repeat</v>
      </c>
      <c r="K3335" s="10" t="str">
        <f t="shared" si="52"/>
        <v>TRANS-3334</v>
      </c>
    </row>
    <row r="3336" spans="1:11" x14ac:dyDescent="0.35">
      <c r="A3336" s="5">
        <v>45719</v>
      </c>
      <c r="B3336" s="3">
        <v>0.43152777777777779</v>
      </c>
      <c r="C3336" t="s">
        <v>8</v>
      </c>
      <c r="D3336" t="s">
        <v>1277</v>
      </c>
      <c r="E3336" s="4">
        <v>35.76</v>
      </c>
      <c r="F3336" t="s">
        <v>15</v>
      </c>
      <c r="G3336" s="10" t="str">
        <f>TEXT(Transform_Data[[#This Row],[Date]],"mmm yyyy")</f>
        <v>Mar 2025</v>
      </c>
      <c r="H3336" s="10">
        <f>HOUR(Transform_Data[[#This Row],[Time]])</f>
        <v>10</v>
      </c>
      <c r="I3336" s="10" t="str">
        <f>IF(COUNTIF('Transform Data'!$D:$D,'Transform Data'!D3336)&gt;1,"Repeat","Single")</f>
        <v>Repeat</v>
      </c>
      <c r="J3336" s="10" t="str">
        <f>IF('Transform Data'!D3336="Cash","Cash",IF(COUNTIF('Transform Data'!$D:$D,'Transform Data'!D3336)&gt;1,"Repeat","Single"))</f>
        <v>Repeat</v>
      </c>
      <c r="K3336" s="10" t="str">
        <f t="shared" si="52"/>
        <v>TRANS-3335</v>
      </c>
    </row>
    <row r="3337" spans="1:11" x14ac:dyDescent="0.35">
      <c r="A3337" s="5">
        <v>45719</v>
      </c>
      <c r="B3337" s="3">
        <v>0.43386574074074075</v>
      </c>
      <c r="C3337" t="s">
        <v>8</v>
      </c>
      <c r="D3337" t="s">
        <v>1309</v>
      </c>
      <c r="E3337" s="4">
        <v>35.76</v>
      </c>
      <c r="F3337" t="s">
        <v>15</v>
      </c>
      <c r="G3337" s="10" t="str">
        <f>TEXT(Transform_Data[[#This Row],[Date]],"mmm yyyy")</f>
        <v>Mar 2025</v>
      </c>
      <c r="H3337" s="10">
        <f>HOUR(Transform_Data[[#This Row],[Time]])</f>
        <v>10</v>
      </c>
      <c r="I3337" s="10" t="str">
        <f>IF(COUNTIF('Transform Data'!$D:$D,'Transform Data'!D3337)&gt;1,"Repeat","Single")</f>
        <v>Repeat</v>
      </c>
      <c r="J3337" s="10" t="str">
        <f>IF('Transform Data'!D3337="Cash","Cash",IF(COUNTIF('Transform Data'!$D:$D,'Transform Data'!D3337)&gt;1,"Repeat","Single"))</f>
        <v>Repeat</v>
      </c>
      <c r="K3337" s="10" t="str">
        <f t="shared" si="52"/>
        <v>TRANS-3336</v>
      </c>
    </row>
    <row r="3338" spans="1:11" x14ac:dyDescent="0.35">
      <c r="A3338" s="5">
        <v>45719</v>
      </c>
      <c r="B3338" s="3">
        <v>0.54037037037037039</v>
      </c>
      <c r="C3338" t="s">
        <v>8</v>
      </c>
      <c r="D3338" t="s">
        <v>1234</v>
      </c>
      <c r="E3338" s="4">
        <v>35.76</v>
      </c>
      <c r="F3338" t="s">
        <v>24</v>
      </c>
      <c r="G3338" s="10" t="str">
        <f>TEXT(Transform_Data[[#This Row],[Date]],"mmm yyyy")</f>
        <v>Mar 2025</v>
      </c>
      <c r="H3338" s="10">
        <f>HOUR(Transform_Data[[#This Row],[Time]])</f>
        <v>12</v>
      </c>
      <c r="I3338" s="10" t="str">
        <f>IF(COUNTIF('Transform Data'!$D:$D,'Transform Data'!D3338)&gt;1,"Repeat","Single")</f>
        <v>Repeat</v>
      </c>
      <c r="J3338" s="10" t="str">
        <f>IF('Transform Data'!D3338="Cash","Cash",IF(COUNTIF('Transform Data'!$D:$D,'Transform Data'!D3338)&gt;1,"Repeat","Single"))</f>
        <v>Repeat</v>
      </c>
      <c r="K3338" s="10" t="str">
        <f t="shared" si="52"/>
        <v>TRANS-3337</v>
      </c>
    </row>
    <row r="3339" spans="1:11" x14ac:dyDescent="0.35">
      <c r="A3339" s="5">
        <v>45719</v>
      </c>
      <c r="B3339" s="3">
        <v>0.63265046296296301</v>
      </c>
      <c r="C3339" t="s">
        <v>8</v>
      </c>
      <c r="D3339" t="s">
        <v>1241</v>
      </c>
      <c r="E3339" s="4">
        <v>35.76</v>
      </c>
      <c r="F3339" t="s">
        <v>32</v>
      </c>
      <c r="G3339" s="10" t="str">
        <f>TEXT(Transform_Data[[#This Row],[Date]],"mmm yyyy")</f>
        <v>Mar 2025</v>
      </c>
      <c r="H3339" s="10">
        <f>HOUR(Transform_Data[[#This Row],[Time]])</f>
        <v>15</v>
      </c>
      <c r="I3339" s="10" t="str">
        <f>IF(COUNTIF('Transform Data'!$D:$D,'Transform Data'!D3339)&gt;1,"Repeat","Single")</f>
        <v>Repeat</v>
      </c>
      <c r="J3339" s="10" t="str">
        <f>IF('Transform Data'!D3339="Cash","Cash",IF(COUNTIF('Transform Data'!$D:$D,'Transform Data'!D3339)&gt;1,"Repeat","Single"))</f>
        <v>Repeat</v>
      </c>
      <c r="K3339" s="10" t="str">
        <f t="shared" si="52"/>
        <v>TRANS-3338</v>
      </c>
    </row>
    <row r="3340" spans="1:11" x14ac:dyDescent="0.35">
      <c r="A3340" s="5">
        <v>45719</v>
      </c>
      <c r="B3340" s="3">
        <v>0.65831018518518514</v>
      </c>
      <c r="C3340" t="s">
        <v>8</v>
      </c>
      <c r="D3340" t="s">
        <v>1217</v>
      </c>
      <c r="E3340" s="4">
        <v>25.96</v>
      </c>
      <c r="F3340" t="s">
        <v>28</v>
      </c>
      <c r="G3340" s="10" t="str">
        <f>TEXT(Transform_Data[[#This Row],[Date]],"mmm yyyy")</f>
        <v>Mar 2025</v>
      </c>
      <c r="H3340" s="10">
        <f>HOUR(Transform_Data[[#This Row],[Time]])</f>
        <v>15</v>
      </c>
      <c r="I3340" s="10" t="str">
        <f>IF(COUNTIF('Transform Data'!$D:$D,'Transform Data'!D3340)&gt;1,"Repeat","Single")</f>
        <v>Repeat</v>
      </c>
      <c r="J3340" s="10" t="str">
        <f>IF('Transform Data'!D3340="Cash","Cash",IF(COUNTIF('Transform Data'!$D:$D,'Transform Data'!D3340)&gt;1,"Repeat","Single"))</f>
        <v>Repeat</v>
      </c>
      <c r="K3340" s="10" t="str">
        <f t="shared" si="52"/>
        <v>TRANS-3339</v>
      </c>
    </row>
    <row r="3341" spans="1:11" x14ac:dyDescent="0.35">
      <c r="A3341" s="5">
        <v>45719</v>
      </c>
      <c r="B3341" s="3">
        <v>0.67696759259259254</v>
      </c>
      <c r="C3341" t="s">
        <v>8</v>
      </c>
      <c r="D3341" t="s">
        <v>1246</v>
      </c>
      <c r="E3341" s="4">
        <v>35.76</v>
      </c>
      <c r="F3341" t="s">
        <v>10</v>
      </c>
      <c r="G3341" s="10" t="str">
        <f>TEXT(Transform_Data[[#This Row],[Date]],"mmm yyyy")</f>
        <v>Mar 2025</v>
      </c>
      <c r="H3341" s="10">
        <f>HOUR(Transform_Data[[#This Row],[Time]])</f>
        <v>16</v>
      </c>
      <c r="I3341" s="10" t="str">
        <f>IF(COUNTIF('Transform Data'!$D:$D,'Transform Data'!D3341)&gt;1,"Repeat","Single")</f>
        <v>Repeat</v>
      </c>
      <c r="J3341" s="10" t="str">
        <f>IF('Transform Data'!D3341="Cash","Cash",IF(COUNTIF('Transform Data'!$D:$D,'Transform Data'!D3341)&gt;1,"Repeat","Single"))</f>
        <v>Repeat</v>
      </c>
      <c r="K3341" s="10" t="str">
        <f t="shared" si="52"/>
        <v>TRANS-3340</v>
      </c>
    </row>
    <row r="3342" spans="1:11" x14ac:dyDescent="0.35">
      <c r="A3342" s="5">
        <v>45719</v>
      </c>
      <c r="B3342" s="3">
        <v>0.67818287037037039</v>
      </c>
      <c r="C3342" t="s">
        <v>8</v>
      </c>
      <c r="D3342" t="s">
        <v>1241</v>
      </c>
      <c r="E3342" s="4">
        <v>35.76</v>
      </c>
      <c r="F3342" t="s">
        <v>32</v>
      </c>
      <c r="G3342" s="10" t="str">
        <f>TEXT(Transform_Data[[#This Row],[Date]],"mmm yyyy")</f>
        <v>Mar 2025</v>
      </c>
      <c r="H3342" s="10">
        <f>HOUR(Transform_Data[[#This Row],[Time]])</f>
        <v>16</v>
      </c>
      <c r="I3342" s="10" t="str">
        <f>IF(COUNTIF('Transform Data'!$D:$D,'Transform Data'!D3342)&gt;1,"Repeat","Single")</f>
        <v>Repeat</v>
      </c>
      <c r="J3342" s="10" t="str">
        <f>IF('Transform Data'!D3342="Cash","Cash",IF(COUNTIF('Transform Data'!$D:$D,'Transform Data'!D3342)&gt;1,"Repeat","Single"))</f>
        <v>Repeat</v>
      </c>
      <c r="K3342" s="10" t="str">
        <f t="shared" si="52"/>
        <v>TRANS-3341</v>
      </c>
    </row>
    <row r="3343" spans="1:11" x14ac:dyDescent="0.35">
      <c r="A3343" s="5">
        <v>45719</v>
      </c>
      <c r="B3343" s="3">
        <v>0.67947916666666663</v>
      </c>
      <c r="C3343" t="s">
        <v>8</v>
      </c>
      <c r="D3343" t="s">
        <v>1214</v>
      </c>
      <c r="E3343" s="4">
        <v>35.76</v>
      </c>
      <c r="F3343" t="s">
        <v>32</v>
      </c>
      <c r="G3343" s="10" t="str">
        <f>TEXT(Transform_Data[[#This Row],[Date]],"mmm yyyy")</f>
        <v>Mar 2025</v>
      </c>
      <c r="H3343" s="10">
        <f>HOUR(Transform_Data[[#This Row],[Time]])</f>
        <v>16</v>
      </c>
      <c r="I3343" s="10" t="str">
        <f>IF(COUNTIF('Transform Data'!$D:$D,'Transform Data'!D3343)&gt;1,"Repeat","Single")</f>
        <v>Repeat</v>
      </c>
      <c r="J3343" s="10" t="str">
        <f>IF('Transform Data'!D3343="Cash","Cash",IF(COUNTIF('Transform Data'!$D:$D,'Transform Data'!D3343)&gt;1,"Repeat","Single"))</f>
        <v>Repeat</v>
      </c>
      <c r="K3343" s="10" t="str">
        <f t="shared" si="52"/>
        <v>TRANS-3342</v>
      </c>
    </row>
    <row r="3344" spans="1:11" x14ac:dyDescent="0.35">
      <c r="A3344" s="5">
        <v>45719</v>
      </c>
      <c r="B3344" s="3">
        <v>0.69478009259259255</v>
      </c>
      <c r="C3344" t="s">
        <v>8</v>
      </c>
      <c r="D3344" t="s">
        <v>1209</v>
      </c>
      <c r="E3344" s="4">
        <v>35.76</v>
      </c>
      <c r="F3344" t="s">
        <v>24</v>
      </c>
      <c r="G3344" s="10" t="str">
        <f>TEXT(Transform_Data[[#This Row],[Date]],"mmm yyyy")</f>
        <v>Mar 2025</v>
      </c>
      <c r="H3344" s="10">
        <f>HOUR(Transform_Data[[#This Row],[Time]])</f>
        <v>16</v>
      </c>
      <c r="I3344" s="10" t="str">
        <f>IF(COUNTIF('Transform Data'!$D:$D,'Transform Data'!D3344)&gt;1,"Repeat","Single")</f>
        <v>Repeat</v>
      </c>
      <c r="J3344" s="10" t="str">
        <f>IF('Transform Data'!D3344="Cash","Cash",IF(COUNTIF('Transform Data'!$D:$D,'Transform Data'!D3344)&gt;1,"Repeat","Single"))</f>
        <v>Repeat</v>
      </c>
      <c r="K3344" s="10" t="str">
        <f t="shared" si="52"/>
        <v>TRANS-3343</v>
      </c>
    </row>
    <row r="3345" spans="1:11" x14ac:dyDescent="0.35">
      <c r="A3345" s="5">
        <v>45719</v>
      </c>
      <c r="B3345" s="3">
        <v>0.69608796296296294</v>
      </c>
      <c r="C3345" t="s">
        <v>8</v>
      </c>
      <c r="D3345" t="s">
        <v>1209</v>
      </c>
      <c r="E3345" s="4">
        <v>35.76</v>
      </c>
      <c r="F3345" t="s">
        <v>24</v>
      </c>
      <c r="G3345" s="10" t="str">
        <f>TEXT(Transform_Data[[#This Row],[Date]],"mmm yyyy")</f>
        <v>Mar 2025</v>
      </c>
      <c r="H3345" s="10">
        <f>HOUR(Transform_Data[[#This Row],[Time]])</f>
        <v>16</v>
      </c>
      <c r="I3345" s="10" t="str">
        <f>IF(COUNTIF('Transform Data'!$D:$D,'Transform Data'!D3345)&gt;1,"Repeat","Single")</f>
        <v>Repeat</v>
      </c>
      <c r="J3345" s="10" t="str">
        <f>IF('Transform Data'!D3345="Cash","Cash",IF(COUNTIF('Transform Data'!$D:$D,'Transform Data'!D3345)&gt;1,"Repeat","Single"))</f>
        <v>Repeat</v>
      </c>
      <c r="K3345" s="10" t="str">
        <f t="shared" si="52"/>
        <v>TRANS-3344</v>
      </c>
    </row>
    <row r="3346" spans="1:11" x14ac:dyDescent="0.35">
      <c r="A3346" s="5">
        <v>45719</v>
      </c>
      <c r="B3346" s="3">
        <v>0.7029050925925926</v>
      </c>
      <c r="C3346" t="s">
        <v>8</v>
      </c>
      <c r="D3346" t="s">
        <v>1220</v>
      </c>
      <c r="E3346" s="4">
        <v>25.96</v>
      </c>
      <c r="F3346" t="s">
        <v>28</v>
      </c>
      <c r="G3346" s="10" t="str">
        <f>TEXT(Transform_Data[[#This Row],[Date]],"mmm yyyy")</f>
        <v>Mar 2025</v>
      </c>
      <c r="H3346" s="10">
        <f>HOUR(Transform_Data[[#This Row],[Time]])</f>
        <v>16</v>
      </c>
      <c r="I3346" s="10" t="str">
        <f>IF(COUNTIF('Transform Data'!$D:$D,'Transform Data'!D3346)&gt;1,"Repeat","Single")</f>
        <v>Repeat</v>
      </c>
      <c r="J3346" s="10" t="str">
        <f>IF('Transform Data'!D3346="Cash","Cash",IF(COUNTIF('Transform Data'!$D:$D,'Transform Data'!D3346)&gt;1,"Repeat","Single"))</f>
        <v>Repeat</v>
      </c>
      <c r="K3346" s="10" t="str">
        <f t="shared" si="52"/>
        <v>TRANS-3345</v>
      </c>
    </row>
    <row r="3347" spans="1:11" x14ac:dyDescent="0.35">
      <c r="A3347" s="5">
        <v>45719</v>
      </c>
      <c r="B3347" s="3">
        <v>0.72826388888888893</v>
      </c>
      <c r="C3347" t="s">
        <v>8</v>
      </c>
      <c r="D3347" t="s">
        <v>1306</v>
      </c>
      <c r="E3347" s="4">
        <v>30.86</v>
      </c>
      <c r="F3347" t="s">
        <v>36</v>
      </c>
      <c r="G3347" s="10" t="str">
        <f>TEXT(Transform_Data[[#This Row],[Date]],"mmm yyyy")</f>
        <v>Mar 2025</v>
      </c>
      <c r="H3347" s="10">
        <f>HOUR(Transform_Data[[#This Row],[Time]])</f>
        <v>17</v>
      </c>
      <c r="I3347" s="10" t="str">
        <f>IF(COUNTIF('Transform Data'!$D:$D,'Transform Data'!D3347)&gt;1,"Repeat","Single")</f>
        <v>Repeat</v>
      </c>
      <c r="J3347" s="10" t="str">
        <f>IF('Transform Data'!D3347="Cash","Cash",IF(COUNTIF('Transform Data'!$D:$D,'Transform Data'!D3347)&gt;1,"Repeat","Single"))</f>
        <v>Repeat</v>
      </c>
      <c r="K3347" s="10" t="str">
        <f t="shared" si="52"/>
        <v>TRANS-3346</v>
      </c>
    </row>
    <row r="3348" spans="1:11" x14ac:dyDescent="0.35">
      <c r="A3348" s="5">
        <v>45719</v>
      </c>
      <c r="B3348" s="3">
        <v>0.7301157407407407</v>
      </c>
      <c r="C3348" t="s">
        <v>8</v>
      </c>
      <c r="D3348" t="s">
        <v>1248</v>
      </c>
      <c r="E3348" s="4">
        <v>25.96</v>
      </c>
      <c r="F3348" t="s">
        <v>28</v>
      </c>
      <c r="G3348" s="10" t="str">
        <f>TEXT(Transform_Data[[#This Row],[Date]],"mmm yyyy")</f>
        <v>Mar 2025</v>
      </c>
      <c r="H3348" s="10">
        <f>HOUR(Transform_Data[[#This Row],[Time]])</f>
        <v>17</v>
      </c>
      <c r="I3348" s="10" t="str">
        <f>IF(COUNTIF('Transform Data'!$D:$D,'Transform Data'!D3348)&gt;1,"Repeat","Single")</f>
        <v>Repeat</v>
      </c>
      <c r="J3348" s="10" t="str">
        <f>IF('Transform Data'!D3348="Cash","Cash",IF(COUNTIF('Transform Data'!$D:$D,'Transform Data'!D3348)&gt;1,"Repeat","Single"))</f>
        <v>Repeat</v>
      </c>
      <c r="K3348" s="10" t="str">
        <f t="shared" si="52"/>
        <v>TRANS-3347</v>
      </c>
    </row>
    <row r="3349" spans="1:11" x14ac:dyDescent="0.35">
      <c r="A3349" s="5">
        <v>45719</v>
      </c>
      <c r="B3349" s="3">
        <v>0.73076388888888888</v>
      </c>
      <c r="C3349" t="s">
        <v>8</v>
      </c>
      <c r="D3349" t="s">
        <v>1248</v>
      </c>
      <c r="E3349" s="4">
        <v>35.76</v>
      </c>
      <c r="F3349" t="s">
        <v>15</v>
      </c>
      <c r="G3349" s="10" t="str">
        <f>TEXT(Transform_Data[[#This Row],[Date]],"mmm yyyy")</f>
        <v>Mar 2025</v>
      </c>
      <c r="H3349" s="10">
        <f>HOUR(Transform_Data[[#This Row],[Time]])</f>
        <v>17</v>
      </c>
      <c r="I3349" s="10" t="str">
        <f>IF(COUNTIF('Transform Data'!$D:$D,'Transform Data'!D3349)&gt;1,"Repeat","Single")</f>
        <v>Repeat</v>
      </c>
      <c r="J3349" s="10" t="str">
        <f>IF('Transform Data'!D3349="Cash","Cash",IF(COUNTIF('Transform Data'!$D:$D,'Transform Data'!D3349)&gt;1,"Repeat","Single"))</f>
        <v>Repeat</v>
      </c>
      <c r="K3349" s="10" t="str">
        <f t="shared" si="52"/>
        <v>TRANS-3348</v>
      </c>
    </row>
    <row r="3350" spans="1:11" x14ac:dyDescent="0.35">
      <c r="A3350" s="5">
        <v>45719</v>
      </c>
      <c r="B3350" s="3">
        <v>0.73122685185185188</v>
      </c>
      <c r="C3350" t="s">
        <v>8</v>
      </c>
      <c r="D3350" t="s">
        <v>1248</v>
      </c>
      <c r="E3350" s="4">
        <v>25.96</v>
      </c>
      <c r="F3350" t="s">
        <v>28</v>
      </c>
      <c r="G3350" s="10" t="str">
        <f>TEXT(Transform_Data[[#This Row],[Date]],"mmm yyyy")</f>
        <v>Mar 2025</v>
      </c>
      <c r="H3350" s="10">
        <f>HOUR(Transform_Data[[#This Row],[Time]])</f>
        <v>17</v>
      </c>
      <c r="I3350" s="10" t="str">
        <f>IF(COUNTIF('Transform Data'!$D:$D,'Transform Data'!D3350)&gt;1,"Repeat","Single")</f>
        <v>Repeat</v>
      </c>
      <c r="J3350" s="10" t="str">
        <f>IF('Transform Data'!D3350="Cash","Cash",IF(COUNTIF('Transform Data'!$D:$D,'Transform Data'!D3350)&gt;1,"Repeat","Single"))</f>
        <v>Repeat</v>
      </c>
      <c r="K3350" s="10" t="str">
        <f t="shared" si="52"/>
        <v>TRANS-3349</v>
      </c>
    </row>
    <row r="3351" spans="1:11" x14ac:dyDescent="0.35">
      <c r="A3351" s="5">
        <v>45719</v>
      </c>
      <c r="B3351" s="3">
        <v>0.74828703703703703</v>
      </c>
      <c r="C3351" t="s">
        <v>8</v>
      </c>
      <c r="D3351" t="s">
        <v>1229</v>
      </c>
      <c r="E3351" s="4">
        <v>35.76</v>
      </c>
      <c r="F3351" t="s">
        <v>15</v>
      </c>
      <c r="G3351" s="10" t="str">
        <f>TEXT(Transform_Data[[#This Row],[Date]],"mmm yyyy")</f>
        <v>Mar 2025</v>
      </c>
      <c r="H3351" s="10">
        <f>HOUR(Transform_Data[[#This Row],[Time]])</f>
        <v>17</v>
      </c>
      <c r="I3351" s="10" t="str">
        <f>IF(COUNTIF('Transform Data'!$D:$D,'Transform Data'!D3351)&gt;1,"Repeat","Single")</f>
        <v>Repeat</v>
      </c>
      <c r="J3351" s="10" t="str">
        <f>IF('Transform Data'!D3351="Cash","Cash",IF(COUNTIF('Transform Data'!$D:$D,'Transform Data'!D3351)&gt;1,"Repeat","Single"))</f>
        <v>Repeat</v>
      </c>
      <c r="K3351" s="10" t="str">
        <f t="shared" si="52"/>
        <v>TRANS-3350</v>
      </c>
    </row>
    <row r="3352" spans="1:11" x14ac:dyDescent="0.35">
      <c r="A3352" s="5">
        <v>45719</v>
      </c>
      <c r="B3352" s="3">
        <v>0.74892361111111116</v>
      </c>
      <c r="C3352" t="s">
        <v>8</v>
      </c>
      <c r="D3352" t="s">
        <v>1228</v>
      </c>
      <c r="E3352" s="4">
        <v>35.76</v>
      </c>
      <c r="F3352" t="s">
        <v>15</v>
      </c>
      <c r="G3352" s="10" t="str">
        <f>TEXT(Transform_Data[[#This Row],[Date]],"mmm yyyy")</f>
        <v>Mar 2025</v>
      </c>
      <c r="H3352" s="10">
        <f>HOUR(Transform_Data[[#This Row],[Time]])</f>
        <v>17</v>
      </c>
      <c r="I3352" s="10" t="str">
        <f>IF(COUNTIF('Transform Data'!$D:$D,'Transform Data'!D3352)&gt;1,"Repeat","Single")</f>
        <v>Repeat</v>
      </c>
      <c r="J3352" s="10" t="str">
        <f>IF('Transform Data'!D3352="Cash","Cash",IF(COUNTIF('Transform Data'!$D:$D,'Transform Data'!D3352)&gt;1,"Repeat","Single"))</f>
        <v>Repeat</v>
      </c>
      <c r="K3352" s="10" t="str">
        <f t="shared" si="52"/>
        <v>TRANS-3351</v>
      </c>
    </row>
    <row r="3353" spans="1:11" x14ac:dyDescent="0.35">
      <c r="A3353" s="5">
        <v>45719</v>
      </c>
      <c r="B3353" s="3">
        <v>0.75214120370370374</v>
      </c>
      <c r="C3353" t="s">
        <v>8</v>
      </c>
      <c r="D3353" t="s">
        <v>1213</v>
      </c>
      <c r="E3353" s="4">
        <v>30.86</v>
      </c>
      <c r="F3353" t="s">
        <v>36</v>
      </c>
      <c r="G3353" s="10" t="str">
        <f>TEXT(Transform_Data[[#This Row],[Date]],"mmm yyyy")</f>
        <v>Mar 2025</v>
      </c>
      <c r="H3353" s="10">
        <f>HOUR(Transform_Data[[#This Row],[Time]])</f>
        <v>18</v>
      </c>
      <c r="I3353" s="10" t="str">
        <f>IF(COUNTIF('Transform Data'!$D:$D,'Transform Data'!D3353)&gt;1,"Repeat","Single")</f>
        <v>Repeat</v>
      </c>
      <c r="J3353" s="10" t="str">
        <f>IF('Transform Data'!D3353="Cash","Cash",IF(COUNTIF('Transform Data'!$D:$D,'Transform Data'!D3353)&gt;1,"Repeat","Single"))</f>
        <v>Repeat</v>
      </c>
      <c r="K3353" s="10" t="str">
        <f t="shared" si="52"/>
        <v>TRANS-3352</v>
      </c>
    </row>
    <row r="3354" spans="1:11" x14ac:dyDescent="0.35">
      <c r="A3354" s="5">
        <v>45719</v>
      </c>
      <c r="B3354" s="3">
        <v>0.78254629629629635</v>
      </c>
      <c r="C3354" t="s">
        <v>8</v>
      </c>
      <c r="D3354" t="s">
        <v>1307</v>
      </c>
      <c r="E3354" s="4">
        <v>35.76</v>
      </c>
      <c r="F3354" t="s">
        <v>32</v>
      </c>
      <c r="G3354" s="10" t="str">
        <f>TEXT(Transform_Data[[#This Row],[Date]],"mmm yyyy")</f>
        <v>Mar 2025</v>
      </c>
      <c r="H3354" s="10">
        <f>HOUR(Transform_Data[[#This Row],[Time]])</f>
        <v>18</v>
      </c>
      <c r="I3354" s="10" t="str">
        <f>IF(COUNTIF('Transform Data'!$D:$D,'Transform Data'!D3354)&gt;1,"Repeat","Single")</f>
        <v>Repeat</v>
      </c>
      <c r="J3354" s="10" t="str">
        <f>IF('Transform Data'!D3354="Cash","Cash",IF(COUNTIF('Transform Data'!$D:$D,'Transform Data'!D3354)&gt;1,"Repeat","Single"))</f>
        <v>Repeat</v>
      </c>
      <c r="K3354" s="10" t="str">
        <f t="shared" si="52"/>
        <v>TRANS-3353</v>
      </c>
    </row>
    <row r="3355" spans="1:11" x14ac:dyDescent="0.35">
      <c r="A3355" s="5">
        <v>45720</v>
      </c>
      <c r="B3355" s="3">
        <v>0.30510416666666668</v>
      </c>
      <c r="C3355" t="s">
        <v>8</v>
      </c>
      <c r="D3355" t="s">
        <v>1212</v>
      </c>
      <c r="E3355" s="4">
        <v>35.76</v>
      </c>
      <c r="F3355" t="s">
        <v>24</v>
      </c>
      <c r="G3355" s="10" t="str">
        <f>TEXT(Transform_Data[[#This Row],[Date]],"mmm yyyy")</f>
        <v>Mar 2025</v>
      </c>
      <c r="H3355" s="10">
        <f>HOUR(Transform_Data[[#This Row],[Time]])</f>
        <v>7</v>
      </c>
      <c r="I3355" s="10" t="str">
        <f>IF(COUNTIF('Transform Data'!$D:$D,'Transform Data'!D3355)&gt;1,"Repeat","Single")</f>
        <v>Repeat</v>
      </c>
      <c r="J3355" s="10" t="str">
        <f>IF('Transform Data'!D3355="Cash","Cash",IF(COUNTIF('Transform Data'!$D:$D,'Transform Data'!D3355)&gt;1,"Repeat","Single"))</f>
        <v>Repeat</v>
      </c>
      <c r="K3355" s="10" t="str">
        <f t="shared" si="52"/>
        <v>TRANS-3354</v>
      </c>
    </row>
    <row r="3356" spans="1:11" x14ac:dyDescent="0.35">
      <c r="A3356" s="5">
        <v>45720</v>
      </c>
      <c r="B3356" s="3">
        <v>0.31383101851851852</v>
      </c>
      <c r="C3356" t="s">
        <v>8</v>
      </c>
      <c r="D3356" t="s">
        <v>33</v>
      </c>
      <c r="E3356" s="4">
        <v>25.96</v>
      </c>
      <c r="F3356" t="s">
        <v>28</v>
      </c>
      <c r="G3356" s="10" t="str">
        <f>TEXT(Transform_Data[[#This Row],[Date]],"mmm yyyy")</f>
        <v>Mar 2025</v>
      </c>
      <c r="H3356" s="10">
        <f>HOUR(Transform_Data[[#This Row],[Time]])</f>
        <v>7</v>
      </c>
      <c r="I3356" s="10" t="str">
        <f>IF(COUNTIF('Transform Data'!$D:$D,'Transform Data'!D3356)&gt;1,"Repeat","Single")</f>
        <v>Repeat</v>
      </c>
      <c r="J3356" s="10" t="str">
        <f>IF('Transform Data'!D3356="Cash","Cash",IF(COUNTIF('Transform Data'!$D:$D,'Transform Data'!D3356)&gt;1,"Repeat","Single"))</f>
        <v>Repeat</v>
      </c>
      <c r="K3356" s="10" t="str">
        <f t="shared" si="52"/>
        <v>TRANS-3355</v>
      </c>
    </row>
    <row r="3357" spans="1:11" x14ac:dyDescent="0.35">
      <c r="A3357" s="5">
        <v>45720</v>
      </c>
      <c r="B3357" s="3">
        <v>0.36927083333333333</v>
      </c>
      <c r="C3357" t="s">
        <v>8</v>
      </c>
      <c r="D3357" t="s">
        <v>1237</v>
      </c>
      <c r="E3357" s="4">
        <v>30.86</v>
      </c>
      <c r="F3357" t="s">
        <v>36</v>
      </c>
      <c r="G3357" s="10" t="str">
        <f>TEXT(Transform_Data[[#This Row],[Date]],"mmm yyyy")</f>
        <v>Mar 2025</v>
      </c>
      <c r="H3357" s="10">
        <f>HOUR(Transform_Data[[#This Row],[Time]])</f>
        <v>8</v>
      </c>
      <c r="I3357" s="10" t="str">
        <f>IF(COUNTIF('Transform Data'!$D:$D,'Transform Data'!D3357)&gt;1,"Repeat","Single")</f>
        <v>Repeat</v>
      </c>
      <c r="J3357" s="10" t="str">
        <f>IF('Transform Data'!D3357="Cash","Cash",IF(COUNTIF('Transform Data'!$D:$D,'Transform Data'!D3357)&gt;1,"Repeat","Single"))</f>
        <v>Repeat</v>
      </c>
      <c r="K3357" s="10" t="str">
        <f t="shared" si="52"/>
        <v>TRANS-3356</v>
      </c>
    </row>
    <row r="3358" spans="1:11" x14ac:dyDescent="0.35">
      <c r="A3358" s="5">
        <v>45720</v>
      </c>
      <c r="B3358" s="3">
        <v>0.38160879629629629</v>
      </c>
      <c r="C3358" t="s">
        <v>8</v>
      </c>
      <c r="D3358" t="s">
        <v>33</v>
      </c>
      <c r="E3358" s="4">
        <v>25.96</v>
      </c>
      <c r="F3358" t="s">
        <v>28</v>
      </c>
      <c r="G3358" s="10" t="str">
        <f>TEXT(Transform_Data[[#This Row],[Date]],"mmm yyyy")</f>
        <v>Mar 2025</v>
      </c>
      <c r="H3358" s="10">
        <f>HOUR(Transform_Data[[#This Row],[Time]])</f>
        <v>9</v>
      </c>
      <c r="I3358" s="10" t="str">
        <f>IF(COUNTIF('Transform Data'!$D:$D,'Transform Data'!D3358)&gt;1,"Repeat","Single")</f>
        <v>Repeat</v>
      </c>
      <c r="J3358" s="10" t="str">
        <f>IF('Transform Data'!D3358="Cash","Cash",IF(COUNTIF('Transform Data'!$D:$D,'Transform Data'!D3358)&gt;1,"Repeat","Single"))</f>
        <v>Repeat</v>
      </c>
      <c r="K3358" s="10" t="str">
        <f t="shared" si="52"/>
        <v>TRANS-3357</v>
      </c>
    </row>
    <row r="3359" spans="1:11" x14ac:dyDescent="0.35">
      <c r="A3359" s="5">
        <v>45720</v>
      </c>
      <c r="B3359" s="3">
        <v>0.38219907407407405</v>
      </c>
      <c r="C3359" t="s">
        <v>8</v>
      </c>
      <c r="D3359" t="s">
        <v>33</v>
      </c>
      <c r="E3359" s="4">
        <v>25.96</v>
      </c>
      <c r="F3359" t="s">
        <v>28</v>
      </c>
      <c r="G3359" s="10" t="str">
        <f>TEXT(Transform_Data[[#This Row],[Date]],"mmm yyyy")</f>
        <v>Mar 2025</v>
      </c>
      <c r="H3359" s="10">
        <f>HOUR(Transform_Data[[#This Row],[Time]])</f>
        <v>9</v>
      </c>
      <c r="I3359" s="10" t="str">
        <f>IF(COUNTIF('Transform Data'!$D:$D,'Transform Data'!D3359)&gt;1,"Repeat","Single")</f>
        <v>Repeat</v>
      </c>
      <c r="J3359" s="10" t="str">
        <f>IF('Transform Data'!D3359="Cash","Cash",IF(COUNTIF('Transform Data'!$D:$D,'Transform Data'!D3359)&gt;1,"Repeat","Single"))</f>
        <v>Repeat</v>
      </c>
      <c r="K3359" s="10" t="str">
        <f t="shared" si="52"/>
        <v>TRANS-3358</v>
      </c>
    </row>
    <row r="3360" spans="1:11" x14ac:dyDescent="0.35">
      <c r="A3360" s="5">
        <v>45720</v>
      </c>
      <c r="B3360" s="3">
        <v>0.41570601851851852</v>
      </c>
      <c r="C3360" t="s">
        <v>8</v>
      </c>
      <c r="D3360" t="s">
        <v>1310</v>
      </c>
      <c r="E3360" s="4">
        <v>25.96</v>
      </c>
      <c r="F3360" t="s">
        <v>28</v>
      </c>
      <c r="G3360" s="10" t="str">
        <f>TEXT(Transform_Data[[#This Row],[Date]],"mmm yyyy")</f>
        <v>Mar 2025</v>
      </c>
      <c r="H3360" s="10">
        <f>HOUR(Transform_Data[[#This Row],[Time]])</f>
        <v>9</v>
      </c>
      <c r="I3360" s="10" t="str">
        <f>IF(COUNTIF('Transform Data'!$D:$D,'Transform Data'!D3360)&gt;1,"Repeat","Single")</f>
        <v>Repeat</v>
      </c>
      <c r="J3360" s="10" t="str">
        <f>IF('Transform Data'!D3360="Cash","Cash",IF(COUNTIF('Transform Data'!$D:$D,'Transform Data'!D3360)&gt;1,"Repeat","Single"))</f>
        <v>Repeat</v>
      </c>
      <c r="K3360" s="10" t="str">
        <f t="shared" si="52"/>
        <v>TRANS-3359</v>
      </c>
    </row>
    <row r="3361" spans="1:11" x14ac:dyDescent="0.35">
      <c r="A3361" s="5">
        <v>45720</v>
      </c>
      <c r="B3361" s="3">
        <v>0.46112268518518518</v>
      </c>
      <c r="C3361" t="s">
        <v>8</v>
      </c>
      <c r="D3361" t="s">
        <v>1272</v>
      </c>
      <c r="E3361" s="4">
        <v>30.86</v>
      </c>
      <c r="F3361" t="s">
        <v>36</v>
      </c>
      <c r="G3361" s="10" t="str">
        <f>TEXT(Transform_Data[[#This Row],[Date]],"mmm yyyy")</f>
        <v>Mar 2025</v>
      </c>
      <c r="H3361" s="10">
        <f>HOUR(Transform_Data[[#This Row],[Time]])</f>
        <v>11</v>
      </c>
      <c r="I3361" s="10" t="str">
        <f>IF(COUNTIF('Transform Data'!$D:$D,'Transform Data'!D3361)&gt;1,"Repeat","Single")</f>
        <v>Repeat</v>
      </c>
      <c r="J3361" s="10" t="str">
        <f>IF('Transform Data'!D3361="Cash","Cash",IF(COUNTIF('Transform Data'!$D:$D,'Transform Data'!D3361)&gt;1,"Repeat","Single"))</f>
        <v>Repeat</v>
      </c>
      <c r="K3361" s="10" t="str">
        <f t="shared" si="52"/>
        <v>TRANS-3360</v>
      </c>
    </row>
    <row r="3362" spans="1:11" x14ac:dyDescent="0.35">
      <c r="A3362" s="5">
        <v>45720</v>
      </c>
      <c r="B3362" s="3">
        <v>0.46187499999999998</v>
      </c>
      <c r="C3362" t="s">
        <v>8</v>
      </c>
      <c r="D3362" t="s">
        <v>1226</v>
      </c>
      <c r="E3362" s="4">
        <v>25.96</v>
      </c>
      <c r="F3362" t="s">
        <v>28</v>
      </c>
      <c r="G3362" s="10" t="str">
        <f>TEXT(Transform_Data[[#This Row],[Date]],"mmm yyyy")</f>
        <v>Mar 2025</v>
      </c>
      <c r="H3362" s="10">
        <f>HOUR(Transform_Data[[#This Row],[Time]])</f>
        <v>11</v>
      </c>
      <c r="I3362" s="10" t="str">
        <f>IF(COUNTIF('Transform Data'!$D:$D,'Transform Data'!D3362)&gt;1,"Repeat","Single")</f>
        <v>Repeat</v>
      </c>
      <c r="J3362" s="10" t="str">
        <f>IF('Transform Data'!D3362="Cash","Cash",IF(COUNTIF('Transform Data'!$D:$D,'Transform Data'!D3362)&gt;1,"Repeat","Single"))</f>
        <v>Repeat</v>
      </c>
      <c r="K3362" s="10" t="str">
        <f t="shared" si="52"/>
        <v>TRANS-3361</v>
      </c>
    </row>
    <row r="3363" spans="1:11" x14ac:dyDescent="0.35">
      <c r="A3363" s="5">
        <v>45720</v>
      </c>
      <c r="B3363" s="3">
        <v>0.49075231481481479</v>
      </c>
      <c r="C3363" t="s">
        <v>8</v>
      </c>
      <c r="D3363" t="s">
        <v>1217</v>
      </c>
      <c r="E3363" s="4">
        <v>25.96</v>
      </c>
      <c r="F3363" t="s">
        <v>28</v>
      </c>
      <c r="G3363" s="10" t="str">
        <f>TEXT(Transform_Data[[#This Row],[Date]],"mmm yyyy")</f>
        <v>Mar 2025</v>
      </c>
      <c r="H3363" s="10">
        <f>HOUR(Transform_Data[[#This Row],[Time]])</f>
        <v>11</v>
      </c>
      <c r="I3363" s="10" t="str">
        <f>IF(COUNTIF('Transform Data'!$D:$D,'Transform Data'!D3363)&gt;1,"Repeat","Single")</f>
        <v>Repeat</v>
      </c>
      <c r="J3363" s="10" t="str">
        <f>IF('Transform Data'!D3363="Cash","Cash",IF(COUNTIF('Transform Data'!$D:$D,'Transform Data'!D3363)&gt;1,"Repeat","Single"))</f>
        <v>Repeat</v>
      </c>
      <c r="K3363" s="10" t="str">
        <f t="shared" si="52"/>
        <v>TRANS-3362</v>
      </c>
    </row>
    <row r="3364" spans="1:11" x14ac:dyDescent="0.35">
      <c r="A3364" s="5">
        <v>45720</v>
      </c>
      <c r="B3364" s="3">
        <v>0.49125000000000002</v>
      </c>
      <c r="C3364" t="s">
        <v>8</v>
      </c>
      <c r="D3364" t="s">
        <v>1217</v>
      </c>
      <c r="E3364" s="4">
        <v>25.96</v>
      </c>
      <c r="F3364" t="s">
        <v>28</v>
      </c>
      <c r="G3364" s="10" t="str">
        <f>TEXT(Transform_Data[[#This Row],[Date]],"mmm yyyy")</f>
        <v>Mar 2025</v>
      </c>
      <c r="H3364" s="10">
        <f>HOUR(Transform_Data[[#This Row],[Time]])</f>
        <v>11</v>
      </c>
      <c r="I3364" s="10" t="str">
        <f>IF(COUNTIF('Transform Data'!$D:$D,'Transform Data'!D3364)&gt;1,"Repeat","Single")</f>
        <v>Repeat</v>
      </c>
      <c r="J3364" s="10" t="str">
        <f>IF('Transform Data'!D3364="Cash","Cash",IF(COUNTIF('Transform Data'!$D:$D,'Transform Data'!D3364)&gt;1,"Repeat","Single"))</f>
        <v>Repeat</v>
      </c>
      <c r="K3364" s="10" t="str">
        <f t="shared" si="52"/>
        <v>TRANS-3363</v>
      </c>
    </row>
    <row r="3365" spans="1:11" x14ac:dyDescent="0.35">
      <c r="A3365" s="5">
        <v>45720</v>
      </c>
      <c r="B3365" s="3">
        <v>0.49414351851851851</v>
      </c>
      <c r="C3365" t="s">
        <v>8</v>
      </c>
      <c r="D3365" t="s">
        <v>6</v>
      </c>
      <c r="E3365" s="4">
        <v>25.96</v>
      </c>
      <c r="F3365" t="s">
        <v>28</v>
      </c>
      <c r="G3365" s="10" t="str">
        <f>TEXT(Transform_Data[[#This Row],[Date]],"mmm yyyy")</f>
        <v>Mar 2025</v>
      </c>
      <c r="H3365" s="10">
        <f>HOUR(Transform_Data[[#This Row],[Time]])</f>
        <v>11</v>
      </c>
      <c r="I3365" s="10" t="str">
        <f>IF(COUNTIF('Transform Data'!$D:$D,'Transform Data'!D3365)&gt;1,"Repeat","Single")</f>
        <v>Repeat</v>
      </c>
      <c r="J3365" s="10" t="str">
        <f>IF('Transform Data'!D3365="Cash","Cash",IF(COUNTIF('Transform Data'!$D:$D,'Transform Data'!D3365)&gt;1,"Repeat","Single"))</f>
        <v>Repeat</v>
      </c>
      <c r="K3365" s="10" t="str">
        <f t="shared" si="52"/>
        <v>TRANS-3364</v>
      </c>
    </row>
    <row r="3366" spans="1:11" x14ac:dyDescent="0.35">
      <c r="A3366" s="5">
        <v>45720</v>
      </c>
      <c r="B3366" s="3">
        <v>0.51804398148148145</v>
      </c>
      <c r="C3366" t="s">
        <v>8</v>
      </c>
      <c r="D3366" t="s">
        <v>1239</v>
      </c>
      <c r="E3366" s="4">
        <v>35.76</v>
      </c>
      <c r="F3366" t="s">
        <v>10</v>
      </c>
      <c r="G3366" s="10" t="str">
        <f>TEXT(Transform_Data[[#This Row],[Date]],"mmm yyyy")</f>
        <v>Mar 2025</v>
      </c>
      <c r="H3366" s="10">
        <f>HOUR(Transform_Data[[#This Row],[Time]])</f>
        <v>12</v>
      </c>
      <c r="I3366" s="10" t="str">
        <f>IF(COUNTIF('Transform Data'!$D:$D,'Transform Data'!D3366)&gt;1,"Repeat","Single")</f>
        <v>Repeat</v>
      </c>
      <c r="J3366" s="10" t="str">
        <f>IF('Transform Data'!D3366="Cash","Cash",IF(COUNTIF('Transform Data'!$D:$D,'Transform Data'!D3366)&gt;1,"Repeat","Single"))</f>
        <v>Repeat</v>
      </c>
      <c r="K3366" s="10" t="str">
        <f t="shared" si="52"/>
        <v>TRANS-3365</v>
      </c>
    </row>
    <row r="3367" spans="1:11" x14ac:dyDescent="0.35">
      <c r="A3367" s="5">
        <v>45720</v>
      </c>
      <c r="B3367" s="3">
        <v>0.70067129629629632</v>
      </c>
      <c r="C3367" t="s">
        <v>8</v>
      </c>
      <c r="D3367" t="s">
        <v>1217</v>
      </c>
      <c r="E3367" s="4">
        <v>25.96</v>
      </c>
      <c r="F3367" t="s">
        <v>28</v>
      </c>
      <c r="G3367" s="10" t="str">
        <f>TEXT(Transform_Data[[#This Row],[Date]],"mmm yyyy")</f>
        <v>Mar 2025</v>
      </c>
      <c r="H3367" s="10">
        <f>HOUR(Transform_Data[[#This Row],[Time]])</f>
        <v>16</v>
      </c>
      <c r="I3367" s="10" t="str">
        <f>IF(COUNTIF('Transform Data'!$D:$D,'Transform Data'!D3367)&gt;1,"Repeat","Single")</f>
        <v>Repeat</v>
      </c>
      <c r="J3367" s="10" t="str">
        <f>IF('Transform Data'!D3367="Cash","Cash",IF(COUNTIF('Transform Data'!$D:$D,'Transform Data'!D3367)&gt;1,"Repeat","Single"))</f>
        <v>Repeat</v>
      </c>
      <c r="K3367" s="10" t="str">
        <f t="shared" si="52"/>
        <v>TRANS-3366</v>
      </c>
    </row>
    <row r="3368" spans="1:11" x14ac:dyDescent="0.35">
      <c r="A3368" s="5">
        <v>45720</v>
      </c>
      <c r="B3368" s="3">
        <v>0.78010416666666671</v>
      </c>
      <c r="C3368" t="s">
        <v>8</v>
      </c>
      <c r="D3368" t="s">
        <v>1284</v>
      </c>
      <c r="E3368" s="4">
        <v>35.76</v>
      </c>
      <c r="F3368" t="s">
        <v>10</v>
      </c>
      <c r="G3368" s="10" t="str">
        <f>TEXT(Transform_Data[[#This Row],[Date]],"mmm yyyy")</f>
        <v>Mar 2025</v>
      </c>
      <c r="H3368" s="10">
        <f>HOUR(Transform_Data[[#This Row],[Time]])</f>
        <v>18</v>
      </c>
      <c r="I3368" s="10" t="str">
        <f>IF(COUNTIF('Transform Data'!$D:$D,'Transform Data'!D3368)&gt;1,"Repeat","Single")</f>
        <v>Repeat</v>
      </c>
      <c r="J3368" s="10" t="str">
        <f>IF('Transform Data'!D3368="Cash","Cash",IF(COUNTIF('Transform Data'!$D:$D,'Transform Data'!D3368)&gt;1,"Repeat","Single"))</f>
        <v>Repeat</v>
      </c>
      <c r="K3368" s="10" t="str">
        <f t="shared" si="52"/>
        <v>TRANS-3367</v>
      </c>
    </row>
    <row r="3369" spans="1:11" x14ac:dyDescent="0.35">
      <c r="A3369" s="5">
        <v>45720</v>
      </c>
      <c r="B3369" s="3">
        <v>0.79871527777777773</v>
      </c>
      <c r="C3369" t="s">
        <v>8</v>
      </c>
      <c r="D3369" t="s">
        <v>1224</v>
      </c>
      <c r="E3369" s="4">
        <v>35.76</v>
      </c>
      <c r="F3369" t="s">
        <v>32</v>
      </c>
      <c r="G3369" s="10" t="str">
        <f>TEXT(Transform_Data[[#This Row],[Date]],"mmm yyyy")</f>
        <v>Mar 2025</v>
      </c>
      <c r="H3369" s="10">
        <f>HOUR(Transform_Data[[#This Row],[Time]])</f>
        <v>19</v>
      </c>
      <c r="I3369" s="10" t="str">
        <f>IF(COUNTIF('Transform Data'!$D:$D,'Transform Data'!D3369)&gt;1,"Repeat","Single")</f>
        <v>Repeat</v>
      </c>
      <c r="J3369" s="10" t="str">
        <f>IF('Transform Data'!D3369="Cash","Cash",IF(COUNTIF('Transform Data'!$D:$D,'Transform Data'!D3369)&gt;1,"Repeat","Single"))</f>
        <v>Repeat</v>
      </c>
      <c r="K3369" s="10" t="str">
        <f t="shared" si="52"/>
        <v>TRANS-3368</v>
      </c>
    </row>
    <row r="3370" spans="1:11" x14ac:dyDescent="0.35">
      <c r="A3370" s="5">
        <v>45720</v>
      </c>
      <c r="B3370" s="3">
        <v>0.83958333333333335</v>
      </c>
      <c r="C3370" t="s">
        <v>8</v>
      </c>
      <c r="D3370" t="s">
        <v>1296</v>
      </c>
      <c r="E3370" s="4">
        <v>35.76</v>
      </c>
      <c r="F3370" t="s">
        <v>32</v>
      </c>
      <c r="G3370" s="10" t="str">
        <f>TEXT(Transform_Data[[#This Row],[Date]],"mmm yyyy")</f>
        <v>Mar 2025</v>
      </c>
      <c r="H3370" s="10">
        <f>HOUR(Transform_Data[[#This Row],[Time]])</f>
        <v>20</v>
      </c>
      <c r="I3370" s="10" t="str">
        <f>IF(COUNTIF('Transform Data'!$D:$D,'Transform Data'!D3370)&gt;1,"Repeat","Single")</f>
        <v>Repeat</v>
      </c>
      <c r="J3370" s="10" t="str">
        <f>IF('Transform Data'!D3370="Cash","Cash",IF(COUNTIF('Transform Data'!$D:$D,'Transform Data'!D3370)&gt;1,"Repeat","Single"))</f>
        <v>Repeat</v>
      </c>
      <c r="K3370" s="10" t="str">
        <f t="shared" si="52"/>
        <v>TRANS-3369</v>
      </c>
    </row>
    <row r="3371" spans="1:11" x14ac:dyDescent="0.35">
      <c r="A3371" s="5">
        <v>45721</v>
      </c>
      <c r="B3371" s="3">
        <v>0.36100694444444442</v>
      </c>
      <c r="C3371" t="s">
        <v>8</v>
      </c>
      <c r="D3371" t="s">
        <v>33</v>
      </c>
      <c r="E3371" s="4">
        <v>30.86</v>
      </c>
      <c r="F3371" t="s">
        <v>36</v>
      </c>
      <c r="G3371" s="10" t="str">
        <f>TEXT(Transform_Data[[#This Row],[Date]],"mmm yyyy")</f>
        <v>Mar 2025</v>
      </c>
      <c r="H3371" s="10">
        <f>HOUR(Transform_Data[[#This Row],[Time]])</f>
        <v>8</v>
      </c>
      <c r="I3371" s="10" t="str">
        <f>IF(COUNTIF('Transform Data'!$D:$D,'Transform Data'!D3371)&gt;1,"Repeat","Single")</f>
        <v>Repeat</v>
      </c>
      <c r="J3371" s="10" t="str">
        <f>IF('Transform Data'!D3371="Cash","Cash",IF(COUNTIF('Transform Data'!$D:$D,'Transform Data'!D3371)&gt;1,"Repeat","Single"))</f>
        <v>Repeat</v>
      </c>
      <c r="K3371" s="10" t="str">
        <f t="shared" si="52"/>
        <v>TRANS-3370</v>
      </c>
    </row>
    <row r="3372" spans="1:11" x14ac:dyDescent="0.35">
      <c r="A3372" s="5">
        <v>45721</v>
      </c>
      <c r="B3372" s="3">
        <v>0.40166666666666667</v>
      </c>
      <c r="C3372" t="s">
        <v>8</v>
      </c>
      <c r="D3372" t="s">
        <v>1217</v>
      </c>
      <c r="E3372" s="4">
        <v>25.96</v>
      </c>
      <c r="F3372" t="s">
        <v>28</v>
      </c>
      <c r="G3372" s="10" t="str">
        <f>TEXT(Transform_Data[[#This Row],[Date]],"mmm yyyy")</f>
        <v>Mar 2025</v>
      </c>
      <c r="H3372" s="10">
        <f>HOUR(Transform_Data[[#This Row],[Time]])</f>
        <v>9</v>
      </c>
      <c r="I3372" s="10" t="str">
        <f>IF(COUNTIF('Transform Data'!$D:$D,'Transform Data'!D3372)&gt;1,"Repeat","Single")</f>
        <v>Repeat</v>
      </c>
      <c r="J3372" s="10" t="str">
        <f>IF('Transform Data'!D3372="Cash","Cash",IF(COUNTIF('Transform Data'!$D:$D,'Transform Data'!D3372)&gt;1,"Repeat","Single"))</f>
        <v>Repeat</v>
      </c>
      <c r="K3372" s="10" t="str">
        <f t="shared" si="52"/>
        <v>TRANS-3371</v>
      </c>
    </row>
    <row r="3373" spans="1:11" x14ac:dyDescent="0.35">
      <c r="A3373" s="5">
        <v>45721</v>
      </c>
      <c r="B3373" s="3">
        <v>0.41752314814814817</v>
      </c>
      <c r="C3373" t="s">
        <v>8</v>
      </c>
      <c r="D3373" t="s">
        <v>1248</v>
      </c>
      <c r="E3373" s="4">
        <v>25.96</v>
      </c>
      <c r="F3373" t="s">
        <v>28</v>
      </c>
      <c r="G3373" s="10" t="str">
        <f>TEXT(Transform_Data[[#This Row],[Date]],"mmm yyyy")</f>
        <v>Mar 2025</v>
      </c>
      <c r="H3373" s="10">
        <f>HOUR(Transform_Data[[#This Row],[Time]])</f>
        <v>10</v>
      </c>
      <c r="I3373" s="10" t="str">
        <f>IF(COUNTIF('Transform Data'!$D:$D,'Transform Data'!D3373)&gt;1,"Repeat","Single")</f>
        <v>Repeat</v>
      </c>
      <c r="J3373" s="10" t="str">
        <f>IF('Transform Data'!D3373="Cash","Cash",IF(COUNTIF('Transform Data'!$D:$D,'Transform Data'!D3373)&gt;1,"Repeat","Single"))</f>
        <v>Repeat</v>
      </c>
      <c r="K3373" s="10" t="str">
        <f t="shared" si="52"/>
        <v>TRANS-3372</v>
      </c>
    </row>
    <row r="3374" spans="1:11" x14ac:dyDescent="0.35">
      <c r="A3374" s="5">
        <v>45721</v>
      </c>
      <c r="B3374" s="3">
        <v>0.41810185185185184</v>
      </c>
      <c r="C3374" t="s">
        <v>8</v>
      </c>
      <c r="D3374" t="s">
        <v>1248</v>
      </c>
      <c r="E3374" s="4">
        <v>25.96</v>
      </c>
      <c r="F3374" t="s">
        <v>28</v>
      </c>
      <c r="G3374" s="10" t="str">
        <f>TEXT(Transform_Data[[#This Row],[Date]],"mmm yyyy")</f>
        <v>Mar 2025</v>
      </c>
      <c r="H3374" s="10">
        <f>HOUR(Transform_Data[[#This Row],[Time]])</f>
        <v>10</v>
      </c>
      <c r="I3374" s="10" t="str">
        <f>IF(COUNTIF('Transform Data'!$D:$D,'Transform Data'!D3374)&gt;1,"Repeat","Single")</f>
        <v>Repeat</v>
      </c>
      <c r="J3374" s="10" t="str">
        <f>IF('Transform Data'!D3374="Cash","Cash",IF(COUNTIF('Transform Data'!$D:$D,'Transform Data'!D3374)&gt;1,"Repeat","Single"))</f>
        <v>Repeat</v>
      </c>
      <c r="K3374" s="10" t="str">
        <f t="shared" si="52"/>
        <v>TRANS-3373</v>
      </c>
    </row>
    <row r="3375" spans="1:11" x14ac:dyDescent="0.35">
      <c r="A3375" s="5">
        <v>45721</v>
      </c>
      <c r="B3375" s="3">
        <v>0.42418981481481483</v>
      </c>
      <c r="C3375" t="s">
        <v>8</v>
      </c>
      <c r="D3375" t="s">
        <v>1311</v>
      </c>
      <c r="E3375" s="4">
        <v>35.76</v>
      </c>
      <c r="F3375" t="s">
        <v>24</v>
      </c>
      <c r="G3375" s="10" t="str">
        <f>TEXT(Transform_Data[[#This Row],[Date]],"mmm yyyy")</f>
        <v>Mar 2025</v>
      </c>
      <c r="H3375" s="10">
        <f>HOUR(Transform_Data[[#This Row],[Time]])</f>
        <v>10</v>
      </c>
      <c r="I3375" s="10" t="str">
        <f>IF(COUNTIF('Transform Data'!$D:$D,'Transform Data'!D3375)&gt;1,"Repeat","Single")</f>
        <v>Single</v>
      </c>
      <c r="J3375" s="10" t="str">
        <f>IF('Transform Data'!D3375="Cash","Cash",IF(COUNTIF('Transform Data'!$D:$D,'Transform Data'!D3375)&gt;1,"Repeat","Single"))</f>
        <v>Single</v>
      </c>
      <c r="K3375" s="10" t="str">
        <f t="shared" si="52"/>
        <v>TRANS-3374</v>
      </c>
    </row>
    <row r="3376" spans="1:11" x14ac:dyDescent="0.35">
      <c r="A3376" s="5">
        <v>45721</v>
      </c>
      <c r="B3376" s="3">
        <v>0.44483796296296296</v>
      </c>
      <c r="C3376" t="s">
        <v>8</v>
      </c>
      <c r="D3376" t="s">
        <v>1298</v>
      </c>
      <c r="E3376" s="4">
        <v>30.86</v>
      </c>
      <c r="F3376" t="s">
        <v>36</v>
      </c>
      <c r="G3376" s="10" t="str">
        <f>TEXT(Transform_Data[[#This Row],[Date]],"mmm yyyy")</f>
        <v>Mar 2025</v>
      </c>
      <c r="H3376" s="10">
        <f>HOUR(Transform_Data[[#This Row],[Time]])</f>
        <v>10</v>
      </c>
      <c r="I3376" s="10" t="str">
        <f>IF(COUNTIF('Transform Data'!$D:$D,'Transform Data'!D3376)&gt;1,"Repeat","Single")</f>
        <v>Repeat</v>
      </c>
      <c r="J3376" s="10" t="str">
        <f>IF('Transform Data'!D3376="Cash","Cash",IF(COUNTIF('Transform Data'!$D:$D,'Transform Data'!D3376)&gt;1,"Repeat","Single"))</f>
        <v>Repeat</v>
      </c>
      <c r="K3376" s="10" t="str">
        <f t="shared" si="52"/>
        <v>TRANS-3375</v>
      </c>
    </row>
    <row r="3377" spans="1:11" x14ac:dyDescent="0.35">
      <c r="A3377" s="5">
        <v>45721</v>
      </c>
      <c r="B3377" s="3">
        <v>0.46424768518518517</v>
      </c>
      <c r="C3377" t="s">
        <v>8</v>
      </c>
      <c r="D3377" t="s">
        <v>1234</v>
      </c>
      <c r="E3377" s="4">
        <v>35.76</v>
      </c>
      <c r="F3377" t="s">
        <v>24</v>
      </c>
      <c r="G3377" s="10" t="str">
        <f>TEXT(Transform_Data[[#This Row],[Date]],"mmm yyyy")</f>
        <v>Mar 2025</v>
      </c>
      <c r="H3377" s="10">
        <f>HOUR(Transform_Data[[#This Row],[Time]])</f>
        <v>11</v>
      </c>
      <c r="I3377" s="10" t="str">
        <f>IF(COUNTIF('Transform Data'!$D:$D,'Transform Data'!D3377)&gt;1,"Repeat","Single")</f>
        <v>Repeat</v>
      </c>
      <c r="J3377" s="10" t="str">
        <f>IF('Transform Data'!D3377="Cash","Cash",IF(COUNTIF('Transform Data'!$D:$D,'Transform Data'!D3377)&gt;1,"Repeat","Single"))</f>
        <v>Repeat</v>
      </c>
      <c r="K3377" s="10" t="str">
        <f t="shared" si="52"/>
        <v>TRANS-3376</v>
      </c>
    </row>
    <row r="3378" spans="1:11" x14ac:dyDescent="0.35">
      <c r="A3378" s="5">
        <v>45721</v>
      </c>
      <c r="B3378" s="3">
        <v>0.46590277777777778</v>
      </c>
      <c r="C3378" t="s">
        <v>8</v>
      </c>
      <c r="D3378" t="s">
        <v>1312</v>
      </c>
      <c r="E3378" s="4">
        <v>35.76</v>
      </c>
      <c r="F3378" t="s">
        <v>10</v>
      </c>
      <c r="G3378" s="10" t="str">
        <f>TEXT(Transform_Data[[#This Row],[Date]],"mmm yyyy")</f>
        <v>Mar 2025</v>
      </c>
      <c r="H3378" s="10">
        <f>HOUR(Transform_Data[[#This Row],[Time]])</f>
        <v>11</v>
      </c>
      <c r="I3378" s="10" t="str">
        <f>IF(COUNTIF('Transform Data'!$D:$D,'Transform Data'!D3378)&gt;1,"Repeat","Single")</f>
        <v>Repeat</v>
      </c>
      <c r="J3378" s="10" t="str">
        <f>IF('Transform Data'!D3378="Cash","Cash",IF(COUNTIF('Transform Data'!$D:$D,'Transform Data'!D3378)&gt;1,"Repeat","Single"))</f>
        <v>Repeat</v>
      </c>
      <c r="K3378" s="10" t="str">
        <f t="shared" si="52"/>
        <v>TRANS-3377</v>
      </c>
    </row>
    <row r="3379" spans="1:11" x14ac:dyDescent="0.35">
      <c r="A3379" s="5">
        <v>45721</v>
      </c>
      <c r="B3379" s="3">
        <v>0.48531249999999998</v>
      </c>
      <c r="C3379" t="s">
        <v>8</v>
      </c>
      <c r="D3379" t="s">
        <v>1248</v>
      </c>
      <c r="E3379" s="4">
        <v>25.96</v>
      </c>
      <c r="F3379" t="s">
        <v>28</v>
      </c>
      <c r="G3379" s="10" t="str">
        <f>TEXT(Transform_Data[[#This Row],[Date]],"mmm yyyy")</f>
        <v>Mar 2025</v>
      </c>
      <c r="H3379" s="10">
        <f>HOUR(Transform_Data[[#This Row],[Time]])</f>
        <v>11</v>
      </c>
      <c r="I3379" s="10" t="str">
        <f>IF(COUNTIF('Transform Data'!$D:$D,'Transform Data'!D3379)&gt;1,"Repeat","Single")</f>
        <v>Repeat</v>
      </c>
      <c r="J3379" s="10" t="str">
        <f>IF('Transform Data'!D3379="Cash","Cash",IF(COUNTIF('Transform Data'!$D:$D,'Transform Data'!D3379)&gt;1,"Repeat","Single"))</f>
        <v>Repeat</v>
      </c>
      <c r="K3379" s="10" t="str">
        <f t="shared" si="52"/>
        <v>TRANS-3378</v>
      </c>
    </row>
    <row r="3380" spans="1:11" x14ac:dyDescent="0.35">
      <c r="A3380" s="5">
        <v>45721</v>
      </c>
      <c r="B3380" s="3">
        <v>0.48706018518518518</v>
      </c>
      <c r="C3380" t="s">
        <v>8</v>
      </c>
      <c r="D3380" t="s">
        <v>1217</v>
      </c>
      <c r="E3380" s="4">
        <v>25.96</v>
      </c>
      <c r="F3380" t="s">
        <v>28</v>
      </c>
      <c r="G3380" s="10" t="str">
        <f>TEXT(Transform_Data[[#This Row],[Date]],"mmm yyyy")</f>
        <v>Mar 2025</v>
      </c>
      <c r="H3380" s="10">
        <f>HOUR(Transform_Data[[#This Row],[Time]])</f>
        <v>11</v>
      </c>
      <c r="I3380" s="10" t="str">
        <f>IF(COUNTIF('Transform Data'!$D:$D,'Transform Data'!D3380)&gt;1,"Repeat","Single")</f>
        <v>Repeat</v>
      </c>
      <c r="J3380" s="10" t="str">
        <f>IF('Transform Data'!D3380="Cash","Cash",IF(COUNTIF('Transform Data'!$D:$D,'Transform Data'!D3380)&gt;1,"Repeat","Single"))</f>
        <v>Repeat</v>
      </c>
      <c r="K3380" s="10" t="str">
        <f t="shared" si="52"/>
        <v>TRANS-3379</v>
      </c>
    </row>
    <row r="3381" spans="1:11" x14ac:dyDescent="0.35">
      <c r="A3381" s="5">
        <v>45721</v>
      </c>
      <c r="B3381" s="3">
        <v>0.50898148148148148</v>
      </c>
      <c r="C3381" t="s">
        <v>8</v>
      </c>
      <c r="D3381" t="s">
        <v>6</v>
      </c>
      <c r="E3381" s="4">
        <v>25.96</v>
      </c>
      <c r="F3381" t="s">
        <v>28</v>
      </c>
      <c r="G3381" s="10" t="str">
        <f>TEXT(Transform_Data[[#This Row],[Date]],"mmm yyyy")</f>
        <v>Mar 2025</v>
      </c>
      <c r="H3381" s="10">
        <f>HOUR(Transform_Data[[#This Row],[Time]])</f>
        <v>12</v>
      </c>
      <c r="I3381" s="10" t="str">
        <f>IF(COUNTIF('Transform Data'!$D:$D,'Transform Data'!D3381)&gt;1,"Repeat","Single")</f>
        <v>Repeat</v>
      </c>
      <c r="J3381" s="10" t="str">
        <f>IF('Transform Data'!D3381="Cash","Cash",IF(COUNTIF('Transform Data'!$D:$D,'Transform Data'!D3381)&gt;1,"Repeat","Single"))</f>
        <v>Repeat</v>
      </c>
      <c r="K3381" s="10" t="str">
        <f t="shared" si="52"/>
        <v>TRANS-3380</v>
      </c>
    </row>
    <row r="3382" spans="1:11" x14ac:dyDescent="0.35">
      <c r="A3382" s="5">
        <v>45721</v>
      </c>
      <c r="B3382" s="3">
        <v>0.63043981481481481</v>
      </c>
      <c r="C3382" t="s">
        <v>8</v>
      </c>
      <c r="D3382" t="s">
        <v>1241</v>
      </c>
      <c r="E3382" s="4">
        <v>35.76</v>
      </c>
      <c r="F3382" t="s">
        <v>32</v>
      </c>
      <c r="G3382" s="10" t="str">
        <f>TEXT(Transform_Data[[#This Row],[Date]],"mmm yyyy")</f>
        <v>Mar 2025</v>
      </c>
      <c r="H3382" s="10">
        <f>HOUR(Transform_Data[[#This Row],[Time]])</f>
        <v>15</v>
      </c>
      <c r="I3382" s="10" t="str">
        <f>IF(COUNTIF('Transform Data'!$D:$D,'Transform Data'!D3382)&gt;1,"Repeat","Single")</f>
        <v>Repeat</v>
      </c>
      <c r="J3382" s="10" t="str">
        <f>IF('Transform Data'!D3382="Cash","Cash",IF(COUNTIF('Transform Data'!$D:$D,'Transform Data'!D3382)&gt;1,"Repeat","Single"))</f>
        <v>Repeat</v>
      </c>
      <c r="K3382" s="10" t="str">
        <f t="shared" si="52"/>
        <v>TRANS-3381</v>
      </c>
    </row>
    <row r="3383" spans="1:11" x14ac:dyDescent="0.35">
      <c r="A3383" s="5">
        <v>45721</v>
      </c>
      <c r="B3383" s="3">
        <v>0.63998842592592597</v>
      </c>
      <c r="C3383" t="s">
        <v>8</v>
      </c>
      <c r="D3383" t="s">
        <v>1214</v>
      </c>
      <c r="E3383" s="4">
        <v>35.76</v>
      </c>
      <c r="F3383" t="s">
        <v>32</v>
      </c>
      <c r="G3383" s="10" t="str">
        <f>TEXT(Transform_Data[[#This Row],[Date]],"mmm yyyy")</f>
        <v>Mar 2025</v>
      </c>
      <c r="H3383" s="10">
        <f>HOUR(Transform_Data[[#This Row],[Time]])</f>
        <v>15</v>
      </c>
      <c r="I3383" s="10" t="str">
        <f>IF(COUNTIF('Transform Data'!$D:$D,'Transform Data'!D3383)&gt;1,"Repeat","Single")</f>
        <v>Repeat</v>
      </c>
      <c r="J3383" s="10" t="str">
        <f>IF('Transform Data'!D3383="Cash","Cash",IF(COUNTIF('Transform Data'!$D:$D,'Transform Data'!D3383)&gt;1,"Repeat","Single"))</f>
        <v>Repeat</v>
      </c>
      <c r="K3383" s="10" t="str">
        <f t="shared" si="52"/>
        <v>TRANS-3382</v>
      </c>
    </row>
    <row r="3384" spans="1:11" x14ac:dyDescent="0.35">
      <c r="A3384" s="5">
        <v>45721</v>
      </c>
      <c r="B3384" s="3">
        <v>0.64248842592592592</v>
      </c>
      <c r="C3384" t="s">
        <v>8</v>
      </c>
      <c r="D3384" t="s">
        <v>1215</v>
      </c>
      <c r="E3384" s="4">
        <v>35.76</v>
      </c>
      <c r="F3384" t="s">
        <v>15</v>
      </c>
      <c r="G3384" s="10" t="str">
        <f>TEXT(Transform_Data[[#This Row],[Date]],"mmm yyyy")</f>
        <v>Mar 2025</v>
      </c>
      <c r="H3384" s="10">
        <f>HOUR(Transform_Data[[#This Row],[Time]])</f>
        <v>15</v>
      </c>
      <c r="I3384" s="10" t="str">
        <f>IF(COUNTIF('Transform Data'!$D:$D,'Transform Data'!D3384)&gt;1,"Repeat","Single")</f>
        <v>Repeat</v>
      </c>
      <c r="J3384" s="10" t="str">
        <f>IF('Transform Data'!D3384="Cash","Cash",IF(COUNTIF('Transform Data'!$D:$D,'Transform Data'!D3384)&gt;1,"Repeat","Single"))</f>
        <v>Repeat</v>
      </c>
      <c r="K3384" s="10" t="str">
        <f t="shared" si="52"/>
        <v>TRANS-3383</v>
      </c>
    </row>
    <row r="3385" spans="1:11" x14ac:dyDescent="0.35">
      <c r="A3385" s="5">
        <v>45721</v>
      </c>
      <c r="B3385" s="3">
        <v>0.71523148148148152</v>
      </c>
      <c r="C3385" t="s">
        <v>8</v>
      </c>
      <c r="D3385" t="s">
        <v>1272</v>
      </c>
      <c r="E3385" s="4">
        <v>30.86</v>
      </c>
      <c r="F3385" t="s">
        <v>36</v>
      </c>
      <c r="G3385" s="10" t="str">
        <f>TEXT(Transform_Data[[#This Row],[Date]],"mmm yyyy")</f>
        <v>Mar 2025</v>
      </c>
      <c r="H3385" s="10">
        <f>HOUR(Transform_Data[[#This Row],[Time]])</f>
        <v>17</v>
      </c>
      <c r="I3385" s="10" t="str">
        <f>IF(COUNTIF('Transform Data'!$D:$D,'Transform Data'!D3385)&gt;1,"Repeat","Single")</f>
        <v>Repeat</v>
      </c>
      <c r="J3385" s="10" t="str">
        <f>IF('Transform Data'!D3385="Cash","Cash",IF(COUNTIF('Transform Data'!$D:$D,'Transform Data'!D3385)&gt;1,"Repeat","Single"))</f>
        <v>Repeat</v>
      </c>
      <c r="K3385" s="10" t="str">
        <f t="shared" si="52"/>
        <v>TRANS-3384</v>
      </c>
    </row>
    <row r="3386" spans="1:11" x14ac:dyDescent="0.35">
      <c r="A3386" s="5">
        <v>45721</v>
      </c>
      <c r="B3386" s="3">
        <v>0.71971064814814811</v>
      </c>
      <c r="C3386" t="s">
        <v>8</v>
      </c>
      <c r="D3386" t="s">
        <v>1313</v>
      </c>
      <c r="E3386" s="4">
        <v>21.06</v>
      </c>
      <c r="F3386" t="s">
        <v>5</v>
      </c>
      <c r="G3386" s="10" t="str">
        <f>TEXT(Transform_Data[[#This Row],[Date]],"mmm yyyy")</f>
        <v>Mar 2025</v>
      </c>
      <c r="H3386" s="10">
        <f>HOUR(Transform_Data[[#This Row],[Time]])</f>
        <v>17</v>
      </c>
      <c r="I3386" s="10" t="str">
        <f>IF(COUNTIF('Transform Data'!$D:$D,'Transform Data'!D3386)&gt;1,"Repeat","Single")</f>
        <v>Single</v>
      </c>
      <c r="J3386" s="10" t="str">
        <f>IF('Transform Data'!D3386="Cash","Cash",IF(COUNTIF('Transform Data'!$D:$D,'Transform Data'!D3386)&gt;1,"Repeat","Single"))</f>
        <v>Single</v>
      </c>
      <c r="K3386" s="10" t="str">
        <f t="shared" si="52"/>
        <v>TRANS-3385</v>
      </c>
    </row>
    <row r="3387" spans="1:11" x14ac:dyDescent="0.35">
      <c r="A3387" s="5">
        <v>45721</v>
      </c>
      <c r="B3387" s="3">
        <v>0.73032407407407407</v>
      </c>
      <c r="C3387" t="s">
        <v>8</v>
      </c>
      <c r="D3387" t="s">
        <v>1241</v>
      </c>
      <c r="E3387" s="4">
        <v>35.76</v>
      </c>
      <c r="F3387" t="s">
        <v>32</v>
      </c>
      <c r="G3387" s="10" t="str">
        <f>TEXT(Transform_Data[[#This Row],[Date]],"mmm yyyy")</f>
        <v>Mar 2025</v>
      </c>
      <c r="H3387" s="10">
        <f>HOUR(Transform_Data[[#This Row],[Time]])</f>
        <v>17</v>
      </c>
      <c r="I3387" s="10" t="str">
        <f>IF(COUNTIF('Transform Data'!$D:$D,'Transform Data'!D3387)&gt;1,"Repeat","Single")</f>
        <v>Repeat</v>
      </c>
      <c r="J3387" s="10" t="str">
        <f>IF('Transform Data'!D3387="Cash","Cash",IF(COUNTIF('Transform Data'!$D:$D,'Transform Data'!D3387)&gt;1,"Repeat","Single"))</f>
        <v>Repeat</v>
      </c>
      <c r="K3387" s="10" t="str">
        <f t="shared" si="52"/>
        <v>TRANS-3386</v>
      </c>
    </row>
    <row r="3388" spans="1:11" x14ac:dyDescent="0.35">
      <c r="A3388" s="5">
        <v>45721</v>
      </c>
      <c r="B3388" s="3">
        <v>0.75932870370370376</v>
      </c>
      <c r="C3388" t="s">
        <v>8</v>
      </c>
      <c r="D3388" t="s">
        <v>1209</v>
      </c>
      <c r="E3388" s="4">
        <v>35.76</v>
      </c>
      <c r="F3388" t="s">
        <v>24</v>
      </c>
      <c r="G3388" s="10" t="str">
        <f>TEXT(Transform_Data[[#This Row],[Date]],"mmm yyyy")</f>
        <v>Mar 2025</v>
      </c>
      <c r="H3388" s="10">
        <f>HOUR(Transform_Data[[#This Row],[Time]])</f>
        <v>18</v>
      </c>
      <c r="I3388" s="10" t="str">
        <f>IF(COUNTIF('Transform Data'!$D:$D,'Transform Data'!D3388)&gt;1,"Repeat","Single")</f>
        <v>Repeat</v>
      </c>
      <c r="J3388" s="10" t="str">
        <f>IF('Transform Data'!D3388="Cash","Cash",IF(COUNTIF('Transform Data'!$D:$D,'Transform Data'!D3388)&gt;1,"Repeat","Single"))</f>
        <v>Repeat</v>
      </c>
      <c r="K3388" s="10" t="str">
        <f t="shared" si="52"/>
        <v>TRANS-3387</v>
      </c>
    </row>
    <row r="3389" spans="1:11" x14ac:dyDescent="0.35">
      <c r="A3389" s="5">
        <v>45721</v>
      </c>
      <c r="B3389" s="3">
        <v>0.79370370370370369</v>
      </c>
      <c r="C3389" t="s">
        <v>8</v>
      </c>
      <c r="D3389" t="s">
        <v>1314</v>
      </c>
      <c r="E3389" s="4">
        <v>35.76</v>
      </c>
      <c r="F3389" t="s">
        <v>10</v>
      </c>
      <c r="G3389" s="10" t="str">
        <f>TEXT(Transform_Data[[#This Row],[Date]],"mmm yyyy")</f>
        <v>Mar 2025</v>
      </c>
      <c r="H3389" s="10">
        <f>HOUR(Transform_Data[[#This Row],[Time]])</f>
        <v>19</v>
      </c>
      <c r="I3389" s="10" t="str">
        <f>IF(COUNTIF('Transform Data'!$D:$D,'Transform Data'!D3389)&gt;1,"Repeat","Single")</f>
        <v>Repeat</v>
      </c>
      <c r="J3389" s="10" t="str">
        <f>IF('Transform Data'!D3389="Cash","Cash",IF(COUNTIF('Transform Data'!$D:$D,'Transform Data'!D3389)&gt;1,"Repeat","Single"))</f>
        <v>Repeat</v>
      </c>
      <c r="K3389" s="10" t="str">
        <f t="shared" si="52"/>
        <v>TRANS-3388</v>
      </c>
    </row>
    <row r="3390" spans="1:11" x14ac:dyDescent="0.35">
      <c r="A3390" s="5">
        <v>45722</v>
      </c>
      <c r="B3390" s="3">
        <v>0.39836805555555554</v>
      </c>
      <c r="C3390" t="s">
        <v>8</v>
      </c>
      <c r="D3390" t="s">
        <v>1260</v>
      </c>
      <c r="E3390" s="4">
        <v>35.76</v>
      </c>
      <c r="F3390" t="s">
        <v>15</v>
      </c>
      <c r="G3390" s="10" t="str">
        <f>TEXT(Transform_Data[[#This Row],[Date]],"mmm yyyy")</f>
        <v>Mar 2025</v>
      </c>
      <c r="H3390" s="10">
        <f>HOUR(Transform_Data[[#This Row],[Time]])</f>
        <v>9</v>
      </c>
      <c r="I3390" s="10" t="str">
        <f>IF(COUNTIF('Transform Data'!$D:$D,'Transform Data'!D3390)&gt;1,"Repeat","Single")</f>
        <v>Repeat</v>
      </c>
      <c r="J3390" s="10" t="str">
        <f>IF('Transform Data'!D3390="Cash","Cash",IF(COUNTIF('Transform Data'!$D:$D,'Transform Data'!D3390)&gt;1,"Repeat","Single"))</f>
        <v>Repeat</v>
      </c>
      <c r="K3390" s="10" t="str">
        <f t="shared" si="52"/>
        <v>TRANS-3389</v>
      </c>
    </row>
    <row r="3391" spans="1:11" x14ac:dyDescent="0.35">
      <c r="A3391" s="5">
        <v>45722</v>
      </c>
      <c r="B3391" s="3">
        <v>0.39990740740740743</v>
      </c>
      <c r="C3391" t="s">
        <v>8</v>
      </c>
      <c r="D3391" t="s">
        <v>1257</v>
      </c>
      <c r="E3391" s="4">
        <v>21.06</v>
      </c>
      <c r="F3391" t="s">
        <v>5</v>
      </c>
      <c r="G3391" s="10" t="str">
        <f>TEXT(Transform_Data[[#This Row],[Date]],"mmm yyyy")</f>
        <v>Mar 2025</v>
      </c>
      <c r="H3391" s="10">
        <f>HOUR(Transform_Data[[#This Row],[Time]])</f>
        <v>9</v>
      </c>
      <c r="I3391" s="10" t="str">
        <f>IF(COUNTIF('Transform Data'!$D:$D,'Transform Data'!D3391)&gt;1,"Repeat","Single")</f>
        <v>Repeat</v>
      </c>
      <c r="J3391" s="10" t="str">
        <f>IF('Transform Data'!D3391="Cash","Cash",IF(COUNTIF('Transform Data'!$D:$D,'Transform Data'!D3391)&gt;1,"Repeat","Single"))</f>
        <v>Repeat</v>
      </c>
      <c r="K3391" s="10" t="str">
        <f t="shared" si="52"/>
        <v>TRANS-3390</v>
      </c>
    </row>
    <row r="3392" spans="1:11" x14ac:dyDescent="0.35">
      <c r="A3392" s="5">
        <v>45722</v>
      </c>
      <c r="B3392" s="3">
        <v>0.45004629629629628</v>
      </c>
      <c r="C3392" t="s">
        <v>8</v>
      </c>
      <c r="D3392" t="s">
        <v>1257</v>
      </c>
      <c r="E3392" s="4">
        <v>30.86</v>
      </c>
      <c r="F3392" t="s">
        <v>36</v>
      </c>
      <c r="G3392" s="10" t="str">
        <f>TEXT(Transform_Data[[#This Row],[Date]],"mmm yyyy")</f>
        <v>Mar 2025</v>
      </c>
      <c r="H3392" s="10">
        <f>HOUR(Transform_Data[[#This Row],[Time]])</f>
        <v>10</v>
      </c>
      <c r="I3392" s="10" t="str">
        <f>IF(COUNTIF('Transform Data'!$D:$D,'Transform Data'!D3392)&gt;1,"Repeat","Single")</f>
        <v>Repeat</v>
      </c>
      <c r="J3392" s="10" t="str">
        <f>IF('Transform Data'!D3392="Cash","Cash",IF(COUNTIF('Transform Data'!$D:$D,'Transform Data'!D3392)&gt;1,"Repeat","Single"))</f>
        <v>Repeat</v>
      </c>
      <c r="K3392" s="10" t="str">
        <f t="shared" si="52"/>
        <v>TRANS-3391</v>
      </c>
    </row>
    <row r="3393" spans="1:11" x14ac:dyDescent="0.35">
      <c r="A3393" s="5">
        <v>45722</v>
      </c>
      <c r="B3393" s="3">
        <v>0.45609953703703704</v>
      </c>
      <c r="C3393" t="s">
        <v>8</v>
      </c>
      <c r="D3393" t="s">
        <v>33</v>
      </c>
      <c r="E3393" s="4">
        <v>25.96</v>
      </c>
      <c r="F3393" t="s">
        <v>28</v>
      </c>
      <c r="G3393" s="10" t="str">
        <f>TEXT(Transform_Data[[#This Row],[Date]],"mmm yyyy")</f>
        <v>Mar 2025</v>
      </c>
      <c r="H3393" s="10">
        <f>HOUR(Transform_Data[[#This Row],[Time]])</f>
        <v>10</v>
      </c>
      <c r="I3393" s="10" t="str">
        <f>IF(COUNTIF('Transform Data'!$D:$D,'Transform Data'!D3393)&gt;1,"Repeat","Single")</f>
        <v>Repeat</v>
      </c>
      <c r="J3393" s="10" t="str">
        <f>IF('Transform Data'!D3393="Cash","Cash",IF(COUNTIF('Transform Data'!$D:$D,'Transform Data'!D3393)&gt;1,"Repeat","Single"))</f>
        <v>Repeat</v>
      </c>
      <c r="K3393" s="10" t="str">
        <f t="shared" si="52"/>
        <v>TRANS-3392</v>
      </c>
    </row>
    <row r="3394" spans="1:11" x14ac:dyDescent="0.35">
      <c r="A3394" s="5">
        <v>45722</v>
      </c>
      <c r="B3394" s="3">
        <v>0.45665509259259257</v>
      </c>
      <c r="C3394" t="s">
        <v>8</v>
      </c>
      <c r="D3394" t="s">
        <v>33</v>
      </c>
      <c r="E3394" s="4">
        <v>25.96</v>
      </c>
      <c r="F3394" t="s">
        <v>28</v>
      </c>
      <c r="G3394" s="10" t="str">
        <f>TEXT(Transform_Data[[#This Row],[Date]],"mmm yyyy")</f>
        <v>Mar 2025</v>
      </c>
      <c r="H3394" s="10">
        <f>HOUR(Transform_Data[[#This Row],[Time]])</f>
        <v>10</v>
      </c>
      <c r="I3394" s="10" t="str">
        <f>IF(COUNTIF('Transform Data'!$D:$D,'Transform Data'!D3394)&gt;1,"Repeat","Single")</f>
        <v>Repeat</v>
      </c>
      <c r="J3394" s="10" t="str">
        <f>IF('Transform Data'!D3394="Cash","Cash",IF(COUNTIF('Transform Data'!$D:$D,'Transform Data'!D3394)&gt;1,"Repeat","Single"))</f>
        <v>Repeat</v>
      </c>
      <c r="K3394" s="10" t="str">
        <f t="shared" ref="K3394:K3457" si="53">"TRANS-"&amp;TEXT(ROW(A3393),"0000")</f>
        <v>TRANS-3393</v>
      </c>
    </row>
    <row r="3395" spans="1:11" x14ac:dyDescent="0.35">
      <c r="A3395" s="5">
        <v>45722</v>
      </c>
      <c r="B3395" s="3">
        <v>0.46230324074074075</v>
      </c>
      <c r="C3395" t="s">
        <v>8</v>
      </c>
      <c r="D3395" t="s">
        <v>1248</v>
      </c>
      <c r="E3395" s="4">
        <v>25.96</v>
      </c>
      <c r="F3395" t="s">
        <v>28</v>
      </c>
      <c r="G3395" s="10" t="str">
        <f>TEXT(Transform_Data[[#This Row],[Date]],"mmm yyyy")</f>
        <v>Mar 2025</v>
      </c>
      <c r="H3395" s="10">
        <f>HOUR(Transform_Data[[#This Row],[Time]])</f>
        <v>11</v>
      </c>
      <c r="I3395" s="10" t="str">
        <f>IF(COUNTIF('Transform Data'!$D:$D,'Transform Data'!D3395)&gt;1,"Repeat","Single")</f>
        <v>Repeat</v>
      </c>
      <c r="J3395" s="10" t="str">
        <f>IF('Transform Data'!D3395="Cash","Cash",IF(COUNTIF('Transform Data'!$D:$D,'Transform Data'!D3395)&gt;1,"Repeat","Single"))</f>
        <v>Repeat</v>
      </c>
      <c r="K3395" s="10" t="str">
        <f t="shared" si="53"/>
        <v>TRANS-3394</v>
      </c>
    </row>
    <row r="3396" spans="1:11" x14ac:dyDescent="0.35">
      <c r="A3396" s="5">
        <v>45722</v>
      </c>
      <c r="B3396" s="3">
        <v>0.47057870370370369</v>
      </c>
      <c r="C3396" t="s">
        <v>8</v>
      </c>
      <c r="D3396" t="s">
        <v>1315</v>
      </c>
      <c r="E3396" s="4">
        <v>35.76</v>
      </c>
      <c r="F3396" t="s">
        <v>24</v>
      </c>
      <c r="G3396" s="10" t="str">
        <f>TEXT(Transform_Data[[#This Row],[Date]],"mmm yyyy")</f>
        <v>Mar 2025</v>
      </c>
      <c r="H3396" s="10">
        <f>HOUR(Transform_Data[[#This Row],[Time]])</f>
        <v>11</v>
      </c>
      <c r="I3396" s="10" t="str">
        <f>IF(COUNTIF('Transform Data'!$D:$D,'Transform Data'!D3396)&gt;1,"Repeat","Single")</f>
        <v>Single</v>
      </c>
      <c r="J3396" s="10" t="str">
        <f>IF('Transform Data'!D3396="Cash","Cash",IF(COUNTIF('Transform Data'!$D:$D,'Transform Data'!D3396)&gt;1,"Repeat","Single"))</f>
        <v>Single</v>
      </c>
      <c r="K3396" s="10" t="str">
        <f t="shared" si="53"/>
        <v>TRANS-3395</v>
      </c>
    </row>
    <row r="3397" spans="1:11" x14ac:dyDescent="0.35">
      <c r="A3397" s="5">
        <v>45722</v>
      </c>
      <c r="B3397" s="3">
        <v>0.57746527777777779</v>
      </c>
      <c r="C3397" t="s">
        <v>8</v>
      </c>
      <c r="D3397" t="s">
        <v>1265</v>
      </c>
      <c r="E3397" s="4">
        <v>35.76</v>
      </c>
      <c r="F3397" t="s">
        <v>32</v>
      </c>
      <c r="G3397" s="10" t="str">
        <f>TEXT(Transform_Data[[#This Row],[Date]],"mmm yyyy")</f>
        <v>Mar 2025</v>
      </c>
      <c r="H3397" s="10">
        <f>HOUR(Transform_Data[[#This Row],[Time]])</f>
        <v>13</v>
      </c>
      <c r="I3397" s="10" t="str">
        <f>IF(COUNTIF('Transform Data'!$D:$D,'Transform Data'!D3397)&gt;1,"Repeat","Single")</f>
        <v>Repeat</v>
      </c>
      <c r="J3397" s="10" t="str">
        <f>IF('Transform Data'!D3397="Cash","Cash",IF(COUNTIF('Transform Data'!$D:$D,'Transform Data'!D3397)&gt;1,"Repeat","Single"))</f>
        <v>Repeat</v>
      </c>
      <c r="K3397" s="10" t="str">
        <f t="shared" si="53"/>
        <v>TRANS-3396</v>
      </c>
    </row>
    <row r="3398" spans="1:11" x14ac:dyDescent="0.35">
      <c r="A3398" s="5">
        <v>45722</v>
      </c>
      <c r="B3398" s="3">
        <v>0.67137731481481477</v>
      </c>
      <c r="C3398" t="s">
        <v>8</v>
      </c>
      <c r="D3398" t="s">
        <v>1266</v>
      </c>
      <c r="E3398" s="4">
        <v>30.86</v>
      </c>
      <c r="F3398" t="s">
        <v>36</v>
      </c>
      <c r="G3398" s="10" t="str">
        <f>TEXT(Transform_Data[[#This Row],[Date]],"mmm yyyy")</f>
        <v>Mar 2025</v>
      </c>
      <c r="H3398" s="10">
        <f>HOUR(Transform_Data[[#This Row],[Time]])</f>
        <v>16</v>
      </c>
      <c r="I3398" s="10" t="str">
        <f>IF(COUNTIF('Transform Data'!$D:$D,'Transform Data'!D3398)&gt;1,"Repeat","Single")</f>
        <v>Repeat</v>
      </c>
      <c r="J3398" s="10" t="str">
        <f>IF('Transform Data'!D3398="Cash","Cash",IF(COUNTIF('Transform Data'!$D:$D,'Transform Data'!D3398)&gt;1,"Repeat","Single"))</f>
        <v>Repeat</v>
      </c>
      <c r="K3398" s="10" t="str">
        <f t="shared" si="53"/>
        <v>TRANS-3397</v>
      </c>
    </row>
    <row r="3399" spans="1:11" x14ac:dyDescent="0.35">
      <c r="A3399" s="5">
        <v>45722</v>
      </c>
      <c r="B3399" s="3">
        <v>0.7424884259259259</v>
      </c>
      <c r="C3399" t="s">
        <v>8</v>
      </c>
      <c r="D3399" t="s">
        <v>33</v>
      </c>
      <c r="E3399" s="4">
        <v>35.76</v>
      </c>
      <c r="F3399" t="s">
        <v>10</v>
      </c>
      <c r="G3399" s="10" t="str">
        <f>TEXT(Transform_Data[[#This Row],[Date]],"mmm yyyy")</f>
        <v>Mar 2025</v>
      </c>
      <c r="H3399" s="10">
        <f>HOUR(Transform_Data[[#This Row],[Time]])</f>
        <v>17</v>
      </c>
      <c r="I3399" s="10" t="str">
        <f>IF(COUNTIF('Transform Data'!$D:$D,'Transform Data'!D3399)&gt;1,"Repeat","Single")</f>
        <v>Repeat</v>
      </c>
      <c r="J3399" s="10" t="str">
        <f>IF('Transform Data'!D3399="Cash","Cash",IF(COUNTIF('Transform Data'!$D:$D,'Transform Data'!D3399)&gt;1,"Repeat","Single"))</f>
        <v>Repeat</v>
      </c>
      <c r="K3399" s="10" t="str">
        <f t="shared" si="53"/>
        <v>TRANS-3398</v>
      </c>
    </row>
    <row r="3400" spans="1:11" x14ac:dyDescent="0.35">
      <c r="A3400" s="5">
        <v>45722</v>
      </c>
      <c r="B3400" s="3">
        <v>0.76887731481481481</v>
      </c>
      <c r="C3400" t="s">
        <v>8</v>
      </c>
      <c r="D3400" t="s">
        <v>1209</v>
      </c>
      <c r="E3400" s="4">
        <v>35.76</v>
      </c>
      <c r="F3400" t="s">
        <v>24</v>
      </c>
      <c r="G3400" s="10" t="str">
        <f>TEXT(Transform_Data[[#This Row],[Date]],"mmm yyyy")</f>
        <v>Mar 2025</v>
      </c>
      <c r="H3400" s="10">
        <f>HOUR(Transform_Data[[#This Row],[Time]])</f>
        <v>18</v>
      </c>
      <c r="I3400" s="10" t="str">
        <f>IF(COUNTIF('Transform Data'!$D:$D,'Transform Data'!D3400)&gt;1,"Repeat","Single")</f>
        <v>Repeat</v>
      </c>
      <c r="J3400" s="10" t="str">
        <f>IF('Transform Data'!D3400="Cash","Cash",IF(COUNTIF('Transform Data'!$D:$D,'Transform Data'!D3400)&gt;1,"Repeat","Single"))</f>
        <v>Repeat</v>
      </c>
      <c r="K3400" s="10" t="str">
        <f t="shared" si="53"/>
        <v>TRANS-3399</v>
      </c>
    </row>
    <row r="3401" spans="1:11" x14ac:dyDescent="0.35">
      <c r="A3401" s="5">
        <v>45722</v>
      </c>
      <c r="B3401" s="3">
        <v>0.80706018518518519</v>
      </c>
      <c r="C3401" t="s">
        <v>8</v>
      </c>
      <c r="D3401" t="s">
        <v>1204</v>
      </c>
      <c r="E3401" s="4">
        <v>30.86</v>
      </c>
      <c r="F3401" t="s">
        <v>36</v>
      </c>
      <c r="G3401" s="10" t="str">
        <f>TEXT(Transform_Data[[#This Row],[Date]],"mmm yyyy")</f>
        <v>Mar 2025</v>
      </c>
      <c r="H3401" s="10">
        <f>HOUR(Transform_Data[[#This Row],[Time]])</f>
        <v>19</v>
      </c>
      <c r="I3401" s="10" t="str">
        <f>IF(COUNTIF('Transform Data'!$D:$D,'Transform Data'!D3401)&gt;1,"Repeat","Single")</f>
        <v>Repeat</v>
      </c>
      <c r="J3401" s="10" t="str">
        <f>IF('Transform Data'!D3401="Cash","Cash",IF(COUNTIF('Transform Data'!$D:$D,'Transform Data'!D3401)&gt;1,"Repeat","Single"))</f>
        <v>Repeat</v>
      </c>
      <c r="K3401" s="10" t="str">
        <f t="shared" si="53"/>
        <v>TRANS-3400</v>
      </c>
    </row>
    <row r="3402" spans="1:11" x14ac:dyDescent="0.35">
      <c r="A3402" s="5">
        <v>45723</v>
      </c>
      <c r="B3402" s="3">
        <v>0.29562500000000003</v>
      </c>
      <c r="C3402" t="s">
        <v>8</v>
      </c>
      <c r="D3402" t="s">
        <v>1212</v>
      </c>
      <c r="E3402" s="4">
        <v>35.76</v>
      </c>
      <c r="F3402" t="s">
        <v>24</v>
      </c>
      <c r="G3402" s="10" t="str">
        <f>TEXT(Transform_Data[[#This Row],[Date]],"mmm yyyy")</f>
        <v>Mar 2025</v>
      </c>
      <c r="H3402" s="10">
        <f>HOUR(Transform_Data[[#This Row],[Time]])</f>
        <v>7</v>
      </c>
      <c r="I3402" s="10" t="str">
        <f>IF(COUNTIF('Transform Data'!$D:$D,'Transform Data'!D3402)&gt;1,"Repeat","Single")</f>
        <v>Repeat</v>
      </c>
      <c r="J3402" s="10" t="str">
        <f>IF('Transform Data'!D3402="Cash","Cash",IF(COUNTIF('Transform Data'!$D:$D,'Transform Data'!D3402)&gt;1,"Repeat","Single"))</f>
        <v>Repeat</v>
      </c>
      <c r="K3402" s="10" t="str">
        <f t="shared" si="53"/>
        <v>TRANS-3401</v>
      </c>
    </row>
    <row r="3403" spans="1:11" x14ac:dyDescent="0.35">
      <c r="A3403" s="5">
        <v>45723</v>
      </c>
      <c r="B3403" s="3">
        <v>0.36469907407407409</v>
      </c>
      <c r="C3403" t="s">
        <v>8</v>
      </c>
      <c r="D3403" t="s">
        <v>6</v>
      </c>
      <c r="E3403" s="4">
        <v>25.96</v>
      </c>
      <c r="F3403" t="s">
        <v>28</v>
      </c>
      <c r="G3403" s="10" t="str">
        <f>TEXT(Transform_Data[[#This Row],[Date]],"mmm yyyy")</f>
        <v>Mar 2025</v>
      </c>
      <c r="H3403" s="10">
        <f>HOUR(Transform_Data[[#This Row],[Time]])</f>
        <v>8</v>
      </c>
      <c r="I3403" s="10" t="str">
        <f>IF(COUNTIF('Transform Data'!$D:$D,'Transform Data'!D3403)&gt;1,"Repeat","Single")</f>
        <v>Repeat</v>
      </c>
      <c r="J3403" s="10" t="str">
        <f>IF('Transform Data'!D3403="Cash","Cash",IF(COUNTIF('Transform Data'!$D:$D,'Transform Data'!D3403)&gt;1,"Repeat","Single"))</f>
        <v>Repeat</v>
      </c>
      <c r="K3403" s="10" t="str">
        <f t="shared" si="53"/>
        <v>TRANS-3402</v>
      </c>
    </row>
    <row r="3404" spans="1:11" x14ac:dyDescent="0.35">
      <c r="A3404" s="5">
        <v>45723</v>
      </c>
      <c r="B3404" s="3">
        <v>0.36531249999999998</v>
      </c>
      <c r="C3404" t="s">
        <v>8</v>
      </c>
      <c r="D3404" t="s">
        <v>6</v>
      </c>
      <c r="E3404" s="4">
        <v>25.96</v>
      </c>
      <c r="F3404" t="s">
        <v>28</v>
      </c>
      <c r="G3404" s="10" t="str">
        <f>TEXT(Transform_Data[[#This Row],[Date]],"mmm yyyy")</f>
        <v>Mar 2025</v>
      </c>
      <c r="H3404" s="10">
        <f>HOUR(Transform_Data[[#This Row],[Time]])</f>
        <v>8</v>
      </c>
      <c r="I3404" s="10" t="str">
        <f>IF(COUNTIF('Transform Data'!$D:$D,'Transform Data'!D3404)&gt;1,"Repeat","Single")</f>
        <v>Repeat</v>
      </c>
      <c r="J3404" s="10" t="str">
        <f>IF('Transform Data'!D3404="Cash","Cash",IF(COUNTIF('Transform Data'!$D:$D,'Transform Data'!D3404)&gt;1,"Repeat","Single"))</f>
        <v>Repeat</v>
      </c>
      <c r="K3404" s="10" t="str">
        <f t="shared" si="53"/>
        <v>TRANS-3403</v>
      </c>
    </row>
    <row r="3405" spans="1:11" x14ac:dyDescent="0.35">
      <c r="A3405" s="5">
        <v>45723</v>
      </c>
      <c r="B3405" s="3">
        <v>0.37685185185185183</v>
      </c>
      <c r="C3405" t="s">
        <v>8</v>
      </c>
      <c r="D3405" t="s">
        <v>33</v>
      </c>
      <c r="E3405" s="4">
        <v>25.96</v>
      </c>
      <c r="F3405" t="s">
        <v>28</v>
      </c>
      <c r="G3405" s="10" t="str">
        <f>TEXT(Transform_Data[[#This Row],[Date]],"mmm yyyy")</f>
        <v>Mar 2025</v>
      </c>
      <c r="H3405" s="10">
        <f>HOUR(Transform_Data[[#This Row],[Time]])</f>
        <v>9</v>
      </c>
      <c r="I3405" s="10" t="str">
        <f>IF(COUNTIF('Transform Data'!$D:$D,'Transform Data'!D3405)&gt;1,"Repeat","Single")</f>
        <v>Repeat</v>
      </c>
      <c r="J3405" s="10" t="str">
        <f>IF('Transform Data'!D3405="Cash","Cash",IF(COUNTIF('Transform Data'!$D:$D,'Transform Data'!D3405)&gt;1,"Repeat","Single"))</f>
        <v>Repeat</v>
      </c>
      <c r="K3405" s="10" t="str">
        <f t="shared" si="53"/>
        <v>TRANS-3404</v>
      </c>
    </row>
    <row r="3406" spans="1:11" x14ac:dyDescent="0.35">
      <c r="A3406" s="5">
        <v>45723</v>
      </c>
      <c r="B3406" s="3">
        <v>0.42357638888888888</v>
      </c>
      <c r="C3406" t="s">
        <v>8</v>
      </c>
      <c r="D3406" t="s">
        <v>1206</v>
      </c>
      <c r="E3406" s="4">
        <v>35.76</v>
      </c>
      <c r="F3406" t="s">
        <v>15</v>
      </c>
      <c r="G3406" s="10" t="str">
        <f>TEXT(Transform_Data[[#This Row],[Date]],"mmm yyyy")</f>
        <v>Mar 2025</v>
      </c>
      <c r="H3406" s="10">
        <f>HOUR(Transform_Data[[#This Row],[Time]])</f>
        <v>10</v>
      </c>
      <c r="I3406" s="10" t="str">
        <f>IF(COUNTIF('Transform Data'!$D:$D,'Transform Data'!D3406)&gt;1,"Repeat","Single")</f>
        <v>Repeat</v>
      </c>
      <c r="J3406" s="10" t="str">
        <f>IF('Transform Data'!D3406="Cash","Cash",IF(COUNTIF('Transform Data'!$D:$D,'Transform Data'!D3406)&gt;1,"Repeat","Single"))</f>
        <v>Repeat</v>
      </c>
      <c r="K3406" s="10" t="str">
        <f t="shared" si="53"/>
        <v>TRANS-3405</v>
      </c>
    </row>
    <row r="3407" spans="1:11" x14ac:dyDescent="0.35">
      <c r="A3407" s="5">
        <v>45723</v>
      </c>
      <c r="B3407" s="3">
        <v>0.43511574074074072</v>
      </c>
      <c r="C3407" t="s">
        <v>8</v>
      </c>
      <c r="D3407" t="s">
        <v>1316</v>
      </c>
      <c r="E3407" s="4">
        <v>30.86</v>
      </c>
      <c r="F3407" t="s">
        <v>36</v>
      </c>
      <c r="G3407" s="10" t="str">
        <f>TEXT(Transform_Data[[#This Row],[Date]],"mmm yyyy")</f>
        <v>Mar 2025</v>
      </c>
      <c r="H3407" s="10">
        <f>HOUR(Transform_Data[[#This Row],[Time]])</f>
        <v>10</v>
      </c>
      <c r="I3407" s="10" t="str">
        <f>IF(COUNTIF('Transform Data'!$D:$D,'Transform Data'!D3407)&gt;1,"Repeat","Single")</f>
        <v>Repeat</v>
      </c>
      <c r="J3407" s="10" t="str">
        <f>IF('Transform Data'!D3407="Cash","Cash",IF(COUNTIF('Transform Data'!$D:$D,'Transform Data'!D3407)&gt;1,"Repeat","Single"))</f>
        <v>Repeat</v>
      </c>
      <c r="K3407" s="10" t="str">
        <f t="shared" si="53"/>
        <v>TRANS-3406</v>
      </c>
    </row>
    <row r="3408" spans="1:11" x14ac:dyDescent="0.35">
      <c r="A3408" s="5">
        <v>45723</v>
      </c>
      <c r="B3408" s="3">
        <v>0.43578703703703703</v>
      </c>
      <c r="C3408" t="s">
        <v>8</v>
      </c>
      <c r="D3408" t="s">
        <v>1316</v>
      </c>
      <c r="E3408" s="4">
        <v>30.86</v>
      </c>
      <c r="F3408" t="s">
        <v>36</v>
      </c>
      <c r="G3408" s="10" t="str">
        <f>TEXT(Transform_Data[[#This Row],[Date]],"mmm yyyy")</f>
        <v>Mar 2025</v>
      </c>
      <c r="H3408" s="10">
        <f>HOUR(Transform_Data[[#This Row],[Time]])</f>
        <v>10</v>
      </c>
      <c r="I3408" s="10" t="str">
        <f>IF(COUNTIF('Transform Data'!$D:$D,'Transform Data'!D3408)&gt;1,"Repeat","Single")</f>
        <v>Repeat</v>
      </c>
      <c r="J3408" s="10" t="str">
        <f>IF('Transform Data'!D3408="Cash","Cash",IF(COUNTIF('Transform Data'!$D:$D,'Transform Data'!D3408)&gt;1,"Repeat","Single"))</f>
        <v>Repeat</v>
      </c>
      <c r="K3408" s="10" t="str">
        <f t="shared" si="53"/>
        <v>TRANS-3407</v>
      </c>
    </row>
    <row r="3409" spans="1:11" x14ac:dyDescent="0.35">
      <c r="A3409" s="5">
        <v>45723</v>
      </c>
      <c r="B3409" s="3">
        <v>0.44565972222222222</v>
      </c>
      <c r="C3409" t="s">
        <v>8</v>
      </c>
      <c r="D3409" t="s">
        <v>1312</v>
      </c>
      <c r="E3409" s="4">
        <v>35.76</v>
      </c>
      <c r="F3409" t="s">
        <v>10</v>
      </c>
      <c r="G3409" s="10" t="str">
        <f>TEXT(Transform_Data[[#This Row],[Date]],"mmm yyyy")</f>
        <v>Mar 2025</v>
      </c>
      <c r="H3409" s="10">
        <f>HOUR(Transform_Data[[#This Row],[Time]])</f>
        <v>10</v>
      </c>
      <c r="I3409" s="10" t="str">
        <f>IF(COUNTIF('Transform Data'!$D:$D,'Transform Data'!D3409)&gt;1,"Repeat","Single")</f>
        <v>Repeat</v>
      </c>
      <c r="J3409" s="10" t="str">
        <f>IF('Transform Data'!D3409="Cash","Cash",IF(COUNTIF('Transform Data'!$D:$D,'Transform Data'!D3409)&gt;1,"Repeat","Single"))</f>
        <v>Repeat</v>
      </c>
      <c r="K3409" s="10" t="str">
        <f t="shared" si="53"/>
        <v>TRANS-3408</v>
      </c>
    </row>
    <row r="3410" spans="1:11" x14ac:dyDescent="0.35">
      <c r="A3410" s="5">
        <v>45723</v>
      </c>
      <c r="B3410" s="3">
        <v>0.49373842592592593</v>
      </c>
      <c r="C3410" t="s">
        <v>8</v>
      </c>
      <c r="D3410" t="s">
        <v>1239</v>
      </c>
      <c r="E3410" s="4">
        <v>35.76</v>
      </c>
      <c r="F3410" t="s">
        <v>10</v>
      </c>
      <c r="G3410" s="10" t="str">
        <f>TEXT(Transform_Data[[#This Row],[Date]],"mmm yyyy")</f>
        <v>Mar 2025</v>
      </c>
      <c r="H3410" s="10">
        <f>HOUR(Transform_Data[[#This Row],[Time]])</f>
        <v>11</v>
      </c>
      <c r="I3410" s="10" t="str">
        <f>IF(COUNTIF('Transform Data'!$D:$D,'Transform Data'!D3410)&gt;1,"Repeat","Single")</f>
        <v>Repeat</v>
      </c>
      <c r="J3410" s="10" t="str">
        <f>IF('Transform Data'!D3410="Cash","Cash",IF(COUNTIF('Transform Data'!$D:$D,'Transform Data'!D3410)&gt;1,"Repeat","Single"))</f>
        <v>Repeat</v>
      </c>
      <c r="K3410" s="10" t="str">
        <f t="shared" si="53"/>
        <v>TRANS-3409</v>
      </c>
    </row>
    <row r="3411" spans="1:11" x14ac:dyDescent="0.35">
      <c r="A3411" s="5">
        <v>45723</v>
      </c>
      <c r="B3411" s="3">
        <v>0.50261574074074078</v>
      </c>
      <c r="C3411" t="s">
        <v>8</v>
      </c>
      <c r="D3411" t="s">
        <v>1208</v>
      </c>
      <c r="E3411" s="4">
        <v>30.86</v>
      </c>
      <c r="F3411" t="s">
        <v>36</v>
      </c>
      <c r="G3411" s="10" t="str">
        <f>TEXT(Transform_Data[[#This Row],[Date]],"mmm yyyy")</f>
        <v>Mar 2025</v>
      </c>
      <c r="H3411" s="10">
        <f>HOUR(Transform_Data[[#This Row],[Time]])</f>
        <v>12</v>
      </c>
      <c r="I3411" s="10" t="str">
        <f>IF(COUNTIF('Transform Data'!$D:$D,'Transform Data'!D3411)&gt;1,"Repeat","Single")</f>
        <v>Repeat</v>
      </c>
      <c r="J3411" s="10" t="str">
        <f>IF('Transform Data'!D3411="Cash","Cash",IF(COUNTIF('Transform Data'!$D:$D,'Transform Data'!D3411)&gt;1,"Repeat","Single"))</f>
        <v>Repeat</v>
      </c>
      <c r="K3411" s="10" t="str">
        <f t="shared" si="53"/>
        <v>TRANS-3410</v>
      </c>
    </row>
    <row r="3412" spans="1:11" x14ac:dyDescent="0.35">
      <c r="A3412" s="5">
        <v>45723</v>
      </c>
      <c r="B3412" s="3">
        <v>0.57208333333333339</v>
      </c>
      <c r="C3412" t="s">
        <v>8</v>
      </c>
      <c r="D3412" t="s">
        <v>1260</v>
      </c>
      <c r="E3412" s="4">
        <v>35.76</v>
      </c>
      <c r="F3412" t="s">
        <v>15</v>
      </c>
      <c r="G3412" s="10" t="str">
        <f>TEXT(Transform_Data[[#This Row],[Date]],"mmm yyyy")</f>
        <v>Mar 2025</v>
      </c>
      <c r="H3412" s="10">
        <f>HOUR(Transform_Data[[#This Row],[Time]])</f>
        <v>13</v>
      </c>
      <c r="I3412" s="10" t="str">
        <f>IF(COUNTIF('Transform Data'!$D:$D,'Transform Data'!D3412)&gt;1,"Repeat","Single")</f>
        <v>Repeat</v>
      </c>
      <c r="J3412" s="10" t="str">
        <f>IF('Transform Data'!D3412="Cash","Cash",IF(COUNTIF('Transform Data'!$D:$D,'Transform Data'!D3412)&gt;1,"Repeat","Single"))</f>
        <v>Repeat</v>
      </c>
      <c r="K3412" s="10" t="str">
        <f t="shared" si="53"/>
        <v>TRANS-3411</v>
      </c>
    </row>
    <row r="3413" spans="1:11" x14ac:dyDescent="0.35">
      <c r="A3413" s="5">
        <v>45723</v>
      </c>
      <c r="B3413" s="3">
        <v>0.58021990740740736</v>
      </c>
      <c r="C3413" t="s">
        <v>8</v>
      </c>
      <c r="D3413" t="s">
        <v>1310</v>
      </c>
      <c r="E3413" s="4">
        <v>25.96</v>
      </c>
      <c r="F3413" t="s">
        <v>28</v>
      </c>
      <c r="G3413" s="10" t="str">
        <f>TEXT(Transform_Data[[#This Row],[Date]],"mmm yyyy")</f>
        <v>Mar 2025</v>
      </c>
      <c r="H3413" s="10">
        <f>HOUR(Transform_Data[[#This Row],[Time]])</f>
        <v>13</v>
      </c>
      <c r="I3413" s="10" t="str">
        <f>IF(COUNTIF('Transform Data'!$D:$D,'Transform Data'!D3413)&gt;1,"Repeat","Single")</f>
        <v>Repeat</v>
      </c>
      <c r="J3413" s="10" t="str">
        <f>IF('Transform Data'!D3413="Cash","Cash",IF(COUNTIF('Transform Data'!$D:$D,'Transform Data'!D3413)&gt;1,"Repeat","Single"))</f>
        <v>Repeat</v>
      </c>
      <c r="K3413" s="10" t="str">
        <f t="shared" si="53"/>
        <v>TRANS-3412</v>
      </c>
    </row>
    <row r="3414" spans="1:11" x14ac:dyDescent="0.35">
      <c r="A3414" s="5">
        <v>45723</v>
      </c>
      <c r="B3414" s="3">
        <v>0.62048611111111107</v>
      </c>
      <c r="C3414" t="s">
        <v>8</v>
      </c>
      <c r="D3414" t="s">
        <v>1234</v>
      </c>
      <c r="E3414" s="4">
        <v>35.76</v>
      </c>
      <c r="F3414" t="s">
        <v>24</v>
      </c>
      <c r="G3414" s="10" t="str">
        <f>TEXT(Transform_Data[[#This Row],[Date]],"mmm yyyy")</f>
        <v>Mar 2025</v>
      </c>
      <c r="H3414" s="10">
        <f>HOUR(Transform_Data[[#This Row],[Time]])</f>
        <v>14</v>
      </c>
      <c r="I3414" s="10" t="str">
        <f>IF(COUNTIF('Transform Data'!$D:$D,'Transform Data'!D3414)&gt;1,"Repeat","Single")</f>
        <v>Repeat</v>
      </c>
      <c r="J3414" s="10" t="str">
        <f>IF('Transform Data'!D3414="Cash","Cash",IF(COUNTIF('Transform Data'!$D:$D,'Transform Data'!D3414)&gt;1,"Repeat","Single"))</f>
        <v>Repeat</v>
      </c>
      <c r="K3414" s="10" t="str">
        <f t="shared" si="53"/>
        <v>TRANS-3413</v>
      </c>
    </row>
    <row r="3415" spans="1:11" x14ac:dyDescent="0.35">
      <c r="A3415" s="5">
        <v>45723</v>
      </c>
      <c r="B3415" s="3">
        <v>0.63129629629629624</v>
      </c>
      <c r="C3415" t="s">
        <v>8</v>
      </c>
      <c r="D3415" t="s">
        <v>1241</v>
      </c>
      <c r="E3415" s="4">
        <v>35.76</v>
      </c>
      <c r="F3415" t="s">
        <v>32</v>
      </c>
      <c r="G3415" s="10" t="str">
        <f>TEXT(Transform_Data[[#This Row],[Date]],"mmm yyyy")</f>
        <v>Mar 2025</v>
      </c>
      <c r="H3415" s="10">
        <f>HOUR(Transform_Data[[#This Row],[Time]])</f>
        <v>15</v>
      </c>
      <c r="I3415" s="10" t="str">
        <f>IF(COUNTIF('Transform Data'!$D:$D,'Transform Data'!D3415)&gt;1,"Repeat","Single")</f>
        <v>Repeat</v>
      </c>
      <c r="J3415" s="10" t="str">
        <f>IF('Transform Data'!D3415="Cash","Cash",IF(COUNTIF('Transform Data'!$D:$D,'Transform Data'!D3415)&gt;1,"Repeat","Single"))</f>
        <v>Repeat</v>
      </c>
      <c r="K3415" s="10" t="str">
        <f t="shared" si="53"/>
        <v>TRANS-3414</v>
      </c>
    </row>
    <row r="3416" spans="1:11" x14ac:dyDescent="0.35">
      <c r="A3416" s="5">
        <v>45723</v>
      </c>
      <c r="B3416" s="3">
        <v>0.661712962962963</v>
      </c>
      <c r="C3416" t="s">
        <v>8</v>
      </c>
      <c r="D3416" t="s">
        <v>1214</v>
      </c>
      <c r="E3416" s="4">
        <v>35.76</v>
      </c>
      <c r="F3416" t="s">
        <v>32</v>
      </c>
      <c r="G3416" s="10" t="str">
        <f>TEXT(Transform_Data[[#This Row],[Date]],"mmm yyyy")</f>
        <v>Mar 2025</v>
      </c>
      <c r="H3416" s="10">
        <f>HOUR(Transform_Data[[#This Row],[Time]])</f>
        <v>15</v>
      </c>
      <c r="I3416" s="10" t="str">
        <f>IF(COUNTIF('Transform Data'!$D:$D,'Transform Data'!D3416)&gt;1,"Repeat","Single")</f>
        <v>Repeat</v>
      </c>
      <c r="J3416" s="10" t="str">
        <f>IF('Transform Data'!D3416="Cash","Cash",IF(COUNTIF('Transform Data'!$D:$D,'Transform Data'!D3416)&gt;1,"Repeat","Single"))</f>
        <v>Repeat</v>
      </c>
      <c r="K3416" s="10" t="str">
        <f t="shared" si="53"/>
        <v>TRANS-3415</v>
      </c>
    </row>
    <row r="3417" spans="1:11" x14ac:dyDescent="0.35">
      <c r="A3417" s="5">
        <v>45723</v>
      </c>
      <c r="B3417" s="3">
        <v>0.71561342592592592</v>
      </c>
      <c r="C3417" t="s">
        <v>8</v>
      </c>
      <c r="D3417" t="s">
        <v>1241</v>
      </c>
      <c r="E3417" s="4">
        <v>35.76</v>
      </c>
      <c r="F3417" t="s">
        <v>32</v>
      </c>
      <c r="G3417" s="10" t="str">
        <f>TEXT(Transform_Data[[#This Row],[Date]],"mmm yyyy")</f>
        <v>Mar 2025</v>
      </c>
      <c r="H3417" s="10">
        <f>HOUR(Transform_Data[[#This Row],[Time]])</f>
        <v>17</v>
      </c>
      <c r="I3417" s="10" t="str">
        <f>IF(COUNTIF('Transform Data'!$D:$D,'Transform Data'!D3417)&gt;1,"Repeat","Single")</f>
        <v>Repeat</v>
      </c>
      <c r="J3417" s="10" t="str">
        <f>IF('Transform Data'!D3417="Cash","Cash",IF(COUNTIF('Transform Data'!$D:$D,'Transform Data'!D3417)&gt;1,"Repeat","Single"))</f>
        <v>Repeat</v>
      </c>
      <c r="K3417" s="10" t="str">
        <f t="shared" si="53"/>
        <v>TRANS-3416</v>
      </c>
    </row>
    <row r="3418" spans="1:11" x14ac:dyDescent="0.35">
      <c r="A3418" s="5">
        <v>45723</v>
      </c>
      <c r="B3418" s="3">
        <v>0.71693287037037035</v>
      </c>
      <c r="C3418" t="s">
        <v>8</v>
      </c>
      <c r="D3418" t="s">
        <v>1215</v>
      </c>
      <c r="E3418" s="4">
        <v>35.76</v>
      </c>
      <c r="F3418" t="s">
        <v>15</v>
      </c>
      <c r="G3418" s="10" t="str">
        <f>TEXT(Transform_Data[[#This Row],[Date]],"mmm yyyy")</f>
        <v>Mar 2025</v>
      </c>
      <c r="H3418" s="10">
        <f>HOUR(Transform_Data[[#This Row],[Time]])</f>
        <v>17</v>
      </c>
      <c r="I3418" s="10" t="str">
        <f>IF(COUNTIF('Transform Data'!$D:$D,'Transform Data'!D3418)&gt;1,"Repeat","Single")</f>
        <v>Repeat</v>
      </c>
      <c r="J3418" s="10" t="str">
        <f>IF('Transform Data'!D3418="Cash","Cash",IF(COUNTIF('Transform Data'!$D:$D,'Transform Data'!D3418)&gt;1,"Repeat","Single"))</f>
        <v>Repeat</v>
      </c>
      <c r="K3418" s="10" t="str">
        <f t="shared" si="53"/>
        <v>TRANS-3417</v>
      </c>
    </row>
    <row r="3419" spans="1:11" x14ac:dyDescent="0.35">
      <c r="A3419" s="5">
        <v>45724</v>
      </c>
      <c r="B3419" s="3">
        <v>0.39148148148148149</v>
      </c>
      <c r="C3419" t="s">
        <v>8</v>
      </c>
      <c r="D3419" t="s">
        <v>1257</v>
      </c>
      <c r="E3419" s="4">
        <v>30.86</v>
      </c>
      <c r="F3419" t="s">
        <v>36</v>
      </c>
      <c r="G3419" s="10" t="str">
        <f>TEXT(Transform_Data[[#This Row],[Date]],"mmm yyyy")</f>
        <v>Mar 2025</v>
      </c>
      <c r="H3419" s="10">
        <f>HOUR(Transform_Data[[#This Row],[Time]])</f>
        <v>9</v>
      </c>
      <c r="I3419" s="10" t="str">
        <f>IF(COUNTIF('Transform Data'!$D:$D,'Transform Data'!D3419)&gt;1,"Repeat","Single")</f>
        <v>Repeat</v>
      </c>
      <c r="J3419" s="10" t="str">
        <f>IF('Transform Data'!D3419="Cash","Cash",IF(COUNTIF('Transform Data'!$D:$D,'Transform Data'!D3419)&gt;1,"Repeat","Single"))</f>
        <v>Repeat</v>
      </c>
      <c r="K3419" s="10" t="str">
        <f t="shared" si="53"/>
        <v>TRANS-3418</v>
      </c>
    </row>
    <row r="3420" spans="1:11" x14ac:dyDescent="0.35">
      <c r="A3420" s="5">
        <v>45724</v>
      </c>
      <c r="B3420" s="3">
        <v>0.40407407407407409</v>
      </c>
      <c r="C3420" t="s">
        <v>8</v>
      </c>
      <c r="D3420" t="s">
        <v>1213</v>
      </c>
      <c r="E3420" s="4">
        <v>30.86</v>
      </c>
      <c r="F3420" t="s">
        <v>36</v>
      </c>
      <c r="G3420" s="10" t="str">
        <f>TEXT(Transform_Data[[#This Row],[Date]],"mmm yyyy")</f>
        <v>Mar 2025</v>
      </c>
      <c r="H3420" s="10">
        <f>HOUR(Transform_Data[[#This Row],[Time]])</f>
        <v>9</v>
      </c>
      <c r="I3420" s="10" t="str">
        <f>IF(COUNTIF('Transform Data'!$D:$D,'Transform Data'!D3420)&gt;1,"Repeat","Single")</f>
        <v>Repeat</v>
      </c>
      <c r="J3420" s="10" t="str">
        <f>IF('Transform Data'!D3420="Cash","Cash",IF(COUNTIF('Transform Data'!$D:$D,'Transform Data'!D3420)&gt;1,"Repeat","Single"))</f>
        <v>Repeat</v>
      </c>
      <c r="K3420" s="10" t="str">
        <f t="shared" si="53"/>
        <v>TRANS-3419</v>
      </c>
    </row>
    <row r="3421" spans="1:11" x14ac:dyDescent="0.35">
      <c r="A3421" s="5">
        <v>45724</v>
      </c>
      <c r="B3421" s="3">
        <v>0.45431712962962961</v>
      </c>
      <c r="C3421" t="s">
        <v>8</v>
      </c>
      <c r="D3421" t="s">
        <v>33</v>
      </c>
      <c r="E3421" s="4">
        <v>25.96</v>
      </c>
      <c r="F3421" t="s">
        <v>28</v>
      </c>
      <c r="G3421" s="10" t="str">
        <f>TEXT(Transform_Data[[#This Row],[Date]],"mmm yyyy")</f>
        <v>Mar 2025</v>
      </c>
      <c r="H3421" s="10">
        <f>HOUR(Transform_Data[[#This Row],[Time]])</f>
        <v>10</v>
      </c>
      <c r="I3421" s="10" t="str">
        <f>IF(COUNTIF('Transform Data'!$D:$D,'Transform Data'!D3421)&gt;1,"Repeat","Single")</f>
        <v>Repeat</v>
      </c>
      <c r="J3421" s="10" t="str">
        <f>IF('Transform Data'!D3421="Cash","Cash",IF(COUNTIF('Transform Data'!$D:$D,'Transform Data'!D3421)&gt;1,"Repeat","Single"))</f>
        <v>Repeat</v>
      </c>
      <c r="K3421" s="10" t="str">
        <f t="shared" si="53"/>
        <v>TRANS-3420</v>
      </c>
    </row>
    <row r="3422" spans="1:11" x14ac:dyDescent="0.35">
      <c r="A3422" s="5">
        <v>45724</v>
      </c>
      <c r="B3422" s="3">
        <v>0.47204861111111113</v>
      </c>
      <c r="C3422" t="s">
        <v>8</v>
      </c>
      <c r="D3422" t="s">
        <v>1240</v>
      </c>
      <c r="E3422" s="4">
        <v>25.96</v>
      </c>
      <c r="F3422" t="s">
        <v>28</v>
      </c>
      <c r="G3422" s="10" t="str">
        <f>TEXT(Transform_Data[[#This Row],[Date]],"mmm yyyy")</f>
        <v>Mar 2025</v>
      </c>
      <c r="H3422" s="10">
        <f>HOUR(Transform_Data[[#This Row],[Time]])</f>
        <v>11</v>
      </c>
      <c r="I3422" s="10" t="str">
        <f>IF(COUNTIF('Transform Data'!$D:$D,'Transform Data'!D3422)&gt;1,"Repeat","Single")</f>
        <v>Repeat</v>
      </c>
      <c r="J3422" s="10" t="str">
        <f>IF('Transform Data'!D3422="Cash","Cash",IF(COUNTIF('Transform Data'!$D:$D,'Transform Data'!D3422)&gt;1,"Repeat","Single"))</f>
        <v>Repeat</v>
      </c>
      <c r="K3422" s="10" t="str">
        <f t="shared" si="53"/>
        <v>TRANS-3421</v>
      </c>
    </row>
    <row r="3423" spans="1:11" x14ac:dyDescent="0.35">
      <c r="A3423" s="5">
        <v>45724</v>
      </c>
      <c r="B3423" s="3">
        <v>0.47259259259259262</v>
      </c>
      <c r="C3423" t="s">
        <v>8</v>
      </c>
      <c r="D3423" t="s">
        <v>1240</v>
      </c>
      <c r="E3423" s="4">
        <v>25.96</v>
      </c>
      <c r="F3423" t="s">
        <v>28</v>
      </c>
      <c r="G3423" s="10" t="str">
        <f>TEXT(Transform_Data[[#This Row],[Date]],"mmm yyyy")</f>
        <v>Mar 2025</v>
      </c>
      <c r="H3423" s="10">
        <f>HOUR(Transform_Data[[#This Row],[Time]])</f>
        <v>11</v>
      </c>
      <c r="I3423" s="10" t="str">
        <f>IF(COUNTIF('Transform Data'!$D:$D,'Transform Data'!D3423)&gt;1,"Repeat","Single")</f>
        <v>Repeat</v>
      </c>
      <c r="J3423" s="10" t="str">
        <f>IF('Transform Data'!D3423="Cash","Cash",IF(COUNTIF('Transform Data'!$D:$D,'Transform Data'!D3423)&gt;1,"Repeat","Single"))</f>
        <v>Repeat</v>
      </c>
      <c r="K3423" s="10" t="str">
        <f t="shared" si="53"/>
        <v>TRANS-3422</v>
      </c>
    </row>
    <row r="3424" spans="1:11" x14ac:dyDescent="0.35">
      <c r="A3424" s="5">
        <v>45724</v>
      </c>
      <c r="B3424" s="3">
        <v>0.52869212962962964</v>
      </c>
      <c r="C3424" t="s">
        <v>8</v>
      </c>
      <c r="D3424" t="s">
        <v>1317</v>
      </c>
      <c r="E3424" s="4">
        <v>30.86</v>
      </c>
      <c r="F3424" t="s">
        <v>36</v>
      </c>
      <c r="G3424" s="10" t="str">
        <f>TEXT(Transform_Data[[#This Row],[Date]],"mmm yyyy")</f>
        <v>Mar 2025</v>
      </c>
      <c r="H3424" s="10">
        <f>HOUR(Transform_Data[[#This Row],[Time]])</f>
        <v>12</v>
      </c>
      <c r="I3424" s="10" t="str">
        <f>IF(COUNTIF('Transform Data'!$D:$D,'Transform Data'!D3424)&gt;1,"Repeat","Single")</f>
        <v>Repeat</v>
      </c>
      <c r="J3424" s="10" t="str">
        <f>IF('Transform Data'!D3424="Cash","Cash",IF(COUNTIF('Transform Data'!$D:$D,'Transform Data'!D3424)&gt;1,"Repeat","Single"))</f>
        <v>Repeat</v>
      </c>
      <c r="K3424" s="10" t="str">
        <f t="shared" si="53"/>
        <v>TRANS-3423</v>
      </c>
    </row>
    <row r="3425" spans="1:11" x14ac:dyDescent="0.35">
      <c r="A3425" s="5">
        <v>45724</v>
      </c>
      <c r="B3425" s="3">
        <v>0.53130787037037042</v>
      </c>
      <c r="C3425" t="s">
        <v>8</v>
      </c>
      <c r="D3425" t="s">
        <v>6</v>
      </c>
      <c r="E3425" s="4">
        <v>25.96</v>
      </c>
      <c r="F3425" t="s">
        <v>28</v>
      </c>
      <c r="G3425" s="10" t="str">
        <f>TEXT(Transform_Data[[#This Row],[Date]],"mmm yyyy")</f>
        <v>Mar 2025</v>
      </c>
      <c r="H3425" s="10">
        <f>HOUR(Transform_Data[[#This Row],[Time]])</f>
        <v>12</v>
      </c>
      <c r="I3425" s="10" t="str">
        <f>IF(COUNTIF('Transform Data'!$D:$D,'Transform Data'!D3425)&gt;1,"Repeat","Single")</f>
        <v>Repeat</v>
      </c>
      <c r="J3425" s="10" t="str">
        <f>IF('Transform Data'!D3425="Cash","Cash",IF(COUNTIF('Transform Data'!$D:$D,'Transform Data'!D3425)&gt;1,"Repeat","Single"))</f>
        <v>Repeat</v>
      </c>
      <c r="K3425" s="10" t="str">
        <f t="shared" si="53"/>
        <v>TRANS-3424</v>
      </c>
    </row>
    <row r="3426" spans="1:11" x14ac:dyDescent="0.35">
      <c r="A3426" s="5">
        <v>45724</v>
      </c>
      <c r="B3426" s="3">
        <v>0.56951388888888888</v>
      </c>
      <c r="C3426" t="s">
        <v>8</v>
      </c>
      <c r="D3426" t="s">
        <v>1213</v>
      </c>
      <c r="E3426" s="4">
        <v>35.76</v>
      </c>
      <c r="F3426" t="s">
        <v>24</v>
      </c>
      <c r="G3426" s="10" t="str">
        <f>TEXT(Transform_Data[[#This Row],[Date]],"mmm yyyy")</f>
        <v>Mar 2025</v>
      </c>
      <c r="H3426" s="10">
        <f>HOUR(Transform_Data[[#This Row],[Time]])</f>
        <v>13</v>
      </c>
      <c r="I3426" s="10" t="str">
        <f>IF(COUNTIF('Transform Data'!$D:$D,'Transform Data'!D3426)&gt;1,"Repeat","Single")</f>
        <v>Repeat</v>
      </c>
      <c r="J3426" s="10" t="str">
        <f>IF('Transform Data'!D3426="Cash","Cash",IF(COUNTIF('Transform Data'!$D:$D,'Transform Data'!D3426)&gt;1,"Repeat","Single"))</f>
        <v>Repeat</v>
      </c>
      <c r="K3426" s="10" t="str">
        <f t="shared" si="53"/>
        <v>TRANS-3425</v>
      </c>
    </row>
    <row r="3427" spans="1:11" x14ac:dyDescent="0.35">
      <c r="A3427" s="5">
        <v>45725</v>
      </c>
      <c r="B3427" s="3">
        <v>0.4042013888888889</v>
      </c>
      <c r="C3427" t="s">
        <v>8</v>
      </c>
      <c r="D3427" t="s">
        <v>1318</v>
      </c>
      <c r="E3427" s="4">
        <v>21.06</v>
      </c>
      <c r="F3427" t="s">
        <v>5</v>
      </c>
      <c r="G3427" s="10" t="str">
        <f>TEXT(Transform_Data[[#This Row],[Date]],"mmm yyyy")</f>
        <v>Mar 2025</v>
      </c>
      <c r="H3427" s="10">
        <f>HOUR(Transform_Data[[#This Row],[Time]])</f>
        <v>9</v>
      </c>
      <c r="I3427" s="10" t="str">
        <f>IF(COUNTIF('Transform Data'!$D:$D,'Transform Data'!D3427)&gt;1,"Repeat","Single")</f>
        <v>Single</v>
      </c>
      <c r="J3427" s="10" t="str">
        <f>IF('Transform Data'!D3427="Cash","Cash",IF(COUNTIF('Transform Data'!$D:$D,'Transform Data'!D3427)&gt;1,"Repeat","Single"))</f>
        <v>Single</v>
      </c>
      <c r="K3427" s="10" t="str">
        <f t="shared" si="53"/>
        <v>TRANS-3426</v>
      </c>
    </row>
    <row r="3428" spans="1:11" x14ac:dyDescent="0.35">
      <c r="A3428" s="5">
        <v>45725</v>
      </c>
      <c r="B3428" s="3">
        <v>0.47630787037037037</v>
      </c>
      <c r="C3428" t="s">
        <v>8</v>
      </c>
      <c r="D3428" t="s">
        <v>1319</v>
      </c>
      <c r="E3428" s="4">
        <v>30.86</v>
      </c>
      <c r="F3428" t="s">
        <v>36</v>
      </c>
      <c r="G3428" s="10" t="str">
        <f>TEXT(Transform_Data[[#This Row],[Date]],"mmm yyyy")</f>
        <v>Mar 2025</v>
      </c>
      <c r="H3428" s="10">
        <f>HOUR(Transform_Data[[#This Row],[Time]])</f>
        <v>11</v>
      </c>
      <c r="I3428" s="10" t="str">
        <f>IF(COUNTIF('Transform Data'!$D:$D,'Transform Data'!D3428)&gt;1,"Repeat","Single")</f>
        <v>Single</v>
      </c>
      <c r="J3428" s="10" t="str">
        <f>IF('Transform Data'!D3428="Cash","Cash",IF(COUNTIF('Transform Data'!$D:$D,'Transform Data'!D3428)&gt;1,"Repeat","Single"))</f>
        <v>Single</v>
      </c>
      <c r="K3428" s="10" t="str">
        <f t="shared" si="53"/>
        <v>TRANS-3427</v>
      </c>
    </row>
    <row r="3429" spans="1:11" x14ac:dyDescent="0.35">
      <c r="A3429" s="5">
        <v>45725</v>
      </c>
      <c r="B3429" s="3">
        <v>0.57773148148148146</v>
      </c>
      <c r="C3429" t="s">
        <v>8</v>
      </c>
      <c r="D3429" t="s">
        <v>1234</v>
      </c>
      <c r="E3429" s="4">
        <v>35.76</v>
      </c>
      <c r="F3429" t="s">
        <v>24</v>
      </c>
      <c r="G3429" s="10" t="str">
        <f>TEXT(Transform_Data[[#This Row],[Date]],"mmm yyyy")</f>
        <v>Mar 2025</v>
      </c>
      <c r="H3429" s="10">
        <f>HOUR(Transform_Data[[#This Row],[Time]])</f>
        <v>13</v>
      </c>
      <c r="I3429" s="10" t="str">
        <f>IF(COUNTIF('Transform Data'!$D:$D,'Transform Data'!D3429)&gt;1,"Repeat","Single")</f>
        <v>Repeat</v>
      </c>
      <c r="J3429" s="10" t="str">
        <f>IF('Transform Data'!D3429="Cash","Cash",IF(COUNTIF('Transform Data'!$D:$D,'Transform Data'!D3429)&gt;1,"Repeat","Single"))</f>
        <v>Repeat</v>
      </c>
      <c r="K3429" s="10" t="str">
        <f t="shared" si="53"/>
        <v>TRANS-3428</v>
      </c>
    </row>
    <row r="3430" spans="1:11" x14ac:dyDescent="0.35">
      <c r="A3430" s="5">
        <v>45725</v>
      </c>
      <c r="B3430" s="3">
        <v>0.5961805555555556</v>
      </c>
      <c r="C3430" t="s">
        <v>8</v>
      </c>
      <c r="D3430" t="s">
        <v>33</v>
      </c>
      <c r="E3430" s="4">
        <v>25.96</v>
      </c>
      <c r="F3430" t="s">
        <v>28</v>
      </c>
      <c r="G3430" s="10" t="str">
        <f>TEXT(Transform_Data[[#This Row],[Date]],"mmm yyyy")</f>
        <v>Mar 2025</v>
      </c>
      <c r="H3430" s="10">
        <f>HOUR(Transform_Data[[#This Row],[Time]])</f>
        <v>14</v>
      </c>
      <c r="I3430" s="10" t="str">
        <f>IF(COUNTIF('Transform Data'!$D:$D,'Transform Data'!D3430)&gt;1,"Repeat","Single")</f>
        <v>Repeat</v>
      </c>
      <c r="J3430" s="10" t="str">
        <f>IF('Transform Data'!D3430="Cash","Cash",IF(COUNTIF('Transform Data'!$D:$D,'Transform Data'!D3430)&gt;1,"Repeat","Single"))</f>
        <v>Repeat</v>
      </c>
      <c r="K3430" s="10" t="str">
        <f t="shared" si="53"/>
        <v>TRANS-3429</v>
      </c>
    </row>
    <row r="3431" spans="1:11" x14ac:dyDescent="0.35">
      <c r="A3431" s="5">
        <v>45725</v>
      </c>
      <c r="B3431" s="3">
        <v>0.63380787037037034</v>
      </c>
      <c r="C3431" t="s">
        <v>8</v>
      </c>
      <c r="D3431" t="s">
        <v>1204</v>
      </c>
      <c r="E3431" s="4">
        <v>35.76</v>
      </c>
      <c r="F3431" t="s">
        <v>24</v>
      </c>
      <c r="G3431" s="10" t="str">
        <f>TEXT(Transform_Data[[#This Row],[Date]],"mmm yyyy")</f>
        <v>Mar 2025</v>
      </c>
      <c r="H3431" s="10">
        <f>HOUR(Transform_Data[[#This Row],[Time]])</f>
        <v>15</v>
      </c>
      <c r="I3431" s="10" t="str">
        <f>IF(COUNTIF('Transform Data'!$D:$D,'Transform Data'!D3431)&gt;1,"Repeat","Single")</f>
        <v>Repeat</v>
      </c>
      <c r="J3431" s="10" t="str">
        <f>IF('Transform Data'!D3431="Cash","Cash",IF(COUNTIF('Transform Data'!$D:$D,'Transform Data'!D3431)&gt;1,"Repeat","Single"))</f>
        <v>Repeat</v>
      </c>
      <c r="K3431" s="10" t="str">
        <f t="shared" si="53"/>
        <v>TRANS-3430</v>
      </c>
    </row>
    <row r="3432" spans="1:11" x14ac:dyDescent="0.35">
      <c r="A3432" s="5">
        <v>45725</v>
      </c>
      <c r="B3432" s="3">
        <v>0.65216435185185184</v>
      </c>
      <c r="C3432" t="s">
        <v>8</v>
      </c>
      <c r="D3432" t="s">
        <v>6</v>
      </c>
      <c r="E3432" s="4">
        <v>25.96</v>
      </c>
      <c r="F3432" t="s">
        <v>28</v>
      </c>
      <c r="G3432" s="10" t="str">
        <f>TEXT(Transform_Data[[#This Row],[Date]],"mmm yyyy")</f>
        <v>Mar 2025</v>
      </c>
      <c r="H3432" s="10">
        <f>HOUR(Transform_Data[[#This Row],[Time]])</f>
        <v>15</v>
      </c>
      <c r="I3432" s="10" t="str">
        <f>IF(COUNTIF('Transform Data'!$D:$D,'Transform Data'!D3432)&gt;1,"Repeat","Single")</f>
        <v>Repeat</v>
      </c>
      <c r="J3432" s="10" t="str">
        <f>IF('Transform Data'!D3432="Cash","Cash",IF(COUNTIF('Transform Data'!$D:$D,'Transform Data'!D3432)&gt;1,"Repeat","Single"))</f>
        <v>Repeat</v>
      </c>
      <c r="K3432" s="10" t="str">
        <f t="shared" si="53"/>
        <v>TRANS-3431</v>
      </c>
    </row>
    <row r="3433" spans="1:11" x14ac:dyDescent="0.35">
      <c r="A3433" s="5">
        <v>45725</v>
      </c>
      <c r="B3433" s="3">
        <v>0.66156250000000005</v>
      </c>
      <c r="C3433" t="s">
        <v>8</v>
      </c>
      <c r="D3433" t="s">
        <v>1267</v>
      </c>
      <c r="E3433" s="4">
        <v>30.86</v>
      </c>
      <c r="F3433" t="s">
        <v>36</v>
      </c>
      <c r="G3433" s="10" t="str">
        <f>TEXT(Transform_Data[[#This Row],[Date]],"mmm yyyy")</f>
        <v>Mar 2025</v>
      </c>
      <c r="H3433" s="10">
        <f>HOUR(Transform_Data[[#This Row],[Time]])</f>
        <v>15</v>
      </c>
      <c r="I3433" s="10" t="str">
        <f>IF(COUNTIF('Transform Data'!$D:$D,'Transform Data'!D3433)&gt;1,"Repeat","Single")</f>
        <v>Repeat</v>
      </c>
      <c r="J3433" s="10" t="str">
        <f>IF('Transform Data'!D3433="Cash","Cash",IF(COUNTIF('Transform Data'!$D:$D,'Transform Data'!D3433)&gt;1,"Repeat","Single"))</f>
        <v>Repeat</v>
      </c>
      <c r="K3433" s="10" t="str">
        <f t="shared" si="53"/>
        <v>TRANS-3432</v>
      </c>
    </row>
    <row r="3434" spans="1:11" x14ac:dyDescent="0.35">
      <c r="A3434" s="5">
        <v>45725</v>
      </c>
      <c r="B3434" s="3">
        <v>0.66226851851851853</v>
      </c>
      <c r="C3434" t="s">
        <v>8</v>
      </c>
      <c r="D3434" t="s">
        <v>1320</v>
      </c>
      <c r="E3434" s="4">
        <v>35.76</v>
      </c>
      <c r="F3434" t="s">
        <v>10</v>
      </c>
      <c r="G3434" s="10" t="str">
        <f>TEXT(Transform_Data[[#This Row],[Date]],"mmm yyyy")</f>
        <v>Mar 2025</v>
      </c>
      <c r="H3434" s="10">
        <f>HOUR(Transform_Data[[#This Row],[Time]])</f>
        <v>15</v>
      </c>
      <c r="I3434" s="10" t="str">
        <f>IF(COUNTIF('Transform Data'!$D:$D,'Transform Data'!D3434)&gt;1,"Repeat","Single")</f>
        <v>Single</v>
      </c>
      <c r="J3434" s="10" t="str">
        <f>IF('Transform Data'!D3434="Cash","Cash",IF(COUNTIF('Transform Data'!$D:$D,'Transform Data'!D3434)&gt;1,"Repeat","Single"))</f>
        <v>Single</v>
      </c>
      <c r="K3434" s="10" t="str">
        <f t="shared" si="53"/>
        <v>TRANS-3433</v>
      </c>
    </row>
    <row r="3435" spans="1:11" x14ac:dyDescent="0.35">
      <c r="A3435" s="5">
        <v>45726</v>
      </c>
      <c r="B3435" s="3">
        <v>0.35744212962962962</v>
      </c>
      <c r="C3435" t="s">
        <v>8</v>
      </c>
      <c r="D3435" t="s">
        <v>1321</v>
      </c>
      <c r="E3435" s="4">
        <v>25.96</v>
      </c>
      <c r="F3435" t="s">
        <v>28</v>
      </c>
      <c r="G3435" s="10" t="str">
        <f>TEXT(Transform_Data[[#This Row],[Date]],"mmm yyyy")</f>
        <v>Mar 2025</v>
      </c>
      <c r="H3435" s="10">
        <f>HOUR(Transform_Data[[#This Row],[Time]])</f>
        <v>8</v>
      </c>
      <c r="I3435" s="10" t="str">
        <f>IF(COUNTIF('Transform Data'!$D:$D,'Transform Data'!D3435)&gt;1,"Repeat","Single")</f>
        <v>Repeat</v>
      </c>
      <c r="J3435" s="10" t="str">
        <f>IF('Transform Data'!D3435="Cash","Cash",IF(COUNTIF('Transform Data'!$D:$D,'Transform Data'!D3435)&gt;1,"Repeat","Single"))</f>
        <v>Repeat</v>
      </c>
      <c r="K3435" s="10" t="str">
        <f t="shared" si="53"/>
        <v>TRANS-3434</v>
      </c>
    </row>
    <row r="3436" spans="1:11" x14ac:dyDescent="0.35">
      <c r="A3436" s="5">
        <v>45726</v>
      </c>
      <c r="B3436" s="3">
        <v>0.35810185185185184</v>
      </c>
      <c r="C3436" t="s">
        <v>8</v>
      </c>
      <c r="D3436" t="s">
        <v>1321</v>
      </c>
      <c r="E3436" s="4">
        <v>35.76</v>
      </c>
      <c r="F3436" t="s">
        <v>32</v>
      </c>
      <c r="G3436" s="10" t="str">
        <f>TEXT(Transform_Data[[#This Row],[Date]],"mmm yyyy")</f>
        <v>Mar 2025</v>
      </c>
      <c r="H3436" s="10">
        <f>HOUR(Transform_Data[[#This Row],[Time]])</f>
        <v>8</v>
      </c>
      <c r="I3436" s="10" t="str">
        <f>IF(COUNTIF('Transform Data'!$D:$D,'Transform Data'!D3436)&gt;1,"Repeat","Single")</f>
        <v>Repeat</v>
      </c>
      <c r="J3436" s="10" t="str">
        <f>IF('Transform Data'!D3436="Cash","Cash",IF(COUNTIF('Transform Data'!$D:$D,'Transform Data'!D3436)&gt;1,"Repeat","Single"))</f>
        <v>Repeat</v>
      </c>
      <c r="K3436" s="10" t="str">
        <f t="shared" si="53"/>
        <v>TRANS-3435</v>
      </c>
    </row>
    <row r="3437" spans="1:11" x14ac:dyDescent="0.35">
      <c r="A3437" s="5">
        <v>45726</v>
      </c>
      <c r="B3437" s="3">
        <v>0.37947916666666665</v>
      </c>
      <c r="C3437" t="s">
        <v>8</v>
      </c>
      <c r="D3437" t="s">
        <v>1204</v>
      </c>
      <c r="E3437" s="4">
        <v>30.86</v>
      </c>
      <c r="F3437" t="s">
        <v>36</v>
      </c>
      <c r="G3437" s="10" t="str">
        <f>TEXT(Transform_Data[[#This Row],[Date]],"mmm yyyy")</f>
        <v>Mar 2025</v>
      </c>
      <c r="H3437" s="10">
        <f>HOUR(Transform_Data[[#This Row],[Time]])</f>
        <v>9</v>
      </c>
      <c r="I3437" s="10" t="str">
        <f>IF(COUNTIF('Transform Data'!$D:$D,'Transform Data'!D3437)&gt;1,"Repeat","Single")</f>
        <v>Repeat</v>
      </c>
      <c r="J3437" s="10" t="str">
        <f>IF('Transform Data'!D3437="Cash","Cash",IF(COUNTIF('Transform Data'!$D:$D,'Transform Data'!D3437)&gt;1,"Repeat","Single"))</f>
        <v>Repeat</v>
      </c>
      <c r="K3437" s="10" t="str">
        <f t="shared" si="53"/>
        <v>TRANS-3436</v>
      </c>
    </row>
    <row r="3438" spans="1:11" x14ac:dyDescent="0.35">
      <c r="A3438" s="5">
        <v>45726</v>
      </c>
      <c r="B3438" s="3">
        <v>0.38851851851851854</v>
      </c>
      <c r="C3438" t="s">
        <v>8</v>
      </c>
      <c r="D3438" t="s">
        <v>1260</v>
      </c>
      <c r="E3438" s="4">
        <v>35.76</v>
      </c>
      <c r="F3438" t="s">
        <v>15</v>
      </c>
      <c r="G3438" s="10" t="str">
        <f>TEXT(Transform_Data[[#This Row],[Date]],"mmm yyyy")</f>
        <v>Mar 2025</v>
      </c>
      <c r="H3438" s="10">
        <f>HOUR(Transform_Data[[#This Row],[Time]])</f>
        <v>9</v>
      </c>
      <c r="I3438" s="10" t="str">
        <f>IF(COUNTIF('Transform Data'!$D:$D,'Transform Data'!D3438)&gt;1,"Repeat","Single")</f>
        <v>Repeat</v>
      </c>
      <c r="J3438" s="10" t="str">
        <f>IF('Transform Data'!D3438="Cash","Cash",IF(COUNTIF('Transform Data'!$D:$D,'Transform Data'!D3438)&gt;1,"Repeat","Single"))</f>
        <v>Repeat</v>
      </c>
      <c r="K3438" s="10" t="str">
        <f t="shared" si="53"/>
        <v>TRANS-3437</v>
      </c>
    </row>
    <row r="3439" spans="1:11" x14ac:dyDescent="0.35">
      <c r="A3439" s="5">
        <v>45726</v>
      </c>
      <c r="B3439" s="3">
        <v>0.4103472222222222</v>
      </c>
      <c r="C3439" t="s">
        <v>8</v>
      </c>
      <c r="D3439" t="s">
        <v>1322</v>
      </c>
      <c r="E3439" s="4">
        <v>35.76</v>
      </c>
      <c r="F3439" t="s">
        <v>10</v>
      </c>
      <c r="G3439" s="10" t="str">
        <f>TEXT(Transform_Data[[#This Row],[Date]],"mmm yyyy")</f>
        <v>Mar 2025</v>
      </c>
      <c r="H3439" s="10">
        <f>HOUR(Transform_Data[[#This Row],[Time]])</f>
        <v>9</v>
      </c>
      <c r="I3439" s="10" t="str">
        <f>IF(COUNTIF('Transform Data'!$D:$D,'Transform Data'!D3439)&gt;1,"Repeat","Single")</f>
        <v>Single</v>
      </c>
      <c r="J3439" s="10" t="str">
        <f>IF('Transform Data'!D3439="Cash","Cash",IF(COUNTIF('Transform Data'!$D:$D,'Transform Data'!D3439)&gt;1,"Repeat","Single"))</f>
        <v>Single</v>
      </c>
      <c r="K3439" s="10" t="str">
        <f t="shared" si="53"/>
        <v>TRANS-3438</v>
      </c>
    </row>
    <row r="3440" spans="1:11" x14ac:dyDescent="0.35">
      <c r="A3440" s="5">
        <v>45726</v>
      </c>
      <c r="B3440" s="3">
        <v>0.42982638888888891</v>
      </c>
      <c r="C3440" t="s">
        <v>8</v>
      </c>
      <c r="D3440" t="s">
        <v>1323</v>
      </c>
      <c r="E3440" s="4">
        <v>35.76</v>
      </c>
      <c r="F3440" t="s">
        <v>15</v>
      </c>
      <c r="G3440" s="10" t="str">
        <f>TEXT(Transform_Data[[#This Row],[Date]],"mmm yyyy")</f>
        <v>Mar 2025</v>
      </c>
      <c r="H3440" s="10">
        <f>HOUR(Transform_Data[[#This Row],[Time]])</f>
        <v>10</v>
      </c>
      <c r="I3440" s="10" t="str">
        <f>IF(COUNTIF('Transform Data'!$D:$D,'Transform Data'!D3440)&gt;1,"Repeat","Single")</f>
        <v>Single</v>
      </c>
      <c r="J3440" s="10" t="str">
        <f>IF('Transform Data'!D3440="Cash","Cash",IF(COUNTIF('Transform Data'!$D:$D,'Transform Data'!D3440)&gt;1,"Repeat","Single"))</f>
        <v>Single</v>
      </c>
      <c r="K3440" s="10" t="str">
        <f t="shared" si="53"/>
        <v>TRANS-3439</v>
      </c>
    </row>
    <row r="3441" spans="1:11" x14ac:dyDescent="0.35">
      <c r="A3441" s="5">
        <v>45726</v>
      </c>
      <c r="B3441" s="3">
        <v>0.52516203703703701</v>
      </c>
      <c r="C3441" t="s">
        <v>8</v>
      </c>
      <c r="D3441" t="s">
        <v>1221</v>
      </c>
      <c r="E3441" s="4">
        <v>25.96</v>
      </c>
      <c r="F3441" t="s">
        <v>28</v>
      </c>
      <c r="G3441" s="10" t="str">
        <f>TEXT(Transform_Data[[#This Row],[Date]],"mmm yyyy")</f>
        <v>Mar 2025</v>
      </c>
      <c r="H3441" s="10">
        <f>HOUR(Transform_Data[[#This Row],[Time]])</f>
        <v>12</v>
      </c>
      <c r="I3441" s="10" t="str">
        <f>IF(COUNTIF('Transform Data'!$D:$D,'Transform Data'!D3441)&gt;1,"Repeat","Single")</f>
        <v>Repeat</v>
      </c>
      <c r="J3441" s="10" t="str">
        <f>IF('Transform Data'!D3441="Cash","Cash",IF(COUNTIF('Transform Data'!$D:$D,'Transform Data'!D3441)&gt;1,"Repeat","Single"))</f>
        <v>Repeat</v>
      </c>
      <c r="K3441" s="10" t="str">
        <f t="shared" si="53"/>
        <v>TRANS-3440</v>
      </c>
    </row>
    <row r="3442" spans="1:11" x14ac:dyDescent="0.35">
      <c r="A3442" s="5">
        <v>45726</v>
      </c>
      <c r="B3442" s="3">
        <v>0.64732638888888894</v>
      </c>
      <c r="C3442" t="s">
        <v>8</v>
      </c>
      <c r="D3442" t="s">
        <v>1220</v>
      </c>
      <c r="E3442" s="4">
        <v>25.96</v>
      </c>
      <c r="F3442" t="s">
        <v>28</v>
      </c>
      <c r="G3442" s="10" t="str">
        <f>TEXT(Transform_Data[[#This Row],[Date]],"mmm yyyy")</f>
        <v>Mar 2025</v>
      </c>
      <c r="H3442" s="10">
        <f>HOUR(Transform_Data[[#This Row],[Time]])</f>
        <v>15</v>
      </c>
      <c r="I3442" s="10" t="str">
        <f>IF(COUNTIF('Transform Data'!$D:$D,'Transform Data'!D3442)&gt;1,"Repeat","Single")</f>
        <v>Repeat</v>
      </c>
      <c r="J3442" s="10" t="str">
        <f>IF('Transform Data'!D3442="Cash","Cash",IF(COUNTIF('Transform Data'!$D:$D,'Transform Data'!D3442)&gt;1,"Repeat","Single"))</f>
        <v>Repeat</v>
      </c>
      <c r="K3442" s="10" t="str">
        <f t="shared" si="53"/>
        <v>TRANS-3441</v>
      </c>
    </row>
    <row r="3443" spans="1:11" x14ac:dyDescent="0.35">
      <c r="A3443" s="5">
        <v>45726</v>
      </c>
      <c r="B3443" s="3">
        <v>0.65413194444444445</v>
      </c>
      <c r="C3443" t="s">
        <v>8</v>
      </c>
      <c r="D3443" t="s">
        <v>1262</v>
      </c>
      <c r="E3443" s="4">
        <v>35.76</v>
      </c>
      <c r="F3443" t="s">
        <v>15</v>
      </c>
      <c r="G3443" s="10" t="str">
        <f>TEXT(Transform_Data[[#This Row],[Date]],"mmm yyyy")</f>
        <v>Mar 2025</v>
      </c>
      <c r="H3443" s="10">
        <f>HOUR(Transform_Data[[#This Row],[Time]])</f>
        <v>15</v>
      </c>
      <c r="I3443" s="10" t="str">
        <f>IF(COUNTIF('Transform Data'!$D:$D,'Transform Data'!D3443)&gt;1,"Repeat","Single")</f>
        <v>Repeat</v>
      </c>
      <c r="J3443" s="10" t="str">
        <f>IF('Transform Data'!D3443="Cash","Cash",IF(COUNTIF('Transform Data'!$D:$D,'Transform Data'!D3443)&gt;1,"Repeat","Single"))</f>
        <v>Repeat</v>
      </c>
      <c r="K3443" s="10" t="str">
        <f t="shared" si="53"/>
        <v>TRANS-3442</v>
      </c>
    </row>
    <row r="3444" spans="1:11" x14ac:dyDescent="0.35">
      <c r="A3444" s="5">
        <v>45726</v>
      </c>
      <c r="B3444" s="3">
        <v>0.6791666666666667</v>
      </c>
      <c r="C3444" t="s">
        <v>8</v>
      </c>
      <c r="D3444" t="s">
        <v>1241</v>
      </c>
      <c r="E3444" s="4">
        <v>35.76</v>
      </c>
      <c r="F3444" t="s">
        <v>32</v>
      </c>
      <c r="G3444" s="10" t="str">
        <f>TEXT(Transform_Data[[#This Row],[Date]],"mmm yyyy")</f>
        <v>Mar 2025</v>
      </c>
      <c r="H3444" s="10">
        <f>HOUR(Transform_Data[[#This Row],[Time]])</f>
        <v>16</v>
      </c>
      <c r="I3444" s="10" t="str">
        <f>IF(COUNTIF('Transform Data'!$D:$D,'Transform Data'!D3444)&gt;1,"Repeat","Single")</f>
        <v>Repeat</v>
      </c>
      <c r="J3444" s="10" t="str">
        <f>IF('Transform Data'!D3444="Cash","Cash",IF(COUNTIF('Transform Data'!$D:$D,'Transform Data'!D3444)&gt;1,"Repeat","Single"))</f>
        <v>Repeat</v>
      </c>
      <c r="K3444" s="10" t="str">
        <f t="shared" si="53"/>
        <v>TRANS-3443</v>
      </c>
    </row>
    <row r="3445" spans="1:11" x14ac:dyDescent="0.35">
      <c r="A3445" s="5">
        <v>45726</v>
      </c>
      <c r="B3445" s="3">
        <v>0.67979166666666668</v>
      </c>
      <c r="C3445" t="s">
        <v>8</v>
      </c>
      <c r="D3445" t="s">
        <v>1215</v>
      </c>
      <c r="E3445" s="4">
        <v>35.76</v>
      </c>
      <c r="F3445" t="s">
        <v>32</v>
      </c>
      <c r="G3445" s="10" t="str">
        <f>TEXT(Transform_Data[[#This Row],[Date]],"mmm yyyy")</f>
        <v>Mar 2025</v>
      </c>
      <c r="H3445" s="10">
        <f>HOUR(Transform_Data[[#This Row],[Time]])</f>
        <v>16</v>
      </c>
      <c r="I3445" s="10" t="str">
        <f>IF(COUNTIF('Transform Data'!$D:$D,'Transform Data'!D3445)&gt;1,"Repeat","Single")</f>
        <v>Repeat</v>
      </c>
      <c r="J3445" s="10" t="str">
        <f>IF('Transform Data'!D3445="Cash","Cash",IF(COUNTIF('Transform Data'!$D:$D,'Transform Data'!D3445)&gt;1,"Repeat","Single"))</f>
        <v>Repeat</v>
      </c>
      <c r="K3445" s="10" t="str">
        <f t="shared" si="53"/>
        <v>TRANS-3444</v>
      </c>
    </row>
    <row r="3446" spans="1:11" x14ac:dyDescent="0.35">
      <c r="A3446" s="5">
        <v>45726</v>
      </c>
      <c r="B3446" s="3">
        <v>0.68362268518518521</v>
      </c>
      <c r="C3446" t="s">
        <v>8</v>
      </c>
      <c r="D3446" t="s">
        <v>1324</v>
      </c>
      <c r="E3446" s="4">
        <v>35.76</v>
      </c>
      <c r="F3446" t="s">
        <v>24</v>
      </c>
      <c r="G3446" s="10" t="str">
        <f>TEXT(Transform_Data[[#This Row],[Date]],"mmm yyyy")</f>
        <v>Mar 2025</v>
      </c>
      <c r="H3446" s="10">
        <f>HOUR(Transform_Data[[#This Row],[Time]])</f>
        <v>16</v>
      </c>
      <c r="I3446" s="10" t="str">
        <f>IF(COUNTIF('Transform Data'!$D:$D,'Transform Data'!D3446)&gt;1,"Repeat","Single")</f>
        <v>Repeat</v>
      </c>
      <c r="J3446" s="10" t="str">
        <f>IF('Transform Data'!D3446="Cash","Cash",IF(COUNTIF('Transform Data'!$D:$D,'Transform Data'!D3446)&gt;1,"Repeat","Single"))</f>
        <v>Repeat</v>
      </c>
      <c r="K3446" s="10" t="str">
        <f t="shared" si="53"/>
        <v>TRANS-3445</v>
      </c>
    </row>
    <row r="3447" spans="1:11" x14ac:dyDescent="0.35">
      <c r="A3447" s="5">
        <v>45726</v>
      </c>
      <c r="B3447" s="3">
        <v>0.68439814814814814</v>
      </c>
      <c r="C3447" t="s">
        <v>8</v>
      </c>
      <c r="D3447" t="s">
        <v>1324</v>
      </c>
      <c r="E3447" s="4">
        <v>30.86</v>
      </c>
      <c r="F3447" t="s">
        <v>36</v>
      </c>
      <c r="G3447" s="10" t="str">
        <f>TEXT(Transform_Data[[#This Row],[Date]],"mmm yyyy")</f>
        <v>Mar 2025</v>
      </c>
      <c r="H3447" s="10">
        <f>HOUR(Transform_Data[[#This Row],[Time]])</f>
        <v>16</v>
      </c>
      <c r="I3447" s="10" t="str">
        <f>IF(COUNTIF('Transform Data'!$D:$D,'Transform Data'!D3447)&gt;1,"Repeat","Single")</f>
        <v>Repeat</v>
      </c>
      <c r="J3447" s="10" t="str">
        <f>IF('Transform Data'!D3447="Cash","Cash",IF(COUNTIF('Transform Data'!$D:$D,'Transform Data'!D3447)&gt;1,"Repeat","Single"))</f>
        <v>Repeat</v>
      </c>
      <c r="K3447" s="10" t="str">
        <f t="shared" si="53"/>
        <v>TRANS-3446</v>
      </c>
    </row>
    <row r="3448" spans="1:11" x14ac:dyDescent="0.35">
      <c r="A3448" s="5">
        <v>45726</v>
      </c>
      <c r="B3448" s="3">
        <v>0.76104166666666662</v>
      </c>
      <c r="C3448" t="s">
        <v>8</v>
      </c>
      <c r="D3448" t="s">
        <v>1220</v>
      </c>
      <c r="E3448" s="4">
        <v>25.96</v>
      </c>
      <c r="F3448" t="s">
        <v>28</v>
      </c>
      <c r="G3448" s="10" t="str">
        <f>TEXT(Transform_Data[[#This Row],[Date]],"mmm yyyy")</f>
        <v>Mar 2025</v>
      </c>
      <c r="H3448" s="10">
        <f>HOUR(Transform_Data[[#This Row],[Time]])</f>
        <v>18</v>
      </c>
      <c r="I3448" s="10" t="str">
        <f>IF(COUNTIF('Transform Data'!$D:$D,'Transform Data'!D3448)&gt;1,"Repeat","Single")</f>
        <v>Repeat</v>
      </c>
      <c r="J3448" s="10" t="str">
        <f>IF('Transform Data'!D3448="Cash","Cash",IF(COUNTIF('Transform Data'!$D:$D,'Transform Data'!D3448)&gt;1,"Repeat","Single"))</f>
        <v>Repeat</v>
      </c>
      <c r="K3448" s="10" t="str">
        <f t="shared" si="53"/>
        <v>TRANS-3447</v>
      </c>
    </row>
    <row r="3449" spans="1:11" x14ac:dyDescent="0.35">
      <c r="A3449" s="5">
        <v>45726</v>
      </c>
      <c r="B3449" s="3">
        <v>0.7836805555555556</v>
      </c>
      <c r="C3449" t="s">
        <v>8</v>
      </c>
      <c r="D3449" t="s">
        <v>1307</v>
      </c>
      <c r="E3449" s="4">
        <v>35.76</v>
      </c>
      <c r="F3449" t="s">
        <v>32</v>
      </c>
      <c r="G3449" s="10" t="str">
        <f>TEXT(Transform_Data[[#This Row],[Date]],"mmm yyyy")</f>
        <v>Mar 2025</v>
      </c>
      <c r="H3449" s="10">
        <f>HOUR(Transform_Data[[#This Row],[Time]])</f>
        <v>18</v>
      </c>
      <c r="I3449" s="10" t="str">
        <f>IF(COUNTIF('Transform Data'!$D:$D,'Transform Data'!D3449)&gt;1,"Repeat","Single")</f>
        <v>Repeat</v>
      </c>
      <c r="J3449" s="10" t="str">
        <f>IF('Transform Data'!D3449="Cash","Cash",IF(COUNTIF('Transform Data'!$D:$D,'Transform Data'!D3449)&gt;1,"Repeat","Single"))</f>
        <v>Repeat</v>
      </c>
      <c r="K3449" s="10" t="str">
        <f t="shared" si="53"/>
        <v>TRANS-3448</v>
      </c>
    </row>
    <row r="3450" spans="1:11" x14ac:dyDescent="0.35">
      <c r="A3450" s="5">
        <v>45726</v>
      </c>
      <c r="B3450" s="3">
        <v>0.7842824074074074</v>
      </c>
      <c r="C3450" t="s">
        <v>8</v>
      </c>
      <c r="D3450" t="s">
        <v>1307</v>
      </c>
      <c r="E3450" s="4">
        <v>35.76</v>
      </c>
      <c r="F3450" t="s">
        <v>32</v>
      </c>
      <c r="G3450" s="10" t="str">
        <f>TEXT(Transform_Data[[#This Row],[Date]],"mmm yyyy")</f>
        <v>Mar 2025</v>
      </c>
      <c r="H3450" s="10">
        <f>HOUR(Transform_Data[[#This Row],[Time]])</f>
        <v>18</v>
      </c>
      <c r="I3450" s="10" t="str">
        <f>IF(COUNTIF('Transform Data'!$D:$D,'Transform Data'!D3450)&gt;1,"Repeat","Single")</f>
        <v>Repeat</v>
      </c>
      <c r="J3450" s="10" t="str">
        <f>IF('Transform Data'!D3450="Cash","Cash",IF(COUNTIF('Transform Data'!$D:$D,'Transform Data'!D3450)&gt;1,"Repeat","Single"))</f>
        <v>Repeat</v>
      </c>
      <c r="K3450" s="10" t="str">
        <f t="shared" si="53"/>
        <v>TRANS-3449</v>
      </c>
    </row>
    <row r="3451" spans="1:11" x14ac:dyDescent="0.35">
      <c r="A3451" s="5">
        <v>45726</v>
      </c>
      <c r="B3451" s="3">
        <v>0.81020833333333331</v>
      </c>
      <c r="C3451" t="s">
        <v>8</v>
      </c>
      <c r="D3451" t="s">
        <v>1208</v>
      </c>
      <c r="E3451" s="4">
        <v>30.86</v>
      </c>
      <c r="F3451" t="s">
        <v>36</v>
      </c>
      <c r="G3451" s="10" t="str">
        <f>TEXT(Transform_Data[[#This Row],[Date]],"mmm yyyy")</f>
        <v>Mar 2025</v>
      </c>
      <c r="H3451" s="10">
        <f>HOUR(Transform_Data[[#This Row],[Time]])</f>
        <v>19</v>
      </c>
      <c r="I3451" s="10" t="str">
        <f>IF(COUNTIF('Transform Data'!$D:$D,'Transform Data'!D3451)&gt;1,"Repeat","Single")</f>
        <v>Repeat</v>
      </c>
      <c r="J3451" s="10" t="str">
        <f>IF('Transform Data'!D3451="Cash","Cash",IF(COUNTIF('Transform Data'!$D:$D,'Transform Data'!D3451)&gt;1,"Repeat","Single"))</f>
        <v>Repeat</v>
      </c>
      <c r="K3451" s="10" t="str">
        <f t="shared" si="53"/>
        <v>TRANS-3450</v>
      </c>
    </row>
    <row r="3452" spans="1:11" x14ac:dyDescent="0.35">
      <c r="A3452" s="5">
        <v>45727</v>
      </c>
      <c r="B3452" s="3">
        <v>0.36556712962962962</v>
      </c>
      <c r="C3452" t="s">
        <v>8</v>
      </c>
      <c r="D3452" t="s">
        <v>1220</v>
      </c>
      <c r="E3452" s="4">
        <v>25.96</v>
      </c>
      <c r="F3452" t="s">
        <v>28</v>
      </c>
      <c r="G3452" s="10" t="str">
        <f>TEXT(Transform_Data[[#This Row],[Date]],"mmm yyyy")</f>
        <v>Mar 2025</v>
      </c>
      <c r="H3452" s="10">
        <f>HOUR(Transform_Data[[#This Row],[Time]])</f>
        <v>8</v>
      </c>
      <c r="I3452" s="10" t="str">
        <f>IF(COUNTIF('Transform Data'!$D:$D,'Transform Data'!D3452)&gt;1,"Repeat","Single")</f>
        <v>Repeat</v>
      </c>
      <c r="J3452" s="10" t="str">
        <f>IF('Transform Data'!D3452="Cash","Cash",IF(COUNTIF('Transform Data'!$D:$D,'Transform Data'!D3452)&gt;1,"Repeat","Single"))</f>
        <v>Repeat</v>
      </c>
      <c r="K3452" s="10" t="str">
        <f t="shared" si="53"/>
        <v>TRANS-3451</v>
      </c>
    </row>
    <row r="3453" spans="1:11" x14ac:dyDescent="0.35">
      <c r="A3453" s="5">
        <v>45727</v>
      </c>
      <c r="B3453" s="3">
        <v>0.38364583333333335</v>
      </c>
      <c r="C3453" t="s">
        <v>8</v>
      </c>
      <c r="D3453" t="s">
        <v>33</v>
      </c>
      <c r="E3453" s="4">
        <v>35.76</v>
      </c>
      <c r="F3453" t="s">
        <v>24</v>
      </c>
      <c r="G3453" s="10" t="str">
        <f>TEXT(Transform_Data[[#This Row],[Date]],"mmm yyyy")</f>
        <v>Mar 2025</v>
      </c>
      <c r="H3453" s="10">
        <f>HOUR(Transform_Data[[#This Row],[Time]])</f>
        <v>9</v>
      </c>
      <c r="I3453" s="10" t="str">
        <f>IF(COUNTIF('Transform Data'!$D:$D,'Transform Data'!D3453)&gt;1,"Repeat","Single")</f>
        <v>Repeat</v>
      </c>
      <c r="J3453" s="10" t="str">
        <f>IF('Transform Data'!D3453="Cash","Cash",IF(COUNTIF('Transform Data'!$D:$D,'Transform Data'!D3453)&gt;1,"Repeat","Single"))</f>
        <v>Repeat</v>
      </c>
      <c r="K3453" s="10" t="str">
        <f t="shared" si="53"/>
        <v>TRANS-3452</v>
      </c>
    </row>
    <row r="3454" spans="1:11" x14ac:dyDescent="0.35">
      <c r="A3454" s="5">
        <v>45727</v>
      </c>
      <c r="B3454" s="3">
        <v>0.39379629629629631</v>
      </c>
      <c r="C3454" t="s">
        <v>8</v>
      </c>
      <c r="D3454" t="s">
        <v>1325</v>
      </c>
      <c r="E3454" s="4">
        <v>35.76</v>
      </c>
      <c r="F3454" t="s">
        <v>32</v>
      </c>
      <c r="G3454" s="10" t="str">
        <f>TEXT(Transform_Data[[#This Row],[Date]],"mmm yyyy")</f>
        <v>Mar 2025</v>
      </c>
      <c r="H3454" s="10">
        <f>HOUR(Transform_Data[[#This Row],[Time]])</f>
        <v>9</v>
      </c>
      <c r="I3454" s="10" t="str">
        <f>IF(COUNTIF('Transform Data'!$D:$D,'Transform Data'!D3454)&gt;1,"Repeat","Single")</f>
        <v>Repeat</v>
      </c>
      <c r="J3454" s="10" t="str">
        <f>IF('Transform Data'!D3454="Cash","Cash",IF(COUNTIF('Transform Data'!$D:$D,'Transform Data'!D3454)&gt;1,"Repeat","Single"))</f>
        <v>Repeat</v>
      </c>
      <c r="K3454" s="10" t="str">
        <f t="shared" si="53"/>
        <v>TRANS-3453</v>
      </c>
    </row>
    <row r="3455" spans="1:11" x14ac:dyDescent="0.35">
      <c r="A3455" s="5">
        <v>45727</v>
      </c>
      <c r="B3455" s="3">
        <v>0.43538194444444445</v>
      </c>
      <c r="C3455" t="s">
        <v>8</v>
      </c>
      <c r="D3455" t="s">
        <v>1220</v>
      </c>
      <c r="E3455" s="4">
        <v>25.96</v>
      </c>
      <c r="F3455" t="s">
        <v>28</v>
      </c>
      <c r="G3455" s="10" t="str">
        <f>TEXT(Transform_Data[[#This Row],[Date]],"mmm yyyy")</f>
        <v>Mar 2025</v>
      </c>
      <c r="H3455" s="10">
        <f>HOUR(Transform_Data[[#This Row],[Time]])</f>
        <v>10</v>
      </c>
      <c r="I3455" s="10" t="str">
        <f>IF(COUNTIF('Transform Data'!$D:$D,'Transform Data'!D3455)&gt;1,"Repeat","Single")</f>
        <v>Repeat</v>
      </c>
      <c r="J3455" s="10" t="str">
        <f>IF('Transform Data'!D3455="Cash","Cash",IF(COUNTIF('Transform Data'!$D:$D,'Transform Data'!D3455)&gt;1,"Repeat","Single"))</f>
        <v>Repeat</v>
      </c>
      <c r="K3455" s="10" t="str">
        <f t="shared" si="53"/>
        <v>TRANS-3454</v>
      </c>
    </row>
    <row r="3456" spans="1:11" x14ac:dyDescent="0.35">
      <c r="A3456" s="5">
        <v>45727</v>
      </c>
      <c r="B3456" s="3">
        <v>0.52314814814814814</v>
      </c>
      <c r="C3456" t="s">
        <v>8</v>
      </c>
      <c r="D3456" t="s">
        <v>1220</v>
      </c>
      <c r="E3456" s="4">
        <v>25.96</v>
      </c>
      <c r="F3456" t="s">
        <v>28</v>
      </c>
      <c r="G3456" s="10" t="str">
        <f>TEXT(Transform_Data[[#This Row],[Date]],"mmm yyyy")</f>
        <v>Mar 2025</v>
      </c>
      <c r="H3456" s="10">
        <f>HOUR(Transform_Data[[#This Row],[Time]])</f>
        <v>12</v>
      </c>
      <c r="I3456" s="10" t="str">
        <f>IF(COUNTIF('Transform Data'!$D:$D,'Transform Data'!D3456)&gt;1,"Repeat","Single")</f>
        <v>Repeat</v>
      </c>
      <c r="J3456" s="10" t="str">
        <f>IF('Transform Data'!D3456="Cash","Cash",IF(COUNTIF('Transform Data'!$D:$D,'Transform Data'!D3456)&gt;1,"Repeat","Single"))</f>
        <v>Repeat</v>
      </c>
      <c r="K3456" s="10" t="str">
        <f t="shared" si="53"/>
        <v>TRANS-3455</v>
      </c>
    </row>
    <row r="3457" spans="1:11" x14ac:dyDescent="0.35">
      <c r="A3457" s="5">
        <v>45727</v>
      </c>
      <c r="B3457" s="3">
        <v>0.5534027777777778</v>
      </c>
      <c r="C3457" t="s">
        <v>8</v>
      </c>
      <c r="D3457" t="s">
        <v>1221</v>
      </c>
      <c r="E3457" s="4">
        <v>25.96</v>
      </c>
      <c r="F3457" t="s">
        <v>28</v>
      </c>
      <c r="G3457" s="10" t="str">
        <f>TEXT(Transform_Data[[#This Row],[Date]],"mmm yyyy")</f>
        <v>Mar 2025</v>
      </c>
      <c r="H3457" s="10">
        <f>HOUR(Transform_Data[[#This Row],[Time]])</f>
        <v>13</v>
      </c>
      <c r="I3457" s="10" t="str">
        <f>IF(COUNTIF('Transform Data'!$D:$D,'Transform Data'!D3457)&gt;1,"Repeat","Single")</f>
        <v>Repeat</v>
      </c>
      <c r="J3457" s="10" t="str">
        <f>IF('Transform Data'!D3457="Cash","Cash",IF(COUNTIF('Transform Data'!$D:$D,'Transform Data'!D3457)&gt;1,"Repeat","Single"))</f>
        <v>Repeat</v>
      </c>
      <c r="K3457" s="10" t="str">
        <f t="shared" si="53"/>
        <v>TRANS-3456</v>
      </c>
    </row>
    <row r="3458" spans="1:11" x14ac:dyDescent="0.35">
      <c r="A3458" s="5">
        <v>45727</v>
      </c>
      <c r="B3458" s="3">
        <v>0.68716435185185187</v>
      </c>
      <c r="C3458" t="s">
        <v>8</v>
      </c>
      <c r="D3458" t="s">
        <v>1326</v>
      </c>
      <c r="E3458" s="4">
        <v>35.76</v>
      </c>
      <c r="F3458" t="s">
        <v>15</v>
      </c>
      <c r="G3458" s="10" t="str">
        <f>TEXT(Transform_Data[[#This Row],[Date]],"mmm yyyy")</f>
        <v>Mar 2025</v>
      </c>
      <c r="H3458" s="10">
        <f>HOUR(Transform_Data[[#This Row],[Time]])</f>
        <v>16</v>
      </c>
      <c r="I3458" s="10" t="str">
        <f>IF(COUNTIF('Transform Data'!$D:$D,'Transform Data'!D3458)&gt;1,"Repeat","Single")</f>
        <v>Repeat</v>
      </c>
      <c r="J3458" s="10" t="str">
        <f>IF('Transform Data'!D3458="Cash","Cash",IF(COUNTIF('Transform Data'!$D:$D,'Transform Data'!D3458)&gt;1,"Repeat","Single"))</f>
        <v>Repeat</v>
      </c>
      <c r="K3458" s="10" t="str">
        <f t="shared" ref="K3458:K3521" si="54">"TRANS-"&amp;TEXT(ROW(A3457),"0000")</f>
        <v>TRANS-3457</v>
      </c>
    </row>
    <row r="3459" spans="1:11" x14ac:dyDescent="0.35">
      <c r="A3459" s="5">
        <v>45727</v>
      </c>
      <c r="B3459" s="3">
        <v>0.68768518518518518</v>
      </c>
      <c r="C3459" t="s">
        <v>8</v>
      </c>
      <c r="D3459" t="s">
        <v>1326</v>
      </c>
      <c r="E3459" s="4">
        <v>35.76</v>
      </c>
      <c r="F3459" t="s">
        <v>10</v>
      </c>
      <c r="G3459" s="10" t="str">
        <f>TEXT(Transform_Data[[#This Row],[Date]],"mmm yyyy")</f>
        <v>Mar 2025</v>
      </c>
      <c r="H3459" s="10">
        <f>HOUR(Transform_Data[[#This Row],[Time]])</f>
        <v>16</v>
      </c>
      <c r="I3459" s="10" t="str">
        <f>IF(COUNTIF('Transform Data'!$D:$D,'Transform Data'!D3459)&gt;1,"Repeat","Single")</f>
        <v>Repeat</v>
      </c>
      <c r="J3459" s="10" t="str">
        <f>IF('Transform Data'!D3459="Cash","Cash",IF(COUNTIF('Transform Data'!$D:$D,'Transform Data'!D3459)&gt;1,"Repeat","Single"))</f>
        <v>Repeat</v>
      </c>
      <c r="K3459" s="10" t="str">
        <f t="shared" si="54"/>
        <v>TRANS-3458</v>
      </c>
    </row>
    <row r="3460" spans="1:11" x14ac:dyDescent="0.35">
      <c r="A3460" s="5">
        <v>45727</v>
      </c>
      <c r="B3460" s="3">
        <v>0.7011574074074074</v>
      </c>
      <c r="C3460" t="s">
        <v>8</v>
      </c>
      <c r="D3460" t="s">
        <v>1260</v>
      </c>
      <c r="E3460" s="4">
        <v>35.76</v>
      </c>
      <c r="F3460" t="s">
        <v>15</v>
      </c>
      <c r="G3460" s="10" t="str">
        <f>TEXT(Transform_Data[[#This Row],[Date]],"mmm yyyy")</f>
        <v>Mar 2025</v>
      </c>
      <c r="H3460" s="10">
        <f>HOUR(Transform_Data[[#This Row],[Time]])</f>
        <v>16</v>
      </c>
      <c r="I3460" s="10" t="str">
        <f>IF(COUNTIF('Transform Data'!$D:$D,'Transform Data'!D3460)&gt;1,"Repeat","Single")</f>
        <v>Repeat</v>
      </c>
      <c r="J3460" s="10" t="str">
        <f>IF('Transform Data'!D3460="Cash","Cash",IF(COUNTIF('Transform Data'!$D:$D,'Transform Data'!D3460)&gt;1,"Repeat","Single"))</f>
        <v>Repeat</v>
      </c>
      <c r="K3460" s="10" t="str">
        <f t="shared" si="54"/>
        <v>TRANS-3459</v>
      </c>
    </row>
    <row r="3461" spans="1:11" x14ac:dyDescent="0.35">
      <c r="A3461" s="5">
        <v>45727</v>
      </c>
      <c r="B3461" s="3">
        <v>0.74085648148148153</v>
      </c>
      <c r="C3461" t="s">
        <v>8</v>
      </c>
      <c r="D3461" t="s">
        <v>1234</v>
      </c>
      <c r="E3461" s="4">
        <v>35.76</v>
      </c>
      <c r="F3461" t="s">
        <v>24</v>
      </c>
      <c r="G3461" s="10" t="str">
        <f>TEXT(Transform_Data[[#This Row],[Date]],"mmm yyyy")</f>
        <v>Mar 2025</v>
      </c>
      <c r="H3461" s="10">
        <f>HOUR(Transform_Data[[#This Row],[Time]])</f>
        <v>17</v>
      </c>
      <c r="I3461" s="10" t="str">
        <f>IF(COUNTIF('Transform Data'!$D:$D,'Transform Data'!D3461)&gt;1,"Repeat","Single")</f>
        <v>Repeat</v>
      </c>
      <c r="J3461" s="10" t="str">
        <f>IF('Transform Data'!D3461="Cash","Cash",IF(COUNTIF('Transform Data'!$D:$D,'Transform Data'!D3461)&gt;1,"Repeat","Single"))</f>
        <v>Repeat</v>
      </c>
      <c r="K3461" s="10" t="str">
        <f t="shared" si="54"/>
        <v>TRANS-3460</v>
      </c>
    </row>
    <row r="3462" spans="1:11" x14ac:dyDescent="0.35">
      <c r="A3462" s="5">
        <v>45727</v>
      </c>
      <c r="B3462" s="3">
        <v>0.78949074074074077</v>
      </c>
      <c r="C3462" t="s">
        <v>8</v>
      </c>
      <c r="D3462" t="s">
        <v>1208</v>
      </c>
      <c r="E3462" s="4">
        <v>30.86</v>
      </c>
      <c r="F3462" t="s">
        <v>36</v>
      </c>
      <c r="G3462" s="10" t="str">
        <f>TEXT(Transform_Data[[#This Row],[Date]],"mmm yyyy")</f>
        <v>Mar 2025</v>
      </c>
      <c r="H3462" s="10">
        <f>HOUR(Transform_Data[[#This Row],[Time]])</f>
        <v>18</v>
      </c>
      <c r="I3462" s="10" t="str">
        <f>IF(COUNTIF('Transform Data'!$D:$D,'Transform Data'!D3462)&gt;1,"Repeat","Single")</f>
        <v>Repeat</v>
      </c>
      <c r="J3462" s="10" t="str">
        <f>IF('Transform Data'!D3462="Cash","Cash",IF(COUNTIF('Transform Data'!$D:$D,'Transform Data'!D3462)&gt;1,"Repeat","Single"))</f>
        <v>Repeat</v>
      </c>
      <c r="K3462" s="10" t="str">
        <f t="shared" si="54"/>
        <v>TRANS-3461</v>
      </c>
    </row>
    <row r="3463" spans="1:11" x14ac:dyDescent="0.35">
      <c r="A3463" s="5">
        <v>45727</v>
      </c>
      <c r="B3463" s="3">
        <v>0.79668981481481482</v>
      </c>
      <c r="C3463" t="s">
        <v>8</v>
      </c>
      <c r="D3463" t="s">
        <v>1259</v>
      </c>
      <c r="E3463" s="4">
        <v>35.76</v>
      </c>
      <c r="F3463" t="s">
        <v>32</v>
      </c>
      <c r="G3463" s="10" t="str">
        <f>TEXT(Transform_Data[[#This Row],[Date]],"mmm yyyy")</f>
        <v>Mar 2025</v>
      </c>
      <c r="H3463" s="10">
        <f>HOUR(Transform_Data[[#This Row],[Time]])</f>
        <v>19</v>
      </c>
      <c r="I3463" s="10" t="str">
        <f>IF(COUNTIF('Transform Data'!$D:$D,'Transform Data'!D3463)&gt;1,"Repeat","Single")</f>
        <v>Repeat</v>
      </c>
      <c r="J3463" s="10" t="str">
        <f>IF('Transform Data'!D3463="Cash","Cash",IF(COUNTIF('Transform Data'!$D:$D,'Transform Data'!D3463)&gt;1,"Repeat","Single"))</f>
        <v>Repeat</v>
      </c>
      <c r="K3463" s="10" t="str">
        <f t="shared" si="54"/>
        <v>TRANS-3462</v>
      </c>
    </row>
    <row r="3464" spans="1:11" x14ac:dyDescent="0.35">
      <c r="A3464" s="5">
        <v>45727</v>
      </c>
      <c r="B3464" s="3">
        <v>0.83953703703703708</v>
      </c>
      <c r="C3464" t="s">
        <v>8</v>
      </c>
      <c r="D3464" t="s">
        <v>1235</v>
      </c>
      <c r="E3464" s="4">
        <v>35.76</v>
      </c>
      <c r="F3464" t="s">
        <v>10</v>
      </c>
      <c r="G3464" s="10" t="str">
        <f>TEXT(Transform_Data[[#This Row],[Date]],"mmm yyyy")</f>
        <v>Mar 2025</v>
      </c>
      <c r="H3464" s="10">
        <f>HOUR(Transform_Data[[#This Row],[Time]])</f>
        <v>20</v>
      </c>
      <c r="I3464" s="10" t="str">
        <f>IF(COUNTIF('Transform Data'!$D:$D,'Transform Data'!D3464)&gt;1,"Repeat","Single")</f>
        <v>Repeat</v>
      </c>
      <c r="J3464" s="10" t="str">
        <f>IF('Transform Data'!D3464="Cash","Cash",IF(COUNTIF('Transform Data'!$D:$D,'Transform Data'!D3464)&gt;1,"Repeat","Single"))</f>
        <v>Repeat</v>
      </c>
      <c r="K3464" s="10" t="str">
        <f t="shared" si="54"/>
        <v>TRANS-3463</v>
      </c>
    </row>
    <row r="3465" spans="1:11" x14ac:dyDescent="0.35">
      <c r="A3465" s="5">
        <v>45728</v>
      </c>
      <c r="B3465" s="3">
        <v>0.46642361111111114</v>
      </c>
      <c r="C3465" t="s">
        <v>8</v>
      </c>
      <c r="D3465" t="s">
        <v>1327</v>
      </c>
      <c r="E3465" s="4">
        <v>35.76</v>
      </c>
      <c r="F3465" t="s">
        <v>10</v>
      </c>
      <c r="G3465" s="10" t="str">
        <f>TEXT(Transform_Data[[#This Row],[Date]],"mmm yyyy")</f>
        <v>Mar 2025</v>
      </c>
      <c r="H3465" s="10">
        <f>HOUR(Transform_Data[[#This Row],[Time]])</f>
        <v>11</v>
      </c>
      <c r="I3465" s="10" t="str">
        <f>IF(COUNTIF('Transform Data'!$D:$D,'Transform Data'!D3465)&gt;1,"Repeat","Single")</f>
        <v>Single</v>
      </c>
      <c r="J3465" s="10" t="str">
        <f>IF('Transform Data'!D3465="Cash","Cash",IF(COUNTIF('Transform Data'!$D:$D,'Transform Data'!D3465)&gt;1,"Repeat","Single"))</f>
        <v>Single</v>
      </c>
      <c r="K3465" s="10" t="str">
        <f t="shared" si="54"/>
        <v>TRANS-3464</v>
      </c>
    </row>
    <row r="3466" spans="1:11" x14ac:dyDescent="0.35">
      <c r="A3466" s="5">
        <v>45728</v>
      </c>
      <c r="B3466" s="3">
        <v>0.49136574074074074</v>
      </c>
      <c r="C3466" t="s">
        <v>8</v>
      </c>
      <c r="D3466" t="s">
        <v>1212</v>
      </c>
      <c r="E3466" s="4">
        <v>30.86</v>
      </c>
      <c r="F3466" t="s">
        <v>36</v>
      </c>
      <c r="G3466" s="10" t="str">
        <f>TEXT(Transform_Data[[#This Row],[Date]],"mmm yyyy")</f>
        <v>Mar 2025</v>
      </c>
      <c r="H3466" s="10">
        <f>HOUR(Transform_Data[[#This Row],[Time]])</f>
        <v>11</v>
      </c>
      <c r="I3466" s="10" t="str">
        <f>IF(COUNTIF('Transform Data'!$D:$D,'Transform Data'!D3466)&gt;1,"Repeat","Single")</f>
        <v>Repeat</v>
      </c>
      <c r="J3466" s="10" t="str">
        <f>IF('Transform Data'!D3466="Cash","Cash",IF(COUNTIF('Transform Data'!$D:$D,'Transform Data'!D3466)&gt;1,"Repeat","Single"))</f>
        <v>Repeat</v>
      </c>
      <c r="K3466" s="10" t="str">
        <f t="shared" si="54"/>
        <v>TRANS-3465</v>
      </c>
    </row>
    <row r="3467" spans="1:11" x14ac:dyDescent="0.35">
      <c r="A3467" s="5">
        <v>45728</v>
      </c>
      <c r="B3467" s="3">
        <v>0.49322916666666666</v>
      </c>
      <c r="C3467" t="s">
        <v>8</v>
      </c>
      <c r="D3467" t="s">
        <v>1212</v>
      </c>
      <c r="E3467" s="4">
        <v>35.76</v>
      </c>
      <c r="F3467" t="s">
        <v>24</v>
      </c>
      <c r="G3467" s="10" t="str">
        <f>TEXT(Transform_Data[[#This Row],[Date]],"mmm yyyy")</f>
        <v>Mar 2025</v>
      </c>
      <c r="H3467" s="10">
        <f>HOUR(Transform_Data[[#This Row],[Time]])</f>
        <v>11</v>
      </c>
      <c r="I3467" s="10" t="str">
        <f>IF(COUNTIF('Transform Data'!$D:$D,'Transform Data'!D3467)&gt;1,"Repeat","Single")</f>
        <v>Repeat</v>
      </c>
      <c r="J3467" s="10" t="str">
        <f>IF('Transform Data'!D3467="Cash","Cash",IF(COUNTIF('Transform Data'!$D:$D,'Transform Data'!D3467)&gt;1,"Repeat","Single"))</f>
        <v>Repeat</v>
      </c>
      <c r="K3467" s="10" t="str">
        <f t="shared" si="54"/>
        <v>TRANS-3466</v>
      </c>
    </row>
    <row r="3468" spans="1:11" x14ac:dyDescent="0.35">
      <c r="A3468" s="5">
        <v>45728</v>
      </c>
      <c r="B3468" s="3">
        <v>0.49716435185185187</v>
      </c>
      <c r="C3468" t="s">
        <v>8</v>
      </c>
      <c r="D3468" t="s">
        <v>33</v>
      </c>
      <c r="E3468" s="4">
        <v>25.96</v>
      </c>
      <c r="F3468" t="s">
        <v>28</v>
      </c>
      <c r="G3468" s="10" t="str">
        <f>TEXT(Transform_Data[[#This Row],[Date]],"mmm yyyy")</f>
        <v>Mar 2025</v>
      </c>
      <c r="H3468" s="10">
        <f>HOUR(Transform_Data[[#This Row],[Time]])</f>
        <v>11</v>
      </c>
      <c r="I3468" s="10" t="str">
        <f>IF(COUNTIF('Transform Data'!$D:$D,'Transform Data'!D3468)&gt;1,"Repeat","Single")</f>
        <v>Repeat</v>
      </c>
      <c r="J3468" s="10" t="str">
        <f>IF('Transform Data'!D3468="Cash","Cash",IF(COUNTIF('Transform Data'!$D:$D,'Transform Data'!D3468)&gt;1,"Repeat","Single"))</f>
        <v>Repeat</v>
      </c>
      <c r="K3468" s="10" t="str">
        <f t="shared" si="54"/>
        <v>TRANS-3467</v>
      </c>
    </row>
    <row r="3469" spans="1:11" x14ac:dyDescent="0.35">
      <c r="A3469" s="5">
        <v>45728</v>
      </c>
      <c r="B3469" s="3">
        <v>0.49777777777777776</v>
      </c>
      <c r="C3469" t="s">
        <v>8</v>
      </c>
      <c r="D3469" t="s">
        <v>33</v>
      </c>
      <c r="E3469" s="4">
        <v>25.96</v>
      </c>
      <c r="F3469" t="s">
        <v>28</v>
      </c>
      <c r="G3469" s="10" t="str">
        <f>TEXT(Transform_Data[[#This Row],[Date]],"mmm yyyy")</f>
        <v>Mar 2025</v>
      </c>
      <c r="H3469" s="10">
        <f>HOUR(Transform_Data[[#This Row],[Time]])</f>
        <v>11</v>
      </c>
      <c r="I3469" s="10" t="str">
        <f>IF(COUNTIF('Transform Data'!$D:$D,'Transform Data'!D3469)&gt;1,"Repeat","Single")</f>
        <v>Repeat</v>
      </c>
      <c r="J3469" s="10" t="str">
        <f>IF('Transform Data'!D3469="Cash","Cash",IF(COUNTIF('Transform Data'!$D:$D,'Transform Data'!D3469)&gt;1,"Repeat","Single"))</f>
        <v>Repeat</v>
      </c>
      <c r="K3469" s="10" t="str">
        <f t="shared" si="54"/>
        <v>TRANS-3468</v>
      </c>
    </row>
    <row r="3470" spans="1:11" x14ac:dyDescent="0.35">
      <c r="A3470" s="5">
        <v>45728</v>
      </c>
      <c r="B3470" s="3">
        <v>0.50429398148148152</v>
      </c>
      <c r="C3470" t="s">
        <v>8</v>
      </c>
      <c r="D3470" t="s">
        <v>1328</v>
      </c>
      <c r="E3470" s="4">
        <v>25.96</v>
      </c>
      <c r="F3470" t="s">
        <v>28</v>
      </c>
      <c r="G3470" s="10" t="str">
        <f>TEXT(Transform_Data[[#This Row],[Date]],"mmm yyyy")</f>
        <v>Mar 2025</v>
      </c>
      <c r="H3470" s="10">
        <f>HOUR(Transform_Data[[#This Row],[Time]])</f>
        <v>12</v>
      </c>
      <c r="I3470" s="10" t="str">
        <f>IF(COUNTIF('Transform Data'!$D:$D,'Transform Data'!D3470)&gt;1,"Repeat","Single")</f>
        <v>Single</v>
      </c>
      <c r="J3470" s="10" t="str">
        <f>IF('Transform Data'!D3470="Cash","Cash",IF(COUNTIF('Transform Data'!$D:$D,'Transform Data'!D3470)&gt;1,"Repeat","Single"))</f>
        <v>Single</v>
      </c>
      <c r="K3470" s="10" t="str">
        <f t="shared" si="54"/>
        <v>TRANS-3469</v>
      </c>
    </row>
    <row r="3471" spans="1:11" x14ac:dyDescent="0.35">
      <c r="A3471" s="5">
        <v>45728</v>
      </c>
      <c r="B3471" s="3">
        <v>0.53863425925925923</v>
      </c>
      <c r="C3471" t="s">
        <v>8</v>
      </c>
      <c r="D3471" t="s">
        <v>1329</v>
      </c>
      <c r="E3471" s="4">
        <v>35.76</v>
      </c>
      <c r="F3471" t="s">
        <v>15</v>
      </c>
      <c r="G3471" s="10" t="str">
        <f>TEXT(Transform_Data[[#This Row],[Date]],"mmm yyyy")</f>
        <v>Mar 2025</v>
      </c>
      <c r="H3471" s="10">
        <f>HOUR(Transform_Data[[#This Row],[Time]])</f>
        <v>12</v>
      </c>
      <c r="I3471" s="10" t="str">
        <f>IF(COUNTIF('Transform Data'!$D:$D,'Transform Data'!D3471)&gt;1,"Repeat","Single")</f>
        <v>Repeat</v>
      </c>
      <c r="J3471" s="10" t="str">
        <f>IF('Transform Data'!D3471="Cash","Cash",IF(COUNTIF('Transform Data'!$D:$D,'Transform Data'!D3471)&gt;1,"Repeat","Single"))</f>
        <v>Repeat</v>
      </c>
      <c r="K3471" s="10" t="str">
        <f t="shared" si="54"/>
        <v>TRANS-3470</v>
      </c>
    </row>
    <row r="3472" spans="1:11" x14ac:dyDescent="0.35">
      <c r="A3472" s="5">
        <v>45728</v>
      </c>
      <c r="B3472" s="3">
        <v>0.54292824074074075</v>
      </c>
      <c r="C3472" t="s">
        <v>8</v>
      </c>
      <c r="D3472" t="s">
        <v>1330</v>
      </c>
      <c r="E3472" s="4">
        <v>35.76</v>
      </c>
      <c r="F3472" t="s">
        <v>32</v>
      </c>
      <c r="G3472" s="10" t="str">
        <f>TEXT(Transform_Data[[#This Row],[Date]],"mmm yyyy")</f>
        <v>Mar 2025</v>
      </c>
      <c r="H3472" s="10">
        <f>HOUR(Transform_Data[[#This Row],[Time]])</f>
        <v>13</v>
      </c>
      <c r="I3472" s="10" t="str">
        <f>IF(COUNTIF('Transform Data'!$D:$D,'Transform Data'!D3472)&gt;1,"Repeat","Single")</f>
        <v>Single</v>
      </c>
      <c r="J3472" s="10" t="str">
        <f>IF('Transform Data'!D3472="Cash","Cash",IF(COUNTIF('Transform Data'!$D:$D,'Transform Data'!D3472)&gt;1,"Repeat","Single"))</f>
        <v>Single</v>
      </c>
      <c r="K3472" s="10" t="str">
        <f t="shared" si="54"/>
        <v>TRANS-3471</v>
      </c>
    </row>
    <row r="3473" spans="1:11" x14ac:dyDescent="0.35">
      <c r="A3473" s="5">
        <v>45728</v>
      </c>
      <c r="B3473" s="3">
        <v>0.58082175925925927</v>
      </c>
      <c r="C3473" t="s">
        <v>8</v>
      </c>
      <c r="D3473" t="s">
        <v>1249</v>
      </c>
      <c r="E3473" s="4">
        <v>35.76</v>
      </c>
      <c r="F3473" t="s">
        <v>32</v>
      </c>
      <c r="G3473" s="10" t="str">
        <f>TEXT(Transform_Data[[#This Row],[Date]],"mmm yyyy")</f>
        <v>Mar 2025</v>
      </c>
      <c r="H3473" s="10">
        <f>HOUR(Transform_Data[[#This Row],[Time]])</f>
        <v>13</v>
      </c>
      <c r="I3473" s="10" t="str">
        <f>IF(COUNTIF('Transform Data'!$D:$D,'Transform Data'!D3473)&gt;1,"Repeat","Single")</f>
        <v>Repeat</v>
      </c>
      <c r="J3473" s="10" t="str">
        <f>IF('Transform Data'!D3473="Cash","Cash",IF(COUNTIF('Transform Data'!$D:$D,'Transform Data'!D3473)&gt;1,"Repeat","Single"))</f>
        <v>Repeat</v>
      </c>
      <c r="K3473" s="10" t="str">
        <f t="shared" si="54"/>
        <v>TRANS-3472</v>
      </c>
    </row>
    <row r="3474" spans="1:11" x14ac:dyDescent="0.35">
      <c r="A3474" s="5">
        <v>45728</v>
      </c>
      <c r="B3474" s="3">
        <v>0.68584490740740744</v>
      </c>
      <c r="C3474" t="s">
        <v>8</v>
      </c>
      <c r="D3474" t="s">
        <v>1331</v>
      </c>
      <c r="E3474" s="4">
        <v>35.76</v>
      </c>
      <c r="F3474" t="s">
        <v>24</v>
      </c>
      <c r="G3474" s="10" t="str">
        <f>TEXT(Transform_Data[[#This Row],[Date]],"mmm yyyy")</f>
        <v>Mar 2025</v>
      </c>
      <c r="H3474" s="10">
        <f>HOUR(Transform_Data[[#This Row],[Time]])</f>
        <v>16</v>
      </c>
      <c r="I3474" s="10" t="str">
        <f>IF(COUNTIF('Transform Data'!$D:$D,'Transform Data'!D3474)&gt;1,"Repeat","Single")</f>
        <v>Single</v>
      </c>
      <c r="J3474" s="10" t="str">
        <f>IF('Transform Data'!D3474="Cash","Cash",IF(COUNTIF('Transform Data'!$D:$D,'Transform Data'!D3474)&gt;1,"Repeat","Single"))</f>
        <v>Single</v>
      </c>
      <c r="K3474" s="10" t="str">
        <f t="shared" si="54"/>
        <v>TRANS-3473</v>
      </c>
    </row>
    <row r="3475" spans="1:11" x14ac:dyDescent="0.35">
      <c r="A3475" s="5">
        <v>45728</v>
      </c>
      <c r="B3475" s="3">
        <v>0.69100694444444444</v>
      </c>
      <c r="C3475" t="s">
        <v>8</v>
      </c>
      <c r="D3475" t="s">
        <v>1241</v>
      </c>
      <c r="E3475" s="4">
        <v>35.76</v>
      </c>
      <c r="F3475" t="s">
        <v>32</v>
      </c>
      <c r="G3475" s="10" t="str">
        <f>TEXT(Transform_Data[[#This Row],[Date]],"mmm yyyy")</f>
        <v>Mar 2025</v>
      </c>
      <c r="H3475" s="10">
        <f>HOUR(Transform_Data[[#This Row],[Time]])</f>
        <v>16</v>
      </c>
      <c r="I3475" s="10" t="str">
        <f>IF(COUNTIF('Transform Data'!$D:$D,'Transform Data'!D3475)&gt;1,"Repeat","Single")</f>
        <v>Repeat</v>
      </c>
      <c r="J3475" s="10" t="str">
        <f>IF('Transform Data'!D3475="Cash","Cash",IF(COUNTIF('Transform Data'!$D:$D,'Transform Data'!D3475)&gt;1,"Repeat","Single"))</f>
        <v>Repeat</v>
      </c>
      <c r="K3475" s="10" t="str">
        <f t="shared" si="54"/>
        <v>TRANS-3474</v>
      </c>
    </row>
    <row r="3476" spans="1:11" x14ac:dyDescent="0.35">
      <c r="A3476" s="5">
        <v>45728</v>
      </c>
      <c r="B3476" s="3">
        <v>0.69166666666666665</v>
      </c>
      <c r="C3476" t="s">
        <v>8</v>
      </c>
      <c r="D3476" t="s">
        <v>1215</v>
      </c>
      <c r="E3476" s="4">
        <v>35.76</v>
      </c>
      <c r="F3476" t="s">
        <v>32</v>
      </c>
      <c r="G3476" s="10" t="str">
        <f>TEXT(Transform_Data[[#This Row],[Date]],"mmm yyyy")</f>
        <v>Mar 2025</v>
      </c>
      <c r="H3476" s="10">
        <f>HOUR(Transform_Data[[#This Row],[Time]])</f>
        <v>16</v>
      </c>
      <c r="I3476" s="10" t="str">
        <f>IF(COUNTIF('Transform Data'!$D:$D,'Transform Data'!D3476)&gt;1,"Repeat","Single")</f>
        <v>Repeat</v>
      </c>
      <c r="J3476" s="10" t="str">
        <f>IF('Transform Data'!D3476="Cash","Cash",IF(COUNTIF('Transform Data'!$D:$D,'Transform Data'!D3476)&gt;1,"Repeat","Single"))</f>
        <v>Repeat</v>
      </c>
      <c r="K3476" s="10" t="str">
        <f t="shared" si="54"/>
        <v>TRANS-3475</v>
      </c>
    </row>
    <row r="3477" spans="1:11" x14ac:dyDescent="0.35">
      <c r="A3477" s="5">
        <v>45728</v>
      </c>
      <c r="B3477" s="3">
        <v>0.75733796296296296</v>
      </c>
      <c r="C3477" t="s">
        <v>8</v>
      </c>
      <c r="D3477" t="s">
        <v>1220</v>
      </c>
      <c r="E3477" s="4">
        <v>25.96</v>
      </c>
      <c r="F3477" t="s">
        <v>28</v>
      </c>
      <c r="G3477" s="10" t="str">
        <f>TEXT(Transform_Data[[#This Row],[Date]],"mmm yyyy")</f>
        <v>Mar 2025</v>
      </c>
      <c r="H3477" s="10">
        <f>HOUR(Transform_Data[[#This Row],[Time]])</f>
        <v>18</v>
      </c>
      <c r="I3477" s="10" t="str">
        <f>IF(COUNTIF('Transform Data'!$D:$D,'Transform Data'!D3477)&gt;1,"Repeat","Single")</f>
        <v>Repeat</v>
      </c>
      <c r="J3477" s="10" t="str">
        <f>IF('Transform Data'!D3477="Cash","Cash",IF(COUNTIF('Transform Data'!$D:$D,'Transform Data'!D3477)&gt;1,"Repeat","Single"))</f>
        <v>Repeat</v>
      </c>
      <c r="K3477" s="10" t="str">
        <f t="shared" si="54"/>
        <v>TRANS-3476</v>
      </c>
    </row>
    <row r="3478" spans="1:11" x14ac:dyDescent="0.35">
      <c r="A3478" s="5">
        <v>45728</v>
      </c>
      <c r="B3478" s="3">
        <v>0.76200231481481484</v>
      </c>
      <c r="C3478" t="s">
        <v>8</v>
      </c>
      <c r="D3478" t="s">
        <v>1314</v>
      </c>
      <c r="E3478" s="4">
        <v>35.76</v>
      </c>
      <c r="F3478" t="s">
        <v>10</v>
      </c>
      <c r="G3478" s="10" t="str">
        <f>TEXT(Transform_Data[[#This Row],[Date]],"mmm yyyy")</f>
        <v>Mar 2025</v>
      </c>
      <c r="H3478" s="10">
        <f>HOUR(Transform_Data[[#This Row],[Time]])</f>
        <v>18</v>
      </c>
      <c r="I3478" s="10" t="str">
        <f>IF(COUNTIF('Transform Data'!$D:$D,'Transform Data'!D3478)&gt;1,"Repeat","Single")</f>
        <v>Repeat</v>
      </c>
      <c r="J3478" s="10" t="str">
        <f>IF('Transform Data'!D3478="Cash","Cash",IF(COUNTIF('Transform Data'!$D:$D,'Transform Data'!D3478)&gt;1,"Repeat","Single"))</f>
        <v>Repeat</v>
      </c>
      <c r="K3478" s="10" t="str">
        <f t="shared" si="54"/>
        <v>TRANS-3477</v>
      </c>
    </row>
    <row r="3479" spans="1:11" x14ac:dyDescent="0.35">
      <c r="A3479" s="5">
        <v>45728</v>
      </c>
      <c r="B3479" s="3">
        <v>0.76712962962962961</v>
      </c>
      <c r="C3479" t="s">
        <v>8</v>
      </c>
      <c r="D3479" t="s">
        <v>1332</v>
      </c>
      <c r="E3479" s="4">
        <v>25.96</v>
      </c>
      <c r="F3479" t="s">
        <v>28</v>
      </c>
      <c r="G3479" s="10" t="str">
        <f>TEXT(Transform_Data[[#This Row],[Date]],"mmm yyyy")</f>
        <v>Mar 2025</v>
      </c>
      <c r="H3479" s="10">
        <f>HOUR(Transform_Data[[#This Row],[Time]])</f>
        <v>18</v>
      </c>
      <c r="I3479" s="10" t="str">
        <f>IF(COUNTIF('Transform Data'!$D:$D,'Transform Data'!D3479)&gt;1,"Repeat","Single")</f>
        <v>Single</v>
      </c>
      <c r="J3479" s="10" t="str">
        <f>IF('Transform Data'!D3479="Cash","Cash",IF(COUNTIF('Transform Data'!$D:$D,'Transform Data'!D3479)&gt;1,"Repeat","Single"))</f>
        <v>Single</v>
      </c>
      <c r="K3479" s="10" t="str">
        <f t="shared" si="54"/>
        <v>TRANS-3478</v>
      </c>
    </row>
    <row r="3480" spans="1:11" x14ac:dyDescent="0.35">
      <c r="A3480" s="5">
        <v>45728</v>
      </c>
      <c r="B3480" s="3">
        <v>0.77703703703703708</v>
      </c>
      <c r="C3480" t="s">
        <v>8</v>
      </c>
      <c r="D3480" t="s">
        <v>1209</v>
      </c>
      <c r="E3480" s="4">
        <v>35.76</v>
      </c>
      <c r="F3480" t="s">
        <v>24</v>
      </c>
      <c r="G3480" s="10" t="str">
        <f>TEXT(Transform_Data[[#This Row],[Date]],"mmm yyyy")</f>
        <v>Mar 2025</v>
      </c>
      <c r="H3480" s="10">
        <f>HOUR(Transform_Data[[#This Row],[Time]])</f>
        <v>18</v>
      </c>
      <c r="I3480" s="10" t="str">
        <f>IF(COUNTIF('Transform Data'!$D:$D,'Transform Data'!D3480)&gt;1,"Repeat","Single")</f>
        <v>Repeat</v>
      </c>
      <c r="J3480" s="10" t="str">
        <f>IF('Transform Data'!D3480="Cash","Cash",IF(COUNTIF('Transform Data'!$D:$D,'Transform Data'!D3480)&gt;1,"Repeat","Single"))</f>
        <v>Repeat</v>
      </c>
      <c r="K3480" s="10" t="str">
        <f t="shared" si="54"/>
        <v>TRANS-3479</v>
      </c>
    </row>
    <row r="3481" spans="1:11" x14ac:dyDescent="0.35">
      <c r="A3481" s="5">
        <v>45728</v>
      </c>
      <c r="B3481" s="3">
        <v>0.77931712962962962</v>
      </c>
      <c r="C3481" t="s">
        <v>8</v>
      </c>
      <c r="D3481" t="s">
        <v>1220</v>
      </c>
      <c r="E3481" s="4">
        <v>25.96</v>
      </c>
      <c r="F3481" t="s">
        <v>28</v>
      </c>
      <c r="G3481" s="10" t="str">
        <f>TEXT(Transform_Data[[#This Row],[Date]],"mmm yyyy")</f>
        <v>Mar 2025</v>
      </c>
      <c r="H3481" s="10">
        <f>HOUR(Transform_Data[[#This Row],[Time]])</f>
        <v>18</v>
      </c>
      <c r="I3481" s="10" t="str">
        <f>IF(COUNTIF('Transform Data'!$D:$D,'Transform Data'!D3481)&gt;1,"Repeat","Single")</f>
        <v>Repeat</v>
      </c>
      <c r="J3481" s="10" t="str">
        <f>IF('Transform Data'!D3481="Cash","Cash",IF(COUNTIF('Transform Data'!$D:$D,'Transform Data'!D3481)&gt;1,"Repeat","Single"))</f>
        <v>Repeat</v>
      </c>
      <c r="K3481" s="10" t="str">
        <f t="shared" si="54"/>
        <v>TRANS-3480</v>
      </c>
    </row>
    <row r="3482" spans="1:11" x14ac:dyDescent="0.35">
      <c r="A3482" s="5">
        <v>45729</v>
      </c>
      <c r="B3482" s="3">
        <v>0.2927777777777778</v>
      </c>
      <c r="C3482" t="s">
        <v>8</v>
      </c>
      <c r="D3482" t="s">
        <v>1212</v>
      </c>
      <c r="E3482" s="4">
        <v>35.76</v>
      </c>
      <c r="F3482" t="s">
        <v>24</v>
      </c>
      <c r="G3482" s="10" t="str">
        <f>TEXT(Transform_Data[[#This Row],[Date]],"mmm yyyy")</f>
        <v>Mar 2025</v>
      </c>
      <c r="H3482" s="10">
        <f>HOUR(Transform_Data[[#This Row],[Time]])</f>
        <v>7</v>
      </c>
      <c r="I3482" s="10" t="str">
        <f>IF(COUNTIF('Transform Data'!$D:$D,'Transform Data'!D3482)&gt;1,"Repeat","Single")</f>
        <v>Repeat</v>
      </c>
      <c r="J3482" s="10" t="str">
        <f>IF('Transform Data'!D3482="Cash","Cash",IF(COUNTIF('Transform Data'!$D:$D,'Transform Data'!D3482)&gt;1,"Repeat","Single"))</f>
        <v>Repeat</v>
      </c>
      <c r="K3482" s="10" t="str">
        <f t="shared" si="54"/>
        <v>TRANS-3481</v>
      </c>
    </row>
    <row r="3483" spans="1:11" x14ac:dyDescent="0.35">
      <c r="A3483" s="5">
        <v>45729</v>
      </c>
      <c r="B3483" s="3">
        <v>0.34950231481481481</v>
      </c>
      <c r="C3483" t="s">
        <v>8</v>
      </c>
      <c r="D3483" t="s">
        <v>1204</v>
      </c>
      <c r="E3483" s="4">
        <v>30.86</v>
      </c>
      <c r="F3483" t="s">
        <v>36</v>
      </c>
      <c r="G3483" s="10" t="str">
        <f>TEXT(Transform_Data[[#This Row],[Date]],"mmm yyyy")</f>
        <v>Mar 2025</v>
      </c>
      <c r="H3483" s="10">
        <f>HOUR(Transform_Data[[#This Row],[Time]])</f>
        <v>8</v>
      </c>
      <c r="I3483" s="10" t="str">
        <f>IF(COUNTIF('Transform Data'!$D:$D,'Transform Data'!D3483)&gt;1,"Repeat","Single")</f>
        <v>Repeat</v>
      </c>
      <c r="J3483" s="10" t="str">
        <f>IF('Transform Data'!D3483="Cash","Cash",IF(COUNTIF('Transform Data'!$D:$D,'Transform Data'!D3483)&gt;1,"Repeat","Single"))</f>
        <v>Repeat</v>
      </c>
      <c r="K3483" s="10" t="str">
        <f t="shared" si="54"/>
        <v>TRANS-3482</v>
      </c>
    </row>
    <row r="3484" spans="1:11" x14ac:dyDescent="0.35">
      <c r="A3484" s="5">
        <v>45729</v>
      </c>
      <c r="B3484" s="3">
        <v>0.37832175925925926</v>
      </c>
      <c r="C3484" t="s">
        <v>8</v>
      </c>
      <c r="D3484" t="s">
        <v>33</v>
      </c>
      <c r="E3484" s="4">
        <v>30.86</v>
      </c>
      <c r="F3484" t="s">
        <v>36</v>
      </c>
      <c r="G3484" s="10" t="str">
        <f>TEXT(Transform_Data[[#This Row],[Date]],"mmm yyyy")</f>
        <v>Mar 2025</v>
      </c>
      <c r="H3484" s="10">
        <f>HOUR(Transform_Data[[#This Row],[Time]])</f>
        <v>9</v>
      </c>
      <c r="I3484" s="10" t="str">
        <f>IF(COUNTIF('Transform Data'!$D:$D,'Transform Data'!D3484)&gt;1,"Repeat","Single")</f>
        <v>Repeat</v>
      </c>
      <c r="J3484" s="10" t="str">
        <f>IF('Transform Data'!D3484="Cash","Cash",IF(COUNTIF('Transform Data'!$D:$D,'Transform Data'!D3484)&gt;1,"Repeat","Single"))</f>
        <v>Repeat</v>
      </c>
      <c r="K3484" s="10" t="str">
        <f t="shared" si="54"/>
        <v>TRANS-3483</v>
      </c>
    </row>
    <row r="3485" spans="1:11" x14ac:dyDescent="0.35">
      <c r="A3485" s="5">
        <v>45729</v>
      </c>
      <c r="B3485" s="3">
        <v>0.38899305555555558</v>
      </c>
      <c r="C3485" t="s">
        <v>8</v>
      </c>
      <c r="D3485" t="s">
        <v>1218</v>
      </c>
      <c r="E3485" s="4">
        <v>35.76</v>
      </c>
      <c r="F3485" t="s">
        <v>32</v>
      </c>
      <c r="G3485" s="10" t="str">
        <f>TEXT(Transform_Data[[#This Row],[Date]],"mmm yyyy")</f>
        <v>Mar 2025</v>
      </c>
      <c r="H3485" s="10">
        <f>HOUR(Transform_Data[[#This Row],[Time]])</f>
        <v>9</v>
      </c>
      <c r="I3485" s="10" t="str">
        <f>IF(COUNTIF('Transform Data'!$D:$D,'Transform Data'!D3485)&gt;1,"Repeat","Single")</f>
        <v>Repeat</v>
      </c>
      <c r="J3485" s="10" t="str">
        <f>IF('Transform Data'!D3485="Cash","Cash",IF(COUNTIF('Transform Data'!$D:$D,'Transform Data'!D3485)&gt;1,"Repeat","Single"))</f>
        <v>Repeat</v>
      </c>
      <c r="K3485" s="10" t="str">
        <f t="shared" si="54"/>
        <v>TRANS-3484</v>
      </c>
    </row>
    <row r="3486" spans="1:11" x14ac:dyDescent="0.35">
      <c r="A3486" s="5">
        <v>45729</v>
      </c>
      <c r="B3486" s="3">
        <v>0.3903240740740741</v>
      </c>
      <c r="C3486" t="s">
        <v>8</v>
      </c>
      <c r="D3486" t="s">
        <v>1257</v>
      </c>
      <c r="E3486" s="4">
        <v>21.06</v>
      </c>
      <c r="F3486" t="s">
        <v>5</v>
      </c>
      <c r="G3486" s="10" t="str">
        <f>TEXT(Transform_Data[[#This Row],[Date]],"mmm yyyy")</f>
        <v>Mar 2025</v>
      </c>
      <c r="H3486" s="10">
        <f>HOUR(Transform_Data[[#This Row],[Time]])</f>
        <v>9</v>
      </c>
      <c r="I3486" s="10" t="str">
        <f>IF(COUNTIF('Transform Data'!$D:$D,'Transform Data'!D3486)&gt;1,"Repeat","Single")</f>
        <v>Repeat</v>
      </c>
      <c r="J3486" s="10" t="str">
        <f>IF('Transform Data'!D3486="Cash","Cash",IF(COUNTIF('Transform Data'!$D:$D,'Transform Data'!D3486)&gt;1,"Repeat","Single"))</f>
        <v>Repeat</v>
      </c>
      <c r="K3486" s="10" t="str">
        <f t="shared" si="54"/>
        <v>TRANS-3485</v>
      </c>
    </row>
    <row r="3487" spans="1:11" x14ac:dyDescent="0.35">
      <c r="A3487" s="5">
        <v>45729</v>
      </c>
      <c r="B3487" s="3">
        <v>0.40160879629629631</v>
      </c>
      <c r="C3487" t="s">
        <v>8</v>
      </c>
      <c r="D3487" t="s">
        <v>1333</v>
      </c>
      <c r="E3487" s="4">
        <v>25.96</v>
      </c>
      <c r="F3487" t="s">
        <v>28</v>
      </c>
      <c r="G3487" s="10" t="str">
        <f>TEXT(Transform_Data[[#This Row],[Date]],"mmm yyyy")</f>
        <v>Mar 2025</v>
      </c>
      <c r="H3487" s="10">
        <f>HOUR(Transform_Data[[#This Row],[Time]])</f>
        <v>9</v>
      </c>
      <c r="I3487" s="10" t="str">
        <f>IF(COUNTIF('Transform Data'!$D:$D,'Transform Data'!D3487)&gt;1,"Repeat","Single")</f>
        <v>Single</v>
      </c>
      <c r="J3487" s="10" t="str">
        <f>IF('Transform Data'!D3487="Cash","Cash",IF(COUNTIF('Transform Data'!$D:$D,'Transform Data'!D3487)&gt;1,"Repeat","Single"))</f>
        <v>Single</v>
      </c>
      <c r="K3487" s="10" t="str">
        <f t="shared" si="54"/>
        <v>TRANS-3486</v>
      </c>
    </row>
    <row r="3488" spans="1:11" x14ac:dyDescent="0.35">
      <c r="A3488" s="5">
        <v>45729</v>
      </c>
      <c r="B3488" s="3">
        <v>0.40224537037037039</v>
      </c>
      <c r="C3488" t="s">
        <v>8</v>
      </c>
      <c r="D3488" t="s">
        <v>1334</v>
      </c>
      <c r="E3488" s="4">
        <v>30.86</v>
      </c>
      <c r="F3488" t="s">
        <v>36</v>
      </c>
      <c r="G3488" s="10" t="str">
        <f>TEXT(Transform_Data[[#This Row],[Date]],"mmm yyyy")</f>
        <v>Mar 2025</v>
      </c>
      <c r="H3488" s="10">
        <f>HOUR(Transform_Data[[#This Row],[Time]])</f>
        <v>9</v>
      </c>
      <c r="I3488" s="10" t="str">
        <f>IF(COUNTIF('Transform Data'!$D:$D,'Transform Data'!D3488)&gt;1,"Repeat","Single")</f>
        <v>Single</v>
      </c>
      <c r="J3488" s="10" t="str">
        <f>IF('Transform Data'!D3488="Cash","Cash",IF(COUNTIF('Transform Data'!$D:$D,'Transform Data'!D3488)&gt;1,"Repeat","Single"))</f>
        <v>Single</v>
      </c>
      <c r="K3488" s="10" t="str">
        <f t="shared" si="54"/>
        <v>TRANS-3487</v>
      </c>
    </row>
    <row r="3489" spans="1:11" x14ac:dyDescent="0.35">
      <c r="A3489" s="5">
        <v>45729</v>
      </c>
      <c r="B3489" s="3">
        <v>0.47085648148148146</v>
      </c>
      <c r="C3489" t="s">
        <v>8</v>
      </c>
      <c r="D3489" t="s">
        <v>1217</v>
      </c>
      <c r="E3489" s="4">
        <v>25.96</v>
      </c>
      <c r="F3489" t="s">
        <v>28</v>
      </c>
      <c r="G3489" s="10" t="str">
        <f>TEXT(Transform_Data[[#This Row],[Date]],"mmm yyyy")</f>
        <v>Mar 2025</v>
      </c>
      <c r="H3489" s="10">
        <f>HOUR(Transform_Data[[#This Row],[Time]])</f>
        <v>11</v>
      </c>
      <c r="I3489" s="10" t="str">
        <f>IF(COUNTIF('Transform Data'!$D:$D,'Transform Data'!D3489)&gt;1,"Repeat","Single")</f>
        <v>Repeat</v>
      </c>
      <c r="J3489" s="10" t="str">
        <f>IF('Transform Data'!D3489="Cash","Cash",IF(COUNTIF('Transform Data'!$D:$D,'Transform Data'!D3489)&gt;1,"Repeat","Single"))</f>
        <v>Repeat</v>
      </c>
      <c r="K3489" s="10" t="str">
        <f t="shared" si="54"/>
        <v>TRANS-3488</v>
      </c>
    </row>
    <row r="3490" spans="1:11" x14ac:dyDescent="0.35">
      <c r="A3490" s="5">
        <v>45729</v>
      </c>
      <c r="B3490" s="3">
        <v>0.50945601851851852</v>
      </c>
      <c r="C3490" t="s">
        <v>8</v>
      </c>
      <c r="D3490" t="s">
        <v>1241</v>
      </c>
      <c r="E3490" s="4">
        <v>35.76</v>
      </c>
      <c r="F3490" t="s">
        <v>32</v>
      </c>
      <c r="G3490" s="10" t="str">
        <f>TEXT(Transform_Data[[#This Row],[Date]],"mmm yyyy")</f>
        <v>Mar 2025</v>
      </c>
      <c r="H3490" s="10">
        <f>HOUR(Transform_Data[[#This Row],[Time]])</f>
        <v>12</v>
      </c>
      <c r="I3490" s="10" t="str">
        <f>IF(COUNTIF('Transform Data'!$D:$D,'Transform Data'!D3490)&gt;1,"Repeat","Single")</f>
        <v>Repeat</v>
      </c>
      <c r="J3490" s="10" t="str">
        <f>IF('Transform Data'!D3490="Cash","Cash",IF(COUNTIF('Transform Data'!$D:$D,'Transform Data'!D3490)&gt;1,"Repeat","Single"))</f>
        <v>Repeat</v>
      </c>
      <c r="K3490" s="10" t="str">
        <f t="shared" si="54"/>
        <v>TRANS-3489</v>
      </c>
    </row>
    <row r="3491" spans="1:11" x14ac:dyDescent="0.35">
      <c r="A3491" s="5">
        <v>45729</v>
      </c>
      <c r="B3491" s="3">
        <v>0.62071759259259263</v>
      </c>
      <c r="C3491" t="s">
        <v>8</v>
      </c>
      <c r="D3491" t="s">
        <v>1335</v>
      </c>
      <c r="E3491" s="4">
        <v>30.86</v>
      </c>
      <c r="F3491" t="s">
        <v>36</v>
      </c>
      <c r="G3491" s="10" t="str">
        <f>TEXT(Transform_Data[[#This Row],[Date]],"mmm yyyy")</f>
        <v>Mar 2025</v>
      </c>
      <c r="H3491" s="10">
        <f>HOUR(Transform_Data[[#This Row],[Time]])</f>
        <v>14</v>
      </c>
      <c r="I3491" s="10" t="str">
        <f>IF(COUNTIF('Transform Data'!$D:$D,'Transform Data'!D3491)&gt;1,"Repeat","Single")</f>
        <v>Single</v>
      </c>
      <c r="J3491" s="10" t="str">
        <f>IF('Transform Data'!D3491="Cash","Cash",IF(COUNTIF('Transform Data'!$D:$D,'Transform Data'!D3491)&gt;1,"Repeat","Single"))</f>
        <v>Single</v>
      </c>
      <c r="K3491" s="10" t="str">
        <f t="shared" si="54"/>
        <v>TRANS-3490</v>
      </c>
    </row>
    <row r="3492" spans="1:11" x14ac:dyDescent="0.35">
      <c r="A3492" s="5">
        <v>45729</v>
      </c>
      <c r="B3492" s="3">
        <v>0.62188657407407411</v>
      </c>
      <c r="C3492" t="s">
        <v>8</v>
      </c>
      <c r="D3492" t="s">
        <v>1244</v>
      </c>
      <c r="E3492" s="4">
        <v>25.96</v>
      </c>
      <c r="F3492" t="s">
        <v>28</v>
      </c>
      <c r="G3492" s="10" t="str">
        <f>TEXT(Transform_Data[[#This Row],[Date]],"mmm yyyy")</f>
        <v>Mar 2025</v>
      </c>
      <c r="H3492" s="10">
        <f>HOUR(Transform_Data[[#This Row],[Time]])</f>
        <v>14</v>
      </c>
      <c r="I3492" s="10" t="str">
        <f>IF(COUNTIF('Transform Data'!$D:$D,'Transform Data'!D3492)&gt;1,"Repeat","Single")</f>
        <v>Repeat</v>
      </c>
      <c r="J3492" s="10" t="str">
        <f>IF('Transform Data'!D3492="Cash","Cash",IF(COUNTIF('Transform Data'!$D:$D,'Transform Data'!D3492)&gt;1,"Repeat","Single"))</f>
        <v>Repeat</v>
      </c>
      <c r="K3492" s="10" t="str">
        <f t="shared" si="54"/>
        <v>TRANS-3491</v>
      </c>
    </row>
    <row r="3493" spans="1:11" x14ac:dyDescent="0.35">
      <c r="A3493" s="5">
        <v>45729</v>
      </c>
      <c r="B3493" s="3">
        <v>0.78313657407407411</v>
      </c>
      <c r="C3493" t="s">
        <v>8</v>
      </c>
      <c r="D3493" t="s">
        <v>1209</v>
      </c>
      <c r="E3493" s="4">
        <v>35.76</v>
      </c>
      <c r="F3493" t="s">
        <v>24</v>
      </c>
      <c r="G3493" s="10" t="str">
        <f>TEXT(Transform_Data[[#This Row],[Date]],"mmm yyyy")</f>
        <v>Mar 2025</v>
      </c>
      <c r="H3493" s="10">
        <f>HOUR(Transform_Data[[#This Row],[Time]])</f>
        <v>18</v>
      </c>
      <c r="I3493" s="10" t="str">
        <f>IF(COUNTIF('Transform Data'!$D:$D,'Transform Data'!D3493)&gt;1,"Repeat","Single")</f>
        <v>Repeat</v>
      </c>
      <c r="J3493" s="10" t="str">
        <f>IF('Transform Data'!D3493="Cash","Cash",IF(COUNTIF('Transform Data'!$D:$D,'Transform Data'!D3493)&gt;1,"Repeat","Single"))</f>
        <v>Repeat</v>
      </c>
      <c r="K3493" s="10" t="str">
        <f t="shared" si="54"/>
        <v>TRANS-3492</v>
      </c>
    </row>
    <row r="3494" spans="1:11" x14ac:dyDescent="0.35">
      <c r="A3494" s="5">
        <v>45730</v>
      </c>
      <c r="B3494" s="3">
        <v>0.32991898148148147</v>
      </c>
      <c r="C3494" t="s">
        <v>8</v>
      </c>
      <c r="D3494" t="s">
        <v>1220</v>
      </c>
      <c r="E3494" s="4">
        <v>25.96</v>
      </c>
      <c r="F3494" t="s">
        <v>28</v>
      </c>
      <c r="G3494" s="10" t="str">
        <f>TEXT(Transform_Data[[#This Row],[Date]],"mmm yyyy")</f>
        <v>Mar 2025</v>
      </c>
      <c r="H3494" s="10">
        <f>HOUR(Transform_Data[[#This Row],[Time]])</f>
        <v>7</v>
      </c>
      <c r="I3494" s="10" t="str">
        <f>IF(COUNTIF('Transform Data'!$D:$D,'Transform Data'!D3494)&gt;1,"Repeat","Single")</f>
        <v>Repeat</v>
      </c>
      <c r="J3494" s="10" t="str">
        <f>IF('Transform Data'!D3494="Cash","Cash",IF(COUNTIF('Transform Data'!$D:$D,'Transform Data'!D3494)&gt;1,"Repeat","Single"))</f>
        <v>Repeat</v>
      </c>
      <c r="K3494" s="10" t="str">
        <f t="shared" si="54"/>
        <v>TRANS-3493</v>
      </c>
    </row>
    <row r="3495" spans="1:11" x14ac:dyDescent="0.35">
      <c r="A3495" s="5">
        <v>45730</v>
      </c>
      <c r="B3495" s="3">
        <v>0.34282407407407406</v>
      </c>
      <c r="C3495" t="s">
        <v>8</v>
      </c>
      <c r="D3495" t="s">
        <v>1336</v>
      </c>
      <c r="E3495" s="4">
        <v>30.86</v>
      </c>
      <c r="F3495" t="s">
        <v>36</v>
      </c>
      <c r="G3495" s="10" t="str">
        <f>TEXT(Transform_Data[[#This Row],[Date]],"mmm yyyy")</f>
        <v>Mar 2025</v>
      </c>
      <c r="H3495" s="10">
        <f>HOUR(Transform_Data[[#This Row],[Time]])</f>
        <v>8</v>
      </c>
      <c r="I3495" s="10" t="str">
        <f>IF(COUNTIF('Transform Data'!$D:$D,'Transform Data'!D3495)&gt;1,"Repeat","Single")</f>
        <v>Single</v>
      </c>
      <c r="J3495" s="10" t="str">
        <f>IF('Transform Data'!D3495="Cash","Cash",IF(COUNTIF('Transform Data'!$D:$D,'Transform Data'!D3495)&gt;1,"Repeat","Single"))</f>
        <v>Single</v>
      </c>
      <c r="K3495" s="10" t="str">
        <f t="shared" si="54"/>
        <v>TRANS-3494</v>
      </c>
    </row>
    <row r="3496" spans="1:11" x14ac:dyDescent="0.35">
      <c r="A3496" s="5">
        <v>45730</v>
      </c>
      <c r="B3496" s="3">
        <v>0.37460648148148146</v>
      </c>
      <c r="C3496" t="s">
        <v>8</v>
      </c>
      <c r="D3496" t="s">
        <v>1321</v>
      </c>
      <c r="E3496" s="4">
        <v>25.96</v>
      </c>
      <c r="F3496" t="s">
        <v>28</v>
      </c>
      <c r="G3496" s="10" t="str">
        <f>TEXT(Transform_Data[[#This Row],[Date]],"mmm yyyy")</f>
        <v>Mar 2025</v>
      </c>
      <c r="H3496" s="10">
        <f>HOUR(Transform_Data[[#This Row],[Time]])</f>
        <v>8</v>
      </c>
      <c r="I3496" s="10" t="str">
        <f>IF(COUNTIF('Transform Data'!$D:$D,'Transform Data'!D3496)&gt;1,"Repeat","Single")</f>
        <v>Repeat</v>
      </c>
      <c r="J3496" s="10" t="str">
        <f>IF('Transform Data'!D3496="Cash","Cash",IF(COUNTIF('Transform Data'!$D:$D,'Transform Data'!D3496)&gt;1,"Repeat","Single"))</f>
        <v>Repeat</v>
      </c>
      <c r="K3496" s="10" t="str">
        <f t="shared" si="54"/>
        <v>TRANS-3495</v>
      </c>
    </row>
    <row r="3497" spans="1:11" x14ac:dyDescent="0.35">
      <c r="A3497" s="5">
        <v>45730</v>
      </c>
      <c r="B3497" s="3">
        <v>0.37533564814814813</v>
      </c>
      <c r="C3497" t="s">
        <v>8</v>
      </c>
      <c r="D3497" t="s">
        <v>1337</v>
      </c>
      <c r="E3497" s="4">
        <v>35.76</v>
      </c>
      <c r="F3497" t="s">
        <v>32</v>
      </c>
      <c r="G3497" s="10" t="str">
        <f>TEXT(Transform_Data[[#This Row],[Date]],"mmm yyyy")</f>
        <v>Mar 2025</v>
      </c>
      <c r="H3497" s="10">
        <f>HOUR(Transform_Data[[#This Row],[Time]])</f>
        <v>9</v>
      </c>
      <c r="I3497" s="10" t="str">
        <f>IF(COUNTIF('Transform Data'!$D:$D,'Transform Data'!D3497)&gt;1,"Repeat","Single")</f>
        <v>Single</v>
      </c>
      <c r="J3497" s="10" t="str">
        <f>IF('Transform Data'!D3497="Cash","Cash",IF(COUNTIF('Transform Data'!$D:$D,'Transform Data'!D3497)&gt;1,"Repeat","Single"))</f>
        <v>Single</v>
      </c>
      <c r="K3497" s="10" t="str">
        <f t="shared" si="54"/>
        <v>TRANS-3496</v>
      </c>
    </row>
    <row r="3498" spans="1:11" x14ac:dyDescent="0.35">
      <c r="A3498" s="5">
        <v>45730</v>
      </c>
      <c r="B3498" s="3">
        <v>0.3931365740740741</v>
      </c>
      <c r="C3498" t="s">
        <v>8</v>
      </c>
      <c r="D3498" t="s">
        <v>1257</v>
      </c>
      <c r="E3498" s="4">
        <v>21.06</v>
      </c>
      <c r="F3498" t="s">
        <v>5</v>
      </c>
      <c r="G3498" s="10" t="str">
        <f>TEXT(Transform_Data[[#This Row],[Date]],"mmm yyyy")</f>
        <v>Mar 2025</v>
      </c>
      <c r="H3498" s="10">
        <f>HOUR(Transform_Data[[#This Row],[Time]])</f>
        <v>9</v>
      </c>
      <c r="I3498" s="10" t="str">
        <f>IF(COUNTIF('Transform Data'!$D:$D,'Transform Data'!D3498)&gt;1,"Repeat","Single")</f>
        <v>Repeat</v>
      </c>
      <c r="J3498" s="10" t="str">
        <f>IF('Transform Data'!D3498="Cash","Cash",IF(COUNTIF('Transform Data'!$D:$D,'Transform Data'!D3498)&gt;1,"Repeat","Single"))</f>
        <v>Repeat</v>
      </c>
      <c r="K3498" s="10" t="str">
        <f t="shared" si="54"/>
        <v>TRANS-3497</v>
      </c>
    </row>
    <row r="3499" spans="1:11" x14ac:dyDescent="0.35">
      <c r="A3499" s="5">
        <v>45730</v>
      </c>
      <c r="B3499" s="3">
        <v>0.3948726851851852</v>
      </c>
      <c r="C3499" t="s">
        <v>8</v>
      </c>
      <c r="D3499" t="s">
        <v>1220</v>
      </c>
      <c r="E3499" s="4">
        <v>25.96</v>
      </c>
      <c r="F3499" t="s">
        <v>28</v>
      </c>
      <c r="G3499" s="10" t="str">
        <f>TEXT(Transform_Data[[#This Row],[Date]],"mmm yyyy")</f>
        <v>Mar 2025</v>
      </c>
      <c r="H3499" s="10">
        <f>HOUR(Transform_Data[[#This Row],[Time]])</f>
        <v>9</v>
      </c>
      <c r="I3499" s="10" t="str">
        <f>IF(COUNTIF('Transform Data'!$D:$D,'Transform Data'!D3499)&gt;1,"Repeat","Single")</f>
        <v>Repeat</v>
      </c>
      <c r="J3499" s="10" t="str">
        <f>IF('Transform Data'!D3499="Cash","Cash",IF(COUNTIF('Transform Data'!$D:$D,'Transform Data'!D3499)&gt;1,"Repeat","Single"))</f>
        <v>Repeat</v>
      </c>
      <c r="K3499" s="10" t="str">
        <f t="shared" si="54"/>
        <v>TRANS-3498</v>
      </c>
    </row>
    <row r="3500" spans="1:11" x14ac:dyDescent="0.35">
      <c r="A3500" s="5">
        <v>45730</v>
      </c>
      <c r="B3500" s="3">
        <v>0.43114583333333334</v>
      </c>
      <c r="C3500" t="s">
        <v>8</v>
      </c>
      <c r="D3500" t="s">
        <v>6</v>
      </c>
      <c r="E3500" s="4">
        <v>25.96</v>
      </c>
      <c r="F3500" t="s">
        <v>28</v>
      </c>
      <c r="G3500" s="10" t="str">
        <f>TEXT(Transform_Data[[#This Row],[Date]],"mmm yyyy")</f>
        <v>Mar 2025</v>
      </c>
      <c r="H3500" s="10">
        <f>HOUR(Transform_Data[[#This Row],[Time]])</f>
        <v>10</v>
      </c>
      <c r="I3500" s="10" t="str">
        <f>IF(COUNTIF('Transform Data'!$D:$D,'Transform Data'!D3500)&gt;1,"Repeat","Single")</f>
        <v>Repeat</v>
      </c>
      <c r="J3500" s="10" t="str">
        <f>IF('Transform Data'!D3500="Cash","Cash",IF(COUNTIF('Transform Data'!$D:$D,'Transform Data'!D3500)&gt;1,"Repeat","Single"))</f>
        <v>Repeat</v>
      </c>
      <c r="K3500" s="10" t="str">
        <f t="shared" si="54"/>
        <v>TRANS-3499</v>
      </c>
    </row>
    <row r="3501" spans="1:11" x14ac:dyDescent="0.35">
      <c r="A3501" s="5">
        <v>45730</v>
      </c>
      <c r="B3501" s="3">
        <v>0.45025462962962964</v>
      </c>
      <c r="C3501" t="s">
        <v>8</v>
      </c>
      <c r="D3501" t="s">
        <v>1338</v>
      </c>
      <c r="E3501" s="4">
        <v>35.76</v>
      </c>
      <c r="F3501" t="s">
        <v>32</v>
      </c>
      <c r="G3501" s="10" t="str">
        <f>TEXT(Transform_Data[[#This Row],[Date]],"mmm yyyy")</f>
        <v>Mar 2025</v>
      </c>
      <c r="H3501" s="10">
        <f>HOUR(Transform_Data[[#This Row],[Time]])</f>
        <v>10</v>
      </c>
      <c r="I3501" s="10" t="str">
        <f>IF(COUNTIF('Transform Data'!$D:$D,'Transform Data'!D3501)&gt;1,"Repeat","Single")</f>
        <v>Repeat</v>
      </c>
      <c r="J3501" s="10" t="str">
        <f>IF('Transform Data'!D3501="Cash","Cash",IF(COUNTIF('Transform Data'!$D:$D,'Transform Data'!D3501)&gt;1,"Repeat","Single"))</f>
        <v>Repeat</v>
      </c>
      <c r="K3501" s="10" t="str">
        <f t="shared" si="54"/>
        <v>TRANS-3500</v>
      </c>
    </row>
    <row r="3502" spans="1:11" x14ac:dyDescent="0.35">
      <c r="A3502" s="5">
        <v>45730</v>
      </c>
      <c r="B3502" s="3">
        <v>0.45100694444444445</v>
      </c>
      <c r="C3502" t="s">
        <v>8</v>
      </c>
      <c r="D3502" t="s">
        <v>1338</v>
      </c>
      <c r="E3502" s="4">
        <v>35.76</v>
      </c>
      <c r="F3502" t="s">
        <v>24</v>
      </c>
      <c r="G3502" s="10" t="str">
        <f>TEXT(Transform_Data[[#This Row],[Date]],"mmm yyyy")</f>
        <v>Mar 2025</v>
      </c>
      <c r="H3502" s="10">
        <f>HOUR(Transform_Data[[#This Row],[Time]])</f>
        <v>10</v>
      </c>
      <c r="I3502" s="10" t="str">
        <f>IF(COUNTIF('Transform Data'!$D:$D,'Transform Data'!D3502)&gt;1,"Repeat","Single")</f>
        <v>Repeat</v>
      </c>
      <c r="J3502" s="10" t="str">
        <f>IF('Transform Data'!D3502="Cash","Cash",IF(COUNTIF('Transform Data'!$D:$D,'Transform Data'!D3502)&gt;1,"Repeat","Single"))</f>
        <v>Repeat</v>
      </c>
      <c r="K3502" s="10" t="str">
        <f t="shared" si="54"/>
        <v>TRANS-3501</v>
      </c>
    </row>
    <row r="3503" spans="1:11" x14ac:dyDescent="0.35">
      <c r="A3503" s="5">
        <v>45730</v>
      </c>
      <c r="B3503" s="3">
        <v>0.60783564814814817</v>
      </c>
      <c r="C3503" t="s">
        <v>8</v>
      </c>
      <c r="D3503" t="s">
        <v>1220</v>
      </c>
      <c r="E3503" s="4">
        <v>25.96</v>
      </c>
      <c r="F3503" t="s">
        <v>28</v>
      </c>
      <c r="G3503" s="10" t="str">
        <f>TEXT(Transform_Data[[#This Row],[Date]],"mmm yyyy")</f>
        <v>Mar 2025</v>
      </c>
      <c r="H3503" s="10">
        <f>HOUR(Transform_Data[[#This Row],[Time]])</f>
        <v>14</v>
      </c>
      <c r="I3503" s="10" t="str">
        <f>IF(COUNTIF('Transform Data'!$D:$D,'Transform Data'!D3503)&gt;1,"Repeat","Single")</f>
        <v>Repeat</v>
      </c>
      <c r="J3503" s="10" t="str">
        <f>IF('Transform Data'!D3503="Cash","Cash",IF(COUNTIF('Transform Data'!$D:$D,'Transform Data'!D3503)&gt;1,"Repeat","Single"))</f>
        <v>Repeat</v>
      </c>
      <c r="K3503" s="10" t="str">
        <f t="shared" si="54"/>
        <v>TRANS-3502</v>
      </c>
    </row>
    <row r="3504" spans="1:11" x14ac:dyDescent="0.35">
      <c r="A3504" s="5">
        <v>45730</v>
      </c>
      <c r="B3504" s="3">
        <v>0.60857638888888888</v>
      </c>
      <c r="C3504" t="s">
        <v>8</v>
      </c>
      <c r="D3504" t="s">
        <v>1215</v>
      </c>
      <c r="E3504" s="4">
        <v>35.76</v>
      </c>
      <c r="F3504" t="s">
        <v>32</v>
      </c>
      <c r="G3504" s="10" t="str">
        <f>TEXT(Transform_Data[[#This Row],[Date]],"mmm yyyy")</f>
        <v>Mar 2025</v>
      </c>
      <c r="H3504" s="10">
        <f>HOUR(Transform_Data[[#This Row],[Time]])</f>
        <v>14</v>
      </c>
      <c r="I3504" s="10" t="str">
        <f>IF(COUNTIF('Transform Data'!$D:$D,'Transform Data'!D3504)&gt;1,"Repeat","Single")</f>
        <v>Repeat</v>
      </c>
      <c r="J3504" s="10" t="str">
        <f>IF('Transform Data'!D3504="Cash","Cash",IF(COUNTIF('Transform Data'!$D:$D,'Transform Data'!D3504)&gt;1,"Repeat","Single"))</f>
        <v>Repeat</v>
      </c>
      <c r="K3504" s="10" t="str">
        <f t="shared" si="54"/>
        <v>TRANS-3503</v>
      </c>
    </row>
    <row r="3505" spans="1:11" x14ac:dyDescent="0.35">
      <c r="A3505" s="5">
        <v>45730</v>
      </c>
      <c r="B3505" s="3">
        <v>0.66273148148148153</v>
      </c>
      <c r="C3505" t="s">
        <v>8</v>
      </c>
      <c r="D3505" t="s">
        <v>1241</v>
      </c>
      <c r="E3505" s="4">
        <v>35.76</v>
      </c>
      <c r="F3505" t="s">
        <v>32</v>
      </c>
      <c r="G3505" s="10" t="str">
        <f>TEXT(Transform_Data[[#This Row],[Date]],"mmm yyyy")</f>
        <v>Mar 2025</v>
      </c>
      <c r="H3505" s="10">
        <f>HOUR(Transform_Data[[#This Row],[Time]])</f>
        <v>15</v>
      </c>
      <c r="I3505" s="10" t="str">
        <f>IF(COUNTIF('Transform Data'!$D:$D,'Transform Data'!D3505)&gt;1,"Repeat","Single")</f>
        <v>Repeat</v>
      </c>
      <c r="J3505" s="10" t="str">
        <f>IF('Transform Data'!D3505="Cash","Cash",IF(COUNTIF('Transform Data'!$D:$D,'Transform Data'!D3505)&gt;1,"Repeat","Single"))</f>
        <v>Repeat</v>
      </c>
      <c r="K3505" s="10" t="str">
        <f t="shared" si="54"/>
        <v>TRANS-3504</v>
      </c>
    </row>
    <row r="3506" spans="1:11" x14ac:dyDescent="0.35">
      <c r="A3506" s="5">
        <v>45730</v>
      </c>
      <c r="B3506" s="3">
        <v>0.66365740740740742</v>
      </c>
      <c r="C3506" t="s">
        <v>8</v>
      </c>
      <c r="D3506" t="s">
        <v>1215</v>
      </c>
      <c r="E3506" s="4">
        <v>35.76</v>
      </c>
      <c r="F3506" t="s">
        <v>32</v>
      </c>
      <c r="G3506" s="10" t="str">
        <f>TEXT(Transform_Data[[#This Row],[Date]],"mmm yyyy")</f>
        <v>Mar 2025</v>
      </c>
      <c r="H3506" s="10">
        <f>HOUR(Transform_Data[[#This Row],[Time]])</f>
        <v>15</v>
      </c>
      <c r="I3506" s="10" t="str">
        <f>IF(COUNTIF('Transform Data'!$D:$D,'Transform Data'!D3506)&gt;1,"Repeat","Single")</f>
        <v>Repeat</v>
      </c>
      <c r="J3506" s="10" t="str">
        <f>IF('Transform Data'!D3506="Cash","Cash",IF(COUNTIF('Transform Data'!$D:$D,'Transform Data'!D3506)&gt;1,"Repeat","Single"))</f>
        <v>Repeat</v>
      </c>
      <c r="K3506" s="10" t="str">
        <f t="shared" si="54"/>
        <v>TRANS-3505</v>
      </c>
    </row>
    <row r="3507" spans="1:11" x14ac:dyDescent="0.35">
      <c r="A3507" s="5">
        <v>45730</v>
      </c>
      <c r="B3507" s="3">
        <v>0.68546296296296294</v>
      </c>
      <c r="C3507" t="s">
        <v>8</v>
      </c>
      <c r="D3507" t="s">
        <v>1220</v>
      </c>
      <c r="E3507" s="4">
        <v>25.96</v>
      </c>
      <c r="F3507" t="s">
        <v>28</v>
      </c>
      <c r="G3507" s="10" t="str">
        <f>TEXT(Transform_Data[[#This Row],[Date]],"mmm yyyy")</f>
        <v>Mar 2025</v>
      </c>
      <c r="H3507" s="10">
        <f>HOUR(Transform_Data[[#This Row],[Time]])</f>
        <v>16</v>
      </c>
      <c r="I3507" s="10" t="str">
        <f>IF(COUNTIF('Transform Data'!$D:$D,'Transform Data'!D3507)&gt;1,"Repeat","Single")</f>
        <v>Repeat</v>
      </c>
      <c r="J3507" s="10" t="str">
        <f>IF('Transform Data'!D3507="Cash","Cash",IF(COUNTIF('Transform Data'!$D:$D,'Transform Data'!D3507)&gt;1,"Repeat","Single"))</f>
        <v>Repeat</v>
      </c>
      <c r="K3507" s="10" t="str">
        <f t="shared" si="54"/>
        <v>TRANS-3506</v>
      </c>
    </row>
    <row r="3508" spans="1:11" x14ac:dyDescent="0.35">
      <c r="A3508" s="5">
        <v>45730</v>
      </c>
      <c r="B3508" s="3">
        <v>0.68819444444444444</v>
      </c>
      <c r="C3508" t="s">
        <v>8</v>
      </c>
      <c r="D3508" t="s">
        <v>1326</v>
      </c>
      <c r="E3508" s="4">
        <v>35.76</v>
      </c>
      <c r="F3508" t="s">
        <v>10</v>
      </c>
      <c r="G3508" s="10" t="str">
        <f>TEXT(Transform_Data[[#This Row],[Date]],"mmm yyyy")</f>
        <v>Mar 2025</v>
      </c>
      <c r="H3508" s="10">
        <f>HOUR(Transform_Data[[#This Row],[Time]])</f>
        <v>16</v>
      </c>
      <c r="I3508" s="10" t="str">
        <f>IF(COUNTIF('Transform Data'!$D:$D,'Transform Data'!D3508)&gt;1,"Repeat","Single")</f>
        <v>Repeat</v>
      </c>
      <c r="J3508" s="10" t="str">
        <f>IF('Transform Data'!D3508="Cash","Cash",IF(COUNTIF('Transform Data'!$D:$D,'Transform Data'!D3508)&gt;1,"Repeat","Single"))</f>
        <v>Repeat</v>
      </c>
      <c r="K3508" s="10" t="str">
        <f t="shared" si="54"/>
        <v>TRANS-3507</v>
      </c>
    </row>
    <row r="3509" spans="1:11" x14ac:dyDescent="0.35">
      <c r="A3509" s="5">
        <v>45730</v>
      </c>
      <c r="B3509" s="3">
        <v>0.68883101851851847</v>
      </c>
      <c r="C3509" t="s">
        <v>8</v>
      </c>
      <c r="D3509" t="s">
        <v>1339</v>
      </c>
      <c r="E3509" s="4">
        <v>35.76</v>
      </c>
      <c r="F3509" t="s">
        <v>10</v>
      </c>
      <c r="G3509" s="10" t="str">
        <f>TEXT(Transform_Data[[#This Row],[Date]],"mmm yyyy")</f>
        <v>Mar 2025</v>
      </c>
      <c r="H3509" s="10">
        <f>HOUR(Transform_Data[[#This Row],[Time]])</f>
        <v>16</v>
      </c>
      <c r="I3509" s="10" t="str">
        <f>IF(COUNTIF('Transform Data'!$D:$D,'Transform Data'!D3509)&gt;1,"Repeat","Single")</f>
        <v>Repeat</v>
      </c>
      <c r="J3509" s="10" t="str">
        <f>IF('Transform Data'!D3509="Cash","Cash",IF(COUNTIF('Transform Data'!$D:$D,'Transform Data'!D3509)&gt;1,"Repeat","Single"))</f>
        <v>Repeat</v>
      </c>
      <c r="K3509" s="10" t="str">
        <f t="shared" si="54"/>
        <v>TRANS-3508</v>
      </c>
    </row>
    <row r="3510" spans="1:11" x14ac:dyDescent="0.35">
      <c r="A3510" s="5">
        <v>45730</v>
      </c>
      <c r="B3510" s="3">
        <v>0.68935185185185188</v>
      </c>
      <c r="C3510" t="s">
        <v>8</v>
      </c>
      <c r="D3510" t="s">
        <v>1339</v>
      </c>
      <c r="E3510" s="4">
        <v>35.76</v>
      </c>
      <c r="F3510" t="s">
        <v>10</v>
      </c>
      <c r="G3510" s="10" t="str">
        <f>TEXT(Transform_Data[[#This Row],[Date]],"mmm yyyy")</f>
        <v>Mar 2025</v>
      </c>
      <c r="H3510" s="10">
        <f>HOUR(Transform_Data[[#This Row],[Time]])</f>
        <v>16</v>
      </c>
      <c r="I3510" s="10" t="str">
        <f>IF(COUNTIF('Transform Data'!$D:$D,'Transform Data'!D3510)&gt;1,"Repeat","Single")</f>
        <v>Repeat</v>
      </c>
      <c r="J3510" s="10" t="str">
        <f>IF('Transform Data'!D3510="Cash","Cash",IF(COUNTIF('Transform Data'!$D:$D,'Transform Data'!D3510)&gt;1,"Repeat","Single"))</f>
        <v>Repeat</v>
      </c>
      <c r="K3510" s="10" t="str">
        <f t="shared" si="54"/>
        <v>TRANS-3509</v>
      </c>
    </row>
    <row r="3511" spans="1:11" x14ac:dyDescent="0.35">
      <c r="A3511" s="5">
        <v>45730</v>
      </c>
      <c r="B3511" s="3">
        <v>0.71208333333333329</v>
      </c>
      <c r="C3511" t="s">
        <v>8</v>
      </c>
      <c r="D3511" t="s">
        <v>1340</v>
      </c>
      <c r="E3511" s="4">
        <v>25.96</v>
      </c>
      <c r="F3511" t="s">
        <v>28</v>
      </c>
      <c r="G3511" s="10" t="str">
        <f>TEXT(Transform_Data[[#This Row],[Date]],"mmm yyyy")</f>
        <v>Mar 2025</v>
      </c>
      <c r="H3511" s="10">
        <f>HOUR(Transform_Data[[#This Row],[Time]])</f>
        <v>17</v>
      </c>
      <c r="I3511" s="10" t="str">
        <f>IF(COUNTIF('Transform Data'!$D:$D,'Transform Data'!D3511)&gt;1,"Repeat","Single")</f>
        <v>Repeat</v>
      </c>
      <c r="J3511" s="10" t="str">
        <f>IF('Transform Data'!D3511="Cash","Cash",IF(COUNTIF('Transform Data'!$D:$D,'Transform Data'!D3511)&gt;1,"Repeat","Single"))</f>
        <v>Repeat</v>
      </c>
      <c r="K3511" s="10" t="str">
        <f t="shared" si="54"/>
        <v>TRANS-3510</v>
      </c>
    </row>
    <row r="3512" spans="1:11" x14ac:dyDescent="0.35">
      <c r="A3512" s="5">
        <v>45730</v>
      </c>
      <c r="B3512" s="3">
        <v>0.72377314814814819</v>
      </c>
      <c r="C3512" t="s">
        <v>8</v>
      </c>
      <c r="D3512" t="s">
        <v>1217</v>
      </c>
      <c r="E3512" s="4">
        <v>25.96</v>
      </c>
      <c r="F3512" t="s">
        <v>28</v>
      </c>
      <c r="G3512" s="10" t="str">
        <f>TEXT(Transform_Data[[#This Row],[Date]],"mmm yyyy")</f>
        <v>Mar 2025</v>
      </c>
      <c r="H3512" s="10">
        <f>HOUR(Transform_Data[[#This Row],[Time]])</f>
        <v>17</v>
      </c>
      <c r="I3512" s="10" t="str">
        <f>IF(COUNTIF('Transform Data'!$D:$D,'Transform Data'!D3512)&gt;1,"Repeat","Single")</f>
        <v>Repeat</v>
      </c>
      <c r="J3512" s="10" t="str">
        <f>IF('Transform Data'!D3512="Cash","Cash",IF(COUNTIF('Transform Data'!$D:$D,'Transform Data'!D3512)&gt;1,"Repeat","Single"))</f>
        <v>Repeat</v>
      </c>
      <c r="K3512" s="10" t="str">
        <f t="shared" si="54"/>
        <v>TRANS-3511</v>
      </c>
    </row>
    <row r="3513" spans="1:11" x14ac:dyDescent="0.35">
      <c r="A3513" s="5">
        <v>45730</v>
      </c>
      <c r="B3513" s="3">
        <v>0.72725694444444444</v>
      </c>
      <c r="C3513" t="s">
        <v>8</v>
      </c>
      <c r="D3513" t="s">
        <v>1241</v>
      </c>
      <c r="E3513" s="4">
        <v>35.76</v>
      </c>
      <c r="F3513" t="s">
        <v>32</v>
      </c>
      <c r="G3513" s="10" t="str">
        <f>TEXT(Transform_Data[[#This Row],[Date]],"mmm yyyy")</f>
        <v>Mar 2025</v>
      </c>
      <c r="H3513" s="10">
        <f>HOUR(Transform_Data[[#This Row],[Time]])</f>
        <v>17</v>
      </c>
      <c r="I3513" s="10" t="str">
        <f>IF(COUNTIF('Transform Data'!$D:$D,'Transform Data'!D3513)&gt;1,"Repeat","Single")</f>
        <v>Repeat</v>
      </c>
      <c r="J3513" s="10" t="str">
        <f>IF('Transform Data'!D3513="Cash","Cash",IF(COUNTIF('Transform Data'!$D:$D,'Transform Data'!D3513)&gt;1,"Repeat","Single"))</f>
        <v>Repeat</v>
      </c>
      <c r="K3513" s="10" t="str">
        <f t="shared" si="54"/>
        <v>TRANS-3512</v>
      </c>
    </row>
    <row r="3514" spans="1:11" x14ac:dyDescent="0.35">
      <c r="A3514" s="5">
        <v>45730</v>
      </c>
      <c r="B3514" s="3">
        <v>0.72821759259259256</v>
      </c>
      <c r="C3514" t="s">
        <v>8</v>
      </c>
      <c r="D3514" t="s">
        <v>1215</v>
      </c>
      <c r="E3514" s="4">
        <v>35.76</v>
      </c>
      <c r="F3514" t="s">
        <v>32</v>
      </c>
      <c r="G3514" s="10" t="str">
        <f>TEXT(Transform_Data[[#This Row],[Date]],"mmm yyyy")</f>
        <v>Mar 2025</v>
      </c>
      <c r="H3514" s="10">
        <f>HOUR(Transform_Data[[#This Row],[Time]])</f>
        <v>17</v>
      </c>
      <c r="I3514" s="10" t="str">
        <f>IF(COUNTIF('Transform Data'!$D:$D,'Transform Data'!D3514)&gt;1,"Repeat","Single")</f>
        <v>Repeat</v>
      </c>
      <c r="J3514" s="10" t="str">
        <f>IF('Transform Data'!D3514="Cash","Cash",IF(COUNTIF('Transform Data'!$D:$D,'Transform Data'!D3514)&gt;1,"Repeat","Single"))</f>
        <v>Repeat</v>
      </c>
      <c r="K3514" s="10" t="str">
        <f t="shared" si="54"/>
        <v>TRANS-3513</v>
      </c>
    </row>
    <row r="3515" spans="1:11" x14ac:dyDescent="0.35">
      <c r="A3515" s="5">
        <v>45730</v>
      </c>
      <c r="B3515" s="3">
        <v>0.84747685185185184</v>
      </c>
      <c r="C3515" t="s">
        <v>8</v>
      </c>
      <c r="D3515" t="s">
        <v>1341</v>
      </c>
      <c r="E3515" s="4">
        <v>25.96</v>
      </c>
      <c r="F3515" t="s">
        <v>28</v>
      </c>
      <c r="G3515" s="10" t="str">
        <f>TEXT(Transform_Data[[#This Row],[Date]],"mmm yyyy")</f>
        <v>Mar 2025</v>
      </c>
      <c r="H3515" s="10">
        <f>HOUR(Transform_Data[[#This Row],[Time]])</f>
        <v>20</v>
      </c>
      <c r="I3515" s="10" t="str">
        <f>IF(COUNTIF('Transform Data'!$D:$D,'Transform Data'!D3515)&gt;1,"Repeat","Single")</f>
        <v>Single</v>
      </c>
      <c r="J3515" s="10" t="str">
        <f>IF('Transform Data'!D3515="Cash","Cash",IF(COUNTIF('Transform Data'!$D:$D,'Transform Data'!D3515)&gt;1,"Repeat","Single"))</f>
        <v>Single</v>
      </c>
      <c r="K3515" s="10" t="str">
        <f t="shared" si="54"/>
        <v>TRANS-3514</v>
      </c>
    </row>
    <row r="3516" spans="1:11" x14ac:dyDescent="0.35">
      <c r="A3516" s="5">
        <v>45730</v>
      </c>
      <c r="B3516" s="3">
        <v>0.90327546296296302</v>
      </c>
      <c r="C3516" t="s">
        <v>8</v>
      </c>
      <c r="D3516" t="s">
        <v>1264</v>
      </c>
      <c r="E3516" s="4">
        <v>25.96</v>
      </c>
      <c r="F3516" t="s">
        <v>28</v>
      </c>
      <c r="G3516" s="10" t="str">
        <f>TEXT(Transform_Data[[#This Row],[Date]],"mmm yyyy")</f>
        <v>Mar 2025</v>
      </c>
      <c r="H3516" s="10">
        <f>HOUR(Transform_Data[[#This Row],[Time]])</f>
        <v>21</v>
      </c>
      <c r="I3516" s="10" t="str">
        <f>IF(COUNTIF('Transform Data'!$D:$D,'Transform Data'!D3516)&gt;1,"Repeat","Single")</f>
        <v>Repeat</v>
      </c>
      <c r="J3516" s="10" t="str">
        <f>IF('Transform Data'!D3516="Cash","Cash",IF(COUNTIF('Transform Data'!$D:$D,'Transform Data'!D3516)&gt;1,"Repeat","Single"))</f>
        <v>Repeat</v>
      </c>
      <c r="K3516" s="10" t="str">
        <f t="shared" si="54"/>
        <v>TRANS-3515</v>
      </c>
    </row>
    <row r="3517" spans="1:11" x14ac:dyDescent="0.35">
      <c r="A3517" s="5">
        <v>45731</v>
      </c>
      <c r="B3517" s="3">
        <v>0.41206018518518517</v>
      </c>
      <c r="C3517" t="s">
        <v>8</v>
      </c>
      <c r="D3517" t="s">
        <v>33</v>
      </c>
      <c r="E3517" s="4">
        <v>30.86</v>
      </c>
      <c r="F3517" t="s">
        <v>36</v>
      </c>
      <c r="G3517" s="10" t="str">
        <f>TEXT(Transform_Data[[#This Row],[Date]],"mmm yyyy")</f>
        <v>Mar 2025</v>
      </c>
      <c r="H3517" s="10">
        <f>HOUR(Transform_Data[[#This Row],[Time]])</f>
        <v>9</v>
      </c>
      <c r="I3517" s="10" t="str">
        <f>IF(COUNTIF('Transform Data'!$D:$D,'Transform Data'!D3517)&gt;1,"Repeat","Single")</f>
        <v>Repeat</v>
      </c>
      <c r="J3517" s="10" t="str">
        <f>IF('Transform Data'!D3517="Cash","Cash",IF(COUNTIF('Transform Data'!$D:$D,'Transform Data'!D3517)&gt;1,"Repeat","Single"))</f>
        <v>Repeat</v>
      </c>
      <c r="K3517" s="10" t="str">
        <f t="shared" si="54"/>
        <v>TRANS-3516</v>
      </c>
    </row>
    <row r="3518" spans="1:11" x14ac:dyDescent="0.35">
      <c r="A3518" s="5">
        <v>45731</v>
      </c>
      <c r="B3518" s="3">
        <v>0.41900462962962964</v>
      </c>
      <c r="C3518" t="s">
        <v>8</v>
      </c>
      <c r="D3518" t="s">
        <v>1209</v>
      </c>
      <c r="E3518" s="4">
        <v>35.76</v>
      </c>
      <c r="F3518" t="s">
        <v>24</v>
      </c>
      <c r="G3518" s="10" t="str">
        <f>TEXT(Transform_Data[[#This Row],[Date]],"mmm yyyy")</f>
        <v>Mar 2025</v>
      </c>
      <c r="H3518" s="10">
        <f>HOUR(Transform_Data[[#This Row],[Time]])</f>
        <v>10</v>
      </c>
      <c r="I3518" s="10" t="str">
        <f>IF(COUNTIF('Transform Data'!$D:$D,'Transform Data'!D3518)&gt;1,"Repeat","Single")</f>
        <v>Repeat</v>
      </c>
      <c r="J3518" s="10" t="str">
        <f>IF('Transform Data'!D3518="Cash","Cash",IF(COUNTIF('Transform Data'!$D:$D,'Transform Data'!D3518)&gt;1,"Repeat","Single"))</f>
        <v>Repeat</v>
      </c>
      <c r="K3518" s="10" t="str">
        <f t="shared" si="54"/>
        <v>TRANS-3517</v>
      </c>
    </row>
    <row r="3519" spans="1:11" x14ac:dyDescent="0.35">
      <c r="A3519" s="5">
        <v>45731</v>
      </c>
      <c r="B3519" s="3">
        <v>0.5803356481481482</v>
      </c>
      <c r="C3519" t="s">
        <v>8</v>
      </c>
      <c r="D3519" t="s">
        <v>1217</v>
      </c>
      <c r="E3519" s="4">
        <v>25.96</v>
      </c>
      <c r="F3519" t="s">
        <v>28</v>
      </c>
      <c r="G3519" s="10" t="str">
        <f>TEXT(Transform_Data[[#This Row],[Date]],"mmm yyyy")</f>
        <v>Mar 2025</v>
      </c>
      <c r="H3519" s="10">
        <f>HOUR(Transform_Data[[#This Row],[Time]])</f>
        <v>13</v>
      </c>
      <c r="I3519" s="10" t="str">
        <f>IF(COUNTIF('Transform Data'!$D:$D,'Transform Data'!D3519)&gt;1,"Repeat","Single")</f>
        <v>Repeat</v>
      </c>
      <c r="J3519" s="10" t="str">
        <f>IF('Transform Data'!D3519="Cash","Cash",IF(COUNTIF('Transform Data'!$D:$D,'Transform Data'!D3519)&gt;1,"Repeat","Single"))</f>
        <v>Repeat</v>
      </c>
      <c r="K3519" s="10" t="str">
        <f t="shared" si="54"/>
        <v>TRANS-3518</v>
      </c>
    </row>
    <row r="3520" spans="1:11" x14ac:dyDescent="0.35">
      <c r="A3520" s="5">
        <v>45731</v>
      </c>
      <c r="B3520" s="3">
        <v>0.71554398148148146</v>
      </c>
      <c r="C3520" t="s">
        <v>8</v>
      </c>
      <c r="D3520" t="s">
        <v>102</v>
      </c>
      <c r="E3520" s="4">
        <v>35.76</v>
      </c>
      <c r="F3520" t="s">
        <v>24</v>
      </c>
      <c r="G3520" s="10" t="str">
        <f>TEXT(Transform_Data[[#This Row],[Date]],"mmm yyyy")</f>
        <v>Mar 2025</v>
      </c>
      <c r="H3520" s="10">
        <f>HOUR(Transform_Data[[#This Row],[Time]])</f>
        <v>17</v>
      </c>
      <c r="I3520" s="10" t="str">
        <f>IF(COUNTIF('Transform Data'!$D:$D,'Transform Data'!D3520)&gt;1,"Repeat","Single")</f>
        <v>Repeat</v>
      </c>
      <c r="J3520" s="10" t="str">
        <f>IF('Transform Data'!D3520="Cash","Cash",IF(COUNTIF('Transform Data'!$D:$D,'Transform Data'!D3520)&gt;1,"Repeat","Single"))</f>
        <v>Repeat</v>
      </c>
      <c r="K3520" s="10" t="str">
        <f t="shared" si="54"/>
        <v>TRANS-3519</v>
      </c>
    </row>
    <row r="3521" spans="1:11" x14ac:dyDescent="0.35">
      <c r="A3521" s="5">
        <v>45731</v>
      </c>
      <c r="B3521" s="3">
        <v>0.71675925925925921</v>
      </c>
      <c r="C3521" t="s">
        <v>8</v>
      </c>
      <c r="D3521" t="s">
        <v>1203</v>
      </c>
      <c r="E3521" s="4">
        <v>30.86</v>
      </c>
      <c r="F3521" t="s">
        <v>36</v>
      </c>
      <c r="G3521" s="10" t="str">
        <f>TEXT(Transform_Data[[#This Row],[Date]],"mmm yyyy")</f>
        <v>Mar 2025</v>
      </c>
      <c r="H3521" s="10">
        <f>HOUR(Transform_Data[[#This Row],[Time]])</f>
        <v>17</v>
      </c>
      <c r="I3521" s="10" t="str">
        <f>IF(COUNTIF('Transform Data'!$D:$D,'Transform Data'!D3521)&gt;1,"Repeat","Single")</f>
        <v>Repeat</v>
      </c>
      <c r="J3521" s="10" t="str">
        <f>IF('Transform Data'!D3521="Cash","Cash",IF(COUNTIF('Transform Data'!$D:$D,'Transform Data'!D3521)&gt;1,"Repeat","Single"))</f>
        <v>Repeat</v>
      </c>
      <c r="K3521" s="10" t="str">
        <f t="shared" si="54"/>
        <v>TRANS-3520</v>
      </c>
    </row>
    <row r="3522" spans="1:11" x14ac:dyDescent="0.35">
      <c r="A3522" s="5">
        <v>45731</v>
      </c>
      <c r="B3522" s="3">
        <v>0.81291666666666662</v>
      </c>
      <c r="C3522" t="s">
        <v>8</v>
      </c>
      <c r="D3522" t="s">
        <v>1267</v>
      </c>
      <c r="E3522" s="4">
        <v>30.86</v>
      </c>
      <c r="F3522" t="s">
        <v>36</v>
      </c>
      <c r="G3522" s="10" t="str">
        <f>TEXT(Transform_Data[[#This Row],[Date]],"mmm yyyy")</f>
        <v>Mar 2025</v>
      </c>
      <c r="H3522" s="10">
        <f>HOUR(Transform_Data[[#This Row],[Time]])</f>
        <v>19</v>
      </c>
      <c r="I3522" s="10" t="str">
        <f>IF(COUNTIF('Transform Data'!$D:$D,'Transform Data'!D3522)&gt;1,"Repeat","Single")</f>
        <v>Repeat</v>
      </c>
      <c r="J3522" s="10" t="str">
        <f>IF('Transform Data'!D3522="Cash","Cash",IF(COUNTIF('Transform Data'!$D:$D,'Transform Data'!D3522)&gt;1,"Repeat","Single"))</f>
        <v>Repeat</v>
      </c>
      <c r="K3522" s="10" t="str">
        <f t="shared" ref="K3522:K3585" si="55">"TRANS-"&amp;TEXT(ROW(A3521),"0000")</f>
        <v>TRANS-3521</v>
      </c>
    </row>
    <row r="3523" spans="1:11" x14ac:dyDescent="0.35">
      <c r="A3523" s="5">
        <v>45731</v>
      </c>
      <c r="B3523" s="3">
        <v>0.82739583333333333</v>
      </c>
      <c r="C3523" t="s">
        <v>8</v>
      </c>
      <c r="D3523" t="s">
        <v>1342</v>
      </c>
      <c r="E3523" s="4">
        <v>35.76</v>
      </c>
      <c r="F3523" t="s">
        <v>24</v>
      </c>
      <c r="G3523" s="10" t="str">
        <f>TEXT(Transform_Data[[#This Row],[Date]],"mmm yyyy")</f>
        <v>Mar 2025</v>
      </c>
      <c r="H3523" s="10">
        <f>HOUR(Transform_Data[[#This Row],[Time]])</f>
        <v>19</v>
      </c>
      <c r="I3523" s="10" t="str">
        <f>IF(COUNTIF('Transform Data'!$D:$D,'Transform Data'!D3523)&gt;1,"Repeat","Single")</f>
        <v>Single</v>
      </c>
      <c r="J3523" s="10" t="str">
        <f>IF('Transform Data'!D3523="Cash","Cash",IF(COUNTIF('Transform Data'!$D:$D,'Transform Data'!D3523)&gt;1,"Repeat","Single"))</f>
        <v>Single</v>
      </c>
      <c r="K3523" s="10" t="str">
        <f t="shared" si="55"/>
        <v>TRANS-3522</v>
      </c>
    </row>
    <row r="3524" spans="1:11" x14ac:dyDescent="0.35">
      <c r="A3524" s="5">
        <v>45732</v>
      </c>
      <c r="B3524" s="3">
        <v>0.39741898148148147</v>
      </c>
      <c r="C3524" t="s">
        <v>8</v>
      </c>
      <c r="D3524" t="s">
        <v>1212</v>
      </c>
      <c r="E3524" s="4">
        <v>35.76</v>
      </c>
      <c r="F3524" t="s">
        <v>24</v>
      </c>
      <c r="G3524" s="10" t="str">
        <f>TEXT(Transform_Data[[#This Row],[Date]],"mmm yyyy")</f>
        <v>Mar 2025</v>
      </c>
      <c r="H3524" s="10">
        <f>HOUR(Transform_Data[[#This Row],[Time]])</f>
        <v>9</v>
      </c>
      <c r="I3524" s="10" t="str">
        <f>IF(COUNTIF('Transform Data'!$D:$D,'Transform Data'!D3524)&gt;1,"Repeat","Single")</f>
        <v>Repeat</v>
      </c>
      <c r="J3524" s="10" t="str">
        <f>IF('Transform Data'!D3524="Cash","Cash",IF(COUNTIF('Transform Data'!$D:$D,'Transform Data'!D3524)&gt;1,"Repeat","Single"))</f>
        <v>Repeat</v>
      </c>
      <c r="K3524" s="10" t="str">
        <f t="shared" si="55"/>
        <v>TRANS-3523</v>
      </c>
    </row>
    <row r="3525" spans="1:11" x14ac:dyDescent="0.35">
      <c r="A3525" s="5">
        <v>45732</v>
      </c>
      <c r="B3525" s="3">
        <v>0.40026620370370369</v>
      </c>
      <c r="C3525" t="s">
        <v>8</v>
      </c>
      <c r="D3525" t="s">
        <v>1343</v>
      </c>
      <c r="E3525" s="4">
        <v>30.86</v>
      </c>
      <c r="F3525" t="s">
        <v>36</v>
      </c>
      <c r="G3525" s="10" t="str">
        <f>TEXT(Transform_Data[[#This Row],[Date]],"mmm yyyy")</f>
        <v>Mar 2025</v>
      </c>
      <c r="H3525" s="10">
        <f>HOUR(Transform_Data[[#This Row],[Time]])</f>
        <v>9</v>
      </c>
      <c r="I3525" s="10" t="str">
        <f>IF(COUNTIF('Transform Data'!$D:$D,'Transform Data'!D3525)&gt;1,"Repeat","Single")</f>
        <v>Repeat</v>
      </c>
      <c r="J3525" s="10" t="str">
        <f>IF('Transform Data'!D3525="Cash","Cash",IF(COUNTIF('Transform Data'!$D:$D,'Transform Data'!D3525)&gt;1,"Repeat","Single"))</f>
        <v>Repeat</v>
      </c>
      <c r="K3525" s="10" t="str">
        <f t="shared" si="55"/>
        <v>TRANS-3524</v>
      </c>
    </row>
    <row r="3526" spans="1:11" x14ac:dyDescent="0.35">
      <c r="A3526" s="5">
        <v>45732</v>
      </c>
      <c r="B3526" s="3">
        <v>0.45149305555555558</v>
      </c>
      <c r="C3526" t="s">
        <v>8</v>
      </c>
      <c r="D3526" t="s">
        <v>1344</v>
      </c>
      <c r="E3526" s="4">
        <v>35.76</v>
      </c>
      <c r="F3526" t="s">
        <v>32</v>
      </c>
      <c r="G3526" s="10" t="str">
        <f>TEXT(Transform_Data[[#This Row],[Date]],"mmm yyyy")</f>
        <v>Mar 2025</v>
      </c>
      <c r="H3526" s="10">
        <f>HOUR(Transform_Data[[#This Row],[Time]])</f>
        <v>10</v>
      </c>
      <c r="I3526" s="10" t="str">
        <f>IF(COUNTIF('Transform Data'!$D:$D,'Transform Data'!D3526)&gt;1,"Repeat","Single")</f>
        <v>Repeat</v>
      </c>
      <c r="J3526" s="10" t="str">
        <f>IF('Transform Data'!D3526="Cash","Cash",IF(COUNTIF('Transform Data'!$D:$D,'Transform Data'!D3526)&gt;1,"Repeat","Single"))</f>
        <v>Repeat</v>
      </c>
      <c r="K3526" s="10" t="str">
        <f t="shared" si="55"/>
        <v>TRANS-3525</v>
      </c>
    </row>
    <row r="3527" spans="1:11" x14ac:dyDescent="0.35">
      <c r="A3527" s="5">
        <v>45732</v>
      </c>
      <c r="B3527" s="3">
        <v>0.50054398148148149</v>
      </c>
      <c r="C3527" t="s">
        <v>8</v>
      </c>
      <c r="D3527" t="s">
        <v>1344</v>
      </c>
      <c r="E3527" s="4">
        <v>35.76</v>
      </c>
      <c r="F3527" t="s">
        <v>15</v>
      </c>
      <c r="G3527" s="10" t="str">
        <f>TEXT(Transform_Data[[#This Row],[Date]],"mmm yyyy")</f>
        <v>Mar 2025</v>
      </c>
      <c r="H3527" s="10">
        <f>HOUR(Transform_Data[[#This Row],[Time]])</f>
        <v>12</v>
      </c>
      <c r="I3527" s="10" t="str">
        <f>IF(COUNTIF('Transform Data'!$D:$D,'Transform Data'!D3527)&gt;1,"Repeat","Single")</f>
        <v>Repeat</v>
      </c>
      <c r="J3527" s="10" t="str">
        <f>IF('Transform Data'!D3527="Cash","Cash",IF(COUNTIF('Transform Data'!$D:$D,'Transform Data'!D3527)&gt;1,"Repeat","Single"))</f>
        <v>Repeat</v>
      </c>
      <c r="K3527" s="10" t="str">
        <f t="shared" si="55"/>
        <v>TRANS-3526</v>
      </c>
    </row>
    <row r="3528" spans="1:11" x14ac:dyDescent="0.35">
      <c r="A3528" s="5">
        <v>45732</v>
      </c>
      <c r="B3528" s="3">
        <v>0.59909722222222217</v>
      </c>
      <c r="C3528" t="s">
        <v>8</v>
      </c>
      <c r="D3528" t="s">
        <v>1220</v>
      </c>
      <c r="E3528" s="4">
        <v>25.96</v>
      </c>
      <c r="F3528" t="s">
        <v>28</v>
      </c>
      <c r="G3528" s="10" t="str">
        <f>TEXT(Transform_Data[[#This Row],[Date]],"mmm yyyy")</f>
        <v>Mar 2025</v>
      </c>
      <c r="H3528" s="10">
        <f>HOUR(Transform_Data[[#This Row],[Time]])</f>
        <v>14</v>
      </c>
      <c r="I3528" s="10" t="str">
        <f>IF(COUNTIF('Transform Data'!$D:$D,'Transform Data'!D3528)&gt;1,"Repeat","Single")</f>
        <v>Repeat</v>
      </c>
      <c r="J3528" s="10" t="str">
        <f>IF('Transform Data'!D3528="Cash","Cash",IF(COUNTIF('Transform Data'!$D:$D,'Transform Data'!D3528)&gt;1,"Repeat","Single"))</f>
        <v>Repeat</v>
      </c>
      <c r="K3528" s="10" t="str">
        <f t="shared" si="55"/>
        <v>TRANS-3527</v>
      </c>
    </row>
    <row r="3529" spans="1:11" x14ac:dyDescent="0.35">
      <c r="A3529" s="5">
        <v>45733</v>
      </c>
      <c r="B3529" s="3">
        <v>0.28796296296296298</v>
      </c>
      <c r="C3529" t="s">
        <v>8</v>
      </c>
      <c r="D3529" t="s">
        <v>33</v>
      </c>
      <c r="E3529" s="4">
        <v>25.96</v>
      </c>
      <c r="F3529" t="s">
        <v>28</v>
      </c>
      <c r="G3529" s="10" t="str">
        <f>TEXT(Transform_Data[[#This Row],[Date]],"mmm yyyy")</f>
        <v>Mar 2025</v>
      </c>
      <c r="H3529" s="10">
        <f>HOUR(Transform_Data[[#This Row],[Time]])</f>
        <v>6</v>
      </c>
      <c r="I3529" s="10" t="str">
        <f>IF(COUNTIF('Transform Data'!$D:$D,'Transform Data'!D3529)&gt;1,"Repeat","Single")</f>
        <v>Repeat</v>
      </c>
      <c r="J3529" s="10" t="str">
        <f>IF('Transform Data'!D3529="Cash","Cash",IF(COUNTIF('Transform Data'!$D:$D,'Transform Data'!D3529)&gt;1,"Repeat","Single"))</f>
        <v>Repeat</v>
      </c>
      <c r="K3529" s="10" t="str">
        <f t="shared" si="55"/>
        <v>TRANS-3528</v>
      </c>
    </row>
    <row r="3530" spans="1:11" x14ac:dyDescent="0.35">
      <c r="A3530" s="5">
        <v>45733</v>
      </c>
      <c r="B3530" s="3">
        <v>0.34016203703703701</v>
      </c>
      <c r="C3530" t="s">
        <v>8</v>
      </c>
      <c r="D3530" t="s">
        <v>6</v>
      </c>
      <c r="E3530" s="4">
        <v>25.96</v>
      </c>
      <c r="F3530" t="s">
        <v>28</v>
      </c>
      <c r="G3530" s="10" t="str">
        <f>TEXT(Transform_Data[[#This Row],[Date]],"mmm yyyy")</f>
        <v>Mar 2025</v>
      </c>
      <c r="H3530" s="10">
        <f>HOUR(Transform_Data[[#This Row],[Time]])</f>
        <v>8</v>
      </c>
      <c r="I3530" s="10" t="str">
        <f>IF(COUNTIF('Transform Data'!$D:$D,'Transform Data'!D3530)&gt;1,"Repeat","Single")</f>
        <v>Repeat</v>
      </c>
      <c r="J3530" s="10" t="str">
        <f>IF('Transform Data'!D3530="Cash","Cash",IF(COUNTIF('Transform Data'!$D:$D,'Transform Data'!D3530)&gt;1,"Repeat","Single"))</f>
        <v>Repeat</v>
      </c>
      <c r="K3530" s="10" t="str">
        <f t="shared" si="55"/>
        <v>TRANS-3529</v>
      </c>
    </row>
    <row r="3531" spans="1:11" x14ac:dyDescent="0.35">
      <c r="A3531" s="5">
        <v>45733</v>
      </c>
      <c r="B3531" s="3">
        <v>0.34585648148148146</v>
      </c>
      <c r="C3531" t="s">
        <v>8</v>
      </c>
      <c r="D3531" t="s">
        <v>6</v>
      </c>
      <c r="E3531" s="4">
        <v>25.96</v>
      </c>
      <c r="F3531" t="s">
        <v>28</v>
      </c>
      <c r="G3531" s="10" t="str">
        <f>TEXT(Transform_Data[[#This Row],[Date]],"mmm yyyy")</f>
        <v>Mar 2025</v>
      </c>
      <c r="H3531" s="10">
        <f>HOUR(Transform_Data[[#This Row],[Time]])</f>
        <v>8</v>
      </c>
      <c r="I3531" s="10" t="str">
        <f>IF(COUNTIF('Transform Data'!$D:$D,'Transform Data'!D3531)&gt;1,"Repeat","Single")</f>
        <v>Repeat</v>
      </c>
      <c r="J3531" s="10" t="str">
        <f>IF('Transform Data'!D3531="Cash","Cash",IF(COUNTIF('Transform Data'!$D:$D,'Transform Data'!D3531)&gt;1,"Repeat","Single"))</f>
        <v>Repeat</v>
      </c>
      <c r="K3531" s="10" t="str">
        <f t="shared" si="55"/>
        <v>TRANS-3530</v>
      </c>
    </row>
    <row r="3532" spans="1:11" x14ac:dyDescent="0.35">
      <c r="A3532" s="5">
        <v>45733</v>
      </c>
      <c r="B3532" s="3">
        <v>0.37706018518518519</v>
      </c>
      <c r="C3532" t="s">
        <v>8</v>
      </c>
      <c r="D3532" t="s">
        <v>1204</v>
      </c>
      <c r="E3532" s="4">
        <v>30.86</v>
      </c>
      <c r="F3532" t="s">
        <v>36</v>
      </c>
      <c r="G3532" s="10" t="str">
        <f>TEXT(Transform_Data[[#This Row],[Date]],"mmm yyyy")</f>
        <v>Mar 2025</v>
      </c>
      <c r="H3532" s="10">
        <f>HOUR(Transform_Data[[#This Row],[Time]])</f>
        <v>9</v>
      </c>
      <c r="I3532" s="10" t="str">
        <f>IF(COUNTIF('Transform Data'!$D:$D,'Transform Data'!D3532)&gt;1,"Repeat","Single")</f>
        <v>Repeat</v>
      </c>
      <c r="J3532" s="10" t="str">
        <f>IF('Transform Data'!D3532="Cash","Cash",IF(COUNTIF('Transform Data'!$D:$D,'Transform Data'!D3532)&gt;1,"Repeat","Single"))</f>
        <v>Repeat</v>
      </c>
      <c r="K3532" s="10" t="str">
        <f t="shared" si="55"/>
        <v>TRANS-3531</v>
      </c>
    </row>
    <row r="3533" spans="1:11" x14ac:dyDescent="0.35">
      <c r="A3533" s="5">
        <v>45733</v>
      </c>
      <c r="B3533" s="3">
        <v>0.43934027777777779</v>
      </c>
      <c r="C3533" t="s">
        <v>8</v>
      </c>
      <c r="D3533" t="s">
        <v>33</v>
      </c>
      <c r="E3533" s="4">
        <v>25.96</v>
      </c>
      <c r="F3533" t="s">
        <v>28</v>
      </c>
      <c r="G3533" s="10" t="str">
        <f>TEXT(Transform_Data[[#This Row],[Date]],"mmm yyyy")</f>
        <v>Mar 2025</v>
      </c>
      <c r="H3533" s="10">
        <f>HOUR(Transform_Data[[#This Row],[Time]])</f>
        <v>10</v>
      </c>
      <c r="I3533" s="10" t="str">
        <f>IF(COUNTIF('Transform Data'!$D:$D,'Transform Data'!D3533)&gt;1,"Repeat","Single")</f>
        <v>Repeat</v>
      </c>
      <c r="J3533" s="10" t="str">
        <f>IF('Transform Data'!D3533="Cash","Cash",IF(COUNTIF('Transform Data'!$D:$D,'Transform Data'!D3533)&gt;1,"Repeat","Single"))</f>
        <v>Repeat</v>
      </c>
      <c r="K3533" s="10" t="str">
        <f t="shared" si="55"/>
        <v>TRANS-3532</v>
      </c>
    </row>
    <row r="3534" spans="1:11" x14ac:dyDescent="0.35">
      <c r="A3534" s="5">
        <v>45733</v>
      </c>
      <c r="B3534" s="3">
        <v>0.58263888888888893</v>
      </c>
      <c r="C3534" t="s">
        <v>8</v>
      </c>
      <c r="D3534" t="s">
        <v>1253</v>
      </c>
      <c r="E3534" s="4">
        <v>25.96</v>
      </c>
      <c r="F3534" t="s">
        <v>28</v>
      </c>
      <c r="G3534" s="10" t="str">
        <f>TEXT(Transform_Data[[#This Row],[Date]],"mmm yyyy")</f>
        <v>Mar 2025</v>
      </c>
      <c r="H3534" s="10">
        <f>HOUR(Transform_Data[[#This Row],[Time]])</f>
        <v>13</v>
      </c>
      <c r="I3534" s="10" t="str">
        <f>IF(COUNTIF('Transform Data'!$D:$D,'Transform Data'!D3534)&gt;1,"Repeat","Single")</f>
        <v>Repeat</v>
      </c>
      <c r="J3534" s="10" t="str">
        <f>IF('Transform Data'!D3534="Cash","Cash",IF(COUNTIF('Transform Data'!$D:$D,'Transform Data'!D3534)&gt;1,"Repeat","Single"))</f>
        <v>Repeat</v>
      </c>
      <c r="K3534" s="10" t="str">
        <f t="shared" si="55"/>
        <v>TRANS-3533</v>
      </c>
    </row>
    <row r="3535" spans="1:11" x14ac:dyDescent="0.35">
      <c r="A3535" s="5">
        <v>45733</v>
      </c>
      <c r="B3535" s="3">
        <v>0.59819444444444447</v>
      </c>
      <c r="C3535" t="s">
        <v>8</v>
      </c>
      <c r="D3535" t="s">
        <v>1326</v>
      </c>
      <c r="E3535" s="4">
        <v>35.76</v>
      </c>
      <c r="F3535" t="s">
        <v>10</v>
      </c>
      <c r="G3535" s="10" t="str">
        <f>TEXT(Transform_Data[[#This Row],[Date]],"mmm yyyy")</f>
        <v>Mar 2025</v>
      </c>
      <c r="H3535" s="10">
        <f>HOUR(Transform_Data[[#This Row],[Time]])</f>
        <v>14</v>
      </c>
      <c r="I3535" s="10" t="str">
        <f>IF(COUNTIF('Transform Data'!$D:$D,'Transform Data'!D3535)&gt;1,"Repeat","Single")</f>
        <v>Repeat</v>
      </c>
      <c r="J3535" s="10" t="str">
        <f>IF('Transform Data'!D3535="Cash","Cash",IF(COUNTIF('Transform Data'!$D:$D,'Transform Data'!D3535)&gt;1,"Repeat","Single"))</f>
        <v>Repeat</v>
      </c>
      <c r="K3535" s="10" t="str">
        <f t="shared" si="55"/>
        <v>TRANS-3534</v>
      </c>
    </row>
    <row r="3536" spans="1:11" x14ac:dyDescent="0.35">
      <c r="A3536" s="5">
        <v>45733</v>
      </c>
      <c r="B3536" s="3">
        <v>0.5988310185185185</v>
      </c>
      <c r="C3536" t="s">
        <v>8</v>
      </c>
      <c r="D3536" t="s">
        <v>1326</v>
      </c>
      <c r="E3536" s="4">
        <v>35.76</v>
      </c>
      <c r="F3536" t="s">
        <v>10</v>
      </c>
      <c r="G3536" s="10" t="str">
        <f>TEXT(Transform_Data[[#This Row],[Date]],"mmm yyyy")</f>
        <v>Mar 2025</v>
      </c>
      <c r="H3536" s="10">
        <f>HOUR(Transform_Data[[#This Row],[Time]])</f>
        <v>14</v>
      </c>
      <c r="I3536" s="10" t="str">
        <f>IF(COUNTIF('Transform Data'!$D:$D,'Transform Data'!D3536)&gt;1,"Repeat","Single")</f>
        <v>Repeat</v>
      </c>
      <c r="J3536" s="10" t="str">
        <f>IF('Transform Data'!D3536="Cash","Cash",IF(COUNTIF('Transform Data'!$D:$D,'Transform Data'!D3536)&gt;1,"Repeat","Single"))</f>
        <v>Repeat</v>
      </c>
      <c r="K3536" s="10" t="str">
        <f t="shared" si="55"/>
        <v>TRANS-3535</v>
      </c>
    </row>
    <row r="3537" spans="1:11" x14ac:dyDescent="0.35">
      <c r="A3537" s="5">
        <v>45733</v>
      </c>
      <c r="B3537" s="3">
        <v>0.61670138888888892</v>
      </c>
      <c r="C3537" t="s">
        <v>8</v>
      </c>
      <c r="D3537" t="s">
        <v>1345</v>
      </c>
      <c r="E3537" s="4">
        <v>35.76</v>
      </c>
      <c r="F3537" t="s">
        <v>32</v>
      </c>
      <c r="G3537" s="10" t="str">
        <f>TEXT(Transform_Data[[#This Row],[Date]],"mmm yyyy")</f>
        <v>Mar 2025</v>
      </c>
      <c r="H3537" s="10">
        <f>HOUR(Transform_Data[[#This Row],[Time]])</f>
        <v>14</v>
      </c>
      <c r="I3537" s="10" t="str">
        <f>IF(COUNTIF('Transform Data'!$D:$D,'Transform Data'!D3537)&gt;1,"Repeat","Single")</f>
        <v>Repeat</v>
      </c>
      <c r="J3537" s="10" t="str">
        <f>IF('Transform Data'!D3537="Cash","Cash",IF(COUNTIF('Transform Data'!$D:$D,'Transform Data'!D3537)&gt;1,"Repeat","Single"))</f>
        <v>Repeat</v>
      </c>
      <c r="K3537" s="10" t="str">
        <f t="shared" si="55"/>
        <v>TRANS-3536</v>
      </c>
    </row>
    <row r="3538" spans="1:11" x14ac:dyDescent="0.35">
      <c r="A3538" s="5">
        <v>45733</v>
      </c>
      <c r="B3538" s="3">
        <v>0.63283564814814819</v>
      </c>
      <c r="C3538" t="s">
        <v>8</v>
      </c>
      <c r="D3538" t="s">
        <v>1209</v>
      </c>
      <c r="E3538" s="4">
        <v>35.76</v>
      </c>
      <c r="F3538" t="s">
        <v>24</v>
      </c>
      <c r="G3538" s="10" t="str">
        <f>TEXT(Transform_Data[[#This Row],[Date]],"mmm yyyy")</f>
        <v>Mar 2025</v>
      </c>
      <c r="H3538" s="10">
        <f>HOUR(Transform_Data[[#This Row],[Time]])</f>
        <v>15</v>
      </c>
      <c r="I3538" s="10" t="str">
        <f>IF(COUNTIF('Transform Data'!$D:$D,'Transform Data'!D3538)&gt;1,"Repeat","Single")</f>
        <v>Repeat</v>
      </c>
      <c r="J3538" s="10" t="str">
        <f>IF('Transform Data'!D3538="Cash","Cash",IF(COUNTIF('Transform Data'!$D:$D,'Transform Data'!D3538)&gt;1,"Repeat","Single"))</f>
        <v>Repeat</v>
      </c>
      <c r="K3538" s="10" t="str">
        <f t="shared" si="55"/>
        <v>TRANS-3537</v>
      </c>
    </row>
    <row r="3539" spans="1:11" x14ac:dyDescent="0.35">
      <c r="A3539" s="5">
        <v>45733</v>
      </c>
      <c r="B3539" s="3">
        <v>0.65781250000000002</v>
      </c>
      <c r="C3539" t="s">
        <v>8</v>
      </c>
      <c r="D3539" t="s">
        <v>1215</v>
      </c>
      <c r="E3539" s="4">
        <v>35.76</v>
      </c>
      <c r="F3539" t="s">
        <v>32</v>
      </c>
      <c r="G3539" s="10" t="str">
        <f>TEXT(Transform_Data[[#This Row],[Date]],"mmm yyyy")</f>
        <v>Mar 2025</v>
      </c>
      <c r="H3539" s="10">
        <f>HOUR(Transform_Data[[#This Row],[Time]])</f>
        <v>15</v>
      </c>
      <c r="I3539" s="10" t="str">
        <f>IF(COUNTIF('Transform Data'!$D:$D,'Transform Data'!D3539)&gt;1,"Repeat","Single")</f>
        <v>Repeat</v>
      </c>
      <c r="J3539" s="10" t="str">
        <f>IF('Transform Data'!D3539="Cash","Cash",IF(COUNTIF('Transform Data'!$D:$D,'Transform Data'!D3539)&gt;1,"Repeat","Single"))</f>
        <v>Repeat</v>
      </c>
      <c r="K3539" s="10" t="str">
        <f t="shared" si="55"/>
        <v>TRANS-3538</v>
      </c>
    </row>
    <row r="3540" spans="1:11" x14ac:dyDescent="0.35">
      <c r="A3540" s="5">
        <v>45733</v>
      </c>
      <c r="B3540" s="3">
        <v>0.65900462962962958</v>
      </c>
      <c r="C3540" t="s">
        <v>8</v>
      </c>
      <c r="D3540" t="s">
        <v>1241</v>
      </c>
      <c r="E3540" s="4">
        <v>35.76</v>
      </c>
      <c r="F3540" t="s">
        <v>32</v>
      </c>
      <c r="G3540" s="10" t="str">
        <f>TEXT(Transform_Data[[#This Row],[Date]],"mmm yyyy")</f>
        <v>Mar 2025</v>
      </c>
      <c r="H3540" s="10">
        <f>HOUR(Transform_Data[[#This Row],[Time]])</f>
        <v>15</v>
      </c>
      <c r="I3540" s="10" t="str">
        <f>IF(COUNTIF('Transform Data'!$D:$D,'Transform Data'!D3540)&gt;1,"Repeat","Single")</f>
        <v>Repeat</v>
      </c>
      <c r="J3540" s="10" t="str">
        <f>IF('Transform Data'!D3540="Cash","Cash",IF(COUNTIF('Transform Data'!$D:$D,'Transform Data'!D3540)&gt;1,"Repeat","Single"))</f>
        <v>Repeat</v>
      </c>
      <c r="K3540" s="10" t="str">
        <f t="shared" si="55"/>
        <v>TRANS-3539</v>
      </c>
    </row>
    <row r="3541" spans="1:11" x14ac:dyDescent="0.35">
      <c r="A3541" s="5">
        <v>45733</v>
      </c>
      <c r="B3541" s="3">
        <v>0.69912037037037034</v>
      </c>
      <c r="C3541" t="s">
        <v>8</v>
      </c>
      <c r="D3541" t="s">
        <v>1217</v>
      </c>
      <c r="E3541" s="4">
        <v>25.96</v>
      </c>
      <c r="F3541" t="s">
        <v>28</v>
      </c>
      <c r="G3541" s="10" t="str">
        <f>TEXT(Transform_Data[[#This Row],[Date]],"mmm yyyy")</f>
        <v>Mar 2025</v>
      </c>
      <c r="H3541" s="10">
        <f>HOUR(Transform_Data[[#This Row],[Time]])</f>
        <v>16</v>
      </c>
      <c r="I3541" s="10" t="str">
        <f>IF(COUNTIF('Transform Data'!$D:$D,'Transform Data'!D3541)&gt;1,"Repeat","Single")</f>
        <v>Repeat</v>
      </c>
      <c r="J3541" s="10" t="str">
        <f>IF('Transform Data'!D3541="Cash","Cash",IF(COUNTIF('Transform Data'!$D:$D,'Transform Data'!D3541)&gt;1,"Repeat","Single"))</f>
        <v>Repeat</v>
      </c>
      <c r="K3541" s="10" t="str">
        <f t="shared" si="55"/>
        <v>TRANS-3540</v>
      </c>
    </row>
    <row r="3542" spans="1:11" x14ac:dyDescent="0.35">
      <c r="A3542" s="5">
        <v>45734</v>
      </c>
      <c r="B3542" s="3">
        <v>0.34942129629629631</v>
      </c>
      <c r="C3542" t="s">
        <v>8</v>
      </c>
      <c r="D3542" t="s">
        <v>1346</v>
      </c>
      <c r="E3542" s="4">
        <v>30.86</v>
      </c>
      <c r="F3542" t="s">
        <v>36</v>
      </c>
      <c r="G3542" s="10" t="str">
        <f>TEXT(Transform_Data[[#This Row],[Date]],"mmm yyyy")</f>
        <v>Mar 2025</v>
      </c>
      <c r="H3542" s="10">
        <f>HOUR(Transform_Data[[#This Row],[Time]])</f>
        <v>8</v>
      </c>
      <c r="I3542" s="10" t="str">
        <f>IF(COUNTIF('Transform Data'!$D:$D,'Transform Data'!D3542)&gt;1,"Repeat","Single")</f>
        <v>Single</v>
      </c>
      <c r="J3542" s="10" t="str">
        <f>IF('Transform Data'!D3542="Cash","Cash",IF(COUNTIF('Transform Data'!$D:$D,'Transform Data'!D3542)&gt;1,"Repeat","Single"))</f>
        <v>Single</v>
      </c>
      <c r="K3542" s="10" t="str">
        <f t="shared" si="55"/>
        <v>TRANS-3541</v>
      </c>
    </row>
    <row r="3543" spans="1:11" x14ac:dyDescent="0.35">
      <c r="A3543" s="5">
        <v>45734</v>
      </c>
      <c r="B3543" s="3">
        <v>0.35681712962962964</v>
      </c>
      <c r="C3543" t="s">
        <v>8</v>
      </c>
      <c r="D3543" t="s">
        <v>1218</v>
      </c>
      <c r="E3543" s="4">
        <v>35.76</v>
      </c>
      <c r="F3543" t="s">
        <v>32</v>
      </c>
      <c r="G3543" s="10" t="str">
        <f>TEXT(Transform_Data[[#This Row],[Date]],"mmm yyyy")</f>
        <v>Mar 2025</v>
      </c>
      <c r="H3543" s="10">
        <f>HOUR(Transform_Data[[#This Row],[Time]])</f>
        <v>8</v>
      </c>
      <c r="I3543" s="10" t="str">
        <f>IF(COUNTIF('Transform Data'!$D:$D,'Transform Data'!D3543)&gt;1,"Repeat","Single")</f>
        <v>Repeat</v>
      </c>
      <c r="J3543" s="10" t="str">
        <f>IF('Transform Data'!D3543="Cash","Cash",IF(COUNTIF('Transform Data'!$D:$D,'Transform Data'!D3543)&gt;1,"Repeat","Single"))</f>
        <v>Repeat</v>
      </c>
      <c r="K3543" s="10" t="str">
        <f t="shared" si="55"/>
        <v>TRANS-3542</v>
      </c>
    </row>
    <row r="3544" spans="1:11" x14ac:dyDescent="0.35">
      <c r="A3544" s="5">
        <v>45734</v>
      </c>
      <c r="B3544" s="3">
        <v>0.45128472222222221</v>
      </c>
      <c r="C3544" t="s">
        <v>8</v>
      </c>
      <c r="D3544" t="s">
        <v>1265</v>
      </c>
      <c r="E3544" s="4">
        <v>35.76</v>
      </c>
      <c r="F3544" t="s">
        <v>32</v>
      </c>
      <c r="G3544" s="10" t="str">
        <f>TEXT(Transform_Data[[#This Row],[Date]],"mmm yyyy")</f>
        <v>Mar 2025</v>
      </c>
      <c r="H3544" s="10">
        <f>HOUR(Transform_Data[[#This Row],[Time]])</f>
        <v>10</v>
      </c>
      <c r="I3544" s="10" t="str">
        <f>IF(COUNTIF('Transform Data'!$D:$D,'Transform Data'!D3544)&gt;1,"Repeat","Single")</f>
        <v>Repeat</v>
      </c>
      <c r="J3544" s="10" t="str">
        <f>IF('Transform Data'!D3544="Cash","Cash",IF(COUNTIF('Transform Data'!$D:$D,'Transform Data'!D3544)&gt;1,"Repeat","Single"))</f>
        <v>Repeat</v>
      </c>
      <c r="K3544" s="10" t="str">
        <f t="shared" si="55"/>
        <v>TRANS-3543</v>
      </c>
    </row>
    <row r="3545" spans="1:11" x14ac:dyDescent="0.35">
      <c r="A3545" s="5">
        <v>45734</v>
      </c>
      <c r="B3545" s="3">
        <v>0.45228009259259261</v>
      </c>
      <c r="C3545" t="s">
        <v>8</v>
      </c>
      <c r="D3545" t="s">
        <v>1265</v>
      </c>
      <c r="E3545" s="4">
        <v>25.96</v>
      </c>
      <c r="F3545" t="s">
        <v>28</v>
      </c>
      <c r="G3545" s="10" t="str">
        <f>TEXT(Transform_Data[[#This Row],[Date]],"mmm yyyy")</f>
        <v>Mar 2025</v>
      </c>
      <c r="H3545" s="10">
        <f>HOUR(Transform_Data[[#This Row],[Time]])</f>
        <v>10</v>
      </c>
      <c r="I3545" s="10" t="str">
        <f>IF(COUNTIF('Transform Data'!$D:$D,'Transform Data'!D3545)&gt;1,"Repeat","Single")</f>
        <v>Repeat</v>
      </c>
      <c r="J3545" s="10" t="str">
        <f>IF('Transform Data'!D3545="Cash","Cash",IF(COUNTIF('Transform Data'!$D:$D,'Transform Data'!D3545)&gt;1,"Repeat","Single"))</f>
        <v>Repeat</v>
      </c>
      <c r="K3545" s="10" t="str">
        <f t="shared" si="55"/>
        <v>TRANS-3544</v>
      </c>
    </row>
    <row r="3546" spans="1:11" x14ac:dyDescent="0.35">
      <c r="A3546" s="5">
        <v>45734</v>
      </c>
      <c r="B3546" s="3">
        <v>0.4911921296296296</v>
      </c>
      <c r="C3546" t="s">
        <v>8</v>
      </c>
      <c r="D3546" t="s">
        <v>1347</v>
      </c>
      <c r="E3546" s="4">
        <v>35.76</v>
      </c>
      <c r="F3546" t="s">
        <v>15</v>
      </c>
      <c r="G3546" s="10" t="str">
        <f>TEXT(Transform_Data[[#This Row],[Date]],"mmm yyyy")</f>
        <v>Mar 2025</v>
      </c>
      <c r="H3546" s="10">
        <f>HOUR(Transform_Data[[#This Row],[Time]])</f>
        <v>11</v>
      </c>
      <c r="I3546" s="10" t="str">
        <f>IF(COUNTIF('Transform Data'!$D:$D,'Transform Data'!D3546)&gt;1,"Repeat","Single")</f>
        <v>Repeat</v>
      </c>
      <c r="J3546" s="10" t="str">
        <f>IF('Transform Data'!D3546="Cash","Cash",IF(COUNTIF('Transform Data'!$D:$D,'Transform Data'!D3546)&gt;1,"Repeat","Single"))</f>
        <v>Repeat</v>
      </c>
      <c r="K3546" s="10" t="str">
        <f t="shared" si="55"/>
        <v>TRANS-3545</v>
      </c>
    </row>
    <row r="3547" spans="1:11" x14ac:dyDescent="0.35">
      <c r="A3547" s="5">
        <v>45734</v>
      </c>
      <c r="B3547" s="3">
        <v>0.49230324074074072</v>
      </c>
      <c r="C3547" t="s">
        <v>8</v>
      </c>
      <c r="D3547" t="s">
        <v>1347</v>
      </c>
      <c r="E3547" s="4">
        <v>35.76</v>
      </c>
      <c r="F3547" t="s">
        <v>15</v>
      </c>
      <c r="G3547" s="10" t="str">
        <f>TEXT(Transform_Data[[#This Row],[Date]],"mmm yyyy")</f>
        <v>Mar 2025</v>
      </c>
      <c r="H3547" s="10">
        <f>HOUR(Transform_Data[[#This Row],[Time]])</f>
        <v>11</v>
      </c>
      <c r="I3547" s="10" t="str">
        <f>IF(COUNTIF('Transform Data'!$D:$D,'Transform Data'!D3547)&gt;1,"Repeat","Single")</f>
        <v>Repeat</v>
      </c>
      <c r="J3547" s="10" t="str">
        <f>IF('Transform Data'!D3547="Cash","Cash",IF(COUNTIF('Transform Data'!$D:$D,'Transform Data'!D3547)&gt;1,"Repeat","Single"))</f>
        <v>Repeat</v>
      </c>
      <c r="K3547" s="10" t="str">
        <f t="shared" si="55"/>
        <v>TRANS-3546</v>
      </c>
    </row>
    <row r="3548" spans="1:11" x14ac:dyDescent="0.35">
      <c r="A3548" s="5">
        <v>45734</v>
      </c>
      <c r="B3548" s="3">
        <v>0.61359953703703707</v>
      </c>
      <c r="C3548" t="s">
        <v>8</v>
      </c>
      <c r="D3548" t="s">
        <v>1343</v>
      </c>
      <c r="E3548" s="4">
        <v>30.86</v>
      </c>
      <c r="F3548" t="s">
        <v>36</v>
      </c>
      <c r="G3548" s="10" t="str">
        <f>TEXT(Transform_Data[[#This Row],[Date]],"mmm yyyy")</f>
        <v>Mar 2025</v>
      </c>
      <c r="H3548" s="10">
        <f>HOUR(Transform_Data[[#This Row],[Time]])</f>
        <v>14</v>
      </c>
      <c r="I3548" s="10" t="str">
        <f>IF(COUNTIF('Transform Data'!$D:$D,'Transform Data'!D3548)&gt;1,"Repeat","Single")</f>
        <v>Repeat</v>
      </c>
      <c r="J3548" s="10" t="str">
        <f>IF('Transform Data'!D3548="Cash","Cash",IF(COUNTIF('Transform Data'!$D:$D,'Transform Data'!D3548)&gt;1,"Repeat","Single"))</f>
        <v>Repeat</v>
      </c>
      <c r="K3548" s="10" t="str">
        <f t="shared" si="55"/>
        <v>TRANS-3547</v>
      </c>
    </row>
    <row r="3549" spans="1:11" x14ac:dyDescent="0.35">
      <c r="A3549" s="5">
        <v>45734</v>
      </c>
      <c r="B3549" s="3">
        <v>0.62769675925925927</v>
      </c>
      <c r="C3549" t="s">
        <v>8</v>
      </c>
      <c r="D3549" t="s">
        <v>6</v>
      </c>
      <c r="E3549" s="4">
        <v>25.96</v>
      </c>
      <c r="F3549" t="s">
        <v>28</v>
      </c>
      <c r="G3549" s="10" t="str">
        <f>TEXT(Transform_Data[[#This Row],[Date]],"mmm yyyy")</f>
        <v>Mar 2025</v>
      </c>
      <c r="H3549" s="10">
        <f>HOUR(Transform_Data[[#This Row],[Time]])</f>
        <v>15</v>
      </c>
      <c r="I3549" s="10" t="str">
        <f>IF(COUNTIF('Transform Data'!$D:$D,'Transform Data'!D3549)&gt;1,"Repeat","Single")</f>
        <v>Repeat</v>
      </c>
      <c r="J3549" s="10" t="str">
        <f>IF('Transform Data'!D3549="Cash","Cash",IF(COUNTIF('Transform Data'!$D:$D,'Transform Data'!D3549)&gt;1,"Repeat","Single"))</f>
        <v>Repeat</v>
      </c>
      <c r="K3549" s="10" t="str">
        <f t="shared" si="55"/>
        <v>TRANS-3548</v>
      </c>
    </row>
    <row r="3550" spans="1:11" x14ac:dyDescent="0.35">
      <c r="A3550" s="5">
        <v>45734</v>
      </c>
      <c r="B3550" s="3">
        <v>0.63271990740740736</v>
      </c>
      <c r="C3550" t="s">
        <v>8</v>
      </c>
      <c r="D3550" t="s">
        <v>1216</v>
      </c>
      <c r="E3550" s="4">
        <v>30.86</v>
      </c>
      <c r="F3550" t="s">
        <v>36</v>
      </c>
      <c r="G3550" s="10" t="str">
        <f>TEXT(Transform_Data[[#This Row],[Date]],"mmm yyyy")</f>
        <v>Mar 2025</v>
      </c>
      <c r="H3550" s="10">
        <f>HOUR(Transform_Data[[#This Row],[Time]])</f>
        <v>15</v>
      </c>
      <c r="I3550" s="10" t="str">
        <f>IF(COUNTIF('Transform Data'!$D:$D,'Transform Data'!D3550)&gt;1,"Repeat","Single")</f>
        <v>Repeat</v>
      </c>
      <c r="J3550" s="10" t="str">
        <f>IF('Transform Data'!D3550="Cash","Cash",IF(COUNTIF('Transform Data'!$D:$D,'Transform Data'!D3550)&gt;1,"Repeat","Single"))</f>
        <v>Repeat</v>
      </c>
      <c r="K3550" s="10" t="str">
        <f t="shared" si="55"/>
        <v>TRANS-3549</v>
      </c>
    </row>
    <row r="3551" spans="1:11" x14ac:dyDescent="0.35">
      <c r="A3551" s="5">
        <v>45734</v>
      </c>
      <c r="B3551" s="3">
        <v>0.67299768518518521</v>
      </c>
      <c r="C3551" t="s">
        <v>8</v>
      </c>
      <c r="D3551" t="s">
        <v>1253</v>
      </c>
      <c r="E3551" s="4">
        <v>25.96</v>
      </c>
      <c r="F3551" t="s">
        <v>28</v>
      </c>
      <c r="G3551" s="10" t="str">
        <f>TEXT(Transform_Data[[#This Row],[Date]],"mmm yyyy")</f>
        <v>Mar 2025</v>
      </c>
      <c r="H3551" s="10">
        <f>HOUR(Transform_Data[[#This Row],[Time]])</f>
        <v>16</v>
      </c>
      <c r="I3551" s="10" t="str">
        <f>IF(COUNTIF('Transform Data'!$D:$D,'Transform Data'!D3551)&gt;1,"Repeat","Single")</f>
        <v>Repeat</v>
      </c>
      <c r="J3551" s="10" t="str">
        <f>IF('Transform Data'!D3551="Cash","Cash",IF(COUNTIF('Transform Data'!$D:$D,'Transform Data'!D3551)&gt;1,"Repeat","Single"))</f>
        <v>Repeat</v>
      </c>
      <c r="K3551" s="10" t="str">
        <f t="shared" si="55"/>
        <v>TRANS-3550</v>
      </c>
    </row>
    <row r="3552" spans="1:11" x14ac:dyDescent="0.35">
      <c r="A3552" s="5">
        <v>45734</v>
      </c>
      <c r="B3552" s="3">
        <v>0.67482638888888891</v>
      </c>
      <c r="C3552" t="s">
        <v>8</v>
      </c>
      <c r="D3552" t="s">
        <v>1215</v>
      </c>
      <c r="E3552" s="4">
        <v>35.76</v>
      </c>
      <c r="F3552" t="s">
        <v>32</v>
      </c>
      <c r="G3552" s="10" t="str">
        <f>TEXT(Transform_Data[[#This Row],[Date]],"mmm yyyy")</f>
        <v>Mar 2025</v>
      </c>
      <c r="H3552" s="10">
        <f>HOUR(Transform_Data[[#This Row],[Time]])</f>
        <v>16</v>
      </c>
      <c r="I3552" s="10" t="str">
        <f>IF(COUNTIF('Transform Data'!$D:$D,'Transform Data'!D3552)&gt;1,"Repeat","Single")</f>
        <v>Repeat</v>
      </c>
      <c r="J3552" s="10" t="str">
        <f>IF('Transform Data'!D3552="Cash","Cash",IF(COUNTIF('Transform Data'!$D:$D,'Transform Data'!D3552)&gt;1,"Repeat","Single"))</f>
        <v>Repeat</v>
      </c>
      <c r="K3552" s="10" t="str">
        <f t="shared" si="55"/>
        <v>TRANS-3551</v>
      </c>
    </row>
    <row r="3553" spans="1:11" x14ac:dyDescent="0.35">
      <c r="A3553" s="5">
        <v>45734</v>
      </c>
      <c r="B3553" s="3">
        <v>0.68287037037037035</v>
      </c>
      <c r="C3553" t="s">
        <v>8</v>
      </c>
      <c r="D3553" t="s">
        <v>1253</v>
      </c>
      <c r="E3553" s="4">
        <v>21.06</v>
      </c>
      <c r="F3553" t="s">
        <v>5</v>
      </c>
      <c r="G3553" s="10" t="str">
        <f>TEXT(Transform_Data[[#This Row],[Date]],"mmm yyyy")</f>
        <v>Mar 2025</v>
      </c>
      <c r="H3553" s="10">
        <f>HOUR(Transform_Data[[#This Row],[Time]])</f>
        <v>16</v>
      </c>
      <c r="I3553" s="10" t="str">
        <f>IF(COUNTIF('Transform Data'!$D:$D,'Transform Data'!D3553)&gt;1,"Repeat","Single")</f>
        <v>Repeat</v>
      </c>
      <c r="J3553" s="10" t="str">
        <f>IF('Transform Data'!D3553="Cash","Cash",IF(COUNTIF('Transform Data'!$D:$D,'Transform Data'!D3553)&gt;1,"Repeat","Single"))</f>
        <v>Repeat</v>
      </c>
      <c r="K3553" s="10" t="str">
        <f t="shared" si="55"/>
        <v>TRANS-3552</v>
      </c>
    </row>
    <row r="3554" spans="1:11" x14ac:dyDescent="0.35">
      <c r="A3554" s="5">
        <v>45734</v>
      </c>
      <c r="B3554" s="3">
        <v>0.77951388888888884</v>
      </c>
      <c r="C3554" t="s">
        <v>8</v>
      </c>
      <c r="D3554" t="s">
        <v>33</v>
      </c>
      <c r="E3554" s="4">
        <v>35.76</v>
      </c>
      <c r="F3554" t="s">
        <v>10</v>
      </c>
      <c r="G3554" s="10" t="str">
        <f>TEXT(Transform_Data[[#This Row],[Date]],"mmm yyyy")</f>
        <v>Mar 2025</v>
      </c>
      <c r="H3554" s="10">
        <f>HOUR(Transform_Data[[#This Row],[Time]])</f>
        <v>18</v>
      </c>
      <c r="I3554" s="10" t="str">
        <f>IF(COUNTIF('Transform Data'!$D:$D,'Transform Data'!D3554)&gt;1,"Repeat","Single")</f>
        <v>Repeat</v>
      </c>
      <c r="J3554" s="10" t="str">
        <f>IF('Transform Data'!D3554="Cash","Cash",IF(COUNTIF('Transform Data'!$D:$D,'Transform Data'!D3554)&gt;1,"Repeat","Single"))</f>
        <v>Repeat</v>
      </c>
      <c r="K3554" s="10" t="str">
        <f t="shared" si="55"/>
        <v>TRANS-3553</v>
      </c>
    </row>
    <row r="3555" spans="1:11" x14ac:dyDescent="0.35">
      <c r="A3555" s="5">
        <v>45734</v>
      </c>
      <c r="B3555" s="3">
        <v>0.78005787037037033</v>
      </c>
      <c r="C3555" t="s">
        <v>8</v>
      </c>
      <c r="D3555" t="s">
        <v>33</v>
      </c>
      <c r="E3555" s="4">
        <v>35.76</v>
      </c>
      <c r="F3555" t="s">
        <v>10</v>
      </c>
      <c r="G3555" s="10" t="str">
        <f>TEXT(Transform_Data[[#This Row],[Date]],"mmm yyyy")</f>
        <v>Mar 2025</v>
      </c>
      <c r="H3555" s="10">
        <f>HOUR(Transform_Data[[#This Row],[Time]])</f>
        <v>18</v>
      </c>
      <c r="I3555" s="10" t="str">
        <f>IF(COUNTIF('Transform Data'!$D:$D,'Transform Data'!D3555)&gt;1,"Repeat","Single")</f>
        <v>Repeat</v>
      </c>
      <c r="J3555" s="10" t="str">
        <f>IF('Transform Data'!D3555="Cash","Cash",IF(COUNTIF('Transform Data'!$D:$D,'Transform Data'!D3555)&gt;1,"Repeat","Single"))</f>
        <v>Repeat</v>
      </c>
      <c r="K3555" s="10" t="str">
        <f t="shared" si="55"/>
        <v>TRANS-3554</v>
      </c>
    </row>
    <row r="3556" spans="1:11" x14ac:dyDescent="0.35">
      <c r="A3556" s="5">
        <v>45734</v>
      </c>
      <c r="B3556" s="3">
        <v>0.8337268518518518</v>
      </c>
      <c r="C3556" t="s">
        <v>8</v>
      </c>
      <c r="D3556" t="s">
        <v>1326</v>
      </c>
      <c r="E3556" s="4">
        <v>35.76</v>
      </c>
      <c r="F3556" t="s">
        <v>10</v>
      </c>
      <c r="G3556" s="10" t="str">
        <f>TEXT(Transform_Data[[#This Row],[Date]],"mmm yyyy")</f>
        <v>Mar 2025</v>
      </c>
      <c r="H3556" s="10">
        <f>HOUR(Transform_Data[[#This Row],[Time]])</f>
        <v>20</v>
      </c>
      <c r="I3556" s="10" t="str">
        <f>IF(COUNTIF('Transform Data'!$D:$D,'Transform Data'!D3556)&gt;1,"Repeat","Single")</f>
        <v>Repeat</v>
      </c>
      <c r="J3556" s="10" t="str">
        <f>IF('Transform Data'!D3556="Cash","Cash",IF(COUNTIF('Transform Data'!$D:$D,'Transform Data'!D3556)&gt;1,"Repeat","Single"))</f>
        <v>Repeat</v>
      </c>
      <c r="K3556" s="10" t="str">
        <f t="shared" si="55"/>
        <v>TRANS-3555</v>
      </c>
    </row>
    <row r="3557" spans="1:11" x14ac:dyDescent="0.35">
      <c r="A3557" s="5">
        <v>45734</v>
      </c>
      <c r="B3557" s="3">
        <v>0.83445601851851847</v>
      </c>
      <c r="C3557" t="s">
        <v>8</v>
      </c>
      <c r="D3557" t="s">
        <v>1326</v>
      </c>
      <c r="E3557" s="4">
        <v>35.76</v>
      </c>
      <c r="F3557" t="s">
        <v>10</v>
      </c>
      <c r="G3557" s="10" t="str">
        <f>TEXT(Transform_Data[[#This Row],[Date]],"mmm yyyy")</f>
        <v>Mar 2025</v>
      </c>
      <c r="H3557" s="10">
        <f>HOUR(Transform_Data[[#This Row],[Time]])</f>
        <v>20</v>
      </c>
      <c r="I3557" s="10" t="str">
        <f>IF(COUNTIF('Transform Data'!$D:$D,'Transform Data'!D3557)&gt;1,"Repeat","Single")</f>
        <v>Repeat</v>
      </c>
      <c r="J3557" s="10" t="str">
        <f>IF('Transform Data'!D3557="Cash","Cash",IF(COUNTIF('Transform Data'!$D:$D,'Transform Data'!D3557)&gt;1,"Repeat","Single"))</f>
        <v>Repeat</v>
      </c>
      <c r="K3557" s="10" t="str">
        <f t="shared" si="55"/>
        <v>TRANS-3556</v>
      </c>
    </row>
    <row r="3558" spans="1:11" x14ac:dyDescent="0.35">
      <c r="A3558" s="5">
        <v>45734</v>
      </c>
      <c r="B3558" s="3">
        <v>0.88935185185185184</v>
      </c>
      <c r="C3558" t="s">
        <v>8</v>
      </c>
      <c r="D3558" t="s">
        <v>1348</v>
      </c>
      <c r="E3558" s="4">
        <v>35.76</v>
      </c>
      <c r="F3558" t="s">
        <v>32</v>
      </c>
      <c r="G3558" s="10" t="str">
        <f>TEXT(Transform_Data[[#This Row],[Date]],"mmm yyyy")</f>
        <v>Mar 2025</v>
      </c>
      <c r="H3558" s="10">
        <f>HOUR(Transform_Data[[#This Row],[Time]])</f>
        <v>21</v>
      </c>
      <c r="I3558" s="10" t="str">
        <f>IF(COUNTIF('Transform Data'!$D:$D,'Transform Data'!D3558)&gt;1,"Repeat","Single")</f>
        <v>Repeat</v>
      </c>
      <c r="J3558" s="10" t="str">
        <f>IF('Transform Data'!D3558="Cash","Cash",IF(COUNTIF('Transform Data'!$D:$D,'Transform Data'!D3558)&gt;1,"Repeat","Single"))</f>
        <v>Repeat</v>
      </c>
      <c r="K3558" s="10" t="str">
        <f t="shared" si="55"/>
        <v>TRANS-3557</v>
      </c>
    </row>
    <row r="3559" spans="1:11" x14ac:dyDescent="0.35">
      <c r="A3559" s="5">
        <v>45735</v>
      </c>
      <c r="B3559" s="3">
        <v>0.29383101851851851</v>
      </c>
      <c r="C3559" t="s">
        <v>8</v>
      </c>
      <c r="D3559" t="s">
        <v>1203</v>
      </c>
      <c r="E3559" s="4">
        <v>25.96</v>
      </c>
      <c r="F3559" t="s">
        <v>28</v>
      </c>
      <c r="G3559" s="10" t="str">
        <f>TEXT(Transform_Data[[#This Row],[Date]],"mmm yyyy")</f>
        <v>Mar 2025</v>
      </c>
      <c r="H3559" s="10">
        <f>HOUR(Transform_Data[[#This Row],[Time]])</f>
        <v>7</v>
      </c>
      <c r="I3559" s="10" t="str">
        <f>IF(COUNTIF('Transform Data'!$D:$D,'Transform Data'!D3559)&gt;1,"Repeat","Single")</f>
        <v>Repeat</v>
      </c>
      <c r="J3559" s="10" t="str">
        <f>IF('Transform Data'!D3559="Cash","Cash",IF(COUNTIF('Transform Data'!$D:$D,'Transform Data'!D3559)&gt;1,"Repeat","Single"))</f>
        <v>Repeat</v>
      </c>
      <c r="K3559" s="10" t="str">
        <f t="shared" si="55"/>
        <v>TRANS-3558</v>
      </c>
    </row>
    <row r="3560" spans="1:11" x14ac:dyDescent="0.35">
      <c r="A3560" s="5">
        <v>45735</v>
      </c>
      <c r="B3560" s="3">
        <v>0.29453703703703704</v>
      </c>
      <c r="C3560" t="s">
        <v>8</v>
      </c>
      <c r="D3560" t="s">
        <v>315</v>
      </c>
      <c r="E3560" s="4">
        <v>25.96</v>
      </c>
      <c r="F3560" t="s">
        <v>28</v>
      </c>
      <c r="G3560" s="10" t="str">
        <f>TEXT(Transform_Data[[#This Row],[Date]],"mmm yyyy")</f>
        <v>Mar 2025</v>
      </c>
      <c r="H3560" s="10">
        <f>HOUR(Transform_Data[[#This Row],[Time]])</f>
        <v>7</v>
      </c>
      <c r="I3560" s="10" t="str">
        <f>IF(COUNTIF('Transform Data'!$D:$D,'Transform Data'!D3560)&gt;1,"Repeat","Single")</f>
        <v>Repeat</v>
      </c>
      <c r="J3560" s="10" t="str">
        <f>IF('Transform Data'!D3560="Cash","Cash",IF(COUNTIF('Transform Data'!$D:$D,'Transform Data'!D3560)&gt;1,"Repeat","Single"))</f>
        <v>Repeat</v>
      </c>
      <c r="K3560" s="10" t="str">
        <f t="shared" si="55"/>
        <v>TRANS-3559</v>
      </c>
    </row>
    <row r="3561" spans="1:11" x14ac:dyDescent="0.35">
      <c r="A3561" s="5">
        <v>45735</v>
      </c>
      <c r="B3561" s="3">
        <v>0.29622685185185182</v>
      </c>
      <c r="C3561" t="s">
        <v>8</v>
      </c>
      <c r="D3561" t="s">
        <v>1212</v>
      </c>
      <c r="E3561" s="4">
        <v>35.76</v>
      </c>
      <c r="F3561" t="s">
        <v>24</v>
      </c>
      <c r="G3561" s="10" t="str">
        <f>TEXT(Transform_Data[[#This Row],[Date]],"mmm yyyy")</f>
        <v>Mar 2025</v>
      </c>
      <c r="H3561" s="10">
        <f>HOUR(Transform_Data[[#This Row],[Time]])</f>
        <v>7</v>
      </c>
      <c r="I3561" s="10" t="str">
        <f>IF(COUNTIF('Transform Data'!$D:$D,'Transform Data'!D3561)&gt;1,"Repeat","Single")</f>
        <v>Repeat</v>
      </c>
      <c r="J3561" s="10" t="str">
        <f>IF('Transform Data'!D3561="Cash","Cash",IF(COUNTIF('Transform Data'!$D:$D,'Transform Data'!D3561)&gt;1,"Repeat","Single"))</f>
        <v>Repeat</v>
      </c>
      <c r="K3561" s="10" t="str">
        <f t="shared" si="55"/>
        <v>TRANS-3560</v>
      </c>
    </row>
    <row r="3562" spans="1:11" x14ac:dyDescent="0.35">
      <c r="A3562" s="5">
        <v>45735</v>
      </c>
      <c r="B3562" s="3">
        <v>0.33562500000000001</v>
      </c>
      <c r="C3562" t="s">
        <v>8</v>
      </c>
      <c r="D3562" t="s">
        <v>76</v>
      </c>
      <c r="E3562" s="4">
        <v>25.96</v>
      </c>
      <c r="F3562" t="s">
        <v>28</v>
      </c>
      <c r="G3562" s="10" t="str">
        <f>TEXT(Transform_Data[[#This Row],[Date]],"mmm yyyy")</f>
        <v>Mar 2025</v>
      </c>
      <c r="H3562" s="10">
        <f>HOUR(Transform_Data[[#This Row],[Time]])</f>
        <v>8</v>
      </c>
      <c r="I3562" s="10" t="str">
        <f>IF(COUNTIF('Transform Data'!$D:$D,'Transform Data'!D3562)&gt;1,"Repeat","Single")</f>
        <v>Repeat</v>
      </c>
      <c r="J3562" s="10" t="str">
        <f>IF('Transform Data'!D3562="Cash","Cash",IF(COUNTIF('Transform Data'!$D:$D,'Transform Data'!D3562)&gt;1,"Repeat","Single"))</f>
        <v>Repeat</v>
      </c>
      <c r="K3562" s="10" t="str">
        <f t="shared" si="55"/>
        <v>TRANS-3561</v>
      </c>
    </row>
    <row r="3563" spans="1:11" x14ac:dyDescent="0.35">
      <c r="A3563" s="5">
        <v>45735</v>
      </c>
      <c r="B3563" s="3">
        <v>0.42961805555555554</v>
      </c>
      <c r="C3563" t="s">
        <v>8</v>
      </c>
      <c r="D3563" t="s">
        <v>1277</v>
      </c>
      <c r="E3563" s="4">
        <v>35.76</v>
      </c>
      <c r="F3563" t="s">
        <v>15</v>
      </c>
      <c r="G3563" s="10" t="str">
        <f>TEXT(Transform_Data[[#This Row],[Date]],"mmm yyyy")</f>
        <v>Mar 2025</v>
      </c>
      <c r="H3563" s="10">
        <f>HOUR(Transform_Data[[#This Row],[Time]])</f>
        <v>10</v>
      </c>
      <c r="I3563" s="10" t="str">
        <f>IF(COUNTIF('Transform Data'!$D:$D,'Transform Data'!D3563)&gt;1,"Repeat","Single")</f>
        <v>Repeat</v>
      </c>
      <c r="J3563" s="10" t="str">
        <f>IF('Transform Data'!D3563="Cash","Cash",IF(COUNTIF('Transform Data'!$D:$D,'Transform Data'!D3563)&gt;1,"Repeat","Single"))</f>
        <v>Repeat</v>
      </c>
      <c r="K3563" s="10" t="str">
        <f t="shared" si="55"/>
        <v>TRANS-3562</v>
      </c>
    </row>
    <row r="3564" spans="1:11" x14ac:dyDescent="0.35">
      <c r="A3564" s="5">
        <v>45735</v>
      </c>
      <c r="B3564" s="3">
        <v>0.49697916666666669</v>
      </c>
      <c r="C3564" t="s">
        <v>8</v>
      </c>
      <c r="D3564" t="s">
        <v>6</v>
      </c>
      <c r="E3564" s="4">
        <v>25.96</v>
      </c>
      <c r="F3564" t="s">
        <v>28</v>
      </c>
      <c r="G3564" s="10" t="str">
        <f>TEXT(Transform_Data[[#This Row],[Date]],"mmm yyyy")</f>
        <v>Mar 2025</v>
      </c>
      <c r="H3564" s="10">
        <f>HOUR(Transform_Data[[#This Row],[Time]])</f>
        <v>11</v>
      </c>
      <c r="I3564" s="10" t="str">
        <f>IF(COUNTIF('Transform Data'!$D:$D,'Transform Data'!D3564)&gt;1,"Repeat","Single")</f>
        <v>Repeat</v>
      </c>
      <c r="J3564" s="10" t="str">
        <f>IF('Transform Data'!D3564="Cash","Cash",IF(COUNTIF('Transform Data'!$D:$D,'Transform Data'!D3564)&gt;1,"Repeat","Single"))</f>
        <v>Repeat</v>
      </c>
      <c r="K3564" s="10" t="str">
        <f t="shared" si="55"/>
        <v>TRANS-3563</v>
      </c>
    </row>
    <row r="3565" spans="1:11" x14ac:dyDescent="0.35">
      <c r="A3565" s="5">
        <v>45735</v>
      </c>
      <c r="B3565" s="3">
        <v>0.54059027777777779</v>
      </c>
      <c r="C3565" t="s">
        <v>8</v>
      </c>
      <c r="D3565" t="s">
        <v>1349</v>
      </c>
      <c r="E3565" s="4">
        <v>25.96</v>
      </c>
      <c r="F3565" t="s">
        <v>28</v>
      </c>
      <c r="G3565" s="10" t="str">
        <f>TEXT(Transform_Data[[#This Row],[Date]],"mmm yyyy")</f>
        <v>Mar 2025</v>
      </c>
      <c r="H3565" s="10">
        <f>HOUR(Transform_Data[[#This Row],[Time]])</f>
        <v>12</v>
      </c>
      <c r="I3565" s="10" t="str">
        <f>IF(COUNTIF('Transform Data'!$D:$D,'Transform Data'!D3565)&gt;1,"Repeat","Single")</f>
        <v>Single</v>
      </c>
      <c r="J3565" s="10" t="str">
        <f>IF('Transform Data'!D3565="Cash","Cash",IF(COUNTIF('Transform Data'!$D:$D,'Transform Data'!D3565)&gt;1,"Repeat","Single"))</f>
        <v>Single</v>
      </c>
      <c r="K3565" s="10" t="str">
        <f t="shared" si="55"/>
        <v>TRANS-3564</v>
      </c>
    </row>
    <row r="3566" spans="1:11" x14ac:dyDescent="0.35">
      <c r="A3566" s="5">
        <v>45735</v>
      </c>
      <c r="B3566" s="3">
        <v>0.63394675925925925</v>
      </c>
      <c r="C3566" t="s">
        <v>8</v>
      </c>
      <c r="D3566" t="s">
        <v>1345</v>
      </c>
      <c r="E3566" s="4">
        <v>35.76</v>
      </c>
      <c r="F3566" t="s">
        <v>32</v>
      </c>
      <c r="G3566" s="10" t="str">
        <f>TEXT(Transform_Data[[#This Row],[Date]],"mmm yyyy")</f>
        <v>Mar 2025</v>
      </c>
      <c r="H3566" s="10">
        <f>HOUR(Transform_Data[[#This Row],[Time]])</f>
        <v>15</v>
      </c>
      <c r="I3566" s="10" t="str">
        <f>IF(COUNTIF('Transform Data'!$D:$D,'Transform Data'!D3566)&gt;1,"Repeat","Single")</f>
        <v>Repeat</v>
      </c>
      <c r="J3566" s="10" t="str">
        <f>IF('Transform Data'!D3566="Cash","Cash",IF(COUNTIF('Transform Data'!$D:$D,'Transform Data'!D3566)&gt;1,"Repeat","Single"))</f>
        <v>Repeat</v>
      </c>
      <c r="K3566" s="10" t="str">
        <f t="shared" si="55"/>
        <v>TRANS-3565</v>
      </c>
    </row>
    <row r="3567" spans="1:11" x14ac:dyDescent="0.35">
      <c r="A3567" s="5">
        <v>45735</v>
      </c>
      <c r="B3567" s="3">
        <v>0.63498842592592597</v>
      </c>
      <c r="C3567" t="s">
        <v>8</v>
      </c>
      <c r="D3567" t="s">
        <v>1350</v>
      </c>
      <c r="E3567" s="4">
        <v>35.76</v>
      </c>
      <c r="F3567" t="s">
        <v>32</v>
      </c>
      <c r="G3567" s="10" t="str">
        <f>TEXT(Transform_Data[[#This Row],[Date]],"mmm yyyy")</f>
        <v>Mar 2025</v>
      </c>
      <c r="H3567" s="10">
        <f>HOUR(Transform_Data[[#This Row],[Time]])</f>
        <v>15</v>
      </c>
      <c r="I3567" s="10" t="str">
        <f>IF(COUNTIF('Transform Data'!$D:$D,'Transform Data'!D3567)&gt;1,"Repeat","Single")</f>
        <v>Single</v>
      </c>
      <c r="J3567" s="10" t="str">
        <f>IF('Transform Data'!D3567="Cash","Cash",IF(COUNTIF('Transform Data'!$D:$D,'Transform Data'!D3567)&gt;1,"Repeat","Single"))</f>
        <v>Single</v>
      </c>
      <c r="K3567" s="10" t="str">
        <f t="shared" si="55"/>
        <v>TRANS-3566</v>
      </c>
    </row>
    <row r="3568" spans="1:11" x14ac:dyDescent="0.35">
      <c r="A3568" s="5">
        <v>45735</v>
      </c>
      <c r="B3568" s="3">
        <v>0.68024305555555553</v>
      </c>
      <c r="C3568" t="s">
        <v>8</v>
      </c>
      <c r="D3568" t="s">
        <v>1241</v>
      </c>
      <c r="E3568" s="4">
        <v>35.76</v>
      </c>
      <c r="F3568" t="s">
        <v>32</v>
      </c>
      <c r="G3568" s="10" t="str">
        <f>TEXT(Transform_Data[[#This Row],[Date]],"mmm yyyy")</f>
        <v>Mar 2025</v>
      </c>
      <c r="H3568" s="10">
        <f>HOUR(Transform_Data[[#This Row],[Time]])</f>
        <v>16</v>
      </c>
      <c r="I3568" s="10" t="str">
        <f>IF(COUNTIF('Transform Data'!$D:$D,'Transform Data'!D3568)&gt;1,"Repeat","Single")</f>
        <v>Repeat</v>
      </c>
      <c r="J3568" s="10" t="str">
        <f>IF('Transform Data'!D3568="Cash","Cash",IF(COUNTIF('Transform Data'!$D:$D,'Transform Data'!D3568)&gt;1,"Repeat","Single"))</f>
        <v>Repeat</v>
      </c>
      <c r="K3568" s="10" t="str">
        <f t="shared" si="55"/>
        <v>TRANS-3567</v>
      </c>
    </row>
    <row r="3569" spans="1:11" x14ac:dyDescent="0.35">
      <c r="A3569" s="5">
        <v>45735</v>
      </c>
      <c r="B3569" s="3">
        <v>0.68745370370370373</v>
      </c>
      <c r="C3569" t="s">
        <v>8</v>
      </c>
      <c r="D3569" t="s">
        <v>1217</v>
      </c>
      <c r="E3569" s="4">
        <v>25.96</v>
      </c>
      <c r="F3569" t="s">
        <v>28</v>
      </c>
      <c r="G3569" s="10" t="str">
        <f>TEXT(Transform_Data[[#This Row],[Date]],"mmm yyyy")</f>
        <v>Mar 2025</v>
      </c>
      <c r="H3569" s="10">
        <f>HOUR(Transform_Data[[#This Row],[Time]])</f>
        <v>16</v>
      </c>
      <c r="I3569" s="10" t="str">
        <f>IF(COUNTIF('Transform Data'!$D:$D,'Transform Data'!D3569)&gt;1,"Repeat","Single")</f>
        <v>Repeat</v>
      </c>
      <c r="J3569" s="10" t="str">
        <f>IF('Transform Data'!D3569="Cash","Cash",IF(COUNTIF('Transform Data'!$D:$D,'Transform Data'!D3569)&gt;1,"Repeat","Single"))</f>
        <v>Repeat</v>
      </c>
      <c r="K3569" s="10" t="str">
        <f t="shared" si="55"/>
        <v>TRANS-3568</v>
      </c>
    </row>
    <row r="3570" spans="1:11" x14ac:dyDescent="0.35">
      <c r="A3570" s="5">
        <v>45735</v>
      </c>
      <c r="B3570" s="3">
        <v>0.69482638888888892</v>
      </c>
      <c r="C3570" t="s">
        <v>8</v>
      </c>
      <c r="D3570" t="s">
        <v>1209</v>
      </c>
      <c r="E3570" s="4">
        <v>35.76</v>
      </c>
      <c r="F3570" t="s">
        <v>24</v>
      </c>
      <c r="G3570" s="10" t="str">
        <f>TEXT(Transform_Data[[#This Row],[Date]],"mmm yyyy")</f>
        <v>Mar 2025</v>
      </c>
      <c r="H3570" s="10">
        <f>HOUR(Transform_Data[[#This Row],[Time]])</f>
        <v>16</v>
      </c>
      <c r="I3570" s="10" t="str">
        <f>IF(COUNTIF('Transform Data'!$D:$D,'Transform Data'!D3570)&gt;1,"Repeat","Single")</f>
        <v>Repeat</v>
      </c>
      <c r="J3570" s="10" t="str">
        <f>IF('Transform Data'!D3570="Cash","Cash",IF(COUNTIF('Transform Data'!$D:$D,'Transform Data'!D3570)&gt;1,"Repeat","Single"))</f>
        <v>Repeat</v>
      </c>
      <c r="K3570" s="10" t="str">
        <f t="shared" si="55"/>
        <v>TRANS-3569</v>
      </c>
    </row>
    <row r="3571" spans="1:11" x14ac:dyDescent="0.35">
      <c r="A3571" s="5">
        <v>45735</v>
      </c>
      <c r="B3571" s="3">
        <v>0.69601851851851848</v>
      </c>
      <c r="C3571" t="s">
        <v>8</v>
      </c>
      <c r="D3571" t="s">
        <v>1209</v>
      </c>
      <c r="E3571" s="4">
        <v>35.76</v>
      </c>
      <c r="F3571" t="s">
        <v>24</v>
      </c>
      <c r="G3571" s="10" t="str">
        <f>TEXT(Transform_Data[[#This Row],[Date]],"mmm yyyy")</f>
        <v>Mar 2025</v>
      </c>
      <c r="H3571" s="10">
        <f>HOUR(Transform_Data[[#This Row],[Time]])</f>
        <v>16</v>
      </c>
      <c r="I3571" s="10" t="str">
        <f>IF(COUNTIF('Transform Data'!$D:$D,'Transform Data'!D3571)&gt;1,"Repeat","Single")</f>
        <v>Repeat</v>
      </c>
      <c r="J3571" s="10" t="str">
        <f>IF('Transform Data'!D3571="Cash","Cash",IF(COUNTIF('Transform Data'!$D:$D,'Transform Data'!D3571)&gt;1,"Repeat","Single"))</f>
        <v>Repeat</v>
      </c>
      <c r="K3571" s="10" t="str">
        <f t="shared" si="55"/>
        <v>TRANS-3570</v>
      </c>
    </row>
    <row r="3572" spans="1:11" x14ac:dyDescent="0.35">
      <c r="A3572" s="5">
        <v>45735</v>
      </c>
      <c r="B3572" s="3">
        <v>0.70248842592592597</v>
      </c>
      <c r="C3572" t="s">
        <v>8</v>
      </c>
      <c r="D3572" t="s">
        <v>1203</v>
      </c>
      <c r="E3572" s="4">
        <v>25.96</v>
      </c>
      <c r="F3572" t="s">
        <v>28</v>
      </c>
      <c r="G3572" s="10" t="str">
        <f>TEXT(Transform_Data[[#This Row],[Date]],"mmm yyyy")</f>
        <v>Mar 2025</v>
      </c>
      <c r="H3572" s="10">
        <f>HOUR(Transform_Data[[#This Row],[Time]])</f>
        <v>16</v>
      </c>
      <c r="I3572" s="10" t="str">
        <f>IF(COUNTIF('Transform Data'!$D:$D,'Transform Data'!D3572)&gt;1,"Repeat","Single")</f>
        <v>Repeat</v>
      </c>
      <c r="J3572" s="10" t="str">
        <f>IF('Transform Data'!D3572="Cash","Cash",IF(COUNTIF('Transform Data'!$D:$D,'Transform Data'!D3572)&gt;1,"Repeat","Single"))</f>
        <v>Repeat</v>
      </c>
      <c r="K3572" s="10" t="str">
        <f t="shared" si="55"/>
        <v>TRANS-3571</v>
      </c>
    </row>
    <row r="3573" spans="1:11" x14ac:dyDescent="0.35">
      <c r="A3573" s="5">
        <v>45735</v>
      </c>
      <c r="B3573" s="3">
        <v>0.70311342592592596</v>
      </c>
      <c r="C3573" t="s">
        <v>8</v>
      </c>
      <c r="D3573" t="s">
        <v>6</v>
      </c>
      <c r="E3573" s="4">
        <v>25.96</v>
      </c>
      <c r="F3573" t="s">
        <v>28</v>
      </c>
      <c r="G3573" s="10" t="str">
        <f>TEXT(Transform_Data[[#This Row],[Date]],"mmm yyyy")</f>
        <v>Mar 2025</v>
      </c>
      <c r="H3573" s="10">
        <f>HOUR(Transform_Data[[#This Row],[Time]])</f>
        <v>16</v>
      </c>
      <c r="I3573" s="10" t="str">
        <f>IF(COUNTIF('Transform Data'!$D:$D,'Transform Data'!D3573)&gt;1,"Repeat","Single")</f>
        <v>Repeat</v>
      </c>
      <c r="J3573" s="10" t="str">
        <f>IF('Transform Data'!D3573="Cash","Cash",IF(COUNTIF('Transform Data'!$D:$D,'Transform Data'!D3573)&gt;1,"Repeat","Single"))</f>
        <v>Repeat</v>
      </c>
      <c r="K3573" s="10" t="str">
        <f t="shared" si="55"/>
        <v>TRANS-3572</v>
      </c>
    </row>
    <row r="3574" spans="1:11" x14ac:dyDescent="0.35">
      <c r="A3574" s="5">
        <v>45735</v>
      </c>
      <c r="B3574" s="3">
        <v>0.70832175925925922</v>
      </c>
      <c r="C3574" t="s">
        <v>8</v>
      </c>
      <c r="D3574" t="s">
        <v>1325</v>
      </c>
      <c r="E3574" s="4">
        <v>35.76</v>
      </c>
      <c r="F3574" t="s">
        <v>10</v>
      </c>
      <c r="G3574" s="10" t="str">
        <f>TEXT(Transform_Data[[#This Row],[Date]],"mmm yyyy")</f>
        <v>Mar 2025</v>
      </c>
      <c r="H3574" s="10">
        <f>HOUR(Transform_Data[[#This Row],[Time]])</f>
        <v>16</v>
      </c>
      <c r="I3574" s="10" t="str">
        <f>IF(COUNTIF('Transform Data'!$D:$D,'Transform Data'!D3574)&gt;1,"Repeat","Single")</f>
        <v>Repeat</v>
      </c>
      <c r="J3574" s="10" t="str">
        <f>IF('Transform Data'!D3574="Cash","Cash",IF(COUNTIF('Transform Data'!$D:$D,'Transform Data'!D3574)&gt;1,"Repeat","Single"))</f>
        <v>Repeat</v>
      </c>
      <c r="K3574" s="10" t="str">
        <f t="shared" si="55"/>
        <v>TRANS-3573</v>
      </c>
    </row>
    <row r="3575" spans="1:11" x14ac:dyDescent="0.35">
      <c r="A3575" s="5">
        <v>45735</v>
      </c>
      <c r="B3575" s="3">
        <v>0.71521990740740737</v>
      </c>
      <c r="C3575" t="s">
        <v>8</v>
      </c>
      <c r="D3575" t="s">
        <v>1269</v>
      </c>
      <c r="E3575" s="4">
        <v>30.86</v>
      </c>
      <c r="F3575" t="s">
        <v>36</v>
      </c>
      <c r="G3575" s="10" t="str">
        <f>TEXT(Transform_Data[[#This Row],[Date]],"mmm yyyy")</f>
        <v>Mar 2025</v>
      </c>
      <c r="H3575" s="10">
        <f>HOUR(Transform_Data[[#This Row],[Time]])</f>
        <v>17</v>
      </c>
      <c r="I3575" s="10" t="str">
        <f>IF(COUNTIF('Transform Data'!$D:$D,'Transform Data'!D3575)&gt;1,"Repeat","Single")</f>
        <v>Repeat</v>
      </c>
      <c r="J3575" s="10" t="str">
        <f>IF('Transform Data'!D3575="Cash","Cash",IF(COUNTIF('Transform Data'!$D:$D,'Transform Data'!D3575)&gt;1,"Repeat","Single"))</f>
        <v>Repeat</v>
      </c>
      <c r="K3575" s="10" t="str">
        <f t="shared" si="55"/>
        <v>TRANS-3574</v>
      </c>
    </row>
    <row r="3576" spans="1:11" x14ac:dyDescent="0.35">
      <c r="A3576" s="5">
        <v>45735</v>
      </c>
      <c r="B3576" s="3">
        <v>0.72753472222222226</v>
      </c>
      <c r="C3576" t="s">
        <v>8</v>
      </c>
      <c r="D3576" t="s">
        <v>1272</v>
      </c>
      <c r="E3576" s="4">
        <v>30.86</v>
      </c>
      <c r="F3576" t="s">
        <v>36</v>
      </c>
      <c r="G3576" s="10" t="str">
        <f>TEXT(Transform_Data[[#This Row],[Date]],"mmm yyyy")</f>
        <v>Mar 2025</v>
      </c>
      <c r="H3576" s="10">
        <f>HOUR(Transform_Data[[#This Row],[Time]])</f>
        <v>17</v>
      </c>
      <c r="I3576" s="10" t="str">
        <f>IF(COUNTIF('Transform Data'!$D:$D,'Transform Data'!D3576)&gt;1,"Repeat","Single")</f>
        <v>Repeat</v>
      </c>
      <c r="J3576" s="10" t="str">
        <f>IF('Transform Data'!D3576="Cash","Cash",IF(COUNTIF('Transform Data'!$D:$D,'Transform Data'!D3576)&gt;1,"Repeat","Single"))</f>
        <v>Repeat</v>
      </c>
      <c r="K3576" s="10" t="str">
        <f t="shared" si="55"/>
        <v>TRANS-3575</v>
      </c>
    </row>
    <row r="3577" spans="1:11" x14ac:dyDescent="0.35">
      <c r="A3577" s="5">
        <v>45735</v>
      </c>
      <c r="B3577" s="3">
        <v>0.77071759259259254</v>
      </c>
      <c r="C3577" t="s">
        <v>8</v>
      </c>
      <c r="D3577" t="s">
        <v>1351</v>
      </c>
      <c r="E3577" s="4">
        <v>25.96</v>
      </c>
      <c r="F3577" t="s">
        <v>20</v>
      </c>
      <c r="G3577" s="10" t="str">
        <f>TEXT(Transform_Data[[#This Row],[Date]],"mmm yyyy")</f>
        <v>Mar 2025</v>
      </c>
      <c r="H3577" s="10">
        <f>HOUR(Transform_Data[[#This Row],[Time]])</f>
        <v>18</v>
      </c>
      <c r="I3577" s="10" t="str">
        <f>IF(COUNTIF('Transform Data'!$D:$D,'Transform Data'!D3577)&gt;1,"Repeat","Single")</f>
        <v>Single</v>
      </c>
      <c r="J3577" s="10" t="str">
        <f>IF('Transform Data'!D3577="Cash","Cash",IF(COUNTIF('Transform Data'!$D:$D,'Transform Data'!D3577)&gt;1,"Repeat","Single"))</f>
        <v>Single</v>
      </c>
      <c r="K3577" s="10" t="str">
        <f t="shared" si="55"/>
        <v>TRANS-3576</v>
      </c>
    </row>
    <row r="3578" spans="1:11" x14ac:dyDescent="0.35">
      <c r="A3578" s="5">
        <v>45735</v>
      </c>
      <c r="B3578" s="3">
        <v>0.77134259259259264</v>
      </c>
      <c r="C3578" t="s">
        <v>8</v>
      </c>
      <c r="D3578" t="s">
        <v>1352</v>
      </c>
      <c r="E3578" s="4">
        <v>21.06</v>
      </c>
      <c r="F3578" t="s">
        <v>5</v>
      </c>
      <c r="G3578" s="10" t="str">
        <f>TEXT(Transform_Data[[#This Row],[Date]],"mmm yyyy")</f>
        <v>Mar 2025</v>
      </c>
      <c r="H3578" s="10">
        <f>HOUR(Transform_Data[[#This Row],[Time]])</f>
        <v>18</v>
      </c>
      <c r="I3578" s="10" t="str">
        <f>IF(COUNTIF('Transform Data'!$D:$D,'Transform Data'!D3578)&gt;1,"Repeat","Single")</f>
        <v>Repeat</v>
      </c>
      <c r="J3578" s="10" t="str">
        <f>IF('Transform Data'!D3578="Cash","Cash",IF(COUNTIF('Transform Data'!$D:$D,'Transform Data'!D3578)&gt;1,"Repeat","Single"))</f>
        <v>Repeat</v>
      </c>
      <c r="K3578" s="10" t="str">
        <f t="shared" si="55"/>
        <v>TRANS-3577</v>
      </c>
    </row>
    <row r="3579" spans="1:11" x14ac:dyDescent="0.35">
      <c r="A3579" s="5">
        <v>45735</v>
      </c>
      <c r="B3579" s="3">
        <v>0.77181712962962967</v>
      </c>
      <c r="C3579" t="s">
        <v>8</v>
      </c>
      <c r="D3579" t="s">
        <v>1353</v>
      </c>
      <c r="E3579" s="4">
        <v>21.06</v>
      </c>
      <c r="F3579" t="s">
        <v>5</v>
      </c>
      <c r="G3579" s="10" t="str">
        <f>TEXT(Transform_Data[[#This Row],[Date]],"mmm yyyy")</f>
        <v>Mar 2025</v>
      </c>
      <c r="H3579" s="10">
        <f>HOUR(Transform_Data[[#This Row],[Time]])</f>
        <v>18</v>
      </c>
      <c r="I3579" s="10" t="str">
        <f>IF(COUNTIF('Transform Data'!$D:$D,'Transform Data'!D3579)&gt;1,"Repeat","Single")</f>
        <v>Single</v>
      </c>
      <c r="J3579" s="10" t="str">
        <f>IF('Transform Data'!D3579="Cash","Cash",IF(COUNTIF('Transform Data'!$D:$D,'Transform Data'!D3579)&gt;1,"Repeat","Single"))</f>
        <v>Single</v>
      </c>
      <c r="K3579" s="10" t="str">
        <f t="shared" si="55"/>
        <v>TRANS-3578</v>
      </c>
    </row>
    <row r="3580" spans="1:11" x14ac:dyDescent="0.35">
      <c r="A3580" s="5">
        <v>45736</v>
      </c>
      <c r="B3580" s="3">
        <v>0.34254629629629629</v>
      </c>
      <c r="C3580" t="s">
        <v>8</v>
      </c>
      <c r="D3580" t="s">
        <v>1354</v>
      </c>
      <c r="E3580" s="4">
        <v>30.86</v>
      </c>
      <c r="F3580" t="s">
        <v>36</v>
      </c>
      <c r="G3580" s="10" t="str">
        <f>TEXT(Transform_Data[[#This Row],[Date]],"mmm yyyy")</f>
        <v>Mar 2025</v>
      </c>
      <c r="H3580" s="10">
        <f>HOUR(Transform_Data[[#This Row],[Time]])</f>
        <v>8</v>
      </c>
      <c r="I3580" s="10" t="str">
        <f>IF(COUNTIF('Transform Data'!$D:$D,'Transform Data'!D3580)&gt;1,"Repeat","Single")</f>
        <v>Single</v>
      </c>
      <c r="J3580" s="10" t="str">
        <f>IF('Transform Data'!D3580="Cash","Cash",IF(COUNTIF('Transform Data'!$D:$D,'Transform Data'!D3580)&gt;1,"Repeat","Single"))</f>
        <v>Single</v>
      </c>
      <c r="K3580" s="10" t="str">
        <f t="shared" si="55"/>
        <v>TRANS-3579</v>
      </c>
    </row>
    <row r="3581" spans="1:11" x14ac:dyDescent="0.35">
      <c r="A3581" s="5">
        <v>45736</v>
      </c>
      <c r="B3581" s="3">
        <v>0.41115740740740742</v>
      </c>
      <c r="C3581" t="s">
        <v>8</v>
      </c>
      <c r="D3581" t="s">
        <v>1203</v>
      </c>
      <c r="E3581" s="4">
        <v>30.86</v>
      </c>
      <c r="F3581" t="s">
        <v>36</v>
      </c>
      <c r="G3581" s="10" t="str">
        <f>TEXT(Transform_Data[[#This Row],[Date]],"mmm yyyy")</f>
        <v>Mar 2025</v>
      </c>
      <c r="H3581" s="10">
        <f>HOUR(Transform_Data[[#This Row],[Time]])</f>
        <v>9</v>
      </c>
      <c r="I3581" s="10" t="str">
        <f>IF(COUNTIF('Transform Data'!$D:$D,'Transform Data'!D3581)&gt;1,"Repeat","Single")</f>
        <v>Repeat</v>
      </c>
      <c r="J3581" s="10" t="str">
        <f>IF('Transform Data'!D3581="Cash","Cash",IF(COUNTIF('Transform Data'!$D:$D,'Transform Data'!D3581)&gt;1,"Repeat","Single"))</f>
        <v>Repeat</v>
      </c>
      <c r="K3581" s="10" t="str">
        <f t="shared" si="55"/>
        <v>TRANS-3580</v>
      </c>
    </row>
    <row r="3582" spans="1:11" x14ac:dyDescent="0.35">
      <c r="A3582" s="5">
        <v>45736</v>
      </c>
      <c r="B3582" s="3">
        <v>0.4213425925925926</v>
      </c>
      <c r="C3582" t="s">
        <v>8</v>
      </c>
      <c r="D3582" t="s">
        <v>1343</v>
      </c>
      <c r="E3582" s="4">
        <v>30.86</v>
      </c>
      <c r="F3582" t="s">
        <v>36</v>
      </c>
      <c r="G3582" s="10" t="str">
        <f>TEXT(Transform_Data[[#This Row],[Date]],"mmm yyyy")</f>
        <v>Mar 2025</v>
      </c>
      <c r="H3582" s="10">
        <f>HOUR(Transform_Data[[#This Row],[Time]])</f>
        <v>10</v>
      </c>
      <c r="I3582" s="10" t="str">
        <f>IF(COUNTIF('Transform Data'!$D:$D,'Transform Data'!D3582)&gt;1,"Repeat","Single")</f>
        <v>Repeat</v>
      </c>
      <c r="J3582" s="10" t="str">
        <f>IF('Transform Data'!D3582="Cash","Cash",IF(COUNTIF('Transform Data'!$D:$D,'Transform Data'!D3582)&gt;1,"Repeat","Single"))</f>
        <v>Repeat</v>
      </c>
      <c r="K3582" s="10" t="str">
        <f t="shared" si="55"/>
        <v>TRANS-3581</v>
      </c>
    </row>
    <row r="3583" spans="1:11" x14ac:dyDescent="0.35">
      <c r="A3583" s="5">
        <v>45736</v>
      </c>
      <c r="B3583" s="3">
        <v>0.44842592592592595</v>
      </c>
      <c r="C3583" t="s">
        <v>8</v>
      </c>
      <c r="D3583" t="s">
        <v>1355</v>
      </c>
      <c r="E3583" s="4">
        <v>25.96</v>
      </c>
      <c r="F3583" t="s">
        <v>28</v>
      </c>
      <c r="G3583" s="10" t="str">
        <f>TEXT(Transform_Data[[#This Row],[Date]],"mmm yyyy")</f>
        <v>Mar 2025</v>
      </c>
      <c r="H3583" s="10">
        <f>HOUR(Transform_Data[[#This Row],[Time]])</f>
        <v>10</v>
      </c>
      <c r="I3583" s="10" t="str">
        <f>IF(COUNTIF('Transform Data'!$D:$D,'Transform Data'!D3583)&gt;1,"Repeat","Single")</f>
        <v>Single</v>
      </c>
      <c r="J3583" s="10" t="str">
        <f>IF('Transform Data'!D3583="Cash","Cash",IF(COUNTIF('Transform Data'!$D:$D,'Transform Data'!D3583)&gt;1,"Repeat","Single"))</f>
        <v>Single</v>
      </c>
      <c r="K3583" s="10" t="str">
        <f t="shared" si="55"/>
        <v>TRANS-3582</v>
      </c>
    </row>
    <row r="3584" spans="1:11" x14ac:dyDescent="0.35">
      <c r="A3584" s="5">
        <v>45736</v>
      </c>
      <c r="B3584" s="3">
        <v>0.45505787037037038</v>
      </c>
      <c r="C3584" t="s">
        <v>8</v>
      </c>
      <c r="D3584" t="s">
        <v>6</v>
      </c>
      <c r="E3584" s="4">
        <v>25.96</v>
      </c>
      <c r="F3584" t="s">
        <v>28</v>
      </c>
      <c r="G3584" s="10" t="str">
        <f>TEXT(Transform_Data[[#This Row],[Date]],"mmm yyyy")</f>
        <v>Mar 2025</v>
      </c>
      <c r="H3584" s="10">
        <f>HOUR(Transform_Data[[#This Row],[Time]])</f>
        <v>10</v>
      </c>
      <c r="I3584" s="10" t="str">
        <f>IF(COUNTIF('Transform Data'!$D:$D,'Transform Data'!D3584)&gt;1,"Repeat","Single")</f>
        <v>Repeat</v>
      </c>
      <c r="J3584" s="10" t="str">
        <f>IF('Transform Data'!D3584="Cash","Cash",IF(COUNTIF('Transform Data'!$D:$D,'Transform Data'!D3584)&gt;1,"Repeat","Single"))</f>
        <v>Repeat</v>
      </c>
      <c r="K3584" s="10" t="str">
        <f t="shared" si="55"/>
        <v>TRANS-3583</v>
      </c>
    </row>
    <row r="3585" spans="1:11" x14ac:dyDescent="0.35">
      <c r="A3585" s="5">
        <v>45736</v>
      </c>
      <c r="B3585" s="3">
        <v>0.53361111111111115</v>
      </c>
      <c r="C3585" t="s">
        <v>8</v>
      </c>
      <c r="D3585" t="s">
        <v>1356</v>
      </c>
      <c r="E3585" s="4">
        <v>25.96</v>
      </c>
      <c r="F3585" t="s">
        <v>28</v>
      </c>
      <c r="G3585" s="10" t="str">
        <f>TEXT(Transform_Data[[#This Row],[Date]],"mmm yyyy")</f>
        <v>Mar 2025</v>
      </c>
      <c r="H3585" s="10">
        <f>HOUR(Transform_Data[[#This Row],[Time]])</f>
        <v>12</v>
      </c>
      <c r="I3585" s="10" t="str">
        <f>IF(COUNTIF('Transform Data'!$D:$D,'Transform Data'!D3585)&gt;1,"Repeat","Single")</f>
        <v>Repeat</v>
      </c>
      <c r="J3585" s="10" t="str">
        <f>IF('Transform Data'!D3585="Cash","Cash",IF(COUNTIF('Transform Data'!$D:$D,'Transform Data'!D3585)&gt;1,"Repeat","Single"))</f>
        <v>Repeat</v>
      </c>
      <c r="K3585" s="10" t="str">
        <f t="shared" si="55"/>
        <v>TRANS-3584</v>
      </c>
    </row>
    <row r="3586" spans="1:11" x14ac:dyDescent="0.35">
      <c r="A3586" s="5">
        <v>45736</v>
      </c>
      <c r="B3586" s="3">
        <v>0.58660879629629625</v>
      </c>
      <c r="C3586" t="s">
        <v>8</v>
      </c>
      <c r="D3586" t="s">
        <v>1203</v>
      </c>
      <c r="E3586" s="4">
        <v>25.96</v>
      </c>
      <c r="F3586" t="s">
        <v>28</v>
      </c>
      <c r="G3586" s="10" t="str">
        <f>TEXT(Transform_Data[[#This Row],[Date]],"mmm yyyy")</f>
        <v>Mar 2025</v>
      </c>
      <c r="H3586" s="10">
        <f>HOUR(Transform_Data[[#This Row],[Time]])</f>
        <v>14</v>
      </c>
      <c r="I3586" s="10" t="str">
        <f>IF(COUNTIF('Transform Data'!$D:$D,'Transform Data'!D3586)&gt;1,"Repeat","Single")</f>
        <v>Repeat</v>
      </c>
      <c r="J3586" s="10" t="str">
        <f>IF('Transform Data'!D3586="Cash","Cash",IF(COUNTIF('Transform Data'!$D:$D,'Transform Data'!D3586)&gt;1,"Repeat","Single"))</f>
        <v>Repeat</v>
      </c>
      <c r="K3586" s="10" t="str">
        <f t="shared" ref="K3586:K3637" si="56">"TRANS-"&amp;TEXT(ROW(A3585),"0000")</f>
        <v>TRANS-3585</v>
      </c>
    </row>
    <row r="3587" spans="1:11" x14ac:dyDescent="0.35">
      <c r="A3587" s="5">
        <v>45736</v>
      </c>
      <c r="B3587" s="3">
        <v>0.59765046296296298</v>
      </c>
      <c r="C3587" t="s">
        <v>8</v>
      </c>
      <c r="D3587" t="s">
        <v>1340</v>
      </c>
      <c r="E3587" s="4">
        <v>25.96</v>
      </c>
      <c r="F3587" t="s">
        <v>28</v>
      </c>
      <c r="G3587" s="10" t="str">
        <f>TEXT(Transform_Data[[#This Row],[Date]],"mmm yyyy")</f>
        <v>Mar 2025</v>
      </c>
      <c r="H3587" s="10">
        <f>HOUR(Transform_Data[[#This Row],[Time]])</f>
        <v>14</v>
      </c>
      <c r="I3587" s="10" t="str">
        <f>IF(COUNTIF('Transform Data'!$D:$D,'Transform Data'!D3587)&gt;1,"Repeat","Single")</f>
        <v>Repeat</v>
      </c>
      <c r="J3587" s="10" t="str">
        <f>IF('Transform Data'!D3587="Cash","Cash",IF(COUNTIF('Transform Data'!$D:$D,'Transform Data'!D3587)&gt;1,"Repeat","Single"))</f>
        <v>Repeat</v>
      </c>
      <c r="K3587" s="10" t="str">
        <f t="shared" si="56"/>
        <v>TRANS-3586</v>
      </c>
    </row>
    <row r="3588" spans="1:11" x14ac:dyDescent="0.35">
      <c r="A3588" s="5">
        <v>45736</v>
      </c>
      <c r="B3588" s="3">
        <v>0.59839120370370369</v>
      </c>
      <c r="C3588" t="s">
        <v>8</v>
      </c>
      <c r="D3588" t="s">
        <v>1340</v>
      </c>
      <c r="E3588" s="4">
        <v>21.06</v>
      </c>
      <c r="F3588" t="s">
        <v>5</v>
      </c>
      <c r="G3588" s="10" t="str">
        <f>TEXT(Transform_Data[[#This Row],[Date]],"mmm yyyy")</f>
        <v>Mar 2025</v>
      </c>
      <c r="H3588" s="10">
        <f>HOUR(Transform_Data[[#This Row],[Time]])</f>
        <v>14</v>
      </c>
      <c r="I3588" s="10" t="str">
        <f>IF(COUNTIF('Transform Data'!$D:$D,'Transform Data'!D3588)&gt;1,"Repeat","Single")</f>
        <v>Repeat</v>
      </c>
      <c r="J3588" s="10" t="str">
        <f>IF('Transform Data'!D3588="Cash","Cash",IF(COUNTIF('Transform Data'!$D:$D,'Transform Data'!D3588)&gt;1,"Repeat","Single"))</f>
        <v>Repeat</v>
      </c>
      <c r="K3588" s="10" t="str">
        <f t="shared" si="56"/>
        <v>TRANS-3587</v>
      </c>
    </row>
    <row r="3589" spans="1:11" x14ac:dyDescent="0.35">
      <c r="A3589" s="5">
        <v>45736</v>
      </c>
      <c r="B3589" s="3">
        <v>0.60074074074074069</v>
      </c>
      <c r="C3589" t="s">
        <v>8</v>
      </c>
      <c r="D3589" t="s">
        <v>1357</v>
      </c>
      <c r="E3589" s="4">
        <v>25.96</v>
      </c>
      <c r="F3589" t="s">
        <v>20</v>
      </c>
      <c r="G3589" s="10" t="str">
        <f>TEXT(Transform_Data[[#This Row],[Date]],"mmm yyyy")</f>
        <v>Mar 2025</v>
      </c>
      <c r="H3589" s="10">
        <f>HOUR(Transform_Data[[#This Row],[Time]])</f>
        <v>14</v>
      </c>
      <c r="I3589" s="10" t="str">
        <f>IF(COUNTIF('Transform Data'!$D:$D,'Transform Data'!D3589)&gt;1,"Repeat","Single")</f>
        <v>Single</v>
      </c>
      <c r="J3589" s="10" t="str">
        <f>IF('Transform Data'!D3589="Cash","Cash",IF(COUNTIF('Transform Data'!$D:$D,'Transform Data'!D3589)&gt;1,"Repeat","Single"))</f>
        <v>Single</v>
      </c>
      <c r="K3589" s="10" t="str">
        <f t="shared" si="56"/>
        <v>TRANS-3588</v>
      </c>
    </row>
    <row r="3590" spans="1:11" x14ac:dyDescent="0.35">
      <c r="A3590" s="5">
        <v>45736</v>
      </c>
      <c r="B3590" s="3">
        <v>0.60192129629629632</v>
      </c>
      <c r="C3590" t="s">
        <v>8</v>
      </c>
      <c r="D3590" t="s">
        <v>1358</v>
      </c>
      <c r="E3590" s="4">
        <v>35.76</v>
      </c>
      <c r="F3590" t="s">
        <v>24</v>
      </c>
      <c r="G3590" s="10" t="str">
        <f>TEXT(Transform_Data[[#This Row],[Date]],"mmm yyyy")</f>
        <v>Mar 2025</v>
      </c>
      <c r="H3590" s="10">
        <f>HOUR(Transform_Data[[#This Row],[Time]])</f>
        <v>14</v>
      </c>
      <c r="I3590" s="10" t="str">
        <f>IF(COUNTIF('Transform Data'!$D:$D,'Transform Data'!D3590)&gt;1,"Repeat","Single")</f>
        <v>Single</v>
      </c>
      <c r="J3590" s="10" t="str">
        <f>IF('Transform Data'!D3590="Cash","Cash",IF(COUNTIF('Transform Data'!$D:$D,'Transform Data'!D3590)&gt;1,"Repeat","Single"))</f>
        <v>Single</v>
      </c>
      <c r="K3590" s="10" t="str">
        <f t="shared" si="56"/>
        <v>TRANS-3589</v>
      </c>
    </row>
    <row r="3591" spans="1:11" x14ac:dyDescent="0.35">
      <c r="A3591" s="5">
        <v>45736</v>
      </c>
      <c r="B3591" s="3">
        <v>0.62484953703703705</v>
      </c>
      <c r="C3591" t="s">
        <v>8</v>
      </c>
      <c r="D3591" t="s">
        <v>1212</v>
      </c>
      <c r="E3591" s="4">
        <v>35.76</v>
      </c>
      <c r="F3591" t="s">
        <v>24</v>
      </c>
      <c r="G3591" s="10" t="str">
        <f>TEXT(Transform_Data[[#This Row],[Date]],"mmm yyyy")</f>
        <v>Mar 2025</v>
      </c>
      <c r="H3591" s="10">
        <f>HOUR(Transform_Data[[#This Row],[Time]])</f>
        <v>14</v>
      </c>
      <c r="I3591" s="10" t="str">
        <f>IF(COUNTIF('Transform Data'!$D:$D,'Transform Data'!D3591)&gt;1,"Repeat","Single")</f>
        <v>Repeat</v>
      </c>
      <c r="J3591" s="10" t="str">
        <f>IF('Transform Data'!D3591="Cash","Cash",IF(COUNTIF('Transform Data'!$D:$D,'Transform Data'!D3591)&gt;1,"Repeat","Single"))</f>
        <v>Repeat</v>
      </c>
      <c r="K3591" s="10" t="str">
        <f t="shared" si="56"/>
        <v>TRANS-3590</v>
      </c>
    </row>
    <row r="3592" spans="1:11" x14ac:dyDescent="0.35">
      <c r="A3592" s="5">
        <v>45736</v>
      </c>
      <c r="B3592" s="3">
        <v>0.62872685185185184</v>
      </c>
      <c r="C3592" t="s">
        <v>8</v>
      </c>
      <c r="D3592" t="s">
        <v>1220</v>
      </c>
      <c r="E3592" s="4">
        <v>25.96</v>
      </c>
      <c r="F3592" t="s">
        <v>28</v>
      </c>
      <c r="G3592" s="10" t="str">
        <f>TEXT(Transform_Data[[#This Row],[Date]],"mmm yyyy")</f>
        <v>Mar 2025</v>
      </c>
      <c r="H3592" s="10">
        <f>HOUR(Transform_Data[[#This Row],[Time]])</f>
        <v>15</v>
      </c>
      <c r="I3592" s="10" t="str">
        <f>IF(COUNTIF('Transform Data'!$D:$D,'Transform Data'!D3592)&gt;1,"Repeat","Single")</f>
        <v>Repeat</v>
      </c>
      <c r="J3592" s="10" t="str">
        <f>IF('Transform Data'!D3592="Cash","Cash",IF(COUNTIF('Transform Data'!$D:$D,'Transform Data'!D3592)&gt;1,"Repeat","Single"))</f>
        <v>Repeat</v>
      </c>
      <c r="K3592" s="10" t="str">
        <f t="shared" si="56"/>
        <v>TRANS-3591</v>
      </c>
    </row>
    <row r="3593" spans="1:11" x14ac:dyDescent="0.35">
      <c r="A3593" s="5">
        <v>45736</v>
      </c>
      <c r="B3593" s="3">
        <v>0.64017361111111115</v>
      </c>
      <c r="C3593" t="s">
        <v>8</v>
      </c>
      <c r="D3593" t="s">
        <v>1326</v>
      </c>
      <c r="E3593" s="4">
        <v>25.96</v>
      </c>
      <c r="F3593" t="s">
        <v>28</v>
      </c>
      <c r="G3593" s="10" t="str">
        <f>TEXT(Transform_Data[[#This Row],[Date]],"mmm yyyy")</f>
        <v>Mar 2025</v>
      </c>
      <c r="H3593" s="10">
        <f>HOUR(Transform_Data[[#This Row],[Time]])</f>
        <v>15</v>
      </c>
      <c r="I3593" s="10" t="str">
        <f>IF(COUNTIF('Transform Data'!$D:$D,'Transform Data'!D3593)&gt;1,"Repeat","Single")</f>
        <v>Repeat</v>
      </c>
      <c r="J3593" s="10" t="str">
        <f>IF('Transform Data'!D3593="Cash","Cash",IF(COUNTIF('Transform Data'!$D:$D,'Transform Data'!D3593)&gt;1,"Repeat","Single"))</f>
        <v>Repeat</v>
      </c>
      <c r="K3593" s="10" t="str">
        <f t="shared" si="56"/>
        <v>TRANS-3592</v>
      </c>
    </row>
    <row r="3594" spans="1:11" x14ac:dyDescent="0.35">
      <c r="A3594" s="5">
        <v>45736</v>
      </c>
      <c r="B3594" s="3">
        <v>0.69842592592592589</v>
      </c>
      <c r="C3594" t="s">
        <v>8</v>
      </c>
      <c r="D3594" t="s">
        <v>1209</v>
      </c>
      <c r="E3594" s="4">
        <v>35.76</v>
      </c>
      <c r="F3594" t="s">
        <v>24</v>
      </c>
      <c r="G3594" s="10" t="str">
        <f>TEXT(Transform_Data[[#This Row],[Date]],"mmm yyyy")</f>
        <v>Mar 2025</v>
      </c>
      <c r="H3594" s="10">
        <f>HOUR(Transform_Data[[#This Row],[Time]])</f>
        <v>16</v>
      </c>
      <c r="I3594" s="10" t="str">
        <f>IF(COUNTIF('Transform Data'!$D:$D,'Transform Data'!D3594)&gt;1,"Repeat","Single")</f>
        <v>Repeat</v>
      </c>
      <c r="J3594" s="10" t="str">
        <f>IF('Transform Data'!D3594="Cash","Cash",IF(COUNTIF('Transform Data'!$D:$D,'Transform Data'!D3594)&gt;1,"Repeat","Single"))</f>
        <v>Repeat</v>
      </c>
      <c r="K3594" s="10" t="str">
        <f t="shared" si="56"/>
        <v>TRANS-3593</v>
      </c>
    </row>
    <row r="3595" spans="1:11" x14ac:dyDescent="0.35">
      <c r="A3595" s="5">
        <v>45736</v>
      </c>
      <c r="B3595" s="3">
        <v>0.72489583333333329</v>
      </c>
      <c r="C3595" t="s">
        <v>8</v>
      </c>
      <c r="D3595" t="s">
        <v>1359</v>
      </c>
      <c r="E3595" s="4">
        <v>25.96</v>
      </c>
      <c r="F3595" t="s">
        <v>28</v>
      </c>
      <c r="G3595" s="10" t="str">
        <f>TEXT(Transform_Data[[#This Row],[Date]],"mmm yyyy")</f>
        <v>Mar 2025</v>
      </c>
      <c r="H3595" s="10">
        <f>HOUR(Transform_Data[[#This Row],[Time]])</f>
        <v>17</v>
      </c>
      <c r="I3595" s="10" t="str">
        <f>IF(COUNTIF('Transform Data'!$D:$D,'Transform Data'!D3595)&gt;1,"Repeat","Single")</f>
        <v>Repeat</v>
      </c>
      <c r="J3595" s="10" t="str">
        <f>IF('Transform Data'!D3595="Cash","Cash",IF(COUNTIF('Transform Data'!$D:$D,'Transform Data'!D3595)&gt;1,"Repeat","Single"))</f>
        <v>Repeat</v>
      </c>
      <c r="K3595" s="10" t="str">
        <f t="shared" si="56"/>
        <v>TRANS-3594</v>
      </c>
    </row>
    <row r="3596" spans="1:11" x14ac:dyDescent="0.35">
      <c r="A3596" s="5">
        <v>45736</v>
      </c>
      <c r="B3596" s="3">
        <v>0.78886574074074078</v>
      </c>
      <c r="C3596" t="s">
        <v>8</v>
      </c>
      <c r="D3596" t="s">
        <v>1283</v>
      </c>
      <c r="E3596" s="4">
        <v>35.76</v>
      </c>
      <c r="F3596" t="s">
        <v>15</v>
      </c>
      <c r="G3596" s="10" t="str">
        <f>TEXT(Transform_Data[[#This Row],[Date]],"mmm yyyy")</f>
        <v>Mar 2025</v>
      </c>
      <c r="H3596" s="10">
        <f>HOUR(Transform_Data[[#This Row],[Time]])</f>
        <v>18</v>
      </c>
      <c r="I3596" s="10" t="str">
        <f>IF(COUNTIF('Transform Data'!$D:$D,'Transform Data'!D3596)&gt;1,"Repeat","Single")</f>
        <v>Repeat</v>
      </c>
      <c r="J3596" s="10" t="str">
        <f>IF('Transform Data'!D3596="Cash","Cash",IF(COUNTIF('Transform Data'!$D:$D,'Transform Data'!D3596)&gt;1,"Repeat","Single"))</f>
        <v>Repeat</v>
      </c>
      <c r="K3596" s="10" t="str">
        <f t="shared" si="56"/>
        <v>TRANS-3595</v>
      </c>
    </row>
    <row r="3597" spans="1:11" x14ac:dyDescent="0.35">
      <c r="A3597" s="5">
        <v>45736</v>
      </c>
      <c r="B3597" s="3">
        <v>0.81714120370370369</v>
      </c>
      <c r="C3597" t="s">
        <v>8</v>
      </c>
      <c r="D3597" t="s">
        <v>1360</v>
      </c>
      <c r="E3597" s="4">
        <v>35.76</v>
      </c>
      <c r="F3597" t="s">
        <v>10</v>
      </c>
      <c r="G3597" s="10" t="str">
        <f>TEXT(Transform_Data[[#This Row],[Date]],"mmm yyyy")</f>
        <v>Mar 2025</v>
      </c>
      <c r="H3597" s="10">
        <f>HOUR(Transform_Data[[#This Row],[Time]])</f>
        <v>19</v>
      </c>
      <c r="I3597" s="10" t="str">
        <f>IF(COUNTIF('Transform Data'!$D:$D,'Transform Data'!D3597)&gt;1,"Repeat","Single")</f>
        <v>Single</v>
      </c>
      <c r="J3597" s="10" t="str">
        <f>IF('Transform Data'!D3597="Cash","Cash",IF(COUNTIF('Transform Data'!$D:$D,'Transform Data'!D3597)&gt;1,"Repeat","Single"))</f>
        <v>Single</v>
      </c>
      <c r="K3597" s="10" t="str">
        <f t="shared" si="56"/>
        <v>TRANS-3596</v>
      </c>
    </row>
    <row r="3598" spans="1:11" x14ac:dyDescent="0.35">
      <c r="A3598" s="5">
        <v>45736</v>
      </c>
      <c r="B3598" s="3">
        <v>0.83180555555555558</v>
      </c>
      <c r="C3598" t="s">
        <v>8</v>
      </c>
      <c r="D3598" t="s">
        <v>1209</v>
      </c>
      <c r="E3598" s="4">
        <v>35.76</v>
      </c>
      <c r="F3598" t="s">
        <v>24</v>
      </c>
      <c r="G3598" s="10" t="str">
        <f>TEXT(Transform_Data[[#This Row],[Date]],"mmm yyyy")</f>
        <v>Mar 2025</v>
      </c>
      <c r="H3598" s="10">
        <f>HOUR(Transform_Data[[#This Row],[Time]])</f>
        <v>19</v>
      </c>
      <c r="I3598" s="10" t="str">
        <f>IF(COUNTIF('Transform Data'!$D:$D,'Transform Data'!D3598)&gt;1,"Repeat","Single")</f>
        <v>Repeat</v>
      </c>
      <c r="J3598" s="10" t="str">
        <f>IF('Transform Data'!D3598="Cash","Cash",IF(COUNTIF('Transform Data'!$D:$D,'Transform Data'!D3598)&gt;1,"Repeat","Single"))</f>
        <v>Repeat</v>
      </c>
      <c r="K3598" s="10" t="str">
        <f t="shared" si="56"/>
        <v>TRANS-3597</v>
      </c>
    </row>
    <row r="3599" spans="1:11" x14ac:dyDescent="0.35">
      <c r="A3599" s="5">
        <v>45736</v>
      </c>
      <c r="B3599" s="3">
        <v>0.90989583333333335</v>
      </c>
      <c r="C3599" t="s">
        <v>8</v>
      </c>
      <c r="D3599" t="s">
        <v>1348</v>
      </c>
      <c r="E3599" s="4">
        <v>35.76</v>
      </c>
      <c r="F3599" t="s">
        <v>32</v>
      </c>
      <c r="G3599" s="10" t="str">
        <f>TEXT(Transform_Data[[#This Row],[Date]],"mmm yyyy")</f>
        <v>Mar 2025</v>
      </c>
      <c r="H3599" s="10">
        <f>HOUR(Transform_Data[[#This Row],[Time]])</f>
        <v>21</v>
      </c>
      <c r="I3599" s="10" t="str">
        <f>IF(COUNTIF('Transform Data'!$D:$D,'Transform Data'!D3599)&gt;1,"Repeat","Single")</f>
        <v>Repeat</v>
      </c>
      <c r="J3599" s="10" t="str">
        <f>IF('Transform Data'!D3599="Cash","Cash",IF(COUNTIF('Transform Data'!$D:$D,'Transform Data'!D3599)&gt;1,"Repeat","Single"))</f>
        <v>Repeat</v>
      </c>
      <c r="K3599" s="10" t="str">
        <f t="shared" si="56"/>
        <v>TRANS-3598</v>
      </c>
    </row>
    <row r="3600" spans="1:11" x14ac:dyDescent="0.35">
      <c r="A3600" s="5">
        <v>45737</v>
      </c>
      <c r="B3600" s="3">
        <v>0.29596064814814815</v>
      </c>
      <c r="C3600" t="s">
        <v>8</v>
      </c>
      <c r="D3600" t="s">
        <v>33</v>
      </c>
      <c r="E3600" s="4">
        <v>30.86</v>
      </c>
      <c r="F3600" t="s">
        <v>36</v>
      </c>
      <c r="G3600" s="10" t="str">
        <f>TEXT(Transform_Data[[#This Row],[Date]],"mmm yyyy")</f>
        <v>Mar 2025</v>
      </c>
      <c r="H3600" s="10">
        <f>HOUR(Transform_Data[[#This Row],[Time]])</f>
        <v>7</v>
      </c>
      <c r="I3600" s="10" t="str">
        <f>IF(COUNTIF('Transform Data'!$D:$D,'Transform Data'!D3600)&gt;1,"Repeat","Single")</f>
        <v>Repeat</v>
      </c>
      <c r="J3600" s="10" t="str">
        <f>IF('Transform Data'!D3600="Cash","Cash",IF(COUNTIF('Transform Data'!$D:$D,'Transform Data'!D3600)&gt;1,"Repeat","Single"))</f>
        <v>Repeat</v>
      </c>
      <c r="K3600" s="10" t="str">
        <f t="shared" si="56"/>
        <v>TRANS-3599</v>
      </c>
    </row>
    <row r="3601" spans="1:11" x14ac:dyDescent="0.35">
      <c r="A3601" s="5">
        <v>45737</v>
      </c>
      <c r="B3601" s="3">
        <v>0.29800925925925925</v>
      </c>
      <c r="C3601" t="s">
        <v>8</v>
      </c>
      <c r="D3601" t="s">
        <v>33</v>
      </c>
      <c r="E3601" s="4">
        <v>30.86</v>
      </c>
      <c r="F3601" t="s">
        <v>36</v>
      </c>
      <c r="G3601" s="10" t="str">
        <f>TEXT(Transform_Data[[#This Row],[Date]],"mmm yyyy")</f>
        <v>Mar 2025</v>
      </c>
      <c r="H3601" s="10">
        <f>HOUR(Transform_Data[[#This Row],[Time]])</f>
        <v>7</v>
      </c>
      <c r="I3601" s="10" t="str">
        <f>IF(COUNTIF('Transform Data'!$D:$D,'Transform Data'!D3601)&gt;1,"Repeat","Single")</f>
        <v>Repeat</v>
      </c>
      <c r="J3601" s="10" t="str">
        <f>IF('Transform Data'!D3601="Cash","Cash",IF(COUNTIF('Transform Data'!$D:$D,'Transform Data'!D3601)&gt;1,"Repeat","Single"))</f>
        <v>Repeat</v>
      </c>
      <c r="K3601" s="10" t="str">
        <f t="shared" si="56"/>
        <v>TRANS-3600</v>
      </c>
    </row>
    <row r="3602" spans="1:11" x14ac:dyDescent="0.35">
      <c r="A3602" s="5">
        <v>45737</v>
      </c>
      <c r="B3602" s="3">
        <v>0.34494212962962961</v>
      </c>
      <c r="C3602" t="s">
        <v>8</v>
      </c>
      <c r="D3602" t="s">
        <v>1356</v>
      </c>
      <c r="E3602" s="4">
        <v>25.96</v>
      </c>
      <c r="F3602" t="s">
        <v>28</v>
      </c>
      <c r="G3602" s="10" t="str">
        <f>TEXT(Transform_Data[[#This Row],[Date]],"mmm yyyy")</f>
        <v>Mar 2025</v>
      </c>
      <c r="H3602" s="10">
        <f>HOUR(Transform_Data[[#This Row],[Time]])</f>
        <v>8</v>
      </c>
      <c r="I3602" s="10" t="str">
        <f>IF(COUNTIF('Transform Data'!$D:$D,'Transform Data'!D3602)&gt;1,"Repeat","Single")</f>
        <v>Repeat</v>
      </c>
      <c r="J3602" s="10" t="str">
        <f>IF('Transform Data'!D3602="Cash","Cash",IF(COUNTIF('Transform Data'!$D:$D,'Transform Data'!D3602)&gt;1,"Repeat","Single"))</f>
        <v>Repeat</v>
      </c>
      <c r="K3602" s="10" t="str">
        <f t="shared" si="56"/>
        <v>TRANS-3601</v>
      </c>
    </row>
    <row r="3603" spans="1:11" x14ac:dyDescent="0.35">
      <c r="A3603" s="5">
        <v>45737</v>
      </c>
      <c r="B3603" s="3">
        <v>0.35319444444444442</v>
      </c>
      <c r="C3603" t="s">
        <v>8</v>
      </c>
      <c r="D3603" t="s">
        <v>6</v>
      </c>
      <c r="E3603" s="4">
        <v>25.96</v>
      </c>
      <c r="F3603" t="s">
        <v>28</v>
      </c>
      <c r="G3603" s="10" t="str">
        <f>TEXT(Transform_Data[[#This Row],[Date]],"mmm yyyy")</f>
        <v>Mar 2025</v>
      </c>
      <c r="H3603" s="10">
        <f>HOUR(Transform_Data[[#This Row],[Time]])</f>
        <v>8</v>
      </c>
      <c r="I3603" s="10" t="str">
        <f>IF(COUNTIF('Transform Data'!$D:$D,'Transform Data'!D3603)&gt;1,"Repeat","Single")</f>
        <v>Repeat</v>
      </c>
      <c r="J3603" s="10" t="str">
        <f>IF('Transform Data'!D3603="Cash","Cash",IF(COUNTIF('Transform Data'!$D:$D,'Transform Data'!D3603)&gt;1,"Repeat","Single"))</f>
        <v>Repeat</v>
      </c>
      <c r="K3603" s="10" t="str">
        <f t="shared" si="56"/>
        <v>TRANS-3602</v>
      </c>
    </row>
    <row r="3604" spans="1:11" x14ac:dyDescent="0.35">
      <c r="A3604" s="5">
        <v>45737</v>
      </c>
      <c r="B3604" s="3">
        <v>0.35370370370370369</v>
      </c>
      <c r="C3604" t="s">
        <v>8</v>
      </c>
      <c r="D3604" t="s">
        <v>6</v>
      </c>
      <c r="E3604" s="4">
        <v>25.96</v>
      </c>
      <c r="F3604" t="s">
        <v>28</v>
      </c>
      <c r="G3604" s="10" t="str">
        <f>TEXT(Transform_Data[[#This Row],[Date]],"mmm yyyy")</f>
        <v>Mar 2025</v>
      </c>
      <c r="H3604" s="10">
        <f>HOUR(Transform_Data[[#This Row],[Time]])</f>
        <v>8</v>
      </c>
      <c r="I3604" s="10" t="str">
        <f>IF(COUNTIF('Transform Data'!$D:$D,'Transform Data'!D3604)&gt;1,"Repeat","Single")</f>
        <v>Repeat</v>
      </c>
      <c r="J3604" s="10" t="str">
        <f>IF('Transform Data'!D3604="Cash","Cash",IF(COUNTIF('Transform Data'!$D:$D,'Transform Data'!D3604)&gt;1,"Repeat","Single"))</f>
        <v>Repeat</v>
      </c>
      <c r="K3604" s="10" t="str">
        <f t="shared" si="56"/>
        <v>TRANS-3603</v>
      </c>
    </row>
    <row r="3605" spans="1:11" x14ac:dyDescent="0.35">
      <c r="A3605" s="5">
        <v>45737</v>
      </c>
      <c r="B3605" s="3">
        <v>0.35784722222222221</v>
      </c>
      <c r="C3605" t="s">
        <v>8</v>
      </c>
      <c r="D3605" t="s">
        <v>1361</v>
      </c>
      <c r="E3605" s="4">
        <v>35.76</v>
      </c>
      <c r="F3605" t="s">
        <v>24</v>
      </c>
      <c r="G3605" s="10" t="str">
        <f>TEXT(Transform_Data[[#This Row],[Date]],"mmm yyyy")</f>
        <v>Mar 2025</v>
      </c>
      <c r="H3605" s="10">
        <f>HOUR(Transform_Data[[#This Row],[Time]])</f>
        <v>8</v>
      </c>
      <c r="I3605" s="10" t="str">
        <f>IF(COUNTIF('Transform Data'!$D:$D,'Transform Data'!D3605)&gt;1,"Repeat","Single")</f>
        <v>Single</v>
      </c>
      <c r="J3605" s="10" t="str">
        <f>IF('Transform Data'!D3605="Cash","Cash",IF(COUNTIF('Transform Data'!$D:$D,'Transform Data'!D3605)&gt;1,"Repeat","Single"))</f>
        <v>Single</v>
      </c>
      <c r="K3605" s="10" t="str">
        <f t="shared" si="56"/>
        <v>TRANS-3604</v>
      </c>
    </row>
    <row r="3606" spans="1:11" x14ac:dyDescent="0.35">
      <c r="A3606" s="5">
        <v>45737</v>
      </c>
      <c r="B3606" s="3">
        <v>0.49315972222222221</v>
      </c>
      <c r="C3606" t="s">
        <v>8</v>
      </c>
      <c r="D3606" t="s">
        <v>33</v>
      </c>
      <c r="E3606" s="4">
        <v>25.96</v>
      </c>
      <c r="F3606" t="s">
        <v>28</v>
      </c>
      <c r="G3606" s="10" t="str">
        <f>TEXT(Transform_Data[[#This Row],[Date]],"mmm yyyy")</f>
        <v>Mar 2025</v>
      </c>
      <c r="H3606" s="10">
        <f>HOUR(Transform_Data[[#This Row],[Time]])</f>
        <v>11</v>
      </c>
      <c r="I3606" s="10" t="str">
        <f>IF(COUNTIF('Transform Data'!$D:$D,'Transform Data'!D3606)&gt;1,"Repeat","Single")</f>
        <v>Repeat</v>
      </c>
      <c r="J3606" s="10" t="str">
        <f>IF('Transform Data'!D3606="Cash","Cash",IF(COUNTIF('Transform Data'!$D:$D,'Transform Data'!D3606)&gt;1,"Repeat","Single"))</f>
        <v>Repeat</v>
      </c>
      <c r="K3606" s="10" t="str">
        <f t="shared" si="56"/>
        <v>TRANS-3605</v>
      </c>
    </row>
    <row r="3607" spans="1:11" x14ac:dyDescent="0.35">
      <c r="A3607" s="5">
        <v>45737</v>
      </c>
      <c r="B3607" s="3">
        <v>0.49383101851851852</v>
      </c>
      <c r="C3607" t="s">
        <v>8</v>
      </c>
      <c r="D3607" t="s">
        <v>76</v>
      </c>
      <c r="E3607" s="4">
        <v>35.76</v>
      </c>
      <c r="F3607" t="s">
        <v>32</v>
      </c>
      <c r="G3607" s="10" t="str">
        <f>TEXT(Transform_Data[[#This Row],[Date]],"mmm yyyy")</f>
        <v>Mar 2025</v>
      </c>
      <c r="H3607" s="10">
        <f>HOUR(Transform_Data[[#This Row],[Time]])</f>
        <v>11</v>
      </c>
      <c r="I3607" s="10" t="str">
        <f>IF(COUNTIF('Transform Data'!$D:$D,'Transform Data'!D3607)&gt;1,"Repeat","Single")</f>
        <v>Repeat</v>
      </c>
      <c r="J3607" s="10" t="str">
        <f>IF('Transform Data'!D3607="Cash","Cash",IF(COUNTIF('Transform Data'!$D:$D,'Transform Data'!D3607)&gt;1,"Repeat","Single"))</f>
        <v>Repeat</v>
      </c>
      <c r="K3607" s="10" t="str">
        <f t="shared" si="56"/>
        <v>TRANS-3606</v>
      </c>
    </row>
    <row r="3608" spans="1:11" x14ac:dyDescent="0.35">
      <c r="A3608" s="5">
        <v>45737</v>
      </c>
      <c r="B3608" s="3">
        <v>0.54361111111111116</v>
      </c>
      <c r="C3608" t="s">
        <v>8</v>
      </c>
      <c r="D3608" t="s">
        <v>1356</v>
      </c>
      <c r="E3608" s="4">
        <v>25.96</v>
      </c>
      <c r="F3608" t="s">
        <v>28</v>
      </c>
      <c r="G3608" s="10" t="str">
        <f>TEXT(Transform_Data[[#This Row],[Date]],"mmm yyyy")</f>
        <v>Mar 2025</v>
      </c>
      <c r="H3608" s="10">
        <f>HOUR(Transform_Data[[#This Row],[Time]])</f>
        <v>13</v>
      </c>
      <c r="I3608" s="10" t="str">
        <f>IF(COUNTIF('Transform Data'!$D:$D,'Transform Data'!D3608)&gt;1,"Repeat","Single")</f>
        <v>Repeat</v>
      </c>
      <c r="J3608" s="10" t="str">
        <f>IF('Transform Data'!D3608="Cash","Cash",IF(COUNTIF('Transform Data'!$D:$D,'Transform Data'!D3608)&gt;1,"Repeat","Single"))</f>
        <v>Repeat</v>
      </c>
      <c r="K3608" s="10" t="str">
        <f t="shared" si="56"/>
        <v>TRANS-3607</v>
      </c>
    </row>
    <row r="3609" spans="1:11" x14ac:dyDescent="0.35">
      <c r="A3609" s="5">
        <v>45737</v>
      </c>
      <c r="B3609" s="3">
        <v>0.55829861111111112</v>
      </c>
      <c r="C3609" t="s">
        <v>8</v>
      </c>
      <c r="D3609" t="s">
        <v>1325</v>
      </c>
      <c r="E3609" s="4">
        <v>35.76</v>
      </c>
      <c r="F3609" t="s">
        <v>32</v>
      </c>
      <c r="G3609" s="10" t="str">
        <f>TEXT(Transform_Data[[#This Row],[Date]],"mmm yyyy")</f>
        <v>Mar 2025</v>
      </c>
      <c r="H3609" s="10">
        <f>HOUR(Transform_Data[[#This Row],[Time]])</f>
        <v>13</v>
      </c>
      <c r="I3609" s="10" t="str">
        <f>IF(COUNTIF('Transform Data'!$D:$D,'Transform Data'!D3609)&gt;1,"Repeat","Single")</f>
        <v>Repeat</v>
      </c>
      <c r="J3609" s="10" t="str">
        <f>IF('Transform Data'!D3609="Cash","Cash",IF(COUNTIF('Transform Data'!$D:$D,'Transform Data'!D3609)&gt;1,"Repeat","Single"))</f>
        <v>Repeat</v>
      </c>
      <c r="K3609" s="10" t="str">
        <f t="shared" si="56"/>
        <v>TRANS-3608</v>
      </c>
    </row>
    <row r="3610" spans="1:11" x14ac:dyDescent="0.35">
      <c r="A3610" s="5">
        <v>45737</v>
      </c>
      <c r="B3610" s="3">
        <v>0.5914814814814815</v>
      </c>
      <c r="C3610" t="s">
        <v>8</v>
      </c>
      <c r="D3610" t="s">
        <v>1209</v>
      </c>
      <c r="E3610" s="4">
        <v>35.76</v>
      </c>
      <c r="F3610" t="s">
        <v>24</v>
      </c>
      <c r="G3610" s="10" t="str">
        <f>TEXT(Transform_Data[[#This Row],[Date]],"mmm yyyy")</f>
        <v>Mar 2025</v>
      </c>
      <c r="H3610" s="10">
        <f>HOUR(Transform_Data[[#This Row],[Time]])</f>
        <v>14</v>
      </c>
      <c r="I3610" s="10" t="str">
        <f>IF(COUNTIF('Transform Data'!$D:$D,'Transform Data'!D3610)&gt;1,"Repeat","Single")</f>
        <v>Repeat</v>
      </c>
      <c r="J3610" s="10" t="str">
        <f>IF('Transform Data'!D3610="Cash","Cash",IF(COUNTIF('Transform Data'!$D:$D,'Transform Data'!D3610)&gt;1,"Repeat","Single"))</f>
        <v>Repeat</v>
      </c>
      <c r="K3610" s="10" t="str">
        <f t="shared" si="56"/>
        <v>TRANS-3609</v>
      </c>
    </row>
    <row r="3611" spans="1:11" x14ac:dyDescent="0.35">
      <c r="A3611" s="5">
        <v>45737</v>
      </c>
      <c r="B3611" s="3">
        <v>0.63128472222222221</v>
      </c>
      <c r="C3611" t="s">
        <v>8</v>
      </c>
      <c r="D3611" t="s">
        <v>1362</v>
      </c>
      <c r="E3611" s="4">
        <v>35.76</v>
      </c>
      <c r="F3611" t="s">
        <v>24</v>
      </c>
      <c r="G3611" s="10" t="str">
        <f>TEXT(Transform_Data[[#This Row],[Date]],"mmm yyyy")</f>
        <v>Mar 2025</v>
      </c>
      <c r="H3611" s="10">
        <f>HOUR(Transform_Data[[#This Row],[Time]])</f>
        <v>15</v>
      </c>
      <c r="I3611" s="10" t="str">
        <f>IF(COUNTIF('Transform Data'!$D:$D,'Transform Data'!D3611)&gt;1,"Repeat","Single")</f>
        <v>Single</v>
      </c>
      <c r="J3611" s="10" t="str">
        <f>IF('Transform Data'!D3611="Cash","Cash",IF(COUNTIF('Transform Data'!$D:$D,'Transform Data'!D3611)&gt;1,"Repeat","Single"))</f>
        <v>Single</v>
      </c>
      <c r="K3611" s="10" t="str">
        <f t="shared" si="56"/>
        <v>TRANS-3610</v>
      </c>
    </row>
    <row r="3612" spans="1:11" x14ac:dyDescent="0.35">
      <c r="A3612" s="5">
        <v>45737</v>
      </c>
      <c r="B3612" s="3">
        <v>0.64215277777777779</v>
      </c>
      <c r="C3612" t="s">
        <v>8</v>
      </c>
      <c r="D3612" t="s">
        <v>1220</v>
      </c>
      <c r="E3612" s="4">
        <v>25.96</v>
      </c>
      <c r="F3612" t="s">
        <v>28</v>
      </c>
      <c r="G3612" s="10" t="str">
        <f>TEXT(Transform_Data[[#This Row],[Date]],"mmm yyyy")</f>
        <v>Mar 2025</v>
      </c>
      <c r="H3612" s="10">
        <f>HOUR(Transform_Data[[#This Row],[Time]])</f>
        <v>15</v>
      </c>
      <c r="I3612" s="10" t="str">
        <f>IF(COUNTIF('Transform Data'!$D:$D,'Transform Data'!D3612)&gt;1,"Repeat","Single")</f>
        <v>Repeat</v>
      </c>
      <c r="J3612" s="10" t="str">
        <f>IF('Transform Data'!D3612="Cash","Cash",IF(COUNTIF('Transform Data'!$D:$D,'Transform Data'!D3612)&gt;1,"Repeat","Single"))</f>
        <v>Repeat</v>
      </c>
      <c r="K3612" s="10" t="str">
        <f t="shared" si="56"/>
        <v>TRANS-3611</v>
      </c>
    </row>
    <row r="3613" spans="1:11" x14ac:dyDescent="0.35">
      <c r="A3613" s="5">
        <v>45737</v>
      </c>
      <c r="B3613" s="3">
        <v>0.64466435185185189</v>
      </c>
      <c r="C3613" t="s">
        <v>8</v>
      </c>
      <c r="D3613" t="s">
        <v>6</v>
      </c>
      <c r="E3613" s="4">
        <v>35.76</v>
      </c>
      <c r="F3613" t="s">
        <v>32</v>
      </c>
      <c r="G3613" s="10" t="str">
        <f>TEXT(Transform_Data[[#This Row],[Date]],"mmm yyyy")</f>
        <v>Mar 2025</v>
      </c>
      <c r="H3613" s="10">
        <f>HOUR(Transform_Data[[#This Row],[Time]])</f>
        <v>15</v>
      </c>
      <c r="I3613" s="10" t="str">
        <f>IF(COUNTIF('Transform Data'!$D:$D,'Transform Data'!D3613)&gt;1,"Repeat","Single")</f>
        <v>Repeat</v>
      </c>
      <c r="J3613" s="10" t="str">
        <f>IF('Transform Data'!D3613="Cash","Cash",IF(COUNTIF('Transform Data'!$D:$D,'Transform Data'!D3613)&gt;1,"Repeat","Single"))</f>
        <v>Repeat</v>
      </c>
      <c r="K3613" s="10" t="str">
        <f t="shared" si="56"/>
        <v>TRANS-3612</v>
      </c>
    </row>
    <row r="3614" spans="1:11" x14ac:dyDescent="0.35">
      <c r="A3614" s="5">
        <v>45737</v>
      </c>
      <c r="B3614" s="3">
        <v>0.64550925925925928</v>
      </c>
      <c r="C3614" t="s">
        <v>8</v>
      </c>
      <c r="D3614" t="s">
        <v>33</v>
      </c>
      <c r="E3614" s="4">
        <v>35.76</v>
      </c>
      <c r="F3614" t="s">
        <v>24</v>
      </c>
      <c r="G3614" s="10" t="str">
        <f>TEXT(Transform_Data[[#This Row],[Date]],"mmm yyyy")</f>
        <v>Mar 2025</v>
      </c>
      <c r="H3614" s="10">
        <f>HOUR(Transform_Data[[#This Row],[Time]])</f>
        <v>15</v>
      </c>
      <c r="I3614" s="10" t="str">
        <f>IF(COUNTIF('Transform Data'!$D:$D,'Transform Data'!D3614)&gt;1,"Repeat","Single")</f>
        <v>Repeat</v>
      </c>
      <c r="J3614" s="10" t="str">
        <f>IF('Transform Data'!D3614="Cash","Cash",IF(COUNTIF('Transform Data'!$D:$D,'Transform Data'!D3614)&gt;1,"Repeat","Single"))</f>
        <v>Repeat</v>
      </c>
      <c r="K3614" s="10" t="str">
        <f t="shared" si="56"/>
        <v>TRANS-3613</v>
      </c>
    </row>
    <row r="3615" spans="1:11" x14ac:dyDescent="0.35">
      <c r="A3615" s="5">
        <v>45737</v>
      </c>
      <c r="B3615" s="3">
        <v>0.7093518518518519</v>
      </c>
      <c r="C3615" t="s">
        <v>8</v>
      </c>
      <c r="D3615" t="s">
        <v>1309</v>
      </c>
      <c r="E3615" s="4">
        <v>35.76</v>
      </c>
      <c r="F3615" t="s">
        <v>15</v>
      </c>
      <c r="G3615" s="10" t="str">
        <f>TEXT(Transform_Data[[#This Row],[Date]],"mmm yyyy")</f>
        <v>Mar 2025</v>
      </c>
      <c r="H3615" s="10">
        <f>HOUR(Transform_Data[[#This Row],[Time]])</f>
        <v>17</v>
      </c>
      <c r="I3615" s="10" t="str">
        <f>IF(COUNTIF('Transform Data'!$D:$D,'Transform Data'!D3615)&gt;1,"Repeat","Single")</f>
        <v>Repeat</v>
      </c>
      <c r="J3615" s="10" t="str">
        <f>IF('Transform Data'!D3615="Cash","Cash",IF(COUNTIF('Transform Data'!$D:$D,'Transform Data'!D3615)&gt;1,"Repeat","Single"))</f>
        <v>Repeat</v>
      </c>
      <c r="K3615" s="10" t="str">
        <f t="shared" si="56"/>
        <v>TRANS-3614</v>
      </c>
    </row>
    <row r="3616" spans="1:11" x14ac:dyDescent="0.35">
      <c r="A3616" s="5">
        <v>45737</v>
      </c>
      <c r="B3616" s="3">
        <v>0.72310185185185183</v>
      </c>
      <c r="C3616" t="s">
        <v>8</v>
      </c>
      <c r="D3616" t="s">
        <v>1215</v>
      </c>
      <c r="E3616" s="4">
        <v>35.76</v>
      </c>
      <c r="F3616" t="s">
        <v>32</v>
      </c>
      <c r="G3616" s="10" t="str">
        <f>TEXT(Transform_Data[[#This Row],[Date]],"mmm yyyy")</f>
        <v>Mar 2025</v>
      </c>
      <c r="H3616" s="10">
        <f>HOUR(Transform_Data[[#This Row],[Time]])</f>
        <v>17</v>
      </c>
      <c r="I3616" s="10" t="str">
        <f>IF(COUNTIF('Transform Data'!$D:$D,'Transform Data'!D3616)&gt;1,"Repeat","Single")</f>
        <v>Repeat</v>
      </c>
      <c r="J3616" s="10" t="str">
        <f>IF('Transform Data'!D3616="Cash","Cash",IF(COUNTIF('Transform Data'!$D:$D,'Transform Data'!D3616)&gt;1,"Repeat","Single"))</f>
        <v>Repeat</v>
      </c>
      <c r="K3616" s="10" t="str">
        <f t="shared" si="56"/>
        <v>TRANS-3615</v>
      </c>
    </row>
    <row r="3617" spans="1:11" x14ac:dyDescent="0.35">
      <c r="A3617" s="5">
        <v>45737</v>
      </c>
      <c r="B3617" s="3">
        <v>0.72417824074074078</v>
      </c>
      <c r="C3617" t="s">
        <v>8</v>
      </c>
      <c r="D3617" t="s">
        <v>1241</v>
      </c>
      <c r="E3617" s="4">
        <v>35.76</v>
      </c>
      <c r="F3617" t="s">
        <v>32</v>
      </c>
      <c r="G3617" s="10" t="str">
        <f>TEXT(Transform_Data[[#This Row],[Date]],"mmm yyyy")</f>
        <v>Mar 2025</v>
      </c>
      <c r="H3617" s="10">
        <f>HOUR(Transform_Data[[#This Row],[Time]])</f>
        <v>17</v>
      </c>
      <c r="I3617" s="10" t="str">
        <f>IF(COUNTIF('Transform Data'!$D:$D,'Transform Data'!D3617)&gt;1,"Repeat","Single")</f>
        <v>Repeat</v>
      </c>
      <c r="J3617" s="10" t="str">
        <f>IF('Transform Data'!D3617="Cash","Cash",IF(COUNTIF('Transform Data'!$D:$D,'Transform Data'!D3617)&gt;1,"Repeat","Single"))</f>
        <v>Repeat</v>
      </c>
      <c r="K3617" s="10" t="str">
        <f t="shared" si="56"/>
        <v>TRANS-3616</v>
      </c>
    </row>
    <row r="3618" spans="1:11" x14ac:dyDescent="0.35">
      <c r="A3618" s="5">
        <v>45737</v>
      </c>
      <c r="B3618" s="3">
        <v>0.78625</v>
      </c>
      <c r="C3618" t="s">
        <v>8</v>
      </c>
      <c r="D3618" t="s">
        <v>21</v>
      </c>
      <c r="E3618" s="4">
        <v>35.76</v>
      </c>
      <c r="F3618" t="s">
        <v>32</v>
      </c>
      <c r="G3618" s="10" t="str">
        <f>TEXT(Transform_Data[[#This Row],[Date]],"mmm yyyy")</f>
        <v>Mar 2025</v>
      </c>
      <c r="H3618" s="10">
        <f>HOUR(Transform_Data[[#This Row],[Time]])</f>
        <v>18</v>
      </c>
      <c r="I3618" s="10" t="str">
        <f>IF(COUNTIF('Transform Data'!$D:$D,'Transform Data'!D3618)&gt;1,"Repeat","Single")</f>
        <v>Repeat</v>
      </c>
      <c r="J3618" s="10" t="str">
        <f>IF('Transform Data'!D3618="Cash","Cash",IF(COUNTIF('Transform Data'!$D:$D,'Transform Data'!D3618)&gt;1,"Repeat","Single"))</f>
        <v>Repeat</v>
      </c>
      <c r="K3618" s="10" t="str">
        <f t="shared" si="56"/>
        <v>TRANS-3617</v>
      </c>
    </row>
    <row r="3619" spans="1:11" x14ac:dyDescent="0.35">
      <c r="A3619" s="5">
        <v>45737</v>
      </c>
      <c r="B3619" s="3">
        <v>0.79125000000000001</v>
      </c>
      <c r="C3619" t="s">
        <v>8</v>
      </c>
      <c r="D3619" t="s">
        <v>1220</v>
      </c>
      <c r="E3619" s="4">
        <v>25.96</v>
      </c>
      <c r="F3619" t="s">
        <v>28</v>
      </c>
      <c r="G3619" s="10" t="str">
        <f>TEXT(Transform_Data[[#This Row],[Date]],"mmm yyyy")</f>
        <v>Mar 2025</v>
      </c>
      <c r="H3619" s="10">
        <f>HOUR(Transform_Data[[#This Row],[Time]])</f>
        <v>18</v>
      </c>
      <c r="I3619" s="10" t="str">
        <f>IF(COUNTIF('Transform Data'!$D:$D,'Transform Data'!D3619)&gt;1,"Repeat","Single")</f>
        <v>Repeat</v>
      </c>
      <c r="J3619" s="10" t="str">
        <f>IF('Transform Data'!D3619="Cash","Cash",IF(COUNTIF('Transform Data'!$D:$D,'Transform Data'!D3619)&gt;1,"Repeat","Single"))</f>
        <v>Repeat</v>
      </c>
      <c r="K3619" s="10" t="str">
        <f t="shared" si="56"/>
        <v>TRANS-3618</v>
      </c>
    </row>
    <row r="3620" spans="1:11" x14ac:dyDescent="0.35">
      <c r="A3620" s="5">
        <v>45738</v>
      </c>
      <c r="B3620" s="3">
        <v>0.37862268518518516</v>
      </c>
      <c r="C3620" t="s">
        <v>8</v>
      </c>
      <c r="D3620" t="s">
        <v>1324</v>
      </c>
      <c r="E3620" s="4">
        <v>30.86</v>
      </c>
      <c r="F3620" t="s">
        <v>36</v>
      </c>
      <c r="G3620" s="10" t="str">
        <f>TEXT(Transform_Data[[#This Row],[Date]],"mmm yyyy")</f>
        <v>Mar 2025</v>
      </c>
      <c r="H3620" s="10">
        <f>HOUR(Transform_Data[[#This Row],[Time]])</f>
        <v>9</v>
      </c>
      <c r="I3620" s="10" t="str">
        <f>IF(COUNTIF('Transform Data'!$D:$D,'Transform Data'!D3620)&gt;1,"Repeat","Single")</f>
        <v>Repeat</v>
      </c>
      <c r="J3620" s="10" t="str">
        <f>IF('Transform Data'!D3620="Cash","Cash",IF(COUNTIF('Transform Data'!$D:$D,'Transform Data'!D3620)&gt;1,"Repeat","Single"))</f>
        <v>Repeat</v>
      </c>
      <c r="K3620" s="10" t="str">
        <f t="shared" si="56"/>
        <v>TRANS-3619</v>
      </c>
    </row>
    <row r="3621" spans="1:11" x14ac:dyDescent="0.35">
      <c r="A3621" s="5">
        <v>45738</v>
      </c>
      <c r="B3621" s="3">
        <v>0.43760416666666668</v>
      </c>
      <c r="C3621" t="s">
        <v>8</v>
      </c>
      <c r="D3621" t="s">
        <v>1203</v>
      </c>
      <c r="E3621" s="4">
        <v>30.86</v>
      </c>
      <c r="F3621" t="s">
        <v>36</v>
      </c>
      <c r="G3621" s="10" t="str">
        <f>TEXT(Transform_Data[[#This Row],[Date]],"mmm yyyy")</f>
        <v>Mar 2025</v>
      </c>
      <c r="H3621" s="10">
        <f>HOUR(Transform_Data[[#This Row],[Time]])</f>
        <v>10</v>
      </c>
      <c r="I3621" s="10" t="str">
        <f>IF(COUNTIF('Transform Data'!$D:$D,'Transform Data'!D3621)&gt;1,"Repeat","Single")</f>
        <v>Repeat</v>
      </c>
      <c r="J3621" s="10" t="str">
        <f>IF('Transform Data'!D3621="Cash","Cash",IF(COUNTIF('Transform Data'!$D:$D,'Transform Data'!D3621)&gt;1,"Repeat","Single"))</f>
        <v>Repeat</v>
      </c>
      <c r="K3621" s="10" t="str">
        <f t="shared" si="56"/>
        <v>TRANS-3620</v>
      </c>
    </row>
    <row r="3622" spans="1:11" x14ac:dyDescent="0.35">
      <c r="A3622" s="5">
        <v>45738</v>
      </c>
      <c r="B3622" s="3">
        <v>0.46811342592592592</v>
      </c>
      <c r="C3622" t="s">
        <v>8</v>
      </c>
      <c r="D3622" t="s">
        <v>1309</v>
      </c>
      <c r="E3622" s="4">
        <v>35.76</v>
      </c>
      <c r="F3622" t="s">
        <v>15</v>
      </c>
      <c r="G3622" s="10" t="str">
        <f>TEXT(Transform_Data[[#This Row],[Date]],"mmm yyyy")</f>
        <v>Mar 2025</v>
      </c>
      <c r="H3622" s="10">
        <f>HOUR(Transform_Data[[#This Row],[Time]])</f>
        <v>11</v>
      </c>
      <c r="I3622" s="10" t="str">
        <f>IF(COUNTIF('Transform Data'!$D:$D,'Transform Data'!D3622)&gt;1,"Repeat","Single")</f>
        <v>Repeat</v>
      </c>
      <c r="J3622" s="10" t="str">
        <f>IF('Transform Data'!D3622="Cash","Cash",IF(COUNTIF('Transform Data'!$D:$D,'Transform Data'!D3622)&gt;1,"Repeat","Single"))</f>
        <v>Repeat</v>
      </c>
      <c r="K3622" s="10" t="str">
        <f t="shared" si="56"/>
        <v>TRANS-3621</v>
      </c>
    </row>
    <row r="3623" spans="1:11" x14ac:dyDescent="0.35">
      <c r="A3623" s="5">
        <v>45738</v>
      </c>
      <c r="B3623" s="3">
        <v>0.48703703703703705</v>
      </c>
      <c r="C3623" t="s">
        <v>8</v>
      </c>
      <c r="D3623" t="s">
        <v>1329</v>
      </c>
      <c r="E3623" s="4">
        <v>35.76</v>
      </c>
      <c r="F3623" t="s">
        <v>10</v>
      </c>
      <c r="G3623" s="10" t="str">
        <f>TEXT(Transform_Data[[#This Row],[Date]],"mmm yyyy")</f>
        <v>Mar 2025</v>
      </c>
      <c r="H3623" s="10">
        <f>HOUR(Transform_Data[[#This Row],[Time]])</f>
        <v>11</v>
      </c>
      <c r="I3623" s="10" t="str">
        <f>IF(COUNTIF('Transform Data'!$D:$D,'Transform Data'!D3623)&gt;1,"Repeat","Single")</f>
        <v>Repeat</v>
      </c>
      <c r="J3623" s="10" t="str">
        <f>IF('Transform Data'!D3623="Cash","Cash",IF(COUNTIF('Transform Data'!$D:$D,'Transform Data'!D3623)&gt;1,"Repeat","Single"))</f>
        <v>Repeat</v>
      </c>
      <c r="K3623" s="10" t="str">
        <f t="shared" si="56"/>
        <v>TRANS-3622</v>
      </c>
    </row>
    <row r="3624" spans="1:11" x14ac:dyDescent="0.35">
      <c r="A3624" s="5">
        <v>45738</v>
      </c>
      <c r="B3624" s="3">
        <v>0.5128125</v>
      </c>
      <c r="C3624" t="s">
        <v>8</v>
      </c>
      <c r="D3624" t="s">
        <v>1363</v>
      </c>
      <c r="E3624" s="4">
        <v>30.86</v>
      </c>
      <c r="F3624" t="s">
        <v>36</v>
      </c>
      <c r="G3624" s="10" t="str">
        <f>TEXT(Transform_Data[[#This Row],[Date]],"mmm yyyy")</f>
        <v>Mar 2025</v>
      </c>
      <c r="H3624" s="10">
        <f>HOUR(Transform_Data[[#This Row],[Time]])</f>
        <v>12</v>
      </c>
      <c r="I3624" s="10" t="str">
        <f>IF(COUNTIF('Transform Data'!$D:$D,'Transform Data'!D3624)&gt;1,"Repeat","Single")</f>
        <v>Single</v>
      </c>
      <c r="J3624" s="10" t="str">
        <f>IF('Transform Data'!D3624="Cash","Cash",IF(COUNTIF('Transform Data'!$D:$D,'Transform Data'!D3624)&gt;1,"Repeat","Single"))</f>
        <v>Single</v>
      </c>
      <c r="K3624" s="10" t="str">
        <f t="shared" si="56"/>
        <v>TRANS-3623</v>
      </c>
    </row>
    <row r="3625" spans="1:11" x14ac:dyDescent="0.35">
      <c r="A3625" s="5">
        <v>45738</v>
      </c>
      <c r="B3625" s="3">
        <v>0.51804398148148145</v>
      </c>
      <c r="C3625" t="s">
        <v>8</v>
      </c>
      <c r="D3625" t="s">
        <v>1356</v>
      </c>
      <c r="E3625" s="4">
        <v>25.96</v>
      </c>
      <c r="F3625" t="s">
        <v>28</v>
      </c>
      <c r="G3625" s="10" t="str">
        <f>TEXT(Transform_Data[[#This Row],[Date]],"mmm yyyy")</f>
        <v>Mar 2025</v>
      </c>
      <c r="H3625" s="10">
        <f>HOUR(Transform_Data[[#This Row],[Time]])</f>
        <v>12</v>
      </c>
      <c r="I3625" s="10" t="str">
        <f>IF(COUNTIF('Transform Data'!$D:$D,'Transform Data'!D3625)&gt;1,"Repeat","Single")</f>
        <v>Repeat</v>
      </c>
      <c r="J3625" s="10" t="str">
        <f>IF('Transform Data'!D3625="Cash","Cash",IF(COUNTIF('Transform Data'!$D:$D,'Transform Data'!D3625)&gt;1,"Repeat","Single"))</f>
        <v>Repeat</v>
      </c>
      <c r="K3625" s="10" t="str">
        <f t="shared" si="56"/>
        <v>TRANS-3624</v>
      </c>
    </row>
    <row r="3626" spans="1:11" x14ac:dyDescent="0.35">
      <c r="A3626" s="5">
        <v>45738</v>
      </c>
      <c r="B3626" s="3">
        <v>0.54607638888888888</v>
      </c>
      <c r="C3626" t="s">
        <v>8</v>
      </c>
      <c r="D3626" t="s">
        <v>1359</v>
      </c>
      <c r="E3626" s="4">
        <v>25.96</v>
      </c>
      <c r="F3626" t="s">
        <v>28</v>
      </c>
      <c r="G3626" s="10" t="str">
        <f>TEXT(Transform_Data[[#This Row],[Date]],"mmm yyyy")</f>
        <v>Mar 2025</v>
      </c>
      <c r="H3626" s="10">
        <f>HOUR(Transform_Data[[#This Row],[Time]])</f>
        <v>13</v>
      </c>
      <c r="I3626" s="10" t="str">
        <f>IF(COUNTIF('Transform Data'!$D:$D,'Transform Data'!D3626)&gt;1,"Repeat","Single")</f>
        <v>Repeat</v>
      </c>
      <c r="J3626" s="10" t="str">
        <f>IF('Transform Data'!D3626="Cash","Cash",IF(COUNTIF('Transform Data'!$D:$D,'Transform Data'!D3626)&gt;1,"Repeat","Single"))</f>
        <v>Repeat</v>
      </c>
      <c r="K3626" s="10" t="str">
        <f t="shared" si="56"/>
        <v>TRANS-3625</v>
      </c>
    </row>
    <row r="3627" spans="1:11" x14ac:dyDescent="0.35">
      <c r="A3627" s="5">
        <v>45738</v>
      </c>
      <c r="B3627" s="3">
        <v>0.55783564814814812</v>
      </c>
      <c r="C3627" t="s">
        <v>8</v>
      </c>
      <c r="D3627" t="s">
        <v>1317</v>
      </c>
      <c r="E3627" s="4">
        <v>30.86</v>
      </c>
      <c r="F3627" t="s">
        <v>36</v>
      </c>
      <c r="G3627" s="10" t="str">
        <f>TEXT(Transform_Data[[#This Row],[Date]],"mmm yyyy")</f>
        <v>Mar 2025</v>
      </c>
      <c r="H3627" s="10">
        <f>HOUR(Transform_Data[[#This Row],[Time]])</f>
        <v>13</v>
      </c>
      <c r="I3627" s="10" t="str">
        <f>IF(COUNTIF('Transform Data'!$D:$D,'Transform Data'!D3627)&gt;1,"Repeat","Single")</f>
        <v>Repeat</v>
      </c>
      <c r="J3627" s="10" t="str">
        <f>IF('Transform Data'!D3627="Cash","Cash",IF(COUNTIF('Transform Data'!$D:$D,'Transform Data'!D3627)&gt;1,"Repeat","Single"))</f>
        <v>Repeat</v>
      </c>
      <c r="K3627" s="10" t="str">
        <f t="shared" si="56"/>
        <v>TRANS-3626</v>
      </c>
    </row>
    <row r="3628" spans="1:11" x14ac:dyDescent="0.35">
      <c r="A3628" s="5">
        <v>45738</v>
      </c>
      <c r="B3628" s="3">
        <v>0.66525462962962967</v>
      </c>
      <c r="C3628" t="s">
        <v>8</v>
      </c>
      <c r="D3628" t="s">
        <v>1352</v>
      </c>
      <c r="E3628" s="4">
        <v>21.06</v>
      </c>
      <c r="F3628" t="s">
        <v>5</v>
      </c>
      <c r="G3628" s="10" t="str">
        <f>TEXT(Transform_Data[[#This Row],[Date]],"mmm yyyy")</f>
        <v>Mar 2025</v>
      </c>
      <c r="H3628" s="10">
        <f>HOUR(Transform_Data[[#This Row],[Time]])</f>
        <v>15</v>
      </c>
      <c r="I3628" s="10" t="str">
        <f>IF(COUNTIF('Transform Data'!$D:$D,'Transform Data'!D3628)&gt;1,"Repeat","Single")</f>
        <v>Repeat</v>
      </c>
      <c r="J3628" s="10" t="str">
        <f>IF('Transform Data'!D3628="Cash","Cash",IF(COUNTIF('Transform Data'!$D:$D,'Transform Data'!D3628)&gt;1,"Repeat","Single"))</f>
        <v>Repeat</v>
      </c>
      <c r="K3628" s="10" t="str">
        <f t="shared" si="56"/>
        <v>TRANS-3627</v>
      </c>
    </row>
    <row r="3629" spans="1:11" x14ac:dyDescent="0.35">
      <c r="A3629" s="5">
        <v>45738</v>
      </c>
      <c r="B3629" s="3">
        <v>0.68540509259259264</v>
      </c>
      <c r="C3629" t="s">
        <v>8</v>
      </c>
      <c r="D3629" t="s">
        <v>1324</v>
      </c>
      <c r="E3629" s="4">
        <v>35.76</v>
      </c>
      <c r="F3629" t="s">
        <v>32</v>
      </c>
      <c r="G3629" s="10" t="str">
        <f>TEXT(Transform_Data[[#This Row],[Date]],"mmm yyyy")</f>
        <v>Mar 2025</v>
      </c>
      <c r="H3629" s="10">
        <f>HOUR(Transform_Data[[#This Row],[Time]])</f>
        <v>16</v>
      </c>
      <c r="I3629" s="10" t="str">
        <f>IF(COUNTIF('Transform Data'!$D:$D,'Transform Data'!D3629)&gt;1,"Repeat","Single")</f>
        <v>Repeat</v>
      </c>
      <c r="J3629" s="10" t="str">
        <f>IF('Transform Data'!D3629="Cash","Cash",IF(COUNTIF('Transform Data'!$D:$D,'Transform Data'!D3629)&gt;1,"Repeat","Single"))</f>
        <v>Repeat</v>
      </c>
      <c r="K3629" s="10" t="str">
        <f t="shared" si="56"/>
        <v>TRANS-3628</v>
      </c>
    </row>
    <row r="3630" spans="1:11" x14ac:dyDescent="0.35">
      <c r="A3630" s="5">
        <v>45738</v>
      </c>
      <c r="B3630" s="3">
        <v>0.74554398148148149</v>
      </c>
      <c r="C3630" t="s">
        <v>8</v>
      </c>
      <c r="D3630" t="s">
        <v>1324</v>
      </c>
      <c r="E3630" s="4">
        <v>30.86</v>
      </c>
      <c r="F3630" t="s">
        <v>36</v>
      </c>
      <c r="G3630" s="10" t="str">
        <f>TEXT(Transform_Data[[#This Row],[Date]],"mmm yyyy")</f>
        <v>Mar 2025</v>
      </c>
      <c r="H3630" s="10">
        <f>HOUR(Transform_Data[[#This Row],[Time]])</f>
        <v>17</v>
      </c>
      <c r="I3630" s="10" t="str">
        <f>IF(COUNTIF('Transform Data'!$D:$D,'Transform Data'!D3630)&gt;1,"Repeat","Single")</f>
        <v>Repeat</v>
      </c>
      <c r="J3630" s="10" t="str">
        <f>IF('Transform Data'!D3630="Cash","Cash",IF(COUNTIF('Transform Data'!$D:$D,'Transform Data'!D3630)&gt;1,"Repeat","Single"))</f>
        <v>Repeat</v>
      </c>
      <c r="K3630" s="10" t="str">
        <f t="shared" si="56"/>
        <v>TRANS-3629</v>
      </c>
    </row>
    <row r="3631" spans="1:11" x14ac:dyDescent="0.35">
      <c r="A3631" s="5">
        <v>45738</v>
      </c>
      <c r="B3631" s="3">
        <v>0.80337962962962961</v>
      </c>
      <c r="C3631" t="s">
        <v>8</v>
      </c>
      <c r="D3631" t="s">
        <v>1364</v>
      </c>
      <c r="E3631" s="4">
        <v>30.86</v>
      </c>
      <c r="F3631" t="s">
        <v>36</v>
      </c>
      <c r="G3631" s="10" t="str">
        <f>TEXT(Transform_Data[[#This Row],[Date]],"mmm yyyy")</f>
        <v>Mar 2025</v>
      </c>
      <c r="H3631" s="10">
        <f>HOUR(Transform_Data[[#This Row],[Time]])</f>
        <v>19</v>
      </c>
      <c r="I3631" s="10" t="str">
        <f>IF(COUNTIF('Transform Data'!$D:$D,'Transform Data'!D3631)&gt;1,"Repeat","Single")</f>
        <v>Single</v>
      </c>
      <c r="J3631" s="10" t="str">
        <f>IF('Transform Data'!D3631="Cash","Cash",IF(COUNTIF('Transform Data'!$D:$D,'Transform Data'!D3631)&gt;1,"Repeat","Single"))</f>
        <v>Single</v>
      </c>
      <c r="K3631" s="10" t="str">
        <f t="shared" si="56"/>
        <v>TRANS-3630</v>
      </c>
    </row>
    <row r="3632" spans="1:11" x14ac:dyDescent="0.35">
      <c r="A3632" s="5">
        <v>45739</v>
      </c>
      <c r="B3632" s="3">
        <v>0.4216550925925926</v>
      </c>
      <c r="C3632" t="s">
        <v>8</v>
      </c>
      <c r="D3632" t="s">
        <v>1246</v>
      </c>
      <c r="E3632" s="4">
        <v>35.76</v>
      </c>
      <c r="F3632" t="s">
        <v>32</v>
      </c>
      <c r="G3632" s="10" t="str">
        <f>TEXT(Transform_Data[[#This Row],[Date]],"mmm yyyy")</f>
        <v>Mar 2025</v>
      </c>
      <c r="H3632" s="10">
        <f>HOUR(Transform_Data[[#This Row],[Time]])</f>
        <v>10</v>
      </c>
      <c r="I3632" s="10" t="str">
        <f>IF(COUNTIF('Transform Data'!$D:$D,'Transform Data'!D3632)&gt;1,"Repeat","Single")</f>
        <v>Repeat</v>
      </c>
      <c r="J3632" s="10" t="str">
        <f>IF('Transform Data'!D3632="Cash","Cash",IF(COUNTIF('Transform Data'!$D:$D,'Transform Data'!D3632)&gt;1,"Repeat","Single"))</f>
        <v>Repeat</v>
      </c>
      <c r="K3632" s="10" t="str">
        <f t="shared" si="56"/>
        <v>TRANS-3631</v>
      </c>
    </row>
    <row r="3633" spans="1:11" x14ac:dyDescent="0.35">
      <c r="A3633" s="5">
        <v>45739</v>
      </c>
      <c r="B3633" s="3">
        <v>0.44090277777777775</v>
      </c>
      <c r="C3633" t="s">
        <v>8</v>
      </c>
      <c r="D3633" t="s">
        <v>1209</v>
      </c>
      <c r="E3633" s="4">
        <v>35.76</v>
      </c>
      <c r="F3633" t="s">
        <v>24</v>
      </c>
      <c r="G3633" s="10" t="str">
        <f>TEXT(Transform_Data[[#This Row],[Date]],"mmm yyyy")</f>
        <v>Mar 2025</v>
      </c>
      <c r="H3633" s="10">
        <f>HOUR(Transform_Data[[#This Row],[Time]])</f>
        <v>10</v>
      </c>
      <c r="I3633" s="10" t="str">
        <f>IF(COUNTIF('Transform Data'!$D:$D,'Transform Data'!D3633)&gt;1,"Repeat","Single")</f>
        <v>Repeat</v>
      </c>
      <c r="J3633" s="10" t="str">
        <f>IF('Transform Data'!D3633="Cash","Cash",IF(COUNTIF('Transform Data'!$D:$D,'Transform Data'!D3633)&gt;1,"Repeat","Single"))</f>
        <v>Repeat</v>
      </c>
      <c r="K3633" s="10" t="str">
        <f t="shared" si="56"/>
        <v>TRANS-3632</v>
      </c>
    </row>
    <row r="3634" spans="1:11" x14ac:dyDescent="0.35">
      <c r="A3634" s="5">
        <v>45739</v>
      </c>
      <c r="B3634" s="3">
        <v>0.61362268518518515</v>
      </c>
      <c r="C3634" t="s">
        <v>8</v>
      </c>
      <c r="D3634" t="s">
        <v>1365</v>
      </c>
      <c r="E3634" s="4">
        <v>35.76</v>
      </c>
      <c r="F3634" t="s">
        <v>10</v>
      </c>
      <c r="G3634" s="10" t="str">
        <f>TEXT(Transform_Data[[#This Row],[Date]],"mmm yyyy")</f>
        <v>Mar 2025</v>
      </c>
      <c r="H3634" s="10">
        <f>HOUR(Transform_Data[[#This Row],[Time]])</f>
        <v>14</v>
      </c>
      <c r="I3634" s="10" t="str">
        <f>IF(COUNTIF('Transform Data'!$D:$D,'Transform Data'!D3634)&gt;1,"Repeat","Single")</f>
        <v>Repeat</v>
      </c>
      <c r="J3634" s="10" t="str">
        <f>IF('Transform Data'!D3634="Cash","Cash",IF(COUNTIF('Transform Data'!$D:$D,'Transform Data'!D3634)&gt;1,"Repeat","Single"))</f>
        <v>Repeat</v>
      </c>
      <c r="K3634" s="10" t="str">
        <f t="shared" si="56"/>
        <v>TRANS-3633</v>
      </c>
    </row>
    <row r="3635" spans="1:11" x14ac:dyDescent="0.35">
      <c r="A3635" s="5">
        <v>45739</v>
      </c>
      <c r="B3635" s="3">
        <v>0.61407407407407411</v>
      </c>
      <c r="C3635" t="s">
        <v>8</v>
      </c>
      <c r="D3635" t="s">
        <v>1365</v>
      </c>
      <c r="E3635" s="4">
        <v>35.76</v>
      </c>
      <c r="F3635" t="s">
        <v>10</v>
      </c>
      <c r="G3635" s="10" t="str">
        <f>TEXT(Transform_Data[[#This Row],[Date]],"mmm yyyy")</f>
        <v>Mar 2025</v>
      </c>
      <c r="H3635" s="10">
        <f>HOUR(Transform_Data[[#This Row],[Time]])</f>
        <v>14</v>
      </c>
      <c r="I3635" s="10" t="str">
        <f>IF(COUNTIF('Transform Data'!$D:$D,'Transform Data'!D3635)&gt;1,"Repeat","Single")</f>
        <v>Repeat</v>
      </c>
      <c r="J3635" s="10" t="str">
        <f>IF('Transform Data'!D3635="Cash","Cash",IF(COUNTIF('Transform Data'!$D:$D,'Transform Data'!D3635)&gt;1,"Repeat","Single"))</f>
        <v>Repeat</v>
      </c>
      <c r="K3635" s="10" t="str">
        <f t="shared" si="56"/>
        <v>TRANS-3634</v>
      </c>
    </row>
    <row r="3636" spans="1:11" x14ac:dyDescent="0.35">
      <c r="A3636" s="5">
        <v>45739</v>
      </c>
      <c r="B3636" s="3">
        <v>0.65796296296296297</v>
      </c>
      <c r="C3636" t="s">
        <v>8</v>
      </c>
      <c r="D3636" t="s">
        <v>1366</v>
      </c>
      <c r="E3636" s="4">
        <v>25.96</v>
      </c>
      <c r="F3636" t="s">
        <v>28</v>
      </c>
      <c r="G3636" s="10" t="str">
        <f>TEXT(Transform_Data[[#This Row],[Date]],"mmm yyyy")</f>
        <v>Mar 2025</v>
      </c>
      <c r="H3636" s="10">
        <f>HOUR(Transform_Data[[#This Row],[Time]])</f>
        <v>15</v>
      </c>
      <c r="I3636" s="10" t="str">
        <f>IF(COUNTIF('Transform Data'!$D:$D,'Transform Data'!D3636)&gt;1,"Repeat","Single")</f>
        <v>Single</v>
      </c>
      <c r="J3636" s="10" t="str">
        <f>IF('Transform Data'!D3636="Cash","Cash",IF(COUNTIF('Transform Data'!$D:$D,'Transform Data'!D3636)&gt;1,"Repeat","Single"))</f>
        <v>Single</v>
      </c>
      <c r="K3636" s="10" t="str">
        <f t="shared" si="56"/>
        <v>TRANS-3635</v>
      </c>
    </row>
    <row r="3637" spans="1:11" x14ac:dyDescent="0.35">
      <c r="A3637" s="5">
        <v>45739</v>
      </c>
      <c r="B3637" s="3">
        <v>0.75807870370370367</v>
      </c>
      <c r="C3637" t="s">
        <v>8</v>
      </c>
      <c r="D3637" t="s">
        <v>1325</v>
      </c>
      <c r="E3637" s="4">
        <v>35.76</v>
      </c>
      <c r="F3637" t="s">
        <v>32</v>
      </c>
      <c r="G3637" s="10" t="str">
        <f>TEXT(Transform_Data[[#This Row],[Date]],"mmm yyyy")</f>
        <v>Mar 2025</v>
      </c>
      <c r="H3637" s="10">
        <f>HOUR(Transform_Data[[#This Row],[Time]])</f>
        <v>18</v>
      </c>
      <c r="I3637" s="10" t="str">
        <f>IF(COUNTIF('Transform Data'!$D:$D,'Transform Data'!D3637)&gt;1,"Repeat","Single")</f>
        <v>Repeat</v>
      </c>
      <c r="J3637" s="10" t="str">
        <f>IF('Transform Data'!D3637="Cash","Cash",IF(COUNTIF('Transform Data'!$D:$D,'Transform Data'!D3637)&gt;1,"Repeat","Single"))</f>
        <v>Repeat</v>
      </c>
      <c r="K3637" s="10" t="str">
        <f t="shared" si="56"/>
        <v>TRANS-3636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D694B-E8C8-431E-B744-E917320F4378}">
  <sheetPr>
    <tabColor rgb="FFFFC000"/>
  </sheetPr>
  <dimension ref="A1"/>
  <sheetViews>
    <sheetView showGridLines="0" tabSelected="1" zoomScale="52" zoomScaleNormal="52" workbookViewId="0">
      <selection activeCell="AF14" sqref="AF14"/>
    </sheetView>
  </sheetViews>
  <sheetFormatPr defaultRowHeight="14.5" x14ac:dyDescent="0.35"/>
  <cols>
    <col min="1" max="16384" width="8.7265625" style="14"/>
  </cols>
  <sheetData/>
  <pageMargins left="0.7" right="0.7" top="0.75" bottom="0.75" header="0.3" footer="0.3"/>
  <pageSetup paperSize="3"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AE35-2705-4C9F-9678-3386246742E2}">
  <dimension ref="A3:D4"/>
  <sheetViews>
    <sheetView workbookViewId="0">
      <selection activeCell="D11" sqref="D11"/>
    </sheetView>
  </sheetViews>
  <sheetFormatPr defaultRowHeight="14.5" x14ac:dyDescent="0.35"/>
  <cols>
    <col min="1" max="1" width="11.1796875" bestFit="1" customWidth="1"/>
    <col min="2" max="2" width="21.26953125" bestFit="1" customWidth="1"/>
    <col min="3" max="3" width="30.26953125" bestFit="1" customWidth="1"/>
    <col min="4" max="4" width="28.7265625" bestFit="1" customWidth="1"/>
    <col min="6" max="6" width="12" bestFit="1" customWidth="1"/>
    <col min="7" max="7" width="23.453125" bestFit="1" customWidth="1"/>
  </cols>
  <sheetData>
    <row r="3" spans="1:4" x14ac:dyDescent="0.35">
      <c r="A3" t="s">
        <v>1</v>
      </c>
      <c r="B3" t="s">
        <v>1382</v>
      </c>
      <c r="C3" s="15" t="s">
        <v>1376</v>
      </c>
      <c r="D3" s="15" t="s">
        <v>1375</v>
      </c>
    </row>
    <row r="4" spans="1:4" x14ac:dyDescent="0.35">
      <c r="A4" s="9">
        <v>115431.5799999978</v>
      </c>
      <c r="B4" s="10">
        <v>3636</v>
      </c>
      <c r="C4" s="13">
        <f>GETPIVOTDATA("Sum of Price",$A$3)/GETPIVOTDATA("Count of Transaction_Id",$A$3)</f>
        <v>31.746859185917987</v>
      </c>
      <c r="D4" s="11">
        <f>GETPIVOTDATA("Card Id",'Pivot Repeat'!$A$3,"Exclude_Cash","Repeat")/(GETPIVOTDATA("Card Id",'Pivot Repeat'!$A$3,"Exclude_Cash","Repeat")+GETPIVOTDATA("Card Id",'Pivot Repeat'!$A$3,"Exclude_Cash","Single"))</f>
        <v>0.78263321116436424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E345-5D67-4E91-A61C-195C479A6319}">
  <dimension ref="A3:B7"/>
  <sheetViews>
    <sheetView workbookViewId="0">
      <selection activeCell="B7" sqref="B7"/>
    </sheetView>
  </sheetViews>
  <sheetFormatPr defaultRowHeight="14.5" x14ac:dyDescent="0.35"/>
  <cols>
    <col min="1" max="1" width="12.36328125" bestFit="1" customWidth="1"/>
    <col min="2" max="2" width="14.6328125" bestFit="1" customWidth="1"/>
  </cols>
  <sheetData>
    <row r="3" spans="1:2" x14ac:dyDescent="0.35">
      <c r="A3" s="6" t="s">
        <v>0</v>
      </c>
      <c r="B3" t="s">
        <v>3</v>
      </c>
    </row>
    <row r="4" spans="1:2" x14ac:dyDescent="0.35">
      <c r="A4" s="7" t="s">
        <v>1377</v>
      </c>
      <c r="B4" s="10">
        <v>89</v>
      </c>
    </row>
    <row r="5" spans="1:2" x14ac:dyDescent="0.35">
      <c r="A5" s="7" t="s">
        <v>1379</v>
      </c>
      <c r="B5" s="10">
        <v>2776</v>
      </c>
    </row>
    <row r="6" spans="1:2" x14ac:dyDescent="0.35">
      <c r="A6" s="7" t="s">
        <v>1380</v>
      </c>
      <c r="B6" s="10">
        <v>771</v>
      </c>
    </row>
    <row r="7" spans="1:2" x14ac:dyDescent="0.35">
      <c r="A7" s="7" t="s">
        <v>18</v>
      </c>
      <c r="B7" s="10">
        <v>3636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31D0-16BA-49DA-B5A0-0CA10BCF3CF9}">
  <dimension ref="A3:K12"/>
  <sheetViews>
    <sheetView workbookViewId="0">
      <selection activeCell="K15" sqref="K15"/>
    </sheetView>
  </sheetViews>
  <sheetFormatPr defaultRowHeight="14.5" x14ac:dyDescent="0.35"/>
  <cols>
    <col min="1" max="1" width="18.08984375" bestFit="1" customWidth="1"/>
    <col min="2" max="2" width="8" bestFit="1" customWidth="1"/>
    <col min="3" max="3" width="14.6328125" bestFit="1" customWidth="1"/>
    <col min="4" max="4" width="19.54296875" bestFit="1" customWidth="1"/>
    <col min="10" max="10" width="18.08984375" bestFit="1" customWidth="1"/>
    <col min="11" max="11" width="21.26953125" bestFit="1" customWidth="1"/>
  </cols>
  <sheetData>
    <row r="3" spans="1:11" x14ac:dyDescent="0.35">
      <c r="A3" s="6" t="s">
        <v>0</v>
      </c>
      <c r="B3" t="s">
        <v>1385</v>
      </c>
      <c r="J3" s="6" t="s">
        <v>0</v>
      </c>
      <c r="K3" t="s">
        <v>1382</v>
      </c>
    </row>
    <row r="4" spans="1:11" x14ac:dyDescent="0.35">
      <c r="A4" s="7" t="s">
        <v>5</v>
      </c>
      <c r="B4" s="9">
        <v>2814.2799999999934</v>
      </c>
      <c r="J4" s="7" t="s">
        <v>36</v>
      </c>
      <c r="K4" s="10">
        <v>824</v>
      </c>
    </row>
    <row r="5" spans="1:11" x14ac:dyDescent="0.35">
      <c r="A5" s="7" t="s">
        <v>20</v>
      </c>
      <c r="B5" s="9">
        <v>7534.8600000000133</v>
      </c>
      <c r="J5" s="7" t="s">
        <v>32</v>
      </c>
      <c r="K5" s="10">
        <v>782</v>
      </c>
    </row>
    <row r="6" spans="1:11" x14ac:dyDescent="0.35">
      <c r="A6" s="7" t="s">
        <v>10</v>
      </c>
      <c r="B6" s="9">
        <v>8678.1600000000381</v>
      </c>
      <c r="J6" s="7" t="s">
        <v>28</v>
      </c>
      <c r="K6" s="10">
        <v>578</v>
      </c>
    </row>
    <row r="7" spans="1:11" x14ac:dyDescent="0.35">
      <c r="A7" s="7" t="s">
        <v>15</v>
      </c>
      <c r="B7" s="9">
        <v>10172.460000000045</v>
      </c>
      <c r="J7" s="7" t="s">
        <v>24</v>
      </c>
      <c r="K7" s="10">
        <v>501</v>
      </c>
    </row>
    <row r="8" spans="1:11" x14ac:dyDescent="0.35">
      <c r="A8" s="7" t="s">
        <v>28</v>
      </c>
      <c r="B8" s="9">
        <v>15062.259999999818</v>
      </c>
      <c r="J8" s="7" t="s">
        <v>20</v>
      </c>
      <c r="K8" s="10">
        <v>292</v>
      </c>
    </row>
    <row r="9" spans="1:11" x14ac:dyDescent="0.35">
      <c r="A9" s="7" t="s">
        <v>24</v>
      </c>
      <c r="B9" s="9">
        <v>18034.139999999945</v>
      </c>
      <c r="J9" s="7" t="s">
        <v>15</v>
      </c>
      <c r="K9" s="10">
        <v>282</v>
      </c>
    </row>
    <row r="10" spans="1:11" x14ac:dyDescent="0.35">
      <c r="A10" s="7" t="s">
        <v>36</v>
      </c>
      <c r="B10" s="9">
        <v>25269.120000000225</v>
      </c>
      <c r="J10" s="7" t="s">
        <v>10</v>
      </c>
      <c r="K10" s="10">
        <v>243</v>
      </c>
    </row>
    <row r="11" spans="1:11" x14ac:dyDescent="0.35">
      <c r="A11" s="7" t="s">
        <v>32</v>
      </c>
      <c r="B11" s="9">
        <v>27866.299999999457</v>
      </c>
      <c r="J11" s="7" t="s">
        <v>5</v>
      </c>
      <c r="K11" s="10">
        <v>134</v>
      </c>
    </row>
    <row r="12" spans="1:11" x14ac:dyDescent="0.35">
      <c r="A12" s="7" t="s">
        <v>18</v>
      </c>
      <c r="B12" s="9">
        <v>115431.57999999955</v>
      </c>
      <c r="J12" s="7" t="s">
        <v>18</v>
      </c>
      <c r="K12" s="10">
        <v>3636</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F800-DCB5-490A-887B-51349B603BCB}">
  <dimension ref="A1:F21"/>
  <sheetViews>
    <sheetView topLeftCell="F1" workbookViewId="0">
      <selection activeCell="H18" sqref="H18"/>
    </sheetView>
  </sheetViews>
  <sheetFormatPr defaultRowHeight="14.5" x14ac:dyDescent="0.35"/>
  <cols>
    <col min="1" max="1" width="12.36328125" bestFit="1" customWidth="1"/>
    <col min="2" max="2" width="11.1796875" bestFit="1" customWidth="1"/>
    <col min="5" max="5" width="12.36328125" bestFit="1" customWidth="1"/>
    <col min="6" max="6" width="21.26953125" bestFit="1" customWidth="1"/>
  </cols>
  <sheetData>
    <row r="1" spans="1:6" x14ac:dyDescent="0.35">
      <c r="A1" s="12" t="s">
        <v>1383</v>
      </c>
      <c r="E1" s="12" t="s">
        <v>1384</v>
      </c>
    </row>
    <row r="3" spans="1:6" x14ac:dyDescent="0.35">
      <c r="A3" s="6" t="s">
        <v>0</v>
      </c>
      <c r="B3" t="s">
        <v>1</v>
      </c>
      <c r="E3" s="6" t="s">
        <v>0</v>
      </c>
      <c r="F3" t="s">
        <v>1382</v>
      </c>
    </row>
    <row r="4" spans="1:6" x14ac:dyDescent="0.35">
      <c r="A4" s="7" t="s">
        <v>45</v>
      </c>
      <c r="B4" s="9">
        <v>6398.8600000000124</v>
      </c>
      <c r="E4" s="7" t="s">
        <v>7</v>
      </c>
      <c r="F4" s="10">
        <v>5</v>
      </c>
    </row>
    <row r="5" spans="1:6" x14ac:dyDescent="0.35">
      <c r="A5" s="7" t="s">
        <v>47</v>
      </c>
      <c r="B5" s="9">
        <v>13215.479999999996</v>
      </c>
      <c r="E5" s="7" t="s">
        <v>12</v>
      </c>
      <c r="F5" s="10">
        <v>91</v>
      </c>
    </row>
    <row r="6" spans="1:6" x14ac:dyDescent="0.35">
      <c r="A6" s="7" t="s">
        <v>4</v>
      </c>
      <c r="B6" s="9">
        <v>17036.639999999945</v>
      </c>
      <c r="E6" s="7" t="s">
        <v>17</v>
      </c>
      <c r="F6" s="10">
        <v>235</v>
      </c>
    </row>
    <row r="7" spans="1:6" x14ac:dyDescent="0.35">
      <c r="A7" s="7" t="s">
        <v>9</v>
      </c>
      <c r="B7" s="9">
        <v>6720.5600000000013</v>
      </c>
      <c r="E7" s="7" t="s">
        <v>22</v>
      </c>
      <c r="F7" s="10">
        <v>247</v>
      </c>
    </row>
    <row r="8" spans="1:6" x14ac:dyDescent="0.35">
      <c r="A8" s="7" t="s">
        <v>14</v>
      </c>
      <c r="B8" s="9">
        <v>9063.4200000000019</v>
      </c>
      <c r="E8" s="7" t="s">
        <v>26</v>
      </c>
      <c r="F8" s="10">
        <v>349</v>
      </c>
    </row>
    <row r="9" spans="1:6" x14ac:dyDescent="0.35">
      <c r="A9" s="7" t="s">
        <v>19</v>
      </c>
      <c r="B9" s="9">
        <v>7758.7600000000048</v>
      </c>
      <c r="E9" s="7" t="s">
        <v>30</v>
      </c>
      <c r="F9" s="10">
        <v>294</v>
      </c>
    </row>
    <row r="10" spans="1:6" x14ac:dyDescent="0.35">
      <c r="A10" s="7" t="s">
        <v>23</v>
      </c>
      <c r="B10" s="9">
        <v>6915.940000000006</v>
      </c>
      <c r="E10" s="7" t="s">
        <v>34</v>
      </c>
      <c r="F10" s="10">
        <v>249</v>
      </c>
    </row>
    <row r="11" spans="1:6" x14ac:dyDescent="0.35">
      <c r="A11" s="7" t="s">
        <v>27</v>
      </c>
      <c r="B11" s="9">
        <v>7613.8400000000147</v>
      </c>
      <c r="E11" s="7" t="s">
        <v>38</v>
      </c>
      <c r="F11" s="10">
        <v>227</v>
      </c>
    </row>
    <row r="12" spans="1:6" x14ac:dyDescent="0.35">
      <c r="A12" s="7" t="s">
        <v>31</v>
      </c>
      <c r="B12" s="9">
        <v>9988.6400000000067</v>
      </c>
      <c r="E12" s="7" t="s">
        <v>41</v>
      </c>
      <c r="F12" s="10">
        <v>228</v>
      </c>
    </row>
    <row r="13" spans="1:6" x14ac:dyDescent="0.35">
      <c r="A13" s="7" t="s">
        <v>35</v>
      </c>
      <c r="B13" s="9">
        <v>13891.16000000004</v>
      </c>
      <c r="E13" s="7" t="s">
        <v>44</v>
      </c>
      <c r="F13" s="10">
        <v>245</v>
      </c>
    </row>
    <row r="14" spans="1:6" x14ac:dyDescent="0.35">
      <c r="A14" s="7" t="s">
        <v>39</v>
      </c>
      <c r="B14" s="9">
        <v>8590.5400000000227</v>
      </c>
      <c r="E14" s="7" t="s">
        <v>46</v>
      </c>
      <c r="F14" s="10">
        <v>283</v>
      </c>
    </row>
    <row r="15" spans="1:6" x14ac:dyDescent="0.35">
      <c r="A15" s="7" t="s">
        <v>42</v>
      </c>
      <c r="B15" s="9">
        <v>8237.740000000018</v>
      </c>
      <c r="E15" s="7" t="s">
        <v>48</v>
      </c>
      <c r="F15" s="10">
        <v>244</v>
      </c>
    </row>
    <row r="16" spans="1:6" x14ac:dyDescent="0.35">
      <c r="A16" s="7" t="s">
        <v>18</v>
      </c>
      <c r="B16" s="9">
        <v>115431.58000000006</v>
      </c>
      <c r="E16" s="7" t="s">
        <v>49</v>
      </c>
      <c r="F16" s="10">
        <v>220</v>
      </c>
    </row>
    <row r="17" spans="5:6" x14ac:dyDescent="0.35">
      <c r="E17" s="7" t="s">
        <v>50</v>
      </c>
      <c r="F17" s="10">
        <v>235</v>
      </c>
    </row>
    <row r="18" spans="5:6" x14ac:dyDescent="0.35">
      <c r="E18" s="7" t="s">
        <v>51</v>
      </c>
      <c r="F18" s="10">
        <v>171</v>
      </c>
    </row>
    <row r="19" spans="5:6" x14ac:dyDescent="0.35">
      <c r="E19" s="7" t="s">
        <v>52</v>
      </c>
      <c r="F19" s="10">
        <v>197</v>
      </c>
    </row>
    <row r="20" spans="5:6" x14ac:dyDescent="0.35">
      <c r="E20" s="7" t="s">
        <v>53</v>
      </c>
      <c r="F20" s="10">
        <v>116</v>
      </c>
    </row>
    <row r="21" spans="5:6" x14ac:dyDescent="0.35">
      <c r="E21" s="7" t="s">
        <v>18</v>
      </c>
      <c r="F21" s="10">
        <v>3636</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57B2E-D59A-4213-8192-C8C567A7E34B}">
  <dimension ref="A3:G6"/>
  <sheetViews>
    <sheetView workbookViewId="0">
      <selection activeCell="G5" sqref="G5"/>
    </sheetView>
  </sheetViews>
  <sheetFormatPr defaultRowHeight="14.5" x14ac:dyDescent="0.35"/>
  <cols>
    <col min="1" max="1" width="12.36328125" bestFit="1" customWidth="1"/>
    <col min="2" max="2" width="21.26953125" bestFit="1" customWidth="1"/>
    <col min="4" max="4" width="15.90625" bestFit="1" customWidth="1"/>
    <col min="7" max="7" width="26.7265625" bestFit="1" customWidth="1"/>
  </cols>
  <sheetData>
    <row r="3" spans="1:7" x14ac:dyDescent="0.35">
      <c r="A3" s="6" t="s">
        <v>0</v>
      </c>
      <c r="B3" t="s">
        <v>1382</v>
      </c>
      <c r="D3" t="s">
        <v>1387</v>
      </c>
      <c r="E3">
        <f>GETPIVOTDATA("Transaction_Id",$A$3,"Payment Method","card")</f>
        <v>3547</v>
      </c>
      <c r="F3" s="8">
        <f>E3/$E$5</f>
        <v>0.97552255225522555</v>
      </c>
      <c r="G3" t="str">
        <f>"Transactions Card : "&amp;E3&amp;" ("&amp;TEXT(F3,"0%")&amp;")"</f>
        <v>Transactions Card : 3547 (98%)</v>
      </c>
    </row>
    <row r="4" spans="1:7" x14ac:dyDescent="0.35">
      <c r="A4" s="7" t="s">
        <v>8</v>
      </c>
      <c r="B4" s="10">
        <v>3547</v>
      </c>
      <c r="D4" t="s">
        <v>1386</v>
      </c>
      <c r="E4">
        <f>GETPIVOTDATA("Transaction_Id",$A$3,"Payment Method","cash")</f>
        <v>89</v>
      </c>
      <c r="F4" s="8">
        <f>E4/$E$5</f>
        <v>2.4477447744774478E-2</v>
      </c>
      <c r="G4" t="str">
        <f>"Transactions Cash : "&amp;E4&amp;" ("&amp;TEXT(F4,"0%")&amp;")"</f>
        <v>Transactions Cash : 89 (2%)</v>
      </c>
    </row>
    <row r="5" spans="1:7" x14ac:dyDescent="0.35">
      <c r="A5" s="7" t="s">
        <v>13</v>
      </c>
      <c r="B5" s="10">
        <v>89</v>
      </c>
      <c r="D5" t="s">
        <v>1388</v>
      </c>
      <c r="E5">
        <f>SUM(B4:B5)</f>
        <v>3636</v>
      </c>
      <c r="F5" s="8">
        <f>E5/$E$5</f>
        <v>1</v>
      </c>
    </row>
    <row r="6" spans="1:7" x14ac:dyDescent="0.35">
      <c r="A6" s="7" t="s">
        <v>18</v>
      </c>
      <c r="B6" s="10">
        <v>3636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9376B1-5C31-43B7-AEF4-808E71832B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Transform Data</vt:lpstr>
      <vt:lpstr>Dashboard</vt:lpstr>
      <vt:lpstr>Pivot KPI</vt:lpstr>
      <vt:lpstr>Pivot Repeat</vt:lpstr>
      <vt:lpstr>Pivot Product</vt:lpstr>
      <vt:lpstr>Pivot Time</vt:lpstr>
      <vt:lpstr>Pivot Payment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 tianto</dc:creator>
  <cp:keywords/>
  <dc:description/>
  <cp:lastModifiedBy>agus tianto</cp:lastModifiedBy>
  <cp:revision/>
  <dcterms:created xsi:type="dcterms:W3CDTF">2025-04-22T18:19:42Z</dcterms:created>
  <dcterms:modified xsi:type="dcterms:W3CDTF">2025-12-28T05:31:11Z</dcterms:modified>
  <cp:category/>
  <cp:contentStatus/>
</cp:coreProperties>
</file>